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518FEA75-2FB7-4452-BC7B-31A2AACC5C03}" xr6:coauthVersionLast="47" xr6:coauthVersionMax="47" xr10:uidLastSave="{00000000-0000-0000-0000-000000000000}"/>
  <bookViews>
    <workbookView xWindow="-108" yWindow="-108" windowWidth="23256" windowHeight="12456" tabRatio="753" activeTab="2" xr2:uid="{D0DD4439-C139-49C3-8A9F-B05E66C844F7}"/>
  </bookViews>
  <sheets>
    <sheet name="Loan Amortization" sheetId="16" r:id="rId1"/>
    <sheet name="DCF Model" sheetId="17" r:id="rId2"/>
    <sheet name="Dashboard" sheetId="25" r:id="rId3"/>
    <sheet name="Health Summary" sheetId="23" r:id="rId4"/>
    <sheet name="Income Statement" sheetId="19" r:id="rId5"/>
    <sheet name="Balance Sheet" sheetId="20" r:id="rId6"/>
    <sheet name="Cash Flow" sheetId="21" r:id="rId7"/>
    <sheet name="Ratios" sheetId="22" r:id="rId8"/>
    <sheet name="TB Summary" sheetId="18" r:id="rId9"/>
    <sheet name="COA" sheetId="15" r:id="rId10"/>
    <sheet name="Apr" sheetId="1" r:id="rId11"/>
    <sheet name="May" sheetId="2" r:id="rId12"/>
    <sheet name="Jun" sheetId="3" r:id="rId13"/>
    <sheet name="Jul" sheetId="4" r:id="rId14"/>
    <sheet name="Aug" sheetId="5" r:id="rId15"/>
    <sheet name="Sep" sheetId="6" r:id="rId16"/>
    <sheet name="Oct" sheetId="7" r:id="rId17"/>
    <sheet name="Dashboard Data" sheetId="24" r:id="rId18"/>
  </sheets>
  <definedNames>
    <definedName name="_xlnm._FilterDatabase" localSheetId="10" hidden="1">Apr!$B$1:$I$2245</definedName>
    <definedName name="_xlnm._FilterDatabase" localSheetId="14" hidden="1">Aug!$B$1:$G$2523</definedName>
    <definedName name="_xlnm._FilterDatabase" localSheetId="13" hidden="1">Jul!$B$1:$G$2504</definedName>
    <definedName name="_xlnm._FilterDatabase" localSheetId="12" hidden="1">Jun!$B$1:$G$2969</definedName>
    <definedName name="_xlnm._FilterDatabase" localSheetId="11" hidden="1">May!$B$1:$G$2329</definedName>
    <definedName name="_xlnm._FilterDatabase" localSheetId="16" hidden="1">Oct!$B$1:$G$2524</definedName>
    <definedName name="_xlnm._FilterDatabase" localSheetId="15" hidden="1">Sep!$B$1:$G$2541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25" l="1"/>
  <c r="N11" i="25"/>
  <c r="J12" i="25"/>
  <c r="J11" i="25"/>
  <c r="F12" i="25"/>
  <c r="F11" i="25"/>
  <c r="B12" i="25"/>
  <c r="B11" i="25"/>
  <c r="N7" i="25"/>
  <c r="N6" i="25"/>
  <c r="J7" i="25"/>
  <c r="J6" i="25"/>
  <c r="F7" i="25"/>
  <c r="F6" i="25"/>
  <c r="B7" i="25"/>
  <c r="B6" i="25"/>
  <c r="H14" i="24"/>
  <c r="I14" i="24"/>
  <c r="H15" i="24"/>
  <c r="I15" i="24"/>
  <c r="H16" i="24"/>
  <c r="I16" i="24"/>
  <c r="H5" i="24"/>
  <c r="H6" i="24"/>
  <c r="I6" i="24"/>
  <c r="J6" i="24"/>
  <c r="H7" i="24"/>
  <c r="I7" i="24"/>
  <c r="J7" i="24"/>
  <c r="H8" i="24"/>
  <c r="I8" i="24"/>
  <c r="J8" i="24"/>
  <c r="H9" i="24"/>
  <c r="H10" i="24"/>
  <c r="H11" i="24"/>
  <c r="A45" i="24"/>
  <c r="B45" i="24"/>
  <c r="A46" i="24"/>
  <c r="B46" i="24"/>
  <c r="A47" i="24"/>
  <c r="B47" i="24"/>
  <c r="A48" i="24"/>
  <c r="B48" i="24"/>
  <c r="A49" i="24"/>
  <c r="B49" i="24"/>
  <c r="A50" i="24"/>
  <c r="B50" i="24"/>
  <c r="A51" i="24"/>
  <c r="B51" i="24"/>
  <c r="A52" i="24"/>
  <c r="B52" i="24"/>
  <c r="A53" i="24"/>
  <c r="B53" i="24"/>
  <c r="A35" i="24"/>
  <c r="B35" i="24"/>
  <c r="C35" i="24"/>
  <c r="D35" i="24"/>
  <c r="A36" i="24"/>
  <c r="B36" i="24"/>
  <c r="C36" i="24"/>
  <c r="D36" i="24"/>
  <c r="A37" i="24"/>
  <c r="B37" i="24"/>
  <c r="C37" i="24"/>
  <c r="D37" i="24"/>
  <c r="A38" i="24"/>
  <c r="B38" i="24"/>
  <c r="C38" i="24"/>
  <c r="D38" i="24"/>
  <c r="A39" i="24"/>
  <c r="B39" i="24"/>
  <c r="C39" i="24"/>
  <c r="D39" i="24"/>
  <c r="A40" i="24"/>
  <c r="B40" i="24"/>
  <c r="C40" i="24"/>
  <c r="D40" i="24"/>
  <c r="A41" i="24"/>
  <c r="B41" i="24"/>
  <c r="C41" i="24"/>
  <c r="D41" i="24"/>
  <c r="A26" i="24"/>
  <c r="B26" i="24"/>
  <c r="C26" i="24"/>
  <c r="D26" i="24"/>
  <c r="E26" i="24"/>
  <c r="A27" i="24"/>
  <c r="B27" i="24"/>
  <c r="C27" i="24"/>
  <c r="D27" i="24"/>
  <c r="E27" i="24"/>
  <c r="A28" i="24"/>
  <c r="B28" i="24"/>
  <c r="C28" i="24"/>
  <c r="D28" i="24"/>
  <c r="E28" i="24"/>
  <c r="A29" i="24"/>
  <c r="B29" i="24"/>
  <c r="C29" i="24"/>
  <c r="D29" i="24"/>
  <c r="E29" i="24"/>
  <c r="A30" i="24"/>
  <c r="B30" i="24"/>
  <c r="C30" i="24"/>
  <c r="D30" i="24"/>
  <c r="E30" i="24"/>
  <c r="A31" i="24"/>
  <c r="B31" i="24"/>
  <c r="C31" i="24"/>
  <c r="D31" i="24"/>
  <c r="E31" i="24"/>
  <c r="B21" i="24"/>
  <c r="B22" i="24"/>
  <c r="B16" i="24"/>
  <c r="B17" i="24"/>
  <c r="B18" i="24"/>
  <c r="B19" i="24"/>
  <c r="B20" i="24"/>
  <c r="B12" i="24"/>
  <c r="C12" i="24"/>
  <c r="D12" i="24"/>
  <c r="A5" i="24"/>
  <c r="B5" i="24"/>
  <c r="C5" i="24" s="1"/>
  <c r="D5" i="24"/>
  <c r="A6" i="24"/>
  <c r="B6" i="24"/>
  <c r="C6" i="24" s="1"/>
  <c r="D6" i="24"/>
  <c r="A7" i="24"/>
  <c r="B7" i="24"/>
  <c r="C7" i="24" s="1"/>
  <c r="D7" i="24"/>
  <c r="A8" i="24"/>
  <c r="B8" i="24"/>
  <c r="C8" i="24" s="1"/>
  <c r="D8" i="24"/>
  <c r="A9" i="24"/>
  <c r="B9" i="24"/>
  <c r="C9" i="24" s="1"/>
  <c r="D9" i="24"/>
  <c r="A10" i="24"/>
  <c r="B10" i="24"/>
  <c r="C10" i="24" s="1"/>
  <c r="D10" i="24"/>
  <c r="A11" i="24"/>
  <c r="B11" i="24"/>
  <c r="C11" i="24" s="1"/>
  <c r="D11" i="24"/>
  <c r="J26" i="22"/>
  <c r="J27" i="22"/>
  <c r="J28" i="22"/>
  <c r="J29" i="22"/>
  <c r="J30" i="22"/>
  <c r="J31" i="22"/>
  <c r="J32" i="22"/>
  <c r="J33" i="22"/>
  <c r="J34" i="22"/>
  <c r="B38" i="23" a="1"/>
  <c r="B38" i="23" s="1"/>
  <c r="B39" i="23" a="1"/>
  <c r="B39" i="23" s="1"/>
  <c r="B40" i="23"/>
  <c r="B41" i="23" a="1"/>
  <c r="B41" i="23" s="1"/>
  <c r="A17" i="23"/>
  <c r="A18" i="23"/>
  <c r="A19" i="23"/>
  <c r="A20" i="23"/>
  <c r="A21" i="23"/>
  <c r="A22" i="23"/>
  <c r="A23" i="23"/>
  <c r="A24" i="23"/>
  <c r="A25" i="23"/>
  <c r="B5" i="23"/>
  <c r="B6" i="23"/>
  <c r="B7" i="23"/>
  <c r="B8" i="23"/>
  <c r="B9" i="23"/>
  <c r="B10" i="23"/>
  <c r="B11" i="23"/>
  <c r="B12" i="23"/>
  <c r="B13" i="23"/>
  <c r="B14" i="23"/>
  <c r="A46" i="22"/>
  <c r="A45" i="22"/>
  <c r="A44" i="22"/>
  <c r="A43" i="22"/>
  <c r="A42" i="22"/>
  <c r="A41" i="22"/>
  <c r="A40" i="22"/>
  <c r="A39" i="22"/>
  <c r="A38" i="22"/>
  <c r="H23" i="22"/>
  <c r="G23" i="22"/>
  <c r="F23" i="22"/>
  <c r="E23" i="22"/>
  <c r="D23" i="22"/>
  <c r="C23" i="22"/>
  <c r="B23" i="22"/>
  <c r="H22" i="22"/>
  <c r="G22" i="22"/>
  <c r="F22" i="22"/>
  <c r="F29" i="22" s="1"/>
  <c r="E22" i="22"/>
  <c r="D22" i="22"/>
  <c r="C22" i="22"/>
  <c r="B22" i="22"/>
  <c r="H21" i="22"/>
  <c r="G21" i="22"/>
  <c r="F21" i="22"/>
  <c r="E21" i="22"/>
  <c r="D21" i="22"/>
  <c r="C21" i="22"/>
  <c r="B21" i="22"/>
  <c r="H20" i="22"/>
  <c r="G20" i="22"/>
  <c r="F20" i="22"/>
  <c r="E20" i="22"/>
  <c r="D20" i="22"/>
  <c r="C20" i="22"/>
  <c r="B20" i="22"/>
  <c r="H19" i="22"/>
  <c r="G19" i="22"/>
  <c r="F19" i="22"/>
  <c r="E19" i="22"/>
  <c r="D19" i="22"/>
  <c r="C19" i="22"/>
  <c r="B19" i="22"/>
  <c r="H18" i="22"/>
  <c r="G18" i="22"/>
  <c r="F18" i="22"/>
  <c r="F32" i="22" s="1"/>
  <c r="E18" i="22"/>
  <c r="D18" i="22"/>
  <c r="C18" i="22"/>
  <c r="B18" i="22"/>
  <c r="H17" i="22"/>
  <c r="G17" i="22"/>
  <c r="F17" i="22"/>
  <c r="E17" i="22"/>
  <c r="D17" i="22"/>
  <c r="C17" i="22"/>
  <c r="B17" i="22"/>
  <c r="H16" i="22"/>
  <c r="G16" i="22"/>
  <c r="F16" i="22"/>
  <c r="E16" i="22"/>
  <c r="D16" i="22"/>
  <c r="D28" i="22" s="1"/>
  <c r="C16" i="22"/>
  <c r="B16" i="22"/>
  <c r="H15" i="22"/>
  <c r="G15" i="22"/>
  <c r="F15" i="22"/>
  <c r="E15" i="22"/>
  <c r="D15" i="22"/>
  <c r="C15" i="22"/>
  <c r="B15" i="22"/>
  <c r="H13" i="22"/>
  <c r="G13" i="22"/>
  <c r="F13" i="22"/>
  <c r="E13" i="22"/>
  <c r="D13" i="22"/>
  <c r="C13" i="22"/>
  <c r="B13" i="22"/>
  <c r="H12" i="22"/>
  <c r="G12" i="22"/>
  <c r="F12" i="22"/>
  <c r="E12" i="22"/>
  <c r="D12" i="22"/>
  <c r="C12" i="22"/>
  <c r="B12" i="22"/>
  <c r="H11" i="22"/>
  <c r="H27" i="22" s="1"/>
  <c r="G11" i="22"/>
  <c r="F11" i="22"/>
  <c r="E11" i="22"/>
  <c r="D11" i="22"/>
  <c r="D26" i="22" s="1"/>
  <c r="C11" i="22"/>
  <c r="B11" i="22"/>
  <c r="B26" i="22" s="1"/>
  <c r="H10" i="22"/>
  <c r="G10" i="22"/>
  <c r="F10" i="22"/>
  <c r="E10" i="22"/>
  <c r="D10" i="22"/>
  <c r="C10" i="22"/>
  <c r="B10" i="22"/>
  <c r="H6" i="22"/>
  <c r="H25" i="22" s="1"/>
  <c r="G6" i="22"/>
  <c r="G25" i="22" s="1"/>
  <c r="F6" i="22"/>
  <c r="F25" i="22" s="1"/>
  <c r="E6" i="22"/>
  <c r="E25" i="22" s="1"/>
  <c r="D6" i="22"/>
  <c r="D8" i="22" s="1"/>
  <c r="C6" i="22"/>
  <c r="C8" i="22" s="1"/>
  <c r="B6" i="22"/>
  <c r="B25" i="22" s="1"/>
  <c r="C31" i="21"/>
  <c r="D31" i="21"/>
  <c r="E31" i="21"/>
  <c r="F31" i="21"/>
  <c r="G31" i="21"/>
  <c r="H31" i="21"/>
  <c r="I31" i="21"/>
  <c r="I30" i="21"/>
  <c r="H30" i="21"/>
  <c r="G30" i="21"/>
  <c r="F30" i="21"/>
  <c r="E30" i="21"/>
  <c r="D30" i="21"/>
  <c r="C30" i="21"/>
  <c r="I29" i="21"/>
  <c r="H29" i="21"/>
  <c r="G29" i="21"/>
  <c r="F29" i="21"/>
  <c r="E29" i="21"/>
  <c r="D29" i="21"/>
  <c r="C29" i="21"/>
  <c r="I28" i="21"/>
  <c r="H28" i="21"/>
  <c r="G28" i="21"/>
  <c r="F28" i="21"/>
  <c r="E28" i="21"/>
  <c r="D28" i="21"/>
  <c r="C28" i="21"/>
  <c r="I27" i="21"/>
  <c r="H27" i="21"/>
  <c r="G27" i="21"/>
  <c r="F27" i="21"/>
  <c r="E27" i="21"/>
  <c r="D27" i="21"/>
  <c r="C27" i="21"/>
  <c r="I25" i="21"/>
  <c r="H25" i="21"/>
  <c r="G25" i="21"/>
  <c r="F25" i="21"/>
  <c r="E25" i="21"/>
  <c r="D25" i="21"/>
  <c r="C25" i="21"/>
  <c r="I24" i="21"/>
  <c r="H24" i="21"/>
  <c r="G24" i="21"/>
  <c r="F24" i="21"/>
  <c r="E24" i="21"/>
  <c r="D24" i="21"/>
  <c r="C24" i="21"/>
  <c r="I23" i="21"/>
  <c r="H23" i="21"/>
  <c r="G23" i="21"/>
  <c r="F23" i="21"/>
  <c r="E23" i="21"/>
  <c r="D23" i="21"/>
  <c r="C23" i="21"/>
  <c r="I20" i="21"/>
  <c r="H20" i="21"/>
  <c r="G20" i="21"/>
  <c r="F20" i="21"/>
  <c r="E20" i="21"/>
  <c r="D20" i="21"/>
  <c r="C20" i="21"/>
  <c r="I19" i="21"/>
  <c r="H19" i="21"/>
  <c r="G19" i="21"/>
  <c r="F19" i="21"/>
  <c r="E19" i="21"/>
  <c r="D19" i="21"/>
  <c r="C19" i="21"/>
  <c r="I18" i="21"/>
  <c r="H18" i="21"/>
  <c r="G18" i="21"/>
  <c r="F18" i="21"/>
  <c r="E18" i="21"/>
  <c r="D18" i="21"/>
  <c r="C18" i="21"/>
  <c r="I15" i="21"/>
  <c r="H15" i="21"/>
  <c r="G15" i="21"/>
  <c r="F15" i="21"/>
  <c r="E15" i="21"/>
  <c r="D15" i="21"/>
  <c r="C15" i="21"/>
  <c r="I14" i="21"/>
  <c r="H14" i="21"/>
  <c r="G14" i="21"/>
  <c r="F14" i="21"/>
  <c r="E14" i="21"/>
  <c r="D14" i="21"/>
  <c r="C14" i="21"/>
  <c r="I13" i="21"/>
  <c r="H13" i="21"/>
  <c r="G13" i="21"/>
  <c r="F13" i="21"/>
  <c r="E13" i="21"/>
  <c r="D13" i="21"/>
  <c r="C13" i="21"/>
  <c r="I12" i="21"/>
  <c r="H12" i="21"/>
  <c r="G12" i="21"/>
  <c r="F12" i="21"/>
  <c r="E12" i="21"/>
  <c r="D12" i="21"/>
  <c r="C12" i="21"/>
  <c r="I11" i="21"/>
  <c r="H11" i="21"/>
  <c r="G11" i="21"/>
  <c r="F11" i="21"/>
  <c r="E11" i="21"/>
  <c r="D11" i="21"/>
  <c r="C11" i="21"/>
  <c r="I10" i="21"/>
  <c r="H10" i="21"/>
  <c r="G10" i="21"/>
  <c r="F10" i="21"/>
  <c r="E10" i="21"/>
  <c r="D10" i="21"/>
  <c r="C10" i="21"/>
  <c r="I8" i="21"/>
  <c r="H8" i="21"/>
  <c r="G8" i="21"/>
  <c r="F8" i="21"/>
  <c r="E8" i="21"/>
  <c r="D8" i="21"/>
  <c r="C8" i="21"/>
  <c r="I7" i="21"/>
  <c r="H7" i="21"/>
  <c r="G7" i="21"/>
  <c r="F7" i="21"/>
  <c r="E7" i="21"/>
  <c r="D7" i="21"/>
  <c r="C7" i="21"/>
  <c r="I6" i="21"/>
  <c r="H6" i="21"/>
  <c r="G6" i="21"/>
  <c r="F6" i="21"/>
  <c r="E6" i="21"/>
  <c r="D6" i="21"/>
  <c r="C6" i="21"/>
  <c r="H4" i="21"/>
  <c r="G4" i="21"/>
  <c r="F4" i="21"/>
  <c r="E4" i="21"/>
  <c r="D4" i="21"/>
  <c r="C4" i="21"/>
  <c r="B4" i="21"/>
  <c r="B35" i="20"/>
  <c r="C35" i="20"/>
  <c r="D35" i="20"/>
  <c r="E35" i="20"/>
  <c r="F35" i="20"/>
  <c r="G35" i="20"/>
  <c r="H35" i="20"/>
  <c r="H33" i="20"/>
  <c r="G33" i="20"/>
  <c r="F33" i="20"/>
  <c r="E33" i="20"/>
  <c r="D33" i="20"/>
  <c r="C33" i="20"/>
  <c r="B33" i="20"/>
  <c r="H32" i="20"/>
  <c r="G32" i="20"/>
  <c r="F32" i="20"/>
  <c r="E32" i="20"/>
  <c r="D32" i="20"/>
  <c r="C32" i="20"/>
  <c r="B32" i="20"/>
  <c r="H31" i="20"/>
  <c r="G31" i="20"/>
  <c r="F31" i="20"/>
  <c r="E31" i="20"/>
  <c r="D31" i="20"/>
  <c r="C31" i="20"/>
  <c r="B31" i="20"/>
  <c r="H30" i="20"/>
  <c r="G30" i="20"/>
  <c r="F30" i="20"/>
  <c r="E30" i="20"/>
  <c r="D30" i="20"/>
  <c r="C30" i="20"/>
  <c r="B30" i="20"/>
  <c r="H27" i="20"/>
  <c r="G27" i="20"/>
  <c r="F27" i="20"/>
  <c r="E27" i="20"/>
  <c r="D27" i="20"/>
  <c r="C27" i="20"/>
  <c r="B27" i="20"/>
  <c r="H26" i="20"/>
  <c r="G26" i="20"/>
  <c r="F26" i="20"/>
  <c r="E26" i="20"/>
  <c r="D26" i="20"/>
  <c r="C26" i="20"/>
  <c r="B26" i="20"/>
  <c r="H25" i="20"/>
  <c r="G25" i="20"/>
  <c r="F25" i="20"/>
  <c r="E25" i="20"/>
  <c r="D25" i="20"/>
  <c r="C25" i="20"/>
  <c r="B25" i="20"/>
  <c r="H24" i="20"/>
  <c r="G24" i="20"/>
  <c r="F24" i="20"/>
  <c r="E24" i="20"/>
  <c r="D24" i="20"/>
  <c r="C24" i="20"/>
  <c r="B24" i="20"/>
  <c r="H22" i="20"/>
  <c r="G22" i="20"/>
  <c r="F22" i="20"/>
  <c r="E22" i="20"/>
  <c r="D22" i="20"/>
  <c r="C22" i="20"/>
  <c r="B22" i="20"/>
  <c r="H21" i="20"/>
  <c r="G21" i="20"/>
  <c r="F21" i="20"/>
  <c r="E21" i="20"/>
  <c r="D21" i="20"/>
  <c r="C21" i="20"/>
  <c r="B21" i="20"/>
  <c r="H17" i="20"/>
  <c r="G17" i="20"/>
  <c r="F17" i="20"/>
  <c r="E17" i="20"/>
  <c r="D17" i="20"/>
  <c r="C17" i="20"/>
  <c r="B17" i="20"/>
  <c r="H16" i="20"/>
  <c r="G16" i="20"/>
  <c r="F16" i="20"/>
  <c r="E16" i="20"/>
  <c r="D16" i="20"/>
  <c r="C16" i="20"/>
  <c r="B16" i="20"/>
  <c r="H15" i="20"/>
  <c r="G15" i="20"/>
  <c r="F15" i="20"/>
  <c r="E15" i="20"/>
  <c r="D15" i="20"/>
  <c r="C15" i="20"/>
  <c r="B15" i="20"/>
  <c r="H14" i="20"/>
  <c r="G14" i="20"/>
  <c r="F14" i="20"/>
  <c r="E14" i="20"/>
  <c r="D14" i="20"/>
  <c r="C14" i="20"/>
  <c r="B14" i="20"/>
  <c r="H13" i="20"/>
  <c r="G13" i="20"/>
  <c r="F13" i="20"/>
  <c r="E13" i="20"/>
  <c r="D13" i="20"/>
  <c r="C13" i="20"/>
  <c r="B13" i="20"/>
  <c r="H11" i="20"/>
  <c r="G11" i="20"/>
  <c r="F11" i="20"/>
  <c r="E11" i="20"/>
  <c r="D11" i="20"/>
  <c r="C11" i="20"/>
  <c r="B11" i="20"/>
  <c r="H10" i="20"/>
  <c r="G10" i="20"/>
  <c r="F10" i="20"/>
  <c r="E10" i="20"/>
  <c r="D10" i="20"/>
  <c r="C10" i="20"/>
  <c r="B10" i="20"/>
  <c r="H9" i="20"/>
  <c r="G9" i="20"/>
  <c r="F9" i="20"/>
  <c r="E9" i="20"/>
  <c r="D9" i="20"/>
  <c r="C9" i="20"/>
  <c r="B9" i="20"/>
  <c r="H8" i="20"/>
  <c r="G8" i="20"/>
  <c r="F8" i="20"/>
  <c r="E8" i="20"/>
  <c r="D8" i="20"/>
  <c r="C8" i="20"/>
  <c r="B8" i="20"/>
  <c r="H7" i="20"/>
  <c r="G7" i="20"/>
  <c r="F7" i="20"/>
  <c r="E7" i="20"/>
  <c r="D7" i="20"/>
  <c r="C7" i="20"/>
  <c r="B7" i="20"/>
  <c r="H4" i="20"/>
  <c r="G4" i="20"/>
  <c r="F4" i="20"/>
  <c r="E4" i="20"/>
  <c r="D4" i="20"/>
  <c r="C4" i="20"/>
  <c r="B4" i="20"/>
  <c r="I37" i="19"/>
  <c r="I35" i="19"/>
  <c r="H35" i="19"/>
  <c r="G35" i="19"/>
  <c r="F35" i="19"/>
  <c r="E35" i="19"/>
  <c r="D35" i="19"/>
  <c r="C35" i="19"/>
  <c r="B35" i="19"/>
  <c r="I34" i="19"/>
  <c r="H34" i="19"/>
  <c r="G34" i="19"/>
  <c r="F34" i="19"/>
  <c r="E34" i="19"/>
  <c r="D34" i="19"/>
  <c r="C34" i="19"/>
  <c r="B34" i="19"/>
  <c r="I33" i="19"/>
  <c r="H33" i="19"/>
  <c r="G33" i="19"/>
  <c r="F33" i="19"/>
  <c r="E33" i="19"/>
  <c r="D33" i="19"/>
  <c r="C33" i="19"/>
  <c r="B33" i="19"/>
  <c r="I32" i="19"/>
  <c r="H32" i="19"/>
  <c r="G32" i="19"/>
  <c r="F32" i="19"/>
  <c r="E32" i="19"/>
  <c r="D32" i="19"/>
  <c r="C32" i="19"/>
  <c r="B32" i="19"/>
  <c r="I31" i="19"/>
  <c r="H31" i="19"/>
  <c r="G31" i="19"/>
  <c r="F31" i="19"/>
  <c r="E31" i="19"/>
  <c r="D31" i="19"/>
  <c r="C31" i="19"/>
  <c r="B31" i="19"/>
  <c r="I30" i="19"/>
  <c r="H30" i="19"/>
  <c r="G30" i="19"/>
  <c r="F30" i="19"/>
  <c r="E30" i="19"/>
  <c r="D30" i="19"/>
  <c r="C30" i="19"/>
  <c r="B30" i="19"/>
  <c r="I29" i="19"/>
  <c r="H29" i="19"/>
  <c r="G29" i="19"/>
  <c r="F29" i="19"/>
  <c r="E29" i="19"/>
  <c r="D29" i="19"/>
  <c r="C29" i="19"/>
  <c r="B29" i="19"/>
  <c r="I27" i="19"/>
  <c r="H27" i="19"/>
  <c r="G27" i="19"/>
  <c r="F27" i="19"/>
  <c r="E27" i="19"/>
  <c r="D27" i="19"/>
  <c r="C27" i="19"/>
  <c r="B27" i="19"/>
  <c r="I26" i="19"/>
  <c r="H26" i="19"/>
  <c r="G26" i="19"/>
  <c r="F26" i="19"/>
  <c r="E26" i="19"/>
  <c r="D26" i="19"/>
  <c r="C26" i="19"/>
  <c r="B26" i="19"/>
  <c r="I25" i="19"/>
  <c r="H25" i="19"/>
  <c r="G25" i="19"/>
  <c r="F25" i="19"/>
  <c r="E25" i="19"/>
  <c r="D25" i="19"/>
  <c r="C25" i="19"/>
  <c r="B25" i="19"/>
  <c r="I24" i="19"/>
  <c r="H24" i="19"/>
  <c r="G24" i="19"/>
  <c r="F24" i="19"/>
  <c r="E24" i="19"/>
  <c r="D24" i="19"/>
  <c r="C24" i="19"/>
  <c r="B24" i="19"/>
  <c r="I23" i="19"/>
  <c r="H23" i="19"/>
  <c r="G23" i="19"/>
  <c r="F23" i="19"/>
  <c r="E23" i="19"/>
  <c r="D23" i="19"/>
  <c r="C23" i="19"/>
  <c r="B23" i="19"/>
  <c r="I22" i="19"/>
  <c r="H22" i="19"/>
  <c r="G22" i="19"/>
  <c r="F22" i="19"/>
  <c r="E22" i="19"/>
  <c r="D22" i="19"/>
  <c r="C22" i="19"/>
  <c r="B22" i="19"/>
  <c r="I21" i="19"/>
  <c r="H21" i="19"/>
  <c r="G21" i="19"/>
  <c r="F21" i="19"/>
  <c r="E21" i="19"/>
  <c r="D21" i="19"/>
  <c r="C21" i="19"/>
  <c r="B21" i="19"/>
  <c r="I20" i="19"/>
  <c r="H20" i="19"/>
  <c r="G20" i="19"/>
  <c r="F20" i="19"/>
  <c r="E20" i="19"/>
  <c r="D20" i="19"/>
  <c r="C20" i="19"/>
  <c r="B20" i="19"/>
  <c r="I19" i="19"/>
  <c r="H19" i="19"/>
  <c r="G19" i="19"/>
  <c r="F19" i="19"/>
  <c r="E19" i="19"/>
  <c r="D19" i="19"/>
  <c r="C19" i="19"/>
  <c r="B19" i="19"/>
  <c r="I18" i="19"/>
  <c r="H18" i="19"/>
  <c r="G18" i="19"/>
  <c r="F18" i="19"/>
  <c r="E18" i="19"/>
  <c r="D18" i="19"/>
  <c r="C18" i="19"/>
  <c r="B18" i="19"/>
  <c r="I17" i="19"/>
  <c r="H17" i="19"/>
  <c r="G17" i="19"/>
  <c r="F17" i="19"/>
  <c r="E17" i="19"/>
  <c r="D17" i="19"/>
  <c r="C17" i="19"/>
  <c r="B17" i="19"/>
  <c r="I16" i="19"/>
  <c r="H16" i="19"/>
  <c r="G16" i="19"/>
  <c r="F16" i="19"/>
  <c r="E16" i="19"/>
  <c r="D16" i="19"/>
  <c r="C16" i="19"/>
  <c r="B16" i="19"/>
  <c r="I14" i="19"/>
  <c r="H14" i="19"/>
  <c r="G14" i="19"/>
  <c r="F14" i="19"/>
  <c r="E14" i="19"/>
  <c r="D14" i="19"/>
  <c r="C14" i="19"/>
  <c r="B14" i="19"/>
  <c r="I13" i="19"/>
  <c r="H13" i="19"/>
  <c r="G13" i="19"/>
  <c r="F13" i="19"/>
  <c r="E13" i="19"/>
  <c r="D13" i="19"/>
  <c r="C13" i="19"/>
  <c r="B13" i="19"/>
  <c r="I12" i="19"/>
  <c r="H12" i="19"/>
  <c r="G12" i="19"/>
  <c r="F12" i="19"/>
  <c r="E12" i="19"/>
  <c r="D12" i="19"/>
  <c r="C12" i="19"/>
  <c r="B12" i="19"/>
  <c r="I11" i="19"/>
  <c r="H11" i="19"/>
  <c r="G11" i="19"/>
  <c r="F11" i="19"/>
  <c r="E11" i="19"/>
  <c r="D11" i="19"/>
  <c r="C11" i="19"/>
  <c r="B11" i="19"/>
  <c r="I10" i="19"/>
  <c r="H10" i="19"/>
  <c r="G10" i="19"/>
  <c r="F10" i="19"/>
  <c r="E10" i="19"/>
  <c r="D10" i="19"/>
  <c r="C10" i="19"/>
  <c r="B10" i="19"/>
  <c r="I8" i="19"/>
  <c r="H8" i="19"/>
  <c r="G8" i="19"/>
  <c r="F8" i="19"/>
  <c r="E8" i="19"/>
  <c r="D8" i="19"/>
  <c r="C8" i="19"/>
  <c r="B8" i="19"/>
  <c r="I7" i="19"/>
  <c r="H7" i="19"/>
  <c r="G7" i="19"/>
  <c r="F7" i="19"/>
  <c r="E7" i="19"/>
  <c r="D7" i="19"/>
  <c r="C7" i="19"/>
  <c r="B7" i="19"/>
  <c r="I6" i="19"/>
  <c r="H6" i="19"/>
  <c r="G6" i="19"/>
  <c r="F6" i="19"/>
  <c r="E6" i="19"/>
  <c r="D6" i="19"/>
  <c r="C6" i="19"/>
  <c r="B6" i="19"/>
  <c r="H4" i="19"/>
  <c r="G4" i="19"/>
  <c r="F4" i="19"/>
  <c r="E4" i="19"/>
  <c r="D4" i="19"/>
  <c r="C4" i="19"/>
  <c r="B4" i="19"/>
  <c r="E35" i="18"/>
  <c r="F35" i="18"/>
  <c r="F37" i="18" s="1"/>
  <c r="G35" i="18"/>
  <c r="G37" i="18" s="1"/>
  <c r="H35" i="18"/>
  <c r="I35" i="18"/>
  <c r="J35" i="18"/>
  <c r="K35" i="18"/>
  <c r="E36" i="18"/>
  <c r="F36" i="18"/>
  <c r="G36" i="18"/>
  <c r="H36" i="18"/>
  <c r="I36" i="18"/>
  <c r="J36" i="18"/>
  <c r="K36" i="18"/>
  <c r="E37" i="18"/>
  <c r="C5" i="18"/>
  <c r="D5" i="18"/>
  <c r="E5" i="18"/>
  <c r="F5" i="18"/>
  <c r="G5" i="18"/>
  <c r="H5" i="18"/>
  <c r="I5" i="18"/>
  <c r="J5" i="18"/>
  <c r="K5" i="18"/>
  <c r="C6" i="18"/>
  <c r="D6" i="18"/>
  <c r="E6" i="18"/>
  <c r="F6" i="18"/>
  <c r="G6" i="18"/>
  <c r="H6" i="18"/>
  <c r="I6" i="18"/>
  <c r="J6" i="18"/>
  <c r="K6" i="18"/>
  <c r="C7" i="18"/>
  <c r="D7" i="18"/>
  <c r="E7" i="18"/>
  <c r="F7" i="18"/>
  <c r="G7" i="18"/>
  <c r="H7" i="18"/>
  <c r="I7" i="18"/>
  <c r="J7" i="18"/>
  <c r="K7" i="18"/>
  <c r="C8" i="18"/>
  <c r="D8" i="18"/>
  <c r="E8" i="18"/>
  <c r="F8" i="18"/>
  <c r="G8" i="18"/>
  <c r="H8" i="18"/>
  <c r="I8" i="18"/>
  <c r="J8" i="18"/>
  <c r="K8" i="18"/>
  <c r="C9" i="18"/>
  <c r="D9" i="18"/>
  <c r="E9" i="18"/>
  <c r="F9" i="18"/>
  <c r="G9" i="18"/>
  <c r="H9" i="18"/>
  <c r="I9" i="18"/>
  <c r="J9" i="18"/>
  <c r="K9" i="18"/>
  <c r="C10" i="18"/>
  <c r="D10" i="18"/>
  <c r="E10" i="18"/>
  <c r="F10" i="18"/>
  <c r="G10" i="18"/>
  <c r="H10" i="18"/>
  <c r="I10" i="18"/>
  <c r="J10" i="18"/>
  <c r="K10" i="18"/>
  <c r="C11" i="18"/>
  <c r="D11" i="18"/>
  <c r="E11" i="18"/>
  <c r="F11" i="18"/>
  <c r="G11" i="18"/>
  <c r="H11" i="18"/>
  <c r="I11" i="18"/>
  <c r="J11" i="18"/>
  <c r="K11" i="18"/>
  <c r="C12" i="18"/>
  <c r="D12" i="18"/>
  <c r="E12" i="18"/>
  <c r="F12" i="18"/>
  <c r="G12" i="18"/>
  <c r="H12" i="18"/>
  <c r="I12" i="18"/>
  <c r="J12" i="18"/>
  <c r="K12" i="18"/>
  <c r="C13" i="18"/>
  <c r="D13" i="18"/>
  <c r="E13" i="18"/>
  <c r="F13" i="18"/>
  <c r="G13" i="18"/>
  <c r="H13" i="18"/>
  <c r="I13" i="18"/>
  <c r="J13" i="18"/>
  <c r="K13" i="18"/>
  <c r="C14" i="18"/>
  <c r="D14" i="18"/>
  <c r="E14" i="18"/>
  <c r="F14" i="18"/>
  <c r="G14" i="18"/>
  <c r="H14" i="18"/>
  <c r="I14" i="18"/>
  <c r="J14" i="18"/>
  <c r="K14" i="18"/>
  <c r="C15" i="18"/>
  <c r="D15" i="18"/>
  <c r="E15" i="18"/>
  <c r="F15" i="18"/>
  <c r="G15" i="18"/>
  <c r="H15" i="18"/>
  <c r="I15" i="18"/>
  <c r="J15" i="18"/>
  <c r="K15" i="18"/>
  <c r="C16" i="18"/>
  <c r="D16" i="18"/>
  <c r="E16" i="18"/>
  <c r="F16" i="18"/>
  <c r="G16" i="18"/>
  <c r="H16" i="18"/>
  <c r="I16" i="18"/>
  <c r="J16" i="18"/>
  <c r="K16" i="18"/>
  <c r="C17" i="18"/>
  <c r="D17" i="18"/>
  <c r="E17" i="18"/>
  <c r="F17" i="18"/>
  <c r="G17" i="18"/>
  <c r="H17" i="18"/>
  <c r="I17" i="18"/>
  <c r="J17" i="18"/>
  <c r="K17" i="18"/>
  <c r="C18" i="18"/>
  <c r="D18" i="18"/>
  <c r="E18" i="18"/>
  <c r="F18" i="18"/>
  <c r="G18" i="18"/>
  <c r="H18" i="18"/>
  <c r="I18" i="18"/>
  <c r="J18" i="18"/>
  <c r="K18" i="18"/>
  <c r="C19" i="18"/>
  <c r="D19" i="18"/>
  <c r="E19" i="18"/>
  <c r="F19" i="18"/>
  <c r="G19" i="18"/>
  <c r="H19" i="18"/>
  <c r="I19" i="18"/>
  <c r="J19" i="18"/>
  <c r="K19" i="18"/>
  <c r="C20" i="18"/>
  <c r="D20" i="18"/>
  <c r="E20" i="18"/>
  <c r="F20" i="18"/>
  <c r="G20" i="18"/>
  <c r="H20" i="18"/>
  <c r="I20" i="18"/>
  <c r="J20" i="18"/>
  <c r="K20" i="18"/>
  <c r="C21" i="18"/>
  <c r="D21" i="18"/>
  <c r="E21" i="18"/>
  <c r="F21" i="18"/>
  <c r="G21" i="18"/>
  <c r="H21" i="18"/>
  <c r="I21" i="18"/>
  <c r="J21" i="18"/>
  <c r="K21" i="18"/>
  <c r="C22" i="18"/>
  <c r="D22" i="18"/>
  <c r="E22" i="18"/>
  <c r="F22" i="18"/>
  <c r="G22" i="18"/>
  <c r="H22" i="18"/>
  <c r="I22" i="18"/>
  <c r="J22" i="18"/>
  <c r="K22" i="18"/>
  <c r="C23" i="18"/>
  <c r="D23" i="18"/>
  <c r="E23" i="18"/>
  <c r="F23" i="18"/>
  <c r="G23" i="18"/>
  <c r="H23" i="18"/>
  <c r="I23" i="18"/>
  <c r="J23" i="18"/>
  <c r="K23" i="18"/>
  <c r="C24" i="18"/>
  <c r="D24" i="18"/>
  <c r="E24" i="18"/>
  <c r="F24" i="18"/>
  <c r="G24" i="18"/>
  <c r="H24" i="18"/>
  <c r="I24" i="18"/>
  <c r="J24" i="18"/>
  <c r="K24" i="18"/>
  <c r="C25" i="18"/>
  <c r="D25" i="18"/>
  <c r="E25" i="18"/>
  <c r="F25" i="18"/>
  <c r="G25" i="18"/>
  <c r="H25" i="18"/>
  <c r="I25" i="18"/>
  <c r="J25" i="18"/>
  <c r="K25" i="18"/>
  <c r="C26" i="18"/>
  <c r="D26" i="18"/>
  <c r="E26" i="18"/>
  <c r="F26" i="18"/>
  <c r="G26" i="18"/>
  <c r="H26" i="18"/>
  <c r="I26" i="18"/>
  <c r="J26" i="18"/>
  <c r="K26" i="18"/>
  <c r="C27" i="18"/>
  <c r="D27" i="18"/>
  <c r="E27" i="18"/>
  <c r="F27" i="18"/>
  <c r="G27" i="18"/>
  <c r="H27" i="18"/>
  <c r="I27" i="18"/>
  <c r="J27" i="18"/>
  <c r="K27" i="18"/>
  <c r="C28" i="18"/>
  <c r="D28" i="18"/>
  <c r="E28" i="18"/>
  <c r="F28" i="18"/>
  <c r="G28" i="18"/>
  <c r="H28" i="18"/>
  <c r="I28" i="18"/>
  <c r="J28" i="18"/>
  <c r="K28" i="18"/>
  <c r="C29" i="18"/>
  <c r="D29" i="18"/>
  <c r="E29" i="18"/>
  <c r="F29" i="18"/>
  <c r="G29" i="18"/>
  <c r="H29" i="18"/>
  <c r="I29" i="18"/>
  <c r="J29" i="18"/>
  <c r="K29" i="18"/>
  <c r="C30" i="18"/>
  <c r="D30" i="18"/>
  <c r="E30" i="18"/>
  <c r="F30" i="18"/>
  <c r="G30" i="18"/>
  <c r="H30" i="18"/>
  <c r="I30" i="18"/>
  <c r="J30" i="18"/>
  <c r="K30" i="18"/>
  <c r="C31" i="18"/>
  <c r="D31" i="18"/>
  <c r="E31" i="18"/>
  <c r="F31" i="18"/>
  <c r="G31" i="18"/>
  <c r="H31" i="18"/>
  <c r="I31" i="18"/>
  <c r="J31" i="18"/>
  <c r="K31" i="18"/>
  <c r="C32" i="18"/>
  <c r="D32" i="18"/>
  <c r="E32" i="18"/>
  <c r="F32" i="18"/>
  <c r="G32" i="18"/>
  <c r="H32" i="18"/>
  <c r="I32" i="18"/>
  <c r="J32" i="18"/>
  <c r="K32" i="18"/>
  <c r="C33" i="18"/>
  <c r="D33" i="18"/>
  <c r="E33" i="18"/>
  <c r="F33" i="18"/>
  <c r="G33" i="18"/>
  <c r="H33" i="18"/>
  <c r="I33" i="18"/>
  <c r="J33" i="18"/>
  <c r="K33" i="18"/>
  <c r="K4" i="18"/>
  <c r="J4" i="18"/>
  <c r="I4" i="18"/>
  <c r="H4" i="18"/>
  <c r="G4" i="18"/>
  <c r="F4" i="18"/>
  <c r="E4" i="18"/>
  <c r="B19" i="17"/>
  <c r="B20" i="17"/>
  <c r="B21" i="17"/>
  <c r="B22" i="17"/>
  <c r="B23" i="17"/>
  <c r="B24" i="17"/>
  <c r="B25" i="17"/>
  <c r="B26" i="17"/>
  <c r="C16" i="17"/>
  <c r="D16" i="17"/>
  <c r="E16" i="17"/>
  <c r="F16" i="17"/>
  <c r="C15" i="17"/>
  <c r="D15" i="17"/>
  <c r="E15" i="17"/>
  <c r="F15" i="17"/>
  <c r="B14" i="17"/>
  <c r="C14" i="17"/>
  <c r="D14" i="17" s="1"/>
  <c r="E14" i="17" s="1"/>
  <c r="F14" i="17" s="1"/>
  <c r="B13" i="17"/>
  <c r="C13" i="17"/>
  <c r="D13" i="17"/>
  <c r="E13" i="17"/>
  <c r="F13" i="17"/>
  <c r="B12" i="17"/>
  <c r="C12" i="17"/>
  <c r="D12" i="17"/>
  <c r="E12" i="17"/>
  <c r="F12" i="17"/>
  <c r="B11" i="17"/>
  <c r="C11" i="17"/>
  <c r="D11" i="17"/>
  <c r="E11" i="17"/>
  <c r="F11" i="17"/>
  <c r="B10" i="17"/>
  <c r="J23" i="16"/>
  <c r="K23" i="16"/>
  <c r="L23" i="16"/>
  <c r="J19" i="16"/>
  <c r="K19" i="16"/>
  <c r="L19" i="16"/>
  <c r="M19" i="16" s="1"/>
  <c r="J20" i="16"/>
  <c r="K20" i="16"/>
  <c r="L20" i="16"/>
  <c r="J21" i="16"/>
  <c r="K21" i="16"/>
  <c r="L21" i="16"/>
  <c r="J22" i="16"/>
  <c r="K22" i="16"/>
  <c r="L22" i="16"/>
  <c r="B68" i="16" a="1"/>
  <c r="B68" i="16" s="1"/>
  <c r="D67" i="16"/>
  <c r="E67" i="16"/>
  <c r="F67" i="16"/>
  <c r="A19" i="16"/>
  <c r="B19" i="16" s="1"/>
  <c r="A20" i="16"/>
  <c r="B20" i="16" s="1"/>
  <c r="A21" i="16"/>
  <c r="A22" i="16"/>
  <c r="D22" i="16" s="1"/>
  <c r="B22" i="16"/>
  <c r="A23" i="16"/>
  <c r="B23" i="16"/>
  <c r="D23" i="16"/>
  <c r="A24" i="16"/>
  <c r="D24" i="16"/>
  <c r="A25" i="16"/>
  <c r="B25" i="16"/>
  <c r="D25" i="16"/>
  <c r="A26" i="16"/>
  <c r="B26" i="16" s="1"/>
  <c r="A27" i="16"/>
  <c r="B27" i="16" s="1"/>
  <c r="D27" i="16"/>
  <c r="A28" i="16"/>
  <c r="B28" i="16" s="1"/>
  <c r="A29" i="16"/>
  <c r="B29" i="16"/>
  <c r="A30" i="16"/>
  <c r="D30" i="16" s="1"/>
  <c r="B30" i="16"/>
  <c r="A31" i="16"/>
  <c r="B31" i="16"/>
  <c r="D31" i="16"/>
  <c r="A32" i="16"/>
  <c r="D32" i="16"/>
  <c r="A33" i="16"/>
  <c r="B33" i="16"/>
  <c r="D33" i="16"/>
  <c r="A34" i="16"/>
  <c r="B34" i="16" s="1"/>
  <c r="A35" i="16"/>
  <c r="B35" i="16"/>
  <c r="D35" i="16"/>
  <c r="A36" i="16"/>
  <c r="B36" i="16" s="1"/>
  <c r="A37" i="16"/>
  <c r="B37" i="16"/>
  <c r="A38" i="16"/>
  <c r="D38" i="16" s="1"/>
  <c r="B38" i="16"/>
  <c r="A39" i="16"/>
  <c r="B39" i="16"/>
  <c r="D39" i="16"/>
  <c r="A40" i="16"/>
  <c r="D40" i="16"/>
  <c r="A41" i="16"/>
  <c r="B41" i="16"/>
  <c r="D41" i="16"/>
  <c r="A42" i="16"/>
  <c r="B42" i="16" s="1"/>
  <c r="A43" i="16"/>
  <c r="B43" i="16"/>
  <c r="D43" i="16"/>
  <c r="A44" i="16"/>
  <c r="B44" i="16" s="1"/>
  <c r="A45" i="16"/>
  <c r="B45" i="16"/>
  <c r="A46" i="16"/>
  <c r="D46" i="16" s="1"/>
  <c r="B46" i="16"/>
  <c r="A47" i="16"/>
  <c r="B47" i="16"/>
  <c r="D47" i="16"/>
  <c r="A48" i="16"/>
  <c r="D48" i="16"/>
  <c r="A49" i="16"/>
  <c r="B49" i="16"/>
  <c r="D49" i="16"/>
  <c r="A50" i="16"/>
  <c r="B50" i="16" s="1"/>
  <c r="A51" i="16"/>
  <c r="B51" i="16"/>
  <c r="D51" i="16"/>
  <c r="A52" i="16"/>
  <c r="A53" i="16"/>
  <c r="B53" i="16"/>
  <c r="A54" i="16"/>
  <c r="D54" i="16" s="1"/>
  <c r="B54" i="16"/>
  <c r="A55" i="16"/>
  <c r="B55" i="16"/>
  <c r="D55" i="16"/>
  <c r="A56" i="16"/>
  <c r="D56" i="16"/>
  <c r="A57" i="16"/>
  <c r="B57" i="16"/>
  <c r="D57" i="16"/>
  <c r="A58" i="16"/>
  <c r="B58" i="16" s="1"/>
  <c r="A59" i="16"/>
  <c r="B59" i="16"/>
  <c r="D59" i="16"/>
  <c r="A60" i="16"/>
  <c r="A61" i="16"/>
  <c r="B61" i="16"/>
  <c r="A62" i="16"/>
  <c r="D62" i="16" s="1"/>
  <c r="B62" i="16"/>
  <c r="A63" i="16"/>
  <c r="B63" i="16"/>
  <c r="D63" i="16"/>
  <c r="A64" i="16"/>
  <c r="D64" i="16"/>
  <c r="A65" i="16"/>
  <c r="B65" i="16"/>
  <c r="D65" i="16"/>
  <c r="A66" i="16"/>
  <c r="B66" i="16" s="1"/>
  <c r="B11" i="16"/>
  <c r="B13" i="16" s="1"/>
  <c r="B14" i="16" s="1"/>
  <c r="B15" i="16" s="1"/>
  <c r="B12" i="16"/>
  <c r="B32" i="22" l="1"/>
  <c r="D7" i="22"/>
  <c r="D9" i="22" s="1"/>
  <c r="D34" i="22" s="1"/>
  <c r="C27" i="22"/>
  <c r="F27" i="22"/>
  <c r="D32" i="22"/>
  <c r="G27" i="22"/>
  <c r="B28" i="22"/>
  <c r="E32" i="22"/>
  <c r="G32" i="22"/>
  <c r="B27" i="22"/>
  <c r="B29" i="22"/>
  <c r="C7" i="22"/>
  <c r="C9" i="22" s="1"/>
  <c r="D27" i="22"/>
  <c r="E27" i="22"/>
  <c r="H28" i="22"/>
  <c r="D19" i="23" s="1"/>
  <c r="E19" i="23" s="1"/>
  <c r="C32" i="22"/>
  <c r="G29" i="22"/>
  <c r="H29" i="22"/>
  <c r="D20" i="23" s="1"/>
  <c r="E20" i="23" s="1"/>
  <c r="C25" i="22"/>
  <c r="D25" i="22"/>
  <c r="E28" i="22"/>
  <c r="C29" i="22"/>
  <c r="C26" i="22"/>
  <c r="E8" i="22"/>
  <c r="F28" i="22"/>
  <c r="H32" i="22"/>
  <c r="D29" i="22"/>
  <c r="G28" i="22"/>
  <c r="E29" i="22"/>
  <c r="B19" i="23"/>
  <c r="I28" i="22"/>
  <c r="C19" i="23" s="1"/>
  <c r="C33" i="22"/>
  <c r="C34" i="22"/>
  <c r="D33" i="22"/>
  <c r="D18" i="23"/>
  <c r="E18" i="23" s="1"/>
  <c r="I27" i="22"/>
  <c r="C18" i="23" s="1"/>
  <c r="B18" i="23"/>
  <c r="D23" i="23"/>
  <c r="E23" i="23" s="1"/>
  <c r="I32" i="22"/>
  <c r="C23" i="23" s="1"/>
  <c r="B23" i="23"/>
  <c r="E26" i="22"/>
  <c r="C28" i="22"/>
  <c r="E7" i="22"/>
  <c r="E9" i="22" s="1"/>
  <c r="E31" i="22" s="1"/>
  <c r="F8" i="22"/>
  <c r="F30" i="22" s="1"/>
  <c r="F26" i="22"/>
  <c r="F7" i="22"/>
  <c r="F9" i="22" s="1"/>
  <c r="F33" i="22" s="1"/>
  <c r="G8" i="22"/>
  <c r="G30" i="22" s="1"/>
  <c r="G26" i="22"/>
  <c r="C30" i="22"/>
  <c r="G7" i="22"/>
  <c r="G9" i="22" s="1"/>
  <c r="G31" i="22" s="1"/>
  <c r="H8" i="22"/>
  <c r="H30" i="22" s="1"/>
  <c r="H26" i="22"/>
  <c r="D30" i="22"/>
  <c r="C31" i="22"/>
  <c r="H7" i="22"/>
  <c r="H9" i="22" s="1"/>
  <c r="H31" i="22" s="1"/>
  <c r="E30" i="22"/>
  <c r="D31" i="22"/>
  <c r="B8" i="22"/>
  <c r="B30" i="22" s="1"/>
  <c r="B7" i="22"/>
  <c r="B9" i="22" s="1"/>
  <c r="B31" i="22" s="1"/>
  <c r="K37" i="18"/>
  <c r="J37" i="18"/>
  <c r="I37" i="18"/>
  <c r="H37" i="18"/>
  <c r="M22" i="16"/>
  <c r="M20" i="16"/>
  <c r="M21" i="16"/>
  <c r="B52" i="16"/>
  <c r="D52" i="16"/>
  <c r="B60" i="16"/>
  <c r="D60" i="16"/>
  <c r="B21" i="16"/>
  <c r="D66" i="16"/>
  <c r="B64" i="16"/>
  <c r="D58" i="16"/>
  <c r="B56" i="16"/>
  <c r="D50" i="16"/>
  <c r="B48" i="16"/>
  <c r="D42" i="16"/>
  <c r="B40" i="16"/>
  <c r="D34" i="16"/>
  <c r="B32" i="16"/>
  <c r="D26" i="16"/>
  <c r="B24" i="16"/>
  <c r="D19" i="16"/>
  <c r="D44" i="16"/>
  <c r="D36" i="16"/>
  <c r="D28" i="16"/>
  <c r="D20" i="16"/>
  <c r="C19" i="16"/>
  <c r="E19" i="16" s="1"/>
  <c r="D29" i="16"/>
  <c r="D21" i="16"/>
  <c r="D61" i="16"/>
  <c r="D53" i="16"/>
  <c r="D45" i="16"/>
  <c r="D37" i="16"/>
  <c r="B20" i="23" l="1"/>
  <c r="I29" i="22"/>
  <c r="C20" i="23" s="1"/>
  <c r="B22" i="23"/>
  <c r="D22" i="23"/>
  <c r="E22" i="23" s="1"/>
  <c r="I31" i="22"/>
  <c r="C22" i="23" s="1"/>
  <c r="D17" i="23"/>
  <c r="I26" i="22"/>
  <c r="C17" i="23" s="1"/>
  <c r="B17" i="23"/>
  <c r="E34" i="22"/>
  <c r="E33" i="22"/>
  <c r="H34" i="22"/>
  <c r="D21" i="23"/>
  <c r="E21" i="23" s="1"/>
  <c r="B21" i="23"/>
  <c r="I30" i="22"/>
  <c r="C21" i="23" s="1"/>
  <c r="B34" i="22"/>
  <c r="B33" i="22"/>
  <c r="F34" i="22"/>
  <c r="G34" i="22"/>
  <c r="G33" i="22"/>
  <c r="F31" i="22"/>
  <c r="H33" i="22"/>
  <c r="F19" i="16"/>
  <c r="G19" i="16" s="1"/>
  <c r="C20" i="16" s="1"/>
  <c r="E17" i="23" l="1"/>
  <c r="D24" i="23"/>
  <c r="E24" i="23" s="1"/>
  <c r="I33" i="22"/>
  <c r="C24" i="23" s="1"/>
  <c r="B24" i="23"/>
  <c r="B25" i="23"/>
  <c r="D25" i="23"/>
  <c r="E25" i="23" s="1"/>
  <c r="I34" i="22"/>
  <c r="C25" i="23" s="1"/>
  <c r="E20" i="16"/>
  <c r="F20" i="16" s="1"/>
  <c r="G20" i="16" s="1"/>
  <c r="C21" i="16" s="1"/>
  <c r="B29" i="23" l="1"/>
  <c r="B30" i="23"/>
  <c r="B33" i="23"/>
  <c r="B34" i="23" s="1"/>
  <c r="B43" i="23" s="1"/>
  <c r="B28" i="23"/>
  <c r="B32" i="23"/>
  <c r="B35" i="23" s="1" a="1"/>
  <c r="B35" i="23" s="1"/>
  <c r="B31" i="23"/>
  <c r="E21" i="16"/>
  <c r="F21" i="16" s="1"/>
  <c r="G21" i="16" s="1"/>
  <c r="C22" i="16" s="1"/>
  <c r="E22" i="16" l="1"/>
  <c r="F22" i="16" s="1"/>
  <c r="G22" i="16" s="1"/>
  <c r="C23" i="16" s="1"/>
  <c r="E23" i="16" l="1"/>
  <c r="F23" i="16" s="1"/>
  <c r="G23" i="16"/>
  <c r="C24" i="16" s="1"/>
  <c r="E24" i="16" l="1"/>
  <c r="F24" i="16" s="1"/>
  <c r="G24" i="16"/>
  <c r="C25" i="16" s="1"/>
  <c r="E25" i="16" l="1"/>
  <c r="F25" i="16" s="1"/>
  <c r="G25" i="16" s="1"/>
  <c r="C26" i="16" s="1"/>
  <c r="E26" i="16" l="1"/>
  <c r="F26" i="16" s="1"/>
  <c r="G26" i="16" s="1"/>
  <c r="C27" i="16" s="1"/>
  <c r="E27" i="16" l="1"/>
  <c r="F27" i="16" s="1"/>
  <c r="G27" i="16" s="1"/>
  <c r="C28" i="16" s="1"/>
  <c r="E28" i="16" l="1"/>
  <c r="F28" i="16" s="1"/>
  <c r="G28" i="16" s="1"/>
  <c r="C29" i="16" s="1"/>
  <c r="E29" i="16" l="1"/>
  <c r="F29" i="16" s="1"/>
  <c r="G29" i="16" s="1"/>
  <c r="C30" i="16" s="1"/>
  <c r="E30" i="16" l="1"/>
  <c r="F30" i="16" s="1"/>
  <c r="G30" i="16"/>
  <c r="C31" i="16" s="1"/>
  <c r="E31" i="16" l="1"/>
  <c r="F31" i="16" s="1"/>
  <c r="G31" i="16"/>
  <c r="C32" i="16" s="1"/>
  <c r="E32" i="16" l="1"/>
  <c r="F32" i="16" s="1"/>
  <c r="G32" i="16" s="1"/>
  <c r="C33" i="16" s="1"/>
  <c r="E33" i="16" l="1"/>
  <c r="F33" i="16" s="1"/>
  <c r="G33" i="16" s="1"/>
  <c r="C34" i="16" s="1"/>
  <c r="E34" i="16" l="1"/>
  <c r="F34" i="16" s="1"/>
  <c r="G34" i="16" s="1"/>
  <c r="C35" i="16" s="1"/>
  <c r="E35" i="16" l="1"/>
  <c r="F35" i="16" s="1"/>
  <c r="G35" i="16" s="1"/>
  <c r="C36" i="16" s="1"/>
  <c r="E36" i="16" l="1"/>
  <c r="F36" i="16" s="1"/>
  <c r="G36" i="16" s="1"/>
  <c r="C37" i="16" s="1"/>
  <c r="E37" i="16" l="1"/>
  <c r="F37" i="16" s="1"/>
  <c r="G37" i="16"/>
  <c r="C38" i="16" s="1"/>
  <c r="E38" i="16" l="1"/>
  <c r="F38" i="16" s="1"/>
  <c r="G38" i="16" s="1"/>
  <c r="C39" i="16" s="1"/>
  <c r="E39" i="16" l="1"/>
  <c r="F39" i="16" s="1"/>
  <c r="G39" i="16"/>
  <c r="C40" i="16" s="1"/>
  <c r="E40" i="16" l="1"/>
  <c r="F40" i="16" s="1"/>
  <c r="G40" i="16" s="1"/>
  <c r="C41" i="16" s="1"/>
  <c r="E41" i="16" l="1"/>
  <c r="F41" i="16" s="1"/>
  <c r="G41" i="16" s="1"/>
  <c r="C42" i="16" s="1"/>
  <c r="E42" i="16" l="1"/>
  <c r="F42" i="16" s="1"/>
  <c r="G42" i="16"/>
  <c r="C43" i="16" s="1"/>
  <c r="E43" i="16" l="1"/>
  <c r="F43" i="16" s="1"/>
  <c r="G43" i="16" s="1"/>
  <c r="C44" i="16" s="1"/>
  <c r="E44" i="16" l="1"/>
  <c r="F44" i="16" s="1"/>
  <c r="G44" i="16" s="1"/>
  <c r="C45" i="16" s="1"/>
  <c r="E45" i="16" l="1"/>
  <c r="F45" i="16" s="1"/>
  <c r="G45" i="16"/>
  <c r="C46" i="16" s="1"/>
  <c r="E46" i="16" l="1"/>
  <c r="F46" i="16" s="1"/>
  <c r="G46" i="16" s="1"/>
  <c r="C47" i="16" s="1"/>
  <c r="E47" i="16" l="1"/>
  <c r="F47" i="16" s="1"/>
  <c r="G47" i="16"/>
  <c r="C48" i="16" s="1"/>
  <c r="E48" i="16" l="1"/>
  <c r="F48" i="16" s="1"/>
  <c r="G48" i="16" s="1"/>
  <c r="C49" i="16" s="1"/>
  <c r="E49" i="16" l="1"/>
  <c r="F49" i="16" s="1"/>
  <c r="G49" i="16" s="1"/>
  <c r="C50" i="16" s="1"/>
  <c r="E50" i="16" l="1"/>
  <c r="F50" i="16" s="1"/>
  <c r="G50" i="16" s="1"/>
  <c r="C51" i="16" s="1"/>
  <c r="E51" i="16" l="1"/>
  <c r="F51" i="16" s="1"/>
  <c r="G51" i="16" s="1"/>
  <c r="C52" i="16" s="1"/>
  <c r="E52" i="16" l="1"/>
  <c r="F52" i="16" s="1"/>
  <c r="G52" i="16" s="1"/>
  <c r="C53" i="16" s="1"/>
  <c r="E53" i="16" l="1"/>
  <c r="F53" i="16" s="1"/>
  <c r="G53" i="16" s="1"/>
  <c r="C54" i="16" s="1"/>
  <c r="E54" i="16" l="1"/>
  <c r="F54" i="16" s="1"/>
  <c r="G54" i="16"/>
  <c r="C55" i="16" s="1"/>
  <c r="E55" i="16" l="1"/>
  <c r="F55" i="16" s="1"/>
  <c r="G55" i="16"/>
  <c r="C56" i="16" s="1"/>
  <c r="E56" i="16" l="1"/>
  <c r="F56" i="16" s="1"/>
  <c r="G56" i="16" s="1"/>
  <c r="C57" i="16" s="1"/>
  <c r="E57" i="16" l="1"/>
  <c r="F57" i="16" s="1"/>
  <c r="G57" i="16" s="1"/>
  <c r="C58" i="16" s="1"/>
  <c r="E58" i="16" l="1"/>
  <c r="F58" i="16" s="1"/>
  <c r="G58" i="16" s="1"/>
  <c r="C59" i="16" s="1"/>
  <c r="E59" i="16" l="1"/>
  <c r="F59" i="16" s="1"/>
  <c r="G59" i="16" s="1"/>
  <c r="C60" i="16" s="1"/>
  <c r="E60" i="16" l="1"/>
  <c r="F60" i="16" s="1"/>
  <c r="G60" i="16"/>
  <c r="C61" i="16" s="1"/>
  <c r="E61" i="16" l="1"/>
  <c r="F61" i="16" s="1"/>
  <c r="G61" i="16"/>
  <c r="C62" i="16" s="1"/>
  <c r="E62" i="16" l="1"/>
  <c r="F62" i="16" s="1"/>
  <c r="G62" i="16"/>
  <c r="C63" i="16" s="1"/>
  <c r="E63" i="16" l="1"/>
  <c r="F63" i="16" s="1"/>
  <c r="G63" i="16"/>
  <c r="C64" i="16" s="1"/>
  <c r="E64" i="16" l="1"/>
  <c r="F64" i="16" s="1"/>
  <c r="G64" i="16" s="1"/>
  <c r="C65" i="16" s="1"/>
  <c r="E65" i="16" l="1"/>
  <c r="F65" i="16" s="1"/>
  <c r="G65" i="16" s="1"/>
  <c r="C66" i="16" s="1"/>
  <c r="E66" i="16" l="1"/>
  <c r="F66" i="16" s="1"/>
  <c r="G66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<sst xmlns="http://schemas.openxmlformats.org/spreadsheetml/2006/main" count="71055" uniqueCount="394">
  <si>
    <t>Month</t>
  </si>
  <si>
    <t>G/L acct</t>
  </si>
  <si>
    <t>BS/PL (A)</t>
  </si>
  <si>
    <t>Region</t>
  </si>
  <si>
    <t>BS</t>
  </si>
  <si>
    <t>APAC</t>
  </si>
  <si>
    <t>PL</t>
  </si>
  <si>
    <t>US</t>
  </si>
  <si>
    <t>Europe</t>
  </si>
  <si>
    <t>Company Name</t>
  </si>
  <si>
    <t>Southern Cross Holdings</t>
  </si>
  <si>
    <t>Maple Leaf Industries</t>
  </si>
  <si>
    <t>Iberia Solutions</t>
  </si>
  <si>
    <t>Lumiere Group</t>
  </si>
  <si>
    <t>Rhine Manufacturing</t>
  </si>
  <si>
    <t>Ganges Enterprises</t>
  </si>
  <si>
    <t>Deccan Traders</t>
  </si>
  <si>
    <t>Himalaya Ventures</t>
  </si>
  <si>
    <t>Hanul Corporation</t>
  </si>
  <si>
    <t>Cedar Commerce</t>
  </si>
  <si>
    <t>Sahara Trading</t>
  </si>
  <si>
    <t>Aztec Commerce</t>
  </si>
  <si>
    <t>Tulip Logistics</t>
  </si>
  <si>
    <t>Kiwi Ventures</t>
  </si>
  <si>
    <t>Vistula Partners</t>
  </si>
  <si>
    <t>Table Mountain Co</t>
  </si>
  <si>
    <t>Adriatic Group</t>
  </si>
  <si>
    <t>Tatra Holdings</t>
  </si>
  <si>
    <t>Nordic Star AB</t>
  </si>
  <si>
    <t>Alpine Finance</t>
  </si>
  <si>
    <t>Thames Trading</t>
  </si>
  <si>
    <t>Albion Partners</t>
  </si>
  <si>
    <t>Liberty Corp</t>
  </si>
  <si>
    <t>Eagle Industries</t>
  </si>
  <si>
    <t>Summit Holdings</t>
  </si>
  <si>
    <t>Pioneer Group</t>
  </si>
  <si>
    <t>Horizon Enterprises</t>
  </si>
  <si>
    <t>Amazonia Trading</t>
  </si>
  <si>
    <t>Bavaria Systems</t>
  </si>
  <si>
    <t>Sakura Trading</t>
  </si>
  <si>
    <t>Amount</t>
  </si>
  <si>
    <t>MIS Grouping</t>
  </si>
  <si>
    <t>260 Equity</t>
  </si>
  <si>
    <t>270 Financial liabilities</t>
  </si>
  <si>
    <t>290 Provisions</t>
  </si>
  <si>
    <t>280 Other liabilities</t>
  </si>
  <si>
    <t>250 Trade receivables &amp; Unbilled Revenue</t>
  </si>
  <si>
    <t>230 Cash, Bank, FDs &amp; Investments</t>
  </si>
  <si>
    <t>240 Other financial assets</t>
  </si>
  <si>
    <t>245 Other assets</t>
  </si>
  <si>
    <t>620 Net Revenue</t>
  </si>
  <si>
    <t>610 Revenue &amp; Cost (Interco)</t>
  </si>
  <si>
    <t>630 Other Income</t>
  </si>
  <si>
    <t>710 Salaries, wages and incentives</t>
  </si>
  <si>
    <t>920 Cost of service delivery (net)</t>
  </si>
  <si>
    <t>960 Rent, Repairs &amp; Maintenance, Office expenses, local taxes</t>
  </si>
  <si>
    <t>970 Legal and professional fees</t>
  </si>
  <si>
    <t>980 Other expenses</t>
  </si>
  <si>
    <t>255 Income Tax &amp; deferred tax assets</t>
  </si>
  <si>
    <t>640 Interest on Interco. loan (Net)</t>
  </si>
  <si>
    <t>1000 Employee Reimbursements</t>
  </si>
  <si>
    <t>950 Travel, Transport, Conveyance and overseas expenses (net)</t>
  </si>
  <si>
    <t>930 Cost of professional sub-contracting (net)</t>
  </si>
  <si>
    <t>940 Recruitment and training expenses</t>
  </si>
  <si>
    <t>1010 Taxes</t>
  </si>
  <si>
    <t>220 PPE &amp; Intangibles</t>
  </si>
  <si>
    <t>860 Depreciation and amortization expense</t>
  </si>
  <si>
    <t>810 Finance Costs</t>
  </si>
  <si>
    <t>225 Goodwill</t>
  </si>
  <si>
    <t>990 CSR exp</t>
  </si>
  <si>
    <t>635 Loss (Profit) on sale of Fixed Assets</t>
  </si>
  <si>
    <t>Account Code</t>
  </si>
  <si>
    <t>Account Name (Inferred)</t>
  </si>
  <si>
    <t>Report Type</t>
  </si>
  <si>
    <t>Subclass</t>
  </si>
  <si>
    <t>PPE &amp; Non-current assets</t>
  </si>
  <si>
    <t>Balance Sheet</t>
  </si>
  <si>
    <t>Non-Current Assets</t>
  </si>
  <si>
    <t>Goodwill &amp; Intangibles</t>
  </si>
  <si>
    <t>Cash</t>
  </si>
  <si>
    <t>Current Assets</t>
  </si>
  <si>
    <t>Other Financial Assets</t>
  </si>
  <si>
    <t>Other Assets</t>
  </si>
  <si>
    <t>Trade Receivables</t>
  </si>
  <si>
    <t>Income Tax Receivables</t>
  </si>
  <si>
    <t>Equity</t>
  </si>
  <si>
    <t>Owners Equity</t>
  </si>
  <si>
    <t>Financial Liabilities</t>
  </si>
  <si>
    <t>Current Liabilities</t>
  </si>
  <si>
    <t>Other Liabilities</t>
  </si>
  <si>
    <t>Non-Current Liabilities</t>
  </si>
  <si>
    <t>Provisions</t>
  </si>
  <si>
    <t>Revenue</t>
  </si>
  <si>
    <t>Profit and Loss</t>
  </si>
  <si>
    <t>Net Revenue</t>
  </si>
  <si>
    <t>Other Income</t>
  </si>
  <si>
    <t>Non-operating Income</t>
  </si>
  <si>
    <t>Interest on Interco. loan (Net)</t>
  </si>
  <si>
    <t>Salaries &amp; Wages</t>
  </si>
  <si>
    <t>Operating Expenses</t>
  </si>
  <si>
    <t>Finance Costs</t>
  </si>
  <si>
    <t>Depreciation &amp; Amortization</t>
  </si>
  <si>
    <t>Cost of Services</t>
  </si>
  <si>
    <t>Cost of Goods Sold (COGS)</t>
  </si>
  <si>
    <t>Recruitment Expenses</t>
  </si>
  <si>
    <t>Travel</t>
  </si>
  <si>
    <t>Rent</t>
  </si>
  <si>
    <t>Legal and Professional Fees</t>
  </si>
  <si>
    <t>Other Expenses</t>
  </si>
  <si>
    <t>CSR Expenses</t>
  </si>
  <si>
    <t>Employee Benefits</t>
  </si>
  <si>
    <t>Taxes / Corporate Tax</t>
  </si>
  <si>
    <t>Tax</t>
  </si>
  <si>
    <t>Loss (Profit) on sale of Fixed Assets</t>
  </si>
  <si>
    <t>Loan Amortization Schedule – Apex Delivery Ltd.</t>
  </si>
  <si>
    <t>Electric delivery vans – commercial vehicle loan (BDT)</t>
  </si>
  <si>
    <t>Inputs</t>
  </si>
  <si>
    <t>Loan Amount (Principal)</t>
  </si>
  <si>
    <t>BDT</t>
  </si>
  <si>
    <t>Annual Interest Rate</t>
  </si>
  <si>
    <t>Loan Tenure (Years)</t>
  </si>
  <si>
    <t>Payments per Year</t>
  </si>
  <si>
    <t>Results</t>
  </si>
  <si>
    <t>Periodic Rate</t>
  </si>
  <si>
    <t>Number of Payments</t>
  </si>
  <si>
    <t>Payment per Period (EMI)</t>
  </si>
  <si>
    <t>Total Payments</t>
  </si>
  <si>
    <t>Total Interest Paid</t>
  </si>
  <si>
    <t>Amortization Schedule</t>
  </si>
  <si>
    <t>Period</t>
  </si>
  <si>
    <t>Year</t>
  </si>
  <si>
    <t>Opening Balance</t>
  </si>
  <si>
    <t>Payment</t>
  </si>
  <si>
    <t>Interest</t>
  </si>
  <si>
    <t>Principal</t>
  </si>
  <si>
    <t>Closing Balance</t>
  </si>
  <si>
    <t>Total</t>
  </si>
  <si>
    <t>Check: closing balance after last payment (should be 0)</t>
  </si>
  <si>
    <t>Annual Summary</t>
  </si>
  <si>
    <t>Payments</t>
  </si>
  <si>
    <t>DCF Valuation – Electric Delivery Van Fleet</t>
  </si>
  <si>
    <t>Apex Delivery Ltd. (BDT)</t>
  </si>
  <si>
    <t>Initial Investment (Year 0 outflow)</t>
  </si>
  <si>
    <t>Discount Rate (Cost of Capital)</t>
  </si>
  <si>
    <t>Cash Flow Schedule</t>
  </si>
  <si>
    <t>Year 0</t>
  </si>
  <si>
    <t>Year 1</t>
  </si>
  <si>
    <t>Year 2</t>
  </si>
  <si>
    <t>Year 3</t>
  </si>
  <si>
    <t>Year 4</t>
  </si>
  <si>
    <t>Net Cash Flow</t>
  </si>
  <si>
    <t>Discount Factor</t>
  </si>
  <si>
    <t>Present Value</t>
  </si>
  <si>
    <t>Cumulative Cash Flow</t>
  </si>
  <si>
    <t>Cumulative Present Value</t>
  </si>
  <si>
    <t>Payback helper (undiscounted)</t>
  </si>
  <si>
    <t>Payback helper (discounted)</t>
  </si>
  <si>
    <t>Sum of PV of Cash Inflows</t>
  </si>
  <si>
    <t>Net Present Value (NPV)</t>
  </si>
  <si>
    <t>NPV check (Excel NPV function)</t>
  </si>
  <si>
    <t>Internal Rate of Return (IRR)</t>
  </si>
  <si>
    <t>Profitability Index (PV inflows / investment)</t>
  </si>
  <si>
    <t>Payback Period (years)</t>
  </si>
  <si>
    <t>Discounted Payback Period (years)</t>
  </si>
  <si>
    <t>Decision</t>
  </si>
  <si>
    <t>Code</t>
  </si>
  <si>
    <t>COA Account Name</t>
  </si>
  <si>
    <t>Type</t>
  </si>
  <si>
    <t>Net Balance Sheet (= cumulative YTD profit)</t>
  </si>
  <si>
    <t>Net P&amp;L (cumulative; credit = profit)</t>
  </si>
  <si>
    <t>Check: BS + P&amp;L (should be 0)</t>
  </si>
  <si>
    <t>Income Statement (monthly, derived from cumulative YTD trial balance)</t>
  </si>
  <si>
    <t>Line item</t>
  </si>
  <si>
    <t>YTD (Apr–Oct)</t>
  </si>
  <si>
    <t>Revenue &amp; cost (interco), net</t>
  </si>
  <si>
    <t>Net Sales</t>
  </si>
  <si>
    <t>Cost of Goods / Services Sold</t>
  </si>
  <si>
    <t>Cost of service delivery</t>
  </si>
  <si>
    <t>Cost of professional sub-contracting</t>
  </si>
  <si>
    <t>Total COGS</t>
  </si>
  <si>
    <t>Gross Profit</t>
  </si>
  <si>
    <t>Gross Profit Margin</t>
  </si>
  <si>
    <t>Salaries, wages and incentives</t>
  </si>
  <si>
    <t>Recruitment and training</t>
  </si>
  <si>
    <t>Travel, transport &amp; conveyance</t>
  </si>
  <si>
    <t>Rent, repairs, office expenses &amp; local taxes</t>
  </si>
  <si>
    <t>Legal and professional fees</t>
  </si>
  <si>
    <t>Other expenses</t>
  </si>
  <si>
    <t>CSR expenses</t>
  </si>
  <si>
    <t>Employee reimbursements</t>
  </si>
  <si>
    <t>Depreciation and amortization</t>
  </si>
  <si>
    <t>Gain / (loss) on sale of fixed assets</t>
  </si>
  <si>
    <t>Total Operating Expenses</t>
  </si>
  <si>
    <t>Operating Profit (EBIT)</t>
  </si>
  <si>
    <t>Non-operating items</t>
  </si>
  <si>
    <t>Other income</t>
  </si>
  <si>
    <t>Interest on interco. loan (net)</t>
  </si>
  <si>
    <t>Finance costs</t>
  </si>
  <si>
    <t>Profit Before Tax</t>
  </si>
  <si>
    <t>Income tax</t>
  </si>
  <si>
    <t>Net Profit</t>
  </si>
  <si>
    <t>Net Profit Margin</t>
  </si>
  <si>
    <t>Check: YTD net profit vs trial balance (should be 0)</t>
  </si>
  <si>
    <t>Balance Sheet (month-end, all companies consolidated)</t>
  </si>
  <si>
    <t>ASSETS</t>
  </si>
  <si>
    <t>Cash, bank, FDs &amp; investments</t>
  </si>
  <si>
    <t>Trade receivables &amp; unbilled revenue</t>
  </si>
  <si>
    <t>Income tax &amp; deferred tax assets</t>
  </si>
  <si>
    <t>Other assets</t>
  </si>
  <si>
    <t>Total Current Assets</t>
  </si>
  <si>
    <t>PPE &amp; intangibles</t>
  </si>
  <si>
    <t>Goodwill</t>
  </si>
  <si>
    <t>Other financial assets</t>
  </si>
  <si>
    <t>Total Non-Current Assets</t>
  </si>
  <si>
    <t>TOTAL ASSETS</t>
  </si>
  <si>
    <t>LIABILITIES</t>
  </si>
  <si>
    <t>Financial liabilities</t>
  </si>
  <si>
    <t>Total Current Liabilities</t>
  </si>
  <si>
    <t>Other liabilities</t>
  </si>
  <si>
    <t>Total Non-Current Liabilities</t>
  </si>
  <si>
    <t>TOTAL LIABILITIES</t>
  </si>
  <si>
    <t>OWNERS' EQUITY</t>
  </si>
  <si>
    <t>Owners' equity (share capital &amp; reserves)</t>
  </si>
  <si>
    <t>Current-year retained earnings (YTD net profit)</t>
  </si>
  <si>
    <t>TOTAL OWNERS' EQUITY</t>
  </si>
  <si>
    <t>TOTAL LIABILITIES &amp; EQUITY</t>
  </si>
  <si>
    <t>Check: Assets – (Liabilities + Equity) (should be 0)</t>
  </si>
  <si>
    <t>Cash Flow Statement (indirect method, monthly)</t>
  </si>
  <si>
    <t>Total May–Oct</t>
  </si>
  <si>
    <t>OPERATING ACTIVITIES</t>
  </si>
  <si>
    <t>Net profit</t>
  </si>
  <si>
    <t>Add: depreciation and amortization</t>
  </si>
  <si>
    <t>Add: (gain) / loss on sale of fixed assets</t>
  </si>
  <si>
    <t>Changes in working capital</t>
  </si>
  <si>
    <t>(Increase) / decrease in trade receivables</t>
  </si>
  <si>
    <t>(Increase) / decrease in income tax &amp; deferred tax assets</t>
  </si>
  <si>
    <t>(Increase) / decrease in other assets</t>
  </si>
  <si>
    <t>Increase / (decrease) in other liabilities</t>
  </si>
  <si>
    <t>Increase / (decrease) in provisions</t>
  </si>
  <si>
    <t>Net Cash from Operating Activities</t>
  </si>
  <si>
    <t>INVESTING ACTIVITIES</t>
  </si>
  <si>
    <t>Net (purchase) / disposal of PPE, intangibles &amp; goodwill</t>
  </si>
  <si>
    <t>(Increase) / decrease in other financial assets</t>
  </si>
  <si>
    <t>Net Cash from Investing Activities</t>
  </si>
  <si>
    <t>FINANCING ACTIVITIES</t>
  </si>
  <si>
    <t>Net borrowings / (repayments) of financial liabilities</t>
  </si>
  <si>
    <t>Change in owners' equity (capital, distributions, other)</t>
  </si>
  <si>
    <t>Net Cash from Financing Activities</t>
  </si>
  <si>
    <t>NET CHANGE IN CASH</t>
  </si>
  <si>
    <t>Opening cash</t>
  </si>
  <si>
    <t>CLOSING CASH</t>
  </si>
  <si>
    <t>Cash per Balance Sheet</t>
  </si>
  <si>
    <t>Check: closing cash vs Balance Sheet (should be 0)</t>
  </si>
  <si>
    <t>Financial Ratio Analysis (cumulative YTD, Apr–Oct)</t>
  </si>
  <si>
    <t>Fiscal year start month (input)</t>
  </si>
  <si>
    <t>Supporting data</t>
  </si>
  <si>
    <t>Months elapsed in fiscal year</t>
  </si>
  <si>
    <t>Days elapsed in fiscal year</t>
  </si>
  <si>
    <t>Annualization factor (12 / months elapsed)</t>
  </si>
  <si>
    <t>Total current assets</t>
  </si>
  <si>
    <t>Total current liabilities</t>
  </si>
  <si>
    <t>Cash &amp; investments</t>
  </si>
  <si>
    <t>Trade receivables</t>
  </si>
  <si>
    <t>Inventory</t>
  </si>
  <si>
    <t>Total debt (financial liabilities)</t>
  </si>
  <si>
    <t>Total owners' equity</t>
  </si>
  <si>
    <t>Total assets</t>
  </si>
  <si>
    <t>Net sales (YTD)</t>
  </si>
  <si>
    <t>COGS (YTD)</t>
  </si>
  <si>
    <t>Gross profit (YTD)</t>
  </si>
  <si>
    <t>Operating profit (YTD)</t>
  </si>
  <si>
    <t>Finance costs (YTD)</t>
  </si>
  <si>
    <t>Net profit (YTD)</t>
  </si>
  <si>
    <t>Ratio</t>
  </si>
  <si>
    <t>Rating (latest)</t>
  </si>
  <si>
    <t>Remark (latest)</t>
  </si>
  <si>
    <t>Basis / note</t>
  </si>
  <si>
    <t>Liquidity – Current Ratio</t>
  </si>
  <si>
    <t>Current assets / current liabilities</t>
  </si>
  <si>
    <t>Liquidity – Quick Ratio</t>
  </si>
  <si>
    <t>(Cash &amp; investments + receivables) / current liabilities</t>
  </si>
  <si>
    <t>Solvency – Debt-to-Equity</t>
  </si>
  <si>
    <t>Solvency – Interest Coverage</t>
  </si>
  <si>
    <t>Operating profit / finance costs</t>
  </si>
  <si>
    <t>Efficiency – Days Sales Outstanding</t>
  </si>
  <si>
    <t>Efficiency – Asset Turnover</t>
  </si>
  <si>
    <t>Annualized net sales / total assets</t>
  </si>
  <si>
    <t>Profitability – Gross Profit Margin</t>
  </si>
  <si>
    <t>Profitability – Return on Assets</t>
  </si>
  <si>
    <t>Annualized net profit / total assets</t>
  </si>
  <si>
    <t>Profitability – Return on Equity</t>
  </si>
  <si>
    <t>Rating bands (from Financial Ratios cheat sheet – inputs)</t>
  </si>
  <si>
    <t>Cut 1</t>
  </si>
  <si>
    <t>Cut 2</t>
  </si>
  <si>
    <t>Below Cut 1</t>
  </si>
  <si>
    <t>Cut 1 to Cut 2</t>
  </si>
  <si>
    <t>Above Cut 2</t>
  </si>
  <si>
    <t>Remark: below</t>
  </si>
  <si>
    <t>Remark: between</t>
  </si>
  <si>
    <t>Remark: above</t>
  </si>
  <si>
    <t>Bad / High Risk</t>
  </si>
  <si>
    <t>Good / Ideal</t>
  </si>
  <si>
    <t>Caution</t>
  </si>
  <si>
    <t>Bad</t>
  </si>
  <si>
    <t>Good</t>
  </si>
  <si>
    <t>Average</t>
  </si>
  <si>
    <t>Conservative</t>
  </si>
  <si>
    <t>Balanced</t>
  </si>
  <si>
    <t>Risky</t>
  </si>
  <si>
    <t>Danger</t>
  </si>
  <si>
    <t>Excellent</t>
  </si>
  <si>
    <t>Acceptable</t>
  </si>
  <si>
    <t>Poor</t>
  </si>
  <si>
    <t>Weak</t>
  </si>
  <si>
    <t>Healthy</t>
  </si>
  <si>
    <t>Remark scoring (inputs)</t>
  </si>
  <si>
    <t>Remark</t>
  </si>
  <si>
    <t>Score</t>
  </si>
  <si>
    <t>Overall verdict thresholds (average score ≥)</t>
  </si>
  <si>
    <t>Verdict</t>
  </si>
  <si>
    <t>Min avg score</t>
  </si>
  <si>
    <t>Business Financial Health Summary</t>
  </si>
  <si>
    <t>Key figures</t>
  </si>
  <si>
    <t>Total assets (Oct)</t>
  </si>
  <si>
    <t>Total liabilities (Oct)</t>
  </si>
  <si>
    <t>Total owners' equity (Oct)</t>
  </si>
  <si>
    <t>Closing cash (Oct)</t>
  </si>
  <si>
    <t>Operating cash flow (May–Oct)</t>
  </si>
  <si>
    <t>Net change in cash (May–Oct)</t>
  </si>
  <si>
    <t>Ratio scorecard (latest month)</t>
  </si>
  <si>
    <t>Value</t>
  </si>
  <si>
    <t>Classification</t>
  </si>
  <si>
    <t>Overall assessment</t>
  </si>
  <si>
    <t>Ratios rated (excl. N/A)</t>
  </si>
  <si>
    <t>Result</t>
  </si>
  <si>
    <t>Average score (0 = Bad, 3 = Excellent)</t>
  </si>
  <si>
    <t>Overall verdict</t>
  </si>
  <si>
    <t>Area(s) rated Bad</t>
  </si>
  <si>
    <t>Statement integrity checks</t>
  </si>
  <si>
    <t>Status</t>
  </si>
  <si>
    <t>Balance Sheet balances (Apr–Oct)</t>
  </si>
  <si>
    <t>Cash Flow closing cash agrees to Balance Sheet</t>
  </si>
  <si>
    <t>Income Statement net profit agrees to trial balance</t>
  </si>
  <si>
    <t>All raw data mapped into trial balance summary</t>
  </si>
  <si>
    <t>FINAL REMARK</t>
  </si>
  <si>
    <t>Fiscal year to date (Apr–Oct), all companies consolidated</t>
  </si>
  <si>
    <t>YTD figures; ROA, ROE and asset turnover annualized. Ratings use the cheat sheet bands; Rating and Remark columns show the latest month.</t>
  </si>
  <si>
    <t>Monthly, derived from cumulative YTD trial balance. Costs shown as negatives.</t>
  </si>
  <si>
    <t>Month-end, all companies consolidated</t>
  </si>
  <si>
    <t>Indirect method. Apr is the opening position; flows shown May–Oct.</t>
  </si>
  <si>
    <t>Trial balance summary – all companies (debit +, credit –; P&amp;L cumulative YTD)</t>
  </si>
  <si>
    <t>SUMIFS of each monthly sheet's Amount by MIS Grouping</t>
  </si>
  <si>
    <t>Financial liabilities / equity (all debt is classed current in the COA)</t>
  </si>
  <si>
    <t>Receivables / net sales x days elapsed</t>
  </si>
  <si>
    <t>(Net sales – COGS) / net sales</t>
  </si>
  <si>
    <t>Annualized net profit / equity; ROA bands used (no ROE bands given)</t>
  </si>
  <si>
    <t>Dashboard data – source ranges for the Dashboard tab</t>
  </si>
  <si>
    <t>All cells link to the statements; nothing is typed in.</t>
  </si>
  <si>
    <t>Total Income</t>
  </si>
  <si>
    <t>Total Expenses</t>
  </si>
  <si>
    <t>YTD</t>
  </si>
  <si>
    <t>Expense category (YTD)</t>
  </si>
  <si>
    <t>Cost of services (COGS)</t>
  </si>
  <si>
    <t>Salaries &amp; wages</t>
  </si>
  <si>
    <t>Other operating expenses</t>
  </si>
  <si>
    <t>Check vs Total Expenses (should be 0)</t>
  </si>
  <si>
    <t>Operating</t>
  </si>
  <si>
    <t>Investing</t>
  </si>
  <si>
    <t>Financing</t>
  </si>
  <si>
    <t>Net change in cash</t>
  </si>
  <si>
    <t>Total Liabilities</t>
  </si>
  <si>
    <t>Owners' Equity</t>
  </si>
  <si>
    <t>Total Assets</t>
  </si>
  <si>
    <t>Health score (0–3)</t>
  </si>
  <si>
    <t>Card</t>
  </si>
  <si>
    <t>Latest month</t>
  </si>
  <si>
    <t>Prior month</t>
  </si>
  <si>
    <t>Total income (YTD)</t>
  </si>
  <si>
    <t>Total expenses (YTD)</t>
  </si>
  <si>
    <t>Overall health verdict</t>
  </si>
  <si>
    <t>Average ratio score (0–3)</t>
  </si>
  <si>
    <t>Ratio cards</t>
  </si>
  <si>
    <t>Gross profit margin</t>
  </si>
  <si>
    <t>Return on equity</t>
  </si>
  <si>
    <t>Days sales outstanding</t>
  </si>
  <si>
    <t>Financial Health Dashboard</t>
  </si>
  <si>
    <t>All companies consolidated  |  fiscal year to date (Apr–Oct)</t>
  </si>
  <si>
    <t>Closing Cash (Oct)</t>
  </si>
  <si>
    <t>Total Income (YTD)</t>
  </si>
  <si>
    <t>Total Expenses (YTD)</t>
  </si>
  <si>
    <t>Net Profit (YTD)</t>
  </si>
  <si>
    <t>Overall Financial Health</t>
  </si>
  <si>
    <t>Return on Equity (annualized)</t>
  </si>
  <si>
    <t>Days Sales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</si>
</sst>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09]mmm/yy;@"/>
    <numFmt numFmtId="165" formatCode="#,##0;\(#,##0\);&quot;-&quot;"/>
    <numFmt numFmtId="166" formatCode="0.000%"/>
    <numFmt numFmtId="167" formatCode="0.0%"/>
    <numFmt numFmtId="168" formatCode="0.0000"/>
    <numFmt numFmtId="169" formatCode="0.00&quot;x&quot;"/>
    <numFmt numFmtId="170" formatCode="0.0&quot;x&quot;"/>
    <numFmt numFmtId="171" formatCode="0&quot; days&quot;"/>
    <numFmt numFmtId="172" formatCode="0.0"/>
    <numFmt numFmtId="173" formatCode="#,##0.00,,&quot;M&quot;"/>
  </numFmts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Segoe UI"/>
    </font>
    <font>
      <b/>
      <sz val="20"/>
      <color rgb="FF1E4D3F"/>
      <name val="Segoe UI"/>
    </font>
    <font>
      <sz val="10"/>
      <color rgb="FF6B7280"/>
      <name val="Segoe UI"/>
    </font>
    <font>
      <sz val="10"/>
      <color rgb="FFC9E7A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9"/>
      <color rgb="FFC9E7A1"/>
      <name val="Aptos Narrow"/>
      <family val="2"/>
      <scheme val="minor"/>
    </font>
    <font>
      <sz val="10"/>
      <color rgb="FF6B7280"/>
      <name val="Aptos Narrow"/>
      <family val="2"/>
      <scheme val="minor"/>
    </font>
    <font>
      <b/>
      <sz val="22"/>
      <color rgb="FF1E4D3F"/>
      <name val="Aptos Narrow"/>
      <family val="2"/>
      <scheme val="minor"/>
    </font>
    <font>
      <sz val="9"/>
      <color rgb="FF6B728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EF0F3"/>
        <bgColor indexed="64"/>
      </patternFill>
    </fill>
    <fill>
      <patternFill patternType="solid">
        <fgColor rgb="FF1E4D3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164" fontId="0" fillId="0" borderId="0" xfId="0" applyNumberFormat="1"/>
    <xf numFmtId="164" fontId="1" fillId="2" borderId="0" xfId="0" applyNumberFormat="1" applyFont="1" applyFill="1"/>
    <xf numFmtId="0" fontId="1" fillId="2" borderId="0" xfId="0" applyFont="1" applyFill="1"/>
    <xf numFmtId="164" fontId="2" fillId="2" borderId="0" xfId="0" applyNumberFormat="1" applyFont="1" applyFill="1"/>
    <xf numFmtId="0" fontId="2" fillId="2" borderId="0" xfId="0" applyFont="1" applyFill="1"/>
    <xf numFmtId="0" fontId="3" fillId="3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0" fontId="9" fillId="0" borderId="0" xfId="0" applyNumberFormat="1" applyFont="1"/>
    <xf numFmtId="1" fontId="9" fillId="0" borderId="0" xfId="0" applyNumberFormat="1" applyFont="1"/>
    <xf numFmtId="166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5" fillId="0" borderId="0" xfId="0" applyNumberFormat="1" applyFont="1"/>
    <xf numFmtId="0" fontId="5" fillId="0" borderId="1" xfId="0" applyFont="1" applyBorder="1"/>
    <xf numFmtId="165" fontId="5" fillId="0" borderId="1" xfId="0" applyNumberFormat="1" applyFont="1" applyBorder="1"/>
    <xf numFmtId="167" fontId="0" fillId="0" borderId="0" xfId="0" applyNumberFormat="1"/>
    <xf numFmtId="167" fontId="9" fillId="0" borderId="0" xfId="0" applyNumberFormat="1" applyFont="1"/>
    <xf numFmtId="168" fontId="0" fillId="0" borderId="0" xfId="0" applyNumberFormat="1"/>
    <xf numFmtId="2" fontId="0" fillId="0" borderId="0" xfId="0" applyNumberFormat="1"/>
    <xf numFmtId="0" fontId="4" fillId="0" borderId="0" xfId="0" applyFont="1"/>
    <xf numFmtId="2" fontId="4" fillId="0" borderId="0" xfId="0" applyNumberFormat="1" applyFont="1"/>
    <xf numFmtId="16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5" fillId="0" borderId="0" xfId="0" applyNumberFormat="1" applyFont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0" fontId="5" fillId="0" borderId="0" xfId="0" applyFont="1" applyAlignment="1">
      <alignment horizontal="left"/>
    </xf>
    <xf numFmtId="165" fontId="10" fillId="0" borderId="0" xfId="0" applyNumberFormat="1" applyFont="1"/>
    <xf numFmtId="167" fontId="7" fillId="0" borderId="0" xfId="0" applyNumberFormat="1" applyFont="1"/>
    <xf numFmtId="0" fontId="5" fillId="0" borderId="2" xfId="0" applyFont="1" applyBorder="1"/>
    <xf numFmtId="165" fontId="5" fillId="0" borderId="2" xfId="0" applyNumberFormat="1" applyFont="1" applyBorder="1"/>
    <xf numFmtId="165" fontId="7" fillId="0" borderId="0" xfId="0" applyNumberFormat="1" applyFont="1"/>
    <xf numFmtId="0" fontId="5" fillId="0" borderId="2" xfId="0" applyFont="1" applyFill="1" applyBorder="1"/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5" fillId="0" borderId="0" xfId="0" applyFont="1" applyAlignment="1">
      <alignment horizontal="center"/>
    </xf>
    <xf numFmtId="17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0" fillId="0" borderId="0" xfId="0" applyNumberFormat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1" fillId="4" borderId="4" xfId="0" applyFont="1" applyFill="1" applyBorder="1" applyAlignment="1">
      <alignment horizontal="center"/>
    </xf>
    <xf numFmtId="0" fontId="11" fillId="4" borderId="4" xfId="0" applyFont="1" applyFill="1" applyBorder="1"/>
    <xf numFmtId="17" fontId="11" fillId="4" borderId="4" xfId="0" applyNumberFormat="1" applyFont="1" applyFill="1" applyBorder="1"/>
    <xf numFmtId="17" fontId="11" fillId="4" borderId="4" xfId="0" applyNumberFormat="1" applyFont="1" applyFill="1" applyBorder="1" applyAlignment="1">
      <alignment horizontal="center"/>
    </xf>
    <xf numFmtId="0" fontId="11" fillId="4" borderId="4" xfId="0" applyFont="1" applyFill="1" applyBorder="1" applyAlignment="1">
      <alignment horizontal="right"/>
    </xf>
    <xf numFmtId="0" fontId="11" fillId="0" borderId="0" xfId="0" applyFont="1"/>
    <xf numFmtId="0" fontId="0" fillId="0" borderId="3" xfId="0" applyFill="1" applyBorder="1"/>
    <xf numFmtId="0" fontId="5" fillId="0" borderId="3" xfId="0" applyFont="1" applyFill="1" applyBorder="1"/>
    <xf numFmtId="0" fontId="5" fillId="0" borderId="3" xfId="0" applyFont="1" applyFill="1" applyBorder="1" applyAlignment="1"/>
    <xf numFmtId="0" fontId="12" fillId="0" borderId="0" xfId="0" applyFont="1"/>
    <xf numFmtId="0" fontId="5" fillId="4" borderId="4" xfId="0" applyFont="1" applyFill="1" applyBorder="1"/>
    <xf numFmtId="0" fontId="13" fillId="5" borderId="0" xfId="0" applyFont="1" applyFill="1"/>
    <xf numFmtId="0" fontId="14" fillId="5" borderId="0" xfId="0" applyFont="1" applyFill="1"/>
    <xf numFmtId="0" fontId="15" fillId="5" borderId="0" xfId="0" applyFont="1" applyFill="1"/>
    <xf numFmtId="0" fontId="13" fillId="6" borderId="0" xfId="0" applyFont="1" applyFill="1"/>
    <xf numFmtId="0" fontId="0" fillId="0" borderId="0" xfId="0" applyAlignment="1">
      <alignment horizontal="left" vertical="center" indent="1"/>
    </xf>
    <xf numFmtId="0" fontId="13" fillId="7" borderId="0" xfId="0" applyFont="1" applyFill="1"/>
    <xf numFmtId="0" fontId="19" fillId="0" borderId="0" xfId="0" applyFont="1" applyAlignment="1">
      <alignment horizontal="left" vertical="center" indent="1"/>
    </xf>
    <xf numFmtId="173" fontId="20" fillId="0" borderId="0" xfId="0" applyNumberFormat="1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167" fontId="20" fillId="0" borderId="0" xfId="0" applyNumberFormat="1" applyFont="1" applyAlignment="1">
      <alignment horizontal="left" vertical="center" indent="1"/>
    </xf>
    <xf numFmtId="171" fontId="20" fillId="0" borderId="0" xfId="0" applyNumberFormat="1" applyFont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173" fontId="17" fillId="6" borderId="0" xfId="0" applyNumberFormat="1" applyFont="1" applyFill="1" applyAlignment="1">
      <alignment horizontal="left" vertical="center" indent="1"/>
    </xf>
    <xf numFmtId="0" fontId="18" fillId="6" borderId="0" xfId="0" applyFont="1" applyFill="1" applyAlignment="1">
      <alignment horizontal="left" vertical="center" indent="1"/>
    </xf>
    <xf numFmtId="0" fontId="17" fillId="6" borderId="0" xfId="0" applyNumberFormat="1" applyFont="1" applyFill="1" applyAlignment="1">
      <alignment horizontal="left" vertical="center" indent="1"/>
    </xf>
    <xf numFmtId="0" fontId="13" fillId="0" borderId="0" xfId="0" applyFont="1" applyFill="1"/>
  </cellXfs>
  <cellStyles count="1">
    <cellStyle name="Normal" xfId="0" builtinId="0"/>
  </cellStyles>
  <dxfs count="1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63BE7B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FFFFFF"/>
      </font>
      <fill>
        <patternFill patternType="solid">
          <fgColor indexed="64"/>
          <bgColor rgb="FF63BE7B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FFFFFF"/>
      </font>
      <fill>
        <patternFill patternType="solid">
          <fgColor indexed="64"/>
          <bgColor rgb="FF63BE7B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Income vs Expenses (monthly)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Data'!$B$4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9BE31E"/>
            </a:solidFill>
            <a:ln>
              <a:noFill/>
            </a:ln>
            <a:effectLst/>
          </c:spPr>
          <c:invertIfNegative val="0"/>
          <c:cat>
            <c:strRef>
              <c:f>'Dashboard Data'!$A$5:$A$11</c:f>
              <c:strCache>
                <c:ptCount val="7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</c:strCache>
            </c:strRef>
          </c:cat>
          <c:val>
            <c:numRef>
              <c:f>'Dashboard Data'!$B$5:$B$11</c:f>
              <c:numCache>
                <c:formatCode>#,##0;\(#,##0\);"-"</c:formatCode>
                <c:ptCount val="7"/>
                <c:pt idx="0">
                  <c:v>5405496.8209999986</c:v>
                </c:pt>
                <c:pt idx="1">
                  <c:v>5816276.6829999983</c:v>
                </c:pt>
                <c:pt idx="2">
                  <c:v>6892515.2910000021</c:v>
                </c:pt>
                <c:pt idx="3">
                  <c:v>5162819.1559999958</c:v>
                </c:pt>
                <c:pt idx="4">
                  <c:v>6318249.043000008</c:v>
                </c:pt>
                <c:pt idx="5">
                  <c:v>6945956.120000002</c:v>
                </c:pt>
                <c:pt idx="6">
                  <c:v>5535128.054999995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9-4DE6-9F3A-8D908FF275DB}"/>
            </c:ext>
          </c:extLst>
        </c:ser>
        <c:ser>
          <c:idx val="1"/>
          <c:order val="1"/>
          <c:tx>
            <c:strRef>
              <c:f>'Dashboard Data'!$C$4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1E4D3F"/>
            </a:solidFill>
            <a:ln>
              <a:noFill/>
            </a:ln>
            <a:effectLst/>
          </c:spPr>
          <c:invertIfNegative val="0"/>
          <c:cat>
            <c:strRef>
              <c:f>'Dashboard Data'!$A$5:$A$11</c:f>
              <c:strCache>
                <c:ptCount val="7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</c:strCache>
            </c:strRef>
          </c:cat>
          <c:val>
            <c:numRef>
              <c:f>'Dashboard Data'!$C$5:$C$11</c:f>
              <c:numCache>
                <c:formatCode>#,##0;\(#,##0\);"-"</c:formatCode>
                <c:ptCount val="7"/>
                <c:pt idx="0">
                  <c:v>5250657.2510000011</c:v>
                </c:pt>
                <c:pt idx="1">
                  <c:v>5349237.4149999991</c:v>
                </c:pt>
                <c:pt idx="2">
                  <c:v>5667762.439000003</c:v>
                </c:pt>
                <c:pt idx="3">
                  <c:v>5330411.4740000069</c:v>
                </c:pt>
                <c:pt idx="4">
                  <c:v>5681252.1399999764</c:v>
                </c:pt>
                <c:pt idx="5">
                  <c:v>5653144.4140000138</c:v>
                </c:pt>
                <c:pt idx="6">
                  <c:v>5726957.3620000007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9-4DE6-9F3A-8D908FF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479027135"/>
        <c:axId val="1479028095"/>
      </c:barChart>
      <c:catAx>
        <c:axId val="147902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1D5D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479028095"/>
        <c:crosses val="autoZero"/>
        <c:auto val="1"/>
        <c:lblAlgn val="ctr"/>
        <c:lblOffset val="100"/>
        <c:noMultiLvlLbl val="0"/>
      </c:catAx>
      <c:valAx>
        <c:axId val="14790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5E7EB"/>
              </a:solidFill>
              <a:prstDash val="solid"/>
              <a:round/>
            </a:ln>
            <a:effectLst/>
          </c:spPr>
        </c:majorGridlines>
        <c:numFmt formatCode="0.0,,&quot;M&quot;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47902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6B7280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Expense Breakdown (YTD)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Data'!$B$15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1E4D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E3-458E-AF57-14AF29C7F521}"/>
              </c:ext>
            </c:extLst>
          </c:dPt>
          <c:dPt>
            <c:idx val="1"/>
            <c:bubble3D val="0"/>
            <c:spPr>
              <a:solidFill>
                <a:srgbClr val="4E9F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E3-458E-AF57-14AF29C7F521}"/>
              </c:ext>
            </c:extLst>
          </c:dPt>
          <c:dPt>
            <c:idx val="2"/>
            <c:bubble3D val="0"/>
            <c:spPr>
              <a:solidFill>
                <a:srgbClr val="9BE31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E3-458E-AF57-14AF29C7F521}"/>
              </c:ext>
            </c:extLst>
          </c:dPt>
          <c:dPt>
            <c:idx val="3"/>
            <c:bubble3D val="0"/>
            <c:spPr>
              <a:solidFill>
                <a:srgbClr val="CFEF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E3-458E-AF57-14AF29C7F521}"/>
              </c:ext>
            </c:extLst>
          </c:dPt>
          <c:dPt>
            <c:idx val="4"/>
            <c:bubble3D val="0"/>
            <c:spPr>
              <a:solidFill>
                <a:srgbClr val="8A9A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E3-458E-AF57-14AF29C7F52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E3-458E-AF57-14AF29C7F52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E3-458E-AF57-14AF29C7F5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Data'!$A$16:$A$20</c:f>
              <c:strCache>
                <c:ptCount val="5"/>
                <c:pt idx="0">
                  <c:v>Cost of services (COGS)</c:v>
                </c:pt>
                <c:pt idx="1">
                  <c:v>Salaries &amp; wages</c:v>
                </c:pt>
                <c:pt idx="2">
                  <c:v>Other operating expenses</c:v>
                </c:pt>
                <c:pt idx="3">
                  <c:v>Finance costs</c:v>
                </c:pt>
                <c:pt idx="4">
                  <c:v>Income tax</c:v>
                </c:pt>
              </c:strCache>
            </c:strRef>
          </c:cat>
          <c:val>
            <c:numRef>
              <c:f>'Dashboard Data'!$B$16:$B$20</c:f>
              <c:numCache>
                <c:formatCode>#,##0;\(#,##0\);"-"</c:formatCode>
                <c:ptCount val="5"/>
                <c:pt idx="0">
                  <c:v>8155491.2629999993</c:v>
                </c:pt>
                <c:pt idx="1">
                  <c:v>24794403.428000003</c:v>
                </c:pt>
                <c:pt idx="2">
                  <c:v>4403072.1909999959</c:v>
                </c:pt>
                <c:pt idx="3">
                  <c:v>161010.65900000001</c:v>
                </c:pt>
                <c:pt idx="4">
                  <c:v>1145444.9540000001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58E-AF57-14AF29C7F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6B7280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Cash Flow by Activity (May–Oct)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Data'!$B$25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1E4D3F"/>
            </a:solidFill>
            <a:ln>
              <a:noFill/>
            </a:ln>
            <a:effectLst/>
          </c:spPr>
          <c:invertIfNegative val="0"/>
          <c:cat>
            <c:strRef>
              <c:f>'Dashboard Data'!$A$26:$A$31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'Dashboard Data'!$B$26:$B$31</c:f>
              <c:numCache>
                <c:formatCode>#,##0;\(#,##0\);"-"</c:formatCode>
                <c:ptCount val="6"/>
                <c:pt idx="0">
                  <c:v>2424712.499999993</c:v>
                </c:pt>
                <c:pt idx="1">
                  <c:v>-1463512.66</c:v>
                </c:pt>
                <c:pt idx="2">
                  <c:v>155701.70699998777</c:v>
                </c:pt>
                <c:pt idx="3">
                  <c:v>1674712.8310000421</c:v>
                </c:pt>
                <c:pt idx="4">
                  <c:v>50846.8809999777</c:v>
                </c:pt>
                <c:pt idx="5">
                  <c:v>-658020.755000012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2-45E4-9EAE-6B22D73EFE15}"/>
            </c:ext>
          </c:extLst>
        </c:ser>
        <c:ser>
          <c:idx val="1"/>
          <c:order val="1"/>
          <c:tx>
            <c:strRef>
              <c:f>'Dashboard Data'!$C$25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4E9F5B"/>
            </a:solidFill>
            <a:ln>
              <a:noFill/>
            </a:ln>
            <a:effectLst/>
          </c:spPr>
          <c:invertIfNegative val="0"/>
          <c:cat>
            <c:strRef>
              <c:f>'Dashboard Data'!$A$26:$A$31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'Dashboard Data'!$C$26:$C$31</c:f>
              <c:numCache>
                <c:formatCode>#,##0;\(#,##0\);"-"</c:formatCode>
                <c:ptCount val="6"/>
                <c:pt idx="0">
                  <c:v>16207.454000000813</c:v>
                </c:pt>
                <c:pt idx="1">
                  <c:v>8601.4589999971795</c:v>
                </c:pt>
                <c:pt idx="2">
                  <c:v>-128850.94100000001</c:v>
                </c:pt>
                <c:pt idx="3">
                  <c:v>-177410.33399999962</c:v>
                </c:pt>
                <c:pt idx="4">
                  <c:v>54314.075999998982</c:v>
                </c:pt>
                <c:pt idx="5">
                  <c:v>208964.91600000134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2-45E4-9EAE-6B22D73EFE15}"/>
            </c:ext>
          </c:extLst>
        </c:ser>
        <c:ser>
          <c:idx val="2"/>
          <c:order val="2"/>
          <c:tx>
            <c:strRef>
              <c:f>'Dashboard Data'!$D$25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rgbClr val="9BE31E"/>
            </a:solidFill>
            <a:ln>
              <a:noFill/>
            </a:ln>
            <a:effectLst/>
          </c:spPr>
          <c:invertIfNegative val="0"/>
          <c:cat>
            <c:strRef>
              <c:f>'Dashboard Data'!$A$26:$A$31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'Dashboard Data'!$D$26:$D$31</c:f>
              <c:numCache>
                <c:formatCode>#,##0;\(#,##0\);"-"</c:formatCode>
                <c:ptCount val="6"/>
                <c:pt idx="0">
                  <c:v>-2533899.3110000007</c:v>
                </c:pt>
                <c:pt idx="1">
                  <c:v>1589895.9190000091</c:v>
                </c:pt>
                <c:pt idx="2">
                  <c:v>-532468.783000011</c:v>
                </c:pt>
                <c:pt idx="3">
                  <c:v>-876593.22199997865</c:v>
                </c:pt>
                <c:pt idx="4">
                  <c:v>-6565193.4880000222</c:v>
                </c:pt>
                <c:pt idx="5">
                  <c:v>1725581.6319999974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2-45E4-9EAE-6B22D73EF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368655"/>
        <c:axId val="1479022815"/>
      </c:barChart>
      <c:catAx>
        <c:axId val="156736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D1D5D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479022815"/>
        <c:crosses val="autoZero"/>
        <c:auto val="1"/>
        <c:lblAlgn val="ctr"/>
        <c:lblOffset val="100"/>
        <c:noMultiLvlLbl val="0"/>
      </c:catAx>
      <c:valAx>
        <c:axId val="14790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5E7EB"/>
              </a:solidFill>
              <a:prstDash val="solid"/>
              <a:round/>
            </a:ln>
            <a:effectLst/>
          </c:spPr>
        </c:majorGridlines>
        <c:numFmt formatCode="0.0,,&quot;M&quot;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6736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6B7280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Funding: Liabilities vs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'Dashboard Data'!$B$34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rgbClr val="1E4D3F"/>
            </a:solidFill>
            <a:ln>
              <a:noFill/>
            </a:ln>
            <a:effectLst/>
          </c:spPr>
          <c:invertIfNegative val="0"/>
          <c:cat>
            <c:strRef>
              <c:f>'Dashboard Data'!$A$35:$A$41</c:f>
              <c:strCache>
                <c:ptCount val="7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</c:strCache>
            </c:strRef>
          </c:cat>
          <c:val>
            <c:numRef>
              <c:f>'Dashboard Data'!$B$35:$B$41</c:f>
              <c:numCache>
                <c:formatCode>#,##0;\(#,##0\);"-"</c:formatCode>
                <c:ptCount val="7"/>
                <c:pt idx="0">
                  <c:v>19742648.145</c:v>
                </c:pt>
                <c:pt idx="1">
                  <c:v>17446173.074999988</c:v>
                </c:pt>
                <c:pt idx="2">
                  <c:v>17948508.367000002</c:v>
                </c:pt>
                <c:pt idx="3">
                  <c:v>18976915.717999995</c:v>
                </c:pt>
                <c:pt idx="4">
                  <c:v>17940489.92899999</c:v>
                </c:pt>
                <c:pt idx="5">
                  <c:v>18336674.869000003</c:v>
                </c:pt>
                <c:pt idx="6">
                  <c:v>20341858.522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C-4E3B-B849-980A073011CD}"/>
            </c:ext>
          </c:extLst>
        </c:ser>
        <c:ser>
          <c:idx val="1"/>
          <c:order val="1"/>
          <c:tx>
            <c:strRef>
              <c:f>'Dashboard Data'!$C$34</c:f>
              <c:strCache>
                <c:ptCount val="1"/>
                <c:pt idx="0">
                  <c:v>Owners' Equity</c:v>
                </c:pt>
              </c:strCache>
            </c:strRef>
          </c:tx>
          <c:spPr>
            <a:solidFill>
              <a:srgbClr val="9BE31E"/>
            </a:solidFill>
            <a:ln>
              <a:noFill/>
            </a:ln>
            <a:effectLst/>
          </c:spPr>
          <c:invertIfNegative val="0"/>
          <c:cat>
            <c:strRef>
              <c:f>'Dashboard Data'!$A$35:$A$41</c:f>
              <c:strCache>
                <c:ptCount val="7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</c:strCache>
            </c:strRef>
          </c:cat>
          <c:val>
            <c:numRef>
              <c:f>'Dashboard Data'!$C$35:$C$41</c:f>
              <c:numCache>
                <c:formatCode>#,##0;\(#,##0\);"-"</c:formatCode>
                <c:ptCount val="7"/>
                <c:pt idx="0">
                  <c:v>33114783.511999998</c:v>
                </c:pt>
                <c:pt idx="1">
                  <c:v>33849634.762000009</c:v>
                </c:pt>
                <c:pt idx="2">
                  <c:v>35303994.544</c:v>
                </c:pt>
                <c:pt idx="3">
                  <c:v>35185455.332999989</c:v>
                </c:pt>
                <c:pt idx="4">
                  <c:v>34713150.47200004</c:v>
                </c:pt>
                <c:pt idx="5">
                  <c:v>28844373.614</c:v>
                </c:pt>
                <c:pt idx="6">
                  <c:v>28783105.105999991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C-4E3B-B849-980A07301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68003519"/>
        <c:axId val="1568002559"/>
      </c:barChart>
      <c:catAx>
        <c:axId val="156800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1D5D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68002559"/>
        <c:crosses val="autoZero"/>
        <c:auto val="1"/>
        <c:lblAlgn val="ctr"/>
        <c:lblOffset val="100"/>
        <c:noMultiLvlLbl val="0"/>
      </c:catAx>
      <c:valAx>
        <c:axId val="156800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5E7EB"/>
              </a:solidFill>
              <a:prstDash val="solid"/>
              <a:round/>
            </a:ln>
            <a:effectLst/>
          </c:spPr>
        </c:majorGridlines>
        <c:numFmt formatCode="0,,&quot;M&quot;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6800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6B7280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Ratio Health Scores (0–3)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6B728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Data'!$B$44</c:f>
              <c:strCache>
                <c:ptCount val="1"/>
                <c:pt idx="0">
                  <c:v>Health score (0–3)</c:v>
                </c:pt>
              </c:strCache>
            </c:strRef>
          </c:tx>
          <c:spPr>
            <a:solidFill>
              <a:srgbClr val="9BE31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B7280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Data'!$A$45:$A$53</c:f>
              <c:strCache>
                <c:ptCount val="9"/>
                <c:pt idx="0">
                  <c:v>Liquidity – Current Ratio</c:v>
                </c:pt>
                <c:pt idx="1">
                  <c:v>Liquidity – Quick Ratio</c:v>
                </c:pt>
                <c:pt idx="2">
                  <c:v>Solvency – Debt-to-Equity</c:v>
                </c:pt>
                <c:pt idx="3">
                  <c:v>Solvency – Interest Coverage</c:v>
                </c:pt>
                <c:pt idx="4">
                  <c:v>Efficiency – Days Sales Outstanding</c:v>
                </c:pt>
                <c:pt idx="5">
                  <c:v>Efficiency – Asset Turnover</c:v>
                </c:pt>
                <c:pt idx="6">
                  <c:v>Profitability – Gross Profit Margin</c:v>
                </c:pt>
                <c:pt idx="7">
                  <c:v>Profitability – Return on Assets</c:v>
                </c:pt>
                <c:pt idx="8">
                  <c:v>Profitability – Return on Equity</c:v>
                </c:pt>
              </c:strCache>
            </c:strRef>
          </c:cat>
          <c:val>
            <c:numRef>
              <c:f>'Dashboard Data'!$B$45:$B$53</c:f>
              <c:numCache>
                <c:formatCode>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A-46A4-853D-2365F6B9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7998719"/>
        <c:axId val="1576305551"/>
      </c:barChart>
      <c:catAx>
        <c:axId val="15679987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76305551"/>
        <c:crosses val="autoZero"/>
        <c:auto val="1"/>
        <c:lblAlgn val="ctr"/>
        <c:lblOffset val="100"/>
        <c:noMultiLvlLbl val="0"/>
      </c:catAx>
      <c:valAx>
        <c:axId val="1576305551"/>
        <c:scaling>
          <c:orientation val="minMax"/>
          <c:max val="3"/>
          <c:min val="0"/>
        </c:scaling>
        <c:delete val="0"/>
        <c:axPos val="t"/>
        <c:majorGridlines>
          <c:spPr>
            <a:ln w="9525" cap="flat" cmpd="sng" algn="ctr">
              <a:solidFill>
                <a:srgbClr val="E5E7EB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6799871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6B7280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51816</xdr:colOff>
      <xdr:row>28</xdr:row>
      <xdr:rowOff>187960</xdr:rowOff>
    </xdr:to>
    <xdr:graphicFrame macro="">
      <xdr:nvGraphicFramePr>
        <xdr:cNvPr id="2" name="IncomeVsExpenses">
          <a:extLst>
            <a:ext uri="{FF2B5EF4-FFF2-40B4-BE49-F238E27FC236}">
              <a16:creationId xmlns:a16="http://schemas.microsoft.com/office/drawing/2014/main" id="{D9FF184F-DBE3-9F56-9B59-70C3CA216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204216</xdr:colOff>
      <xdr:row>14</xdr:row>
      <xdr:rowOff>0</xdr:rowOff>
    </xdr:from>
    <xdr:to>
      <xdr:col>16</xdr:col>
      <xdr:colOff>0</xdr:colOff>
      <xdr:row>28</xdr:row>
      <xdr:rowOff>187960</xdr:rowOff>
    </xdr:to>
    <xdr:graphicFrame macro="">
      <xdr:nvGraphicFramePr>
        <xdr:cNvPr id="3" name="ExpenseBreakdown">
          <a:extLst>
            <a:ext uri="{FF2B5EF4-FFF2-40B4-BE49-F238E27FC236}">
              <a16:creationId xmlns:a16="http://schemas.microsoft.com/office/drawing/2014/main" id="{DC41F2AF-0D96-D6B7-9680-FA581C5B9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127000</xdr:rowOff>
    </xdr:from>
    <xdr:to>
      <xdr:col>5</xdr:col>
      <xdr:colOff>713740</xdr:colOff>
      <xdr:row>44</xdr:row>
      <xdr:rowOff>101600</xdr:rowOff>
    </xdr:to>
    <xdr:graphicFrame macro="">
      <xdr:nvGraphicFramePr>
        <xdr:cNvPr id="4" name="CashFlow">
          <a:extLst>
            <a:ext uri="{FF2B5EF4-FFF2-40B4-BE49-F238E27FC236}">
              <a16:creationId xmlns:a16="http://schemas.microsoft.com/office/drawing/2014/main" id="{F9CA75D2-62DA-A92F-BD2F-5337D529E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50800</xdr:colOff>
      <xdr:row>29</xdr:row>
      <xdr:rowOff>127000</xdr:rowOff>
    </xdr:from>
    <xdr:to>
      <xdr:col>10</xdr:col>
      <xdr:colOff>764540</xdr:colOff>
      <xdr:row>44</xdr:row>
      <xdr:rowOff>101600</xdr:rowOff>
    </xdr:to>
    <xdr:graphicFrame macro="">
      <xdr:nvGraphicFramePr>
        <xdr:cNvPr id="5" name="Funding">
          <a:extLst>
            <a:ext uri="{FF2B5EF4-FFF2-40B4-BE49-F238E27FC236}">
              <a16:creationId xmlns:a16="http://schemas.microsoft.com/office/drawing/2014/main" id="{B84CFB5A-9C2D-8836-646C-6B4C59080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101600</xdr:colOff>
      <xdr:row>29</xdr:row>
      <xdr:rowOff>127000</xdr:rowOff>
    </xdr:from>
    <xdr:to>
      <xdr:col>16</xdr:col>
      <xdr:colOff>0</xdr:colOff>
      <xdr:row>44</xdr:row>
      <xdr:rowOff>101600</xdr:rowOff>
    </xdr:to>
    <xdr:graphicFrame macro="">
      <xdr:nvGraphicFramePr>
        <xdr:cNvPr id="6" name="RatioScores">
          <a:extLst>
            <a:ext uri="{FF2B5EF4-FFF2-40B4-BE49-F238E27FC236}">
              <a16:creationId xmlns:a16="http://schemas.microsoft.com/office/drawing/2014/main" id="{DE74148C-71E5-C778-CBF6-34BD3AB22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6F815-8EE9-4FD5-BA00-E1D3BAA7FE00}" name="Table2" displayName="Table2" ref="A1:D30" totalsRowShown="0">
  <tableColumns count="4">
    <tableColumn id="1" xr3:uid="{D3F92C9B-1C81-42B9-9ED7-0DDBD5393D9F}" name="Account Code"/>
    <tableColumn id="2" xr3:uid="{17698F32-3E68-4FF7-A88E-98E1A18F1B3D}" name="Account Name (Inferred)"/>
    <tableColumn id="3" xr3:uid="{5D4F899C-C911-4B48-8C2D-1CE89A5D8405}" name="Report Type"/>
    <tableColumn id="4" xr3:uid="{CE440D5A-A1D9-43E6-A3C9-7EC7B82322D3}" name="Sub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F122D9-D045-497C-91F1-CB419EAC49E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7e5dd8-5239-4096-821a-e5e0fa92ff3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6A95-978C-44CA-9251-C8ED010E04AA}">
  <dimension ref="A1:M68"/>
  <sheetViews>
    <sheetView showGridLines="0" workbookViewId="0">
      <selection activeCell="C9" sqref="C9"/>
    </sheetView>
  </sheetViews>
  <sheetFormatPr defaultRowHeight="14.4" x14ac:dyDescent="0.3"/>
  <cols>
    <col min="1" max="1" width="37" customWidth="1"/>
    <col min="2" max="7" width="17.5546875" customWidth="1"/>
    <col min="8" max="8" width="3.6640625" customWidth="1"/>
    <col min="9" max="13" width="16.6640625" customWidth="1"/>
  </cols>
  <sheetData>
    <row r="1" spans="1:3" ht="18" x14ac:dyDescent="0.35">
      <c r="A1" s="7" t="s">
        <v>114</v>
      </c>
    </row>
    <row r="2" spans="1:3" x14ac:dyDescent="0.3">
      <c r="A2" s="8" t="s">
        <v>115</v>
      </c>
    </row>
    <row r="4" spans="1:3" x14ac:dyDescent="0.3">
      <c r="A4" s="61" t="s">
        <v>116</v>
      </c>
    </row>
    <row r="5" spans="1:3" x14ac:dyDescent="0.3">
      <c r="A5" t="s">
        <v>117</v>
      </c>
      <c r="B5" s="12">
        <v>1200000</v>
      </c>
      <c r="C5" s="8" t="s">
        <v>118</v>
      </c>
    </row>
    <row r="6" spans="1:3" x14ac:dyDescent="0.3">
      <c r="A6" t="s">
        <v>119</v>
      </c>
      <c r="B6" s="13">
        <v>0.105</v>
      </c>
    </row>
    <row r="7" spans="1:3" x14ac:dyDescent="0.3">
      <c r="A7" t="s">
        <v>120</v>
      </c>
      <c r="B7" s="14">
        <v>4</v>
      </c>
    </row>
    <row r="8" spans="1:3" x14ac:dyDescent="0.3">
      <c r="A8" t="s">
        <v>121</v>
      </c>
      <c r="B8" s="14">
        <v>12</v>
      </c>
      <c r="C8" s="8"/>
    </row>
    <row r="10" spans="1:3" x14ac:dyDescent="0.3">
      <c r="A10" s="61" t="s">
        <v>122</v>
      </c>
    </row>
    <row r="11" spans="1:3" x14ac:dyDescent="0.3">
      <c r="A11" t="s">
        <v>123</v>
      </c>
      <c r="B11" s="15">
        <f>B6/B8</f>
        <v>8.7499999999999991E-3</v>
      </c>
    </row>
    <row r="12" spans="1:3" x14ac:dyDescent="0.3">
      <c r="A12" t="s">
        <v>124</v>
      </c>
      <c r="B12" s="16">
        <f>B7*B8</f>
        <v>48</v>
      </c>
    </row>
    <row r="13" spans="1:3" x14ac:dyDescent="0.3">
      <c r="A13" s="9" t="s">
        <v>125</v>
      </c>
      <c r="B13" s="19">
        <f>-PMT(B11,B12,B5)</f>
        <v>30724.055702284837</v>
      </c>
    </row>
    <row r="14" spans="1:3" x14ac:dyDescent="0.3">
      <c r="A14" t="s">
        <v>126</v>
      </c>
      <c r="B14" s="17">
        <f>B13*B12</f>
        <v>1474754.6737096722</v>
      </c>
    </row>
    <row r="15" spans="1:3" x14ac:dyDescent="0.3">
      <c r="A15" t="s">
        <v>127</v>
      </c>
      <c r="B15" s="17">
        <f>B14-B5</f>
        <v>274754.67370967218</v>
      </c>
    </row>
    <row r="17" spans="1:13" x14ac:dyDescent="0.3">
      <c r="A17" s="61" t="s">
        <v>128</v>
      </c>
      <c r="I17" s="61" t="s">
        <v>138</v>
      </c>
    </row>
    <row r="18" spans="1:13" x14ac:dyDescent="0.3">
      <c r="A18" s="56" t="s">
        <v>129</v>
      </c>
      <c r="B18" s="56" t="s">
        <v>130</v>
      </c>
      <c r="C18" s="56" t="s">
        <v>131</v>
      </c>
      <c r="D18" s="56" t="s">
        <v>132</v>
      </c>
      <c r="E18" s="56" t="s">
        <v>133</v>
      </c>
      <c r="F18" s="56" t="s">
        <v>134</v>
      </c>
      <c r="G18" s="56" t="s">
        <v>135</v>
      </c>
      <c r="I18" s="56" t="s">
        <v>130</v>
      </c>
      <c r="J18" s="56" t="s">
        <v>139</v>
      </c>
      <c r="K18" s="56" t="s">
        <v>133</v>
      </c>
      <c r="L18" s="56" t="s">
        <v>134</v>
      </c>
      <c r="M18" s="56" t="s">
        <v>135</v>
      </c>
    </row>
    <row r="19" spans="1:13" x14ac:dyDescent="0.3">
      <c r="A19" s="18">
        <f>IF(ROW()-18&lt;=$B$12,ROW()-18,"")</f>
        <v>1</v>
      </c>
      <c r="B19" s="18">
        <f>IF(A19="","",ROUNDUP(A19/$B$8,0))</f>
        <v>1</v>
      </c>
      <c r="C19" s="17">
        <f>IF(A19="","",$B$5)</f>
        <v>1200000</v>
      </c>
      <c r="D19" s="17">
        <f>IF(A19="","",$B$13)</f>
        <v>30724.055702284837</v>
      </c>
      <c r="E19" s="17">
        <f>IF(A19="","",C19*$B$11)</f>
        <v>10499.999999999998</v>
      </c>
      <c r="F19" s="17">
        <f>IF(A19="","",D19-E19)</f>
        <v>20224.055702284837</v>
      </c>
      <c r="G19" s="17">
        <f>IF(A19="","",C19-F19)</f>
        <v>1179775.9442977151</v>
      </c>
      <c r="I19" s="18">
        <v>1</v>
      </c>
      <c r="J19" s="17">
        <f>SUMIFS($D$19:$D$66,$B$19:$B$66,I19)</f>
        <v>368688.66842741816</v>
      </c>
      <c r="K19" s="17">
        <f>SUMIFS($E$19:$E$66,$B$19:$B$66,I19)</f>
        <v>113973.15751065765</v>
      </c>
      <c r="L19" s="17">
        <f>SUMIFS($F$19:$F$66,$B$19:$B$66,I19)</f>
        <v>254715.5109167604</v>
      </c>
      <c r="M19" s="17">
        <f>$B$5-SUM($L$19:L19)</f>
        <v>945284.48908323958</v>
      </c>
    </row>
    <row r="20" spans="1:13" x14ac:dyDescent="0.3">
      <c r="A20" s="18">
        <f>IF(ROW()-18&lt;=$B$12,ROW()-18,"")</f>
        <v>2</v>
      </c>
      <c r="B20" s="18">
        <f>IF(A20="","",ROUNDUP(A20/$B$8,0))</f>
        <v>1</v>
      </c>
      <c r="C20" s="17">
        <f>IF(A20="","",G19)</f>
        <v>1179775.9442977151</v>
      </c>
      <c r="D20" s="17">
        <f>IF(A20="","",$B$13)</f>
        <v>30724.055702284837</v>
      </c>
      <c r="E20" s="17">
        <f>IF(A20="","",C20*$B$11)</f>
        <v>10323.039512605006</v>
      </c>
      <c r="F20" s="17">
        <f>IF(A20="","",D20-E20)</f>
        <v>20401.016189679831</v>
      </c>
      <c r="G20" s="17">
        <f>IF(A20="","",C20-F20)</f>
        <v>1159374.9281080354</v>
      </c>
      <c r="I20" s="18">
        <v>2</v>
      </c>
      <c r="J20" s="17">
        <f>SUMIFS($D$19:$D$66,$B$19:$B$66,I20)</f>
        <v>368688.66842741816</v>
      </c>
      <c r="K20" s="17">
        <f>SUMIFS($E$19:$E$66,$B$19:$B$66,I20)</f>
        <v>85902.629324031717</v>
      </c>
      <c r="L20" s="17">
        <f>SUMIFS($F$19:$F$66,$B$19:$B$66,I20)</f>
        <v>282786.03910338634</v>
      </c>
      <c r="M20" s="17">
        <f>$B$5-SUM($L$19:L20)</f>
        <v>662498.44997985323</v>
      </c>
    </row>
    <row r="21" spans="1:13" x14ac:dyDescent="0.3">
      <c r="A21" s="18">
        <f>IF(ROW()-18&lt;=$B$12,ROW()-18,"")</f>
        <v>3</v>
      </c>
      <c r="B21" s="18">
        <f>IF(A21="","",ROUNDUP(A21/$B$8,0))</f>
        <v>1</v>
      </c>
      <c r="C21" s="17">
        <f>IF(A21="","",G20)</f>
        <v>1159374.9281080354</v>
      </c>
      <c r="D21" s="17">
        <f>IF(A21="","",$B$13)</f>
        <v>30724.055702284837</v>
      </c>
      <c r="E21" s="17">
        <f>IF(A21="","",C21*$B$11)</f>
        <v>10144.530620945308</v>
      </c>
      <c r="F21" s="17">
        <f>IF(A21="","",D21-E21)</f>
        <v>20579.525081339529</v>
      </c>
      <c r="G21" s="17">
        <f>IF(A21="","",C21-F21)</f>
        <v>1138795.4030266958</v>
      </c>
      <c r="I21" s="18">
        <v>3</v>
      </c>
      <c r="J21" s="17">
        <f>SUMIFS($D$19:$D$66,$B$19:$B$66,I21)</f>
        <v>368688.66842741816</v>
      </c>
      <c r="K21" s="17">
        <f>SUMIFS($E$19:$E$66,$B$19:$B$66,I21)</f>
        <v>54738.632075234433</v>
      </c>
      <c r="L21" s="17">
        <f>SUMIFS($F$19:$F$66,$B$19:$B$66,I21)</f>
        <v>313950.03635218361</v>
      </c>
      <c r="M21" s="17">
        <f>$B$5-SUM($L$19:L21)</f>
        <v>348548.41362766968</v>
      </c>
    </row>
    <row r="22" spans="1:13" x14ac:dyDescent="0.3">
      <c r="A22" s="18">
        <f>IF(ROW()-18&lt;=$B$12,ROW()-18,"")</f>
        <v>4</v>
      </c>
      <c r="B22" s="18">
        <f>IF(A22="","",ROUNDUP(A22/$B$8,0))</f>
        <v>1</v>
      </c>
      <c r="C22" s="17">
        <f>IF(A22="","",G21)</f>
        <v>1138795.4030266958</v>
      </c>
      <c r="D22" s="17">
        <f>IF(A22="","",$B$13)</f>
        <v>30724.055702284837</v>
      </c>
      <c r="E22" s="17">
        <f>IF(A22="","",C22*$B$11)</f>
        <v>9964.4597764835871</v>
      </c>
      <c r="F22" s="17">
        <f>IF(A22="","",D22-E22)</f>
        <v>20759.595925801252</v>
      </c>
      <c r="G22" s="17">
        <f>IF(A22="","",C22-F22)</f>
        <v>1118035.8071008946</v>
      </c>
      <c r="I22" s="18">
        <v>4</v>
      </c>
      <c r="J22" s="17">
        <f>SUMIFS($D$19:$D$66,$B$19:$B$66,I22)</f>
        <v>368688.66842741816</v>
      </c>
      <c r="K22" s="17">
        <f>SUMIFS($E$19:$E$66,$B$19:$B$66,I22)</f>
        <v>20140.254799748571</v>
      </c>
      <c r="L22" s="17">
        <f>SUMIFS($F$19:$F$66,$B$19:$B$66,I22)</f>
        <v>348548.41362766945</v>
      </c>
      <c r="M22" s="17">
        <f>$B$5-SUM($L$19:L22)</f>
        <v>0</v>
      </c>
    </row>
    <row r="23" spans="1:13" x14ac:dyDescent="0.3">
      <c r="A23" s="18">
        <f>IF(ROW()-18&lt;=$B$12,ROW()-18,"")</f>
        <v>5</v>
      </c>
      <c r="B23" s="18">
        <f>IF(A23="","",ROUNDUP(A23/$B$8,0))</f>
        <v>1</v>
      </c>
      <c r="C23" s="17">
        <f>IF(A23="","",G22)</f>
        <v>1118035.8071008946</v>
      </c>
      <c r="D23" s="17">
        <f>IF(A23="","",$B$13)</f>
        <v>30724.055702284837</v>
      </c>
      <c r="E23" s="17">
        <f>IF(A23="","",C23*$B$11)</f>
        <v>9782.8133121328265</v>
      </c>
      <c r="F23" s="17">
        <f>IF(A23="","",D23-E23)</f>
        <v>20941.242390152009</v>
      </c>
      <c r="G23" s="17">
        <f>IF(A23="","",C23-F23)</f>
        <v>1097094.5647107426</v>
      </c>
      <c r="I23" s="20" t="s">
        <v>136</v>
      </c>
      <c r="J23" s="21">
        <f>SUM(J19:J22)</f>
        <v>1474754.6737096726</v>
      </c>
      <c r="K23" s="21">
        <f>SUM(K19:K22)</f>
        <v>274754.67370967241</v>
      </c>
      <c r="L23" s="21">
        <f>SUM(L19:L22)</f>
        <v>1199999.9999999998</v>
      </c>
      <c r="M23" s="21"/>
    </row>
    <row r="24" spans="1:13" x14ac:dyDescent="0.3">
      <c r="A24" s="18">
        <f>IF(ROW()-18&lt;=$B$12,ROW()-18,"")</f>
        <v>6</v>
      </c>
      <c r="B24" s="18">
        <f>IF(A24="","",ROUNDUP(A24/$B$8,0))</f>
        <v>1</v>
      </c>
      <c r="C24" s="17">
        <f>IF(A24="","",G23)</f>
        <v>1097094.5647107426</v>
      </c>
      <c r="D24" s="17">
        <f>IF(A24="","",$B$13)</f>
        <v>30724.055702284837</v>
      </c>
      <c r="E24" s="17">
        <f>IF(A24="","",C24*$B$11)</f>
        <v>9599.5774412189967</v>
      </c>
      <c r="F24" s="17">
        <f>IF(A24="","",D24-E24)</f>
        <v>21124.47826106584</v>
      </c>
      <c r="G24" s="17">
        <f>IF(A24="","",C24-F24)</f>
        <v>1075970.0864496767</v>
      </c>
    </row>
    <row r="25" spans="1:13" x14ac:dyDescent="0.3">
      <c r="A25" s="18">
        <f>IF(ROW()-18&lt;=$B$12,ROW()-18,"")</f>
        <v>7</v>
      </c>
      <c r="B25" s="18">
        <f>IF(A25="","",ROUNDUP(A25/$B$8,0))</f>
        <v>1</v>
      </c>
      <c r="C25" s="17">
        <f>IF(A25="","",G24)</f>
        <v>1075970.0864496767</v>
      </c>
      <c r="D25" s="17">
        <f>IF(A25="","",$B$13)</f>
        <v>30724.055702284837</v>
      </c>
      <c r="E25" s="17">
        <f>IF(A25="","",C25*$B$11)</f>
        <v>9414.7382564346699</v>
      </c>
      <c r="F25" s="17">
        <f>IF(A25="","",D25-E25)</f>
        <v>21309.317445850167</v>
      </c>
      <c r="G25" s="17">
        <f>IF(A25="","",C25-F25)</f>
        <v>1054660.7690038264</v>
      </c>
    </row>
    <row r="26" spans="1:13" x14ac:dyDescent="0.3">
      <c r="A26" s="18">
        <f>IF(ROW()-18&lt;=$B$12,ROW()-18,"")</f>
        <v>8</v>
      </c>
      <c r="B26" s="18">
        <f>IF(A26="","",ROUNDUP(A26/$B$8,0))</f>
        <v>1</v>
      </c>
      <c r="C26" s="17">
        <f>IF(A26="","",G25)</f>
        <v>1054660.7690038264</v>
      </c>
      <c r="D26" s="17">
        <f>IF(A26="","",$B$13)</f>
        <v>30724.055702284837</v>
      </c>
      <c r="E26" s="17">
        <f>IF(A26="","",C26*$B$11)</f>
        <v>9228.2817287834805</v>
      </c>
      <c r="F26" s="17">
        <f>IF(A26="","",D26-E26)</f>
        <v>21495.773973501357</v>
      </c>
      <c r="G26" s="17">
        <f>IF(A26="","",C26-F26)</f>
        <v>1033164.995030325</v>
      </c>
    </row>
    <row r="27" spans="1:13" x14ac:dyDescent="0.3">
      <c r="A27" s="18">
        <f>IF(ROW()-18&lt;=$B$12,ROW()-18,"")</f>
        <v>9</v>
      </c>
      <c r="B27" s="18">
        <f>IF(A27="","",ROUNDUP(A27/$B$8,0))</f>
        <v>1</v>
      </c>
      <c r="C27" s="17">
        <f>IF(A27="","",G26)</f>
        <v>1033164.995030325</v>
      </c>
      <c r="D27" s="17">
        <f>IF(A27="","",$B$13)</f>
        <v>30724.055702284837</v>
      </c>
      <c r="E27" s="17">
        <f>IF(A27="","",C27*$B$11)</f>
        <v>9040.1937065153434</v>
      </c>
      <c r="F27" s="17">
        <f>IF(A27="","",D27-E27)</f>
        <v>21683.861995769494</v>
      </c>
      <c r="G27" s="17">
        <f>IF(A27="","",C27-F27)</f>
        <v>1011481.1330345555</v>
      </c>
    </row>
    <row r="28" spans="1:13" x14ac:dyDescent="0.3">
      <c r="A28" s="18">
        <f>IF(ROW()-18&lt;=$B$12,ROW()-18,"")</f>
        <v>10</v>
      </c>
      <c r="B28" s="18">
        <f>IF(A28="","",ROUNDUP(A28/$B$8,0))</f>
        <v>1</v>
      </c>
      <c r="C28" s="17">
        <f>IF(A28="","",G27)</f>
        <v>1011481.1330345555</v>
      </c>
      <c r="D28" s="17">
        <f>IF(A28="","",$B$13)</f>
        <v>30724.055702284837</v>
      </c>
      <c r="E28" s="17">
        <f>IF(A28="","",C28*$B$11)</f>
        <v>8850.4599140523587</v>
      </c>
      <c r="F28" s="17">
        <f>IF(A28="","",D28-E28)</f>
        <v>21873.59578823248</v>
      </c>
      <c r="G28" s="17">
        <f>IF(A28="","",C28-F28)</f>
        <v>989607.53724632296</v>
      </c>
    </row>
    <row r="29" spans="1:13" x14ac:dyDescent="0.3">
      <c r="A29" s="18">
        <f>IF(ROW()-18&lt;=$B$12,ROW()-18,"")</f>
        <v>11</v>
      </c>
      <c r="B29" s="18">
        <f>IF(A29="","",ROUNDUP(A29/$B$8,0))</f>
        <v>1</v>
      </c>
      <c r="C29" s="17">
        <f>IF(A29="","",G28)</f>
        <v>989607.53724632296</v>
      </c>
      <c r="D29" s="17">
        <f>IF(A29="","",$B$13)</f>
        <v>30724.055702284837</v>
      </c>
      <c r="E29" s="17">
        <f>IF(A29="","",C29*$B$11)</f>
        <v>8659.0659509053257</v>
      </c>
      <c r="F29" s="17">
        <f>IF(A29="","",D29-E29)</f>
        <v>22064.989751379511</v>
      </c>
      <c r="G29" s="17">
        <f>IF(A29="","",C29-F29)</f>
        <v>967542.54749494349</v>
      </c>
    </row>
    <row r="30" spans="1:13" x14ac:dyDescent="0.3">
      <c r="A30" s="18">
        <f>IF(ROW()-18&lt;=$B$12,ROW()-18,"")</f>
        <v>12</v>
      </c>
      <c r="B30" s="18">
        <f>IF(A30="","",ROUNDUP(A30/$B$8,0))</f>
        <v>1</v>
      </c>
      <c r="C30" s="17">
        <f>IF(A30="","",G29)</f>
        <v>967542.54749494349</v>
      </c>
      <c r="D30" s="17">
        <f>IF(A30="","",$B$13)</f>
        <v>30724.055702284837</v>
      </c>
      <c r="E30" s="17">
        <f>IF(A30="","",C30*$B$11)</f>
        <v>8465.9972905807554</v>
      </c>
      <c r="F30" s="17">
        <f>IF(A30="","",D30-E30)</f>
        <v>22258.058411704082</v>
      </c>
      <c r="G30" s="17">
        <f>IF(A30="","",C30-F30)</f>
        <v>945284.48908323946</v>
      </c>
    </row>
    <row r="31" spans="1:13" x14ac:dyDescent="0.3">
      <c r="A31" s="18">
        <f>IF(ROW()-18&lt;=$B$12,ROW()-18,"")</f>
        <v>13</v>
      </c>
      <c r="B31" s="18">
        <f>IF(A31="","",ROUNDUP(A31/$B$8,0))</f>
        <v>2</v>
      </c>
      <c r="C31" s="17">
        <f>IF(A31="","",G30)</f>
        <v>945284.48908323946</v>
      </c>
      <c r="D31" s="17">
        <f>IF(A31="","",$B$13)</f>
        <v>30724.055702284837</v>
      </c>
      <c r="E31" s="17">
        <f>IF(A31="","",C31*$B$11)</f>
        <v>8271.2392794783445</v>
      </c>
      <c r="F31" s="17">
        <f>IF(A31="","",D31-E31)</f>
        <v>22452.816422806492</v>
      </c>
      <c r="G31" s="17">
        <f>IF(A31="","",C31-F31)</f>
        <v>922831.67266043299</v>
      </c>
    </row>
    <row r="32" spans="1:13" x14ac:dyDescent="0.3">
      <c r="A32" s="18">
        <f>IF(ROW()-18&lt;=$B$12,ROW()-18,"")</f>
        <v>14</v>
      </c>
      <c r="B32" s="18">
        <f>IF(A32="","",ROUNDUP(A32/$B$8,0))</f>
        <v>2</v>
      </c>
      <c r="C32" s="17">
        <f>IF(A32="","",G31)</f>
        <v>922831.67266043299</v>
      </c>
      <c r="D32" s="17">
        <f>IF(A32="","",$B$13)</f>
        <v>30724.055702284837</v>
      </c>
      <c r="E32" s="17">
        <f>IF(A32="","",C32*$B$11)</f>
        <v>8074.7771357787879</v>
      </c>
      <c r="F32" s="17">
        <f>IF(A32="","",D32-E32)</f>
        <v>22649.278566506051</v>
      </c>
      <c r="G32" s="17">
        <f>IF(A32="","",C32-F32)</f>
        <v>900182.394093927</v>
      </c>
    </row>
    <row r="33" spans="1:7" x14ac:dyDescent="0.3">
      <c r="A33" s="18">
        <f>IF(ROW()-18&lt;=$B$12,ROW()-18,"")</f>
        <v>15</v>
      </c>
      <c r="B33" s="18">
        <f>IF(A33="","",ROUNDUP(A33/$B$8,0))</f>
        <v>2</v>
      </c>
      <c r="C33" s="17">
        <f>IF(A33="","",G32)</f>
        <v>900182.394093927</v>
      </c>
      <c r="D33" s="17">
        <f>IF(A33="","",$B$13)</f>
        <v>30724.055702284837</v>
      </c>
      <c r="E33" s="17">
        <f>IF(A33="","",C33*$B$11)</f>
        <v>7876.5959483218603</v>
      </c>
      <c r="F33" s="17">
        <f>IF(A33="","",D33-E33)</f>
        <v>22847.459753962976</v>
      </c>
      <c r="G33" s="17">
        <f>IF(A33="","",C33-F33)</f>
        <v>877334.93433996406</v>
      </c>
    </row>
    <row r="34" spans="1:7" x14ac:dyDescent="0.3">
      <c r="A34" s="18">
        <f>IF(ROW()-18&lt;=$B$12,ROW()-18,"")</f>
        <v>16</v>
      </c>
      <c r="B34" s="18">
        <f>IF(A34="","",ROUNDUP(A34/$B$8,0))</f>
        <v>2</v>
      </c>
      <c r="C34" s="17">
        <f>IF(A34="","",G33)</f>
        <v>877334.93433996406</v>
      </c>
      <c r="D34" s="17">
        <f>IF(A34="","",$B$13)</f>
        <v>30724.055702284837</v>
      </c>
      <c r="E34" s="17">
        <f>IF(A34="","",C34*$B$11)</f>
        <v>7676.6806754746849</v>
      </c>
      <c r="F34" s="17">
        <f>IF(A34="","",D34-E34)</f>
        <v>23047.37502681015</v>
      </c>
      <c r="G34" s="17">
        <f>IF(A34="","",C34-F34)</f>
        <v>854287.55931315396</v>
      </c>
    </row>
    <row r="35" spans="1:7" x14ac:dyDescent="0.3">
      <c r="A35" s="18">
        <f>IF(ROW()-18&lt;=$B$12,ROW()-18,"")</f>
        <v>17</v>
      </c>
      <c r="B35" s="18">
        <f>IF(A35="","",ROUNDUP(A35/$B$8,0))</f>
        <v>2</v>
      </c>
      <c r="C35" s="17">
        <f>IF(A35="","",G34)</f>
        <v>854287.55931315396</v>
      </c>
      <c r="D35" s="17">
        <f>IF(A35="","",$B$13)</f>
        <v>30724.055702284837</v>
      </c>
      <c r="E35" s="17">
        <f>IF(A35="","",C35*$B$11)</f>
        <v>7475.0161439900967</v>
      </c>
      <c r="F35" s="17">
        <f>IF(A35="","",D35-E35)</f>
        <v>23249.039558294739</v>
      </c>
      <c r="G35" s="17">
        <f>IF(A35="","",C35-F35)</f>
        <v>831038.51975485927</v>
      </c>
    </row>
    <row r="36" spans="1:7" x14ac:dyDescent="0.3">
      <c r="A36" s="18">
        <f>IF(ROW()-18&lt;=$B$12,ROW()-18,"")</f>
        <v>18</v>
      </c>
      <c r="B36" s="18">
        <f>IF(A36="","",ROUNDUP(A36/$B$8,0))</f>
        <v>2</v>
      </c>
      <c r="C36" s="17">
        <f>IF(A36="","",G35)</f>
        <v>831038.51975485927</v>
      </c>
      <c r="D36" s="17">
        <f>IF(A36="","",$B$13)</f>
        <v>30724.055702284837</v>
      </c>
      <c r="E36" s="17">
        <f>IF(A36="","",C36*$B$11)</f>
        <v>7271.5870478550178</v>
      </c>
      <c r="F36" s="17">
        <f>IF(A36="","",D36-E36)</f>
        <v>23452.46865442982</v>
      </c>
      <c r="G36" s="17">
        <f>IF(A36="","",C36-F36)</f>
        <v>807586.0511004295</v>
      </c>
    </row>
    <row r="37" spans="1:7" x14ac:dyDescent="0.3">
      <c r="A37" s="18">
        <f>IF(ROW()-18&lt;=$B$12,ROW()-18,"")</f>
        <v>19</v>
      </c>
      <c r="B37" s="18">
        <f>IF(A37="","",ROUNDUP(A37/$B$8,0))</f>
        <v>2</v>
      </c>
      <c r="C37" s="17">
        <f>IF(A37="","",G36)</f>
        <v>807586.0511004295</v>
      </c>
      <c r="D37" s="17">
        <f>IF(A37="","",$B$13)</f>
        <v>30724.055702284837</v>
      </c>
      <c r="E37" s="17">
        <f>IF(A37="","",C37*$B$11)</f>
        <v>7066.3779471287571</v>
      </c>
      <c r="F37" s="17">
        <f>IF(A37="","",D37-E37)</f>
        <v>23657.677755156081</v>
      </c>
      <c r="G37" s="17">
        <f>IF(A37="","",C37-F37)</f>
        <v>783928.37334527343</v>
      </c>
    </row>
    <row r="38" spans="1:7" x14ac:dyDescent="0.3">
      <c r="A38" s="18">
        <f>IF(ROW()-18&lt;=$B$12,ROW()-18,"")</f>
        <v>20</v>
      </c>
      <c r="B38" s="18">
        <f>IF(A38="","",ROUNDUP(A38/$B$8,0))</f>
        <v>2</v>
      </c>
      <c r="C38" s="17">
        <f>IF(A38="","",G37)</f>
        <v>783928.37334527343</v>
      </c>
      <c r="D38" s="17">
        <f>IF(A38="","",$B$13)</f>
        <v>30724.055702284837</v>
      </c>
      <c r="E38" s="17">
        <f>IF(A38="","",C38*$B$11)</f>
        <v>6859.373266771142</v>
      </c>
      <c r="F38" s="17">
        <f>IF(A38="","",D38-E38)</f>
        <v>23864.682435513696</v>
      </c>
      <c r="G38" s="17">
        <f>IF(A38="","",C38-F38)</f>
        <v>760063.69090975972</v>
      </c>
    </row>
    <row r="39" spans="1:7" x14ac:dyDescent="0.3">
      <c r="A39" s="18">
        <f>IF(ROW()-18&lt;=$B$12,ROW()-18,"")</f>
        <v>21</v>
      </c>
      <c r="B39" s="18">
        <f>IF(A39="","",ROUNDUP(A39/$B$8,0))</f>
        <v>2</v>
      </c>
      <c r="C39" s="17">
        <f>IF(A39="","",G38)</f>
        <v>760063.69090975972</v>
      </c>
      <c r="D39" s="17">
        <f>IF(A39="","",$B$13)</f>
        <v>30724.055702284837</v>
      </c>
      <c r="E39" s="17">
        <f>IF(A39="","",C39*$B$11)</f>
        <v>6650.5572954603967</v>
      </c>
      <c r="F39" s="17">
        <f>IF(A39="","",D39-E39)</f>
        <v>24073.498406824441</v>
      </c>
      <c r="G39" s="17">
        <f>IF(A39="","",C39-F39)</f>
        <v>735990.1925029353</v>
      </c>
    </row>
    <row r="40" spans="1:7" x14ac:dyDescent="0.3">
      <c r="A40" s="18">
        <f>IF(ROW()-18&lt;=$B$12,ROW()-18,"")</f>
        <v>22</v>
      </c>
      <c r="B40" s="18">
        <f>IF(A40="","",ROUNDUP(A40/$B$8,0))</f>
        <v>2</v>
      </c>
      <c r="C40" s="17">
        <f>IF(A40="","",G39)</f>
        <v>735990.1925029353</v>
      </c>
      <c r="D40" s="17">
        <f>IF(A40="","",$B$13)</f>
        <v>30724.055702284837</v>
      </c>
      <c r="E40" s="17">
        <f>IF(A40="","",C40*$B$11)</f>
        <v>6439.9141844006836</v>
      </c>
      <c r="F40" s="17">
        <f>IF(A40="","",D40-E40)</f>
        <v>24284.141517884153</v>
      </c>
      <c r="G40" s="17">
        <f>IF(A40="","",C40-F40)</f>
        <v>711706.0509850512</v>
      </c>
    </row>
    <row r="41" spans="1:7" x14ac:dyDescent="0.3">
      <c r="A41" s="18">
        <f>IF(ROW()-18&lt;=$B$12,ROW()-18,"")</f>
        <v>23</v>
      </c>
      <c r="B41" s="18">
        <f>IF(A41="","",ROUNDUP(A41/$B$8,0))</f>
        <v>2</v>
      </c>
      <c r="C41" s="17">
        <f>IF(A41="","",G40)</f>
        <v>711706.0509850512</v>
      </c>
      <c r="D41" s="17">
        <f>IF(A41="","",$B$13)</f>
        <v>30724.055702284837</v>
      </c>
      <c r="E41" s="17">
        <f>IF(A41="","",C41*$B$11)</f>
        <v>6227.4279461191973</v>
      </c>
      <c r="F41" s="17">
        <f>IF(A41="","",D41-E41)</f>
        <v>24496.627756165639</v>
      </c>
      <c r="G41" s="17">
        <f>IF(A41="","",C41-F41)</f>
        <v>687209.42322888551</v>
      </c>
    </row>
    <row r="42" spans="1:7" x14ac:dyDescent="0.3">
      <c r="A42" s="18">
        <f>IF(ROW()-18&lt;=$B$12,ROW()-18,"")</f>
        <v>24</v>
      </c>
      <c r="B42" s="18">
        <f>IF(A42="","",ROUNDUP(A42/$B$8,0))</f>
        <v>2</v>
      </c>
      <c r="C42" s="17">
        <f>IF(A42="","",G41)</f>
        <v>687209.42322888551</v>
      </c>
      <c r="D42" s="17">
        <f>IF(A42="","",$B$13)</f>
        <v>30724.055702284837</v>
      </c>
      <c r="E42" s="17">
        <f>IF(A42="","",C42*$B$11)</f>
        <v>6013.0824532527477</v>
      </c>
      <c r="F42" s="17">
        <f>IF(A42="","",D42-E42)</f>
        <v>24710.973249032089</v>
      </c>
      <c r="G42" s="17">
        <f>IF(A42="","",C42-F42)</f>
        <v>662498.44997985347</v>
      </c>
    </row>
    <row r="43" spans="1:7" x14ac:dyDescent="0.3">
      <c r="A43" s="18">
        <f>IF(ROW()-18&lt;=$B$12,ROW()-18,"")</f>
        <v>25</v>
      </c>
      <c r="B43" s="18">
        <f>IF(A43="","",ROUNDUP(A43/$B$8,0))</f>
        <v>3</v>
      </c>
      <c r="C43" s="17">
        <f>IF(A43="","",G42)</f>
        <v>662498.44997985347</v>
      </c>
      <c r="D43" s="17">
        <f>IF(A43="","",$B$13)</f>
        <v>30724.055702284837</v>
      </c>
      <c r="E43" s="17">
        <f>IF(A43="","",C43*$B$11)</f>
        <v>5796.8614373237169</v>
      </c>
      <c r="F43" s="17">
        <f>IF(A43="","",D43-E43)</f>
        <v>24927.194264961119</v>
      </c>
      <c r="G43" s="17">
        <f>IF(A43="","",C43-F43)</f>
        <v>637571.25571489229</v>
      </c>
    </row>
    <row r="44" spans="1:7" x14ac:dyDescent="0.3">
      <c r="A44" s="18">
        <f>IF(ROW()-18&lt;=$B$12,ROW()-18,"")</f>
        <v>26</v>
      </c>
      <c r="B44" s="18">
        <f>IF(A44="","",ROUNDUP(A44/$B$8,0))</f>
        <v>3</v>
      </c>
      <c r="C44" s="17">
        <f>IF(A44="","",G43)</f>
        <v>637571.25571489229</v>
      </c>
      <c r="D44" s="17">
        <f>IF(A44="","",$B$13)</f>
        <v>30724.055702284837</v>
      </c>
      <c r="E44" s="17">
        <f>IF(A44="","",C44*$B$11)</f>
        <v>5578.7484875053069</v>
      </c>
      <c r="F44" s="17">
        <f>IF(A44="","",D44-E44)</f>
        <v>25145.307214779532</v>
      </c>
      <c r="G44" s="17">
        <f>IF(A44="","",C44-F44)</f>
        <v>612425.94850011275</v>
      </c>
    </row>
    <row r="45" spans="1:7" x14ac:dyDescent="0.3">
      <c r="A45" s="18">
        <f>IF(ROW()-18&lt;=$B$12,ROW()-18,"")</f>
        <v>27</v>
      </c>
      <c r="B45" s="18">
        <f>IF(A45="","",ROUNDUP(A45/$B$8,0))</f>
        <v>3</v>
      </c>
      <c r="C45" s="17">
        <f>IF(A45="","",G44)</f>
        <v>612425.94850011275</v>
      </c>
      <c r="D45" s="17">
        <f>IF(A45="","",$B$13)</f>
        <v>30724.055702284837</v>
      </c>
      <c r="E45" s="17">
        <f>IF(A45="","",C45*$B$11)</f>
        <v>5358.7270493759861</v>
      </c>
      <c r="F45" s="17">
        <f>IF(A45="","",D45-E45)</f>
        <v>25365.328652908851</v>
      </c>
      <c r="G45" s="17">
        <f>IF(A45="","",C45-F45)</f>
        <v>587060.61984720384</v>
      </c>
    </row>
    <row r="46" spans="1:7" x14ac:dyDescent="0.3">
      <c r="A46" s="18">
        <f>IF(ROW()-18&lt;=$B$12,ROW()-18,"")</f>
        <v>28</v>
      </c>
      <c r="B46" s="18">
        <f>IF(A46="","",ROUNDUP(A46/$B$8,0))</f>
        <v>3</v>
      </c>
      <c r="C46" s="17">
        <f>IF(A46="","",G45)</f>
        <v>587060.61984720384</v>
      </c>
      <c r="D46" s="17">
        <f>IF(A46="","",$B$13)</f>
        <v>30724.055702284837</v>
      </c>
      <c r="E46" s="17">
        <f>IF(A46="","",C46*$B$11)</f>
        <v>5136.7804236630327</v>
      </c>
      <c r="F46" s="17">
        <f>IF(A46="","",D46-E46)</f>
        <v>25587.275278621804</v>
      </c>
      <c r="G46" s="17">
        <f>IF(A46="","",C46-F46)</f>
        <v>561473.34456858202</v>
      </c>
    </row>
    <row r="47" spans="1:7" x14ac:dyDescent="0.3">
      <c r="A47" s="18">
        <f>IF(ROW()-18&lt;=$B$12,ROW()-18,"")</f>
        <v>29</v>
      </c>
      <c r="B47" s="18">
        <f>IF(A47="","",ROUNDUP(A47/$B$8,0))</f>
        <v>3</v>
      </c>
      <c r="C47" s="17">
        <f>IF(A47="","",G46)</f>
        <v>561473.34456858202</v>
      </c>
      <c r="D47" s="17">
        <f>IF(A47="","",$B$13)</f>
        <v>30724.055702284837</v>
      </c>
      <c r="E47" s="17">
        <f>IF(A47="","",C47*$B$11)</f>
        <v>4912.891764975092</v>
      </c>
      <c r="F47" s="17">
        <f>IF(A47="","",D47-E47)</f>
        <v>25811.163937309746</v>
      </c>
      <c r="G47" s="17">
        <f>IF(A47="","",C47-F47)</f>
        <v>535662.18063127226</v>
      </c>
    </row>
    <row r="48" spans="1:7" x14ac:dyDescent="0.3">
      <c r="A48" s="18">
        <f>IF(ROW()-18&lt;=$B$12,ROW()-18,"")</f>
        <v>30</v>
      </c>
      <c r="B48" s="18">
        <f>IF(A48="","",ROUNDUP(A48/$B$8,0))</f>
        <v>3</v>
      </c>
      <c r="C48" s="17">
        <f>IF(A48="","",G47)</f>
        <v>535662.18063127226</v>
      </c>
      <c r="D48" s="17">
        <f>IF(A48="","",$B$13)</f>
        <v>30724.055702284837</v>
      </c>
      <c r="E48" s="17">
        <f>IF(A48="","",C48*$B$11)</f>
        <v>4687.0440805236321</v>
      </c>
      <c r="F48" s="17">
        <f>IF(A48="","",D48-E48)</f>
        <v>26037.011621761205</v>
      </c>
      <c r="G48" s="17">
        <f>IF(A48="","",C48-F48)</f>
        <v>509625.16900951107</v>
      </c>
    </row>
    <row r="49" spans="1:7" x14ac:dyDescent="0.3">
      <c r="A49" s="18">
        <f>IF(ROW()-18&lt;=$B$12,ROW()-18,"")</f>
        <v>31</v>
      </c>
      <c r="B49" s="18">
        <f>IF(A49="","",ROUNDUP(A49/$B$8,0))</f>
        <v>3</v>
      </c>
      <c r="C49" s="17">
        <f>IF(A49="","",G48)</f>
        <v>509625.16900951107</v>
      </c>
      <c r="D49" s="17">
        <f>IF(A49="","",$B$13)</f>
        <v>30724.055702284837</v>
      </c>
      <c r="E49" s="17">
        <f>IF(A49="","",C49*$B$11)</f>
        <v>4459.220228833221</v>
      </c>
      <c r="F49" s="17">
        <f>IF(A49="","",D49-E49)</f>
        <v>26264.835473451618</v>
      </c>
      <c r="G49" s="17">
        <f>IF(A49="","",C49-F49)</f>
        <v>483360.33353605948</v>
      </c>
    </row>
    <row r="50" spans="1:7" x14ac:dyDescent="0.3">
      <c r="A50" s="18">
        <f>IF(ROW()-18&lt;=$B$12,ROW()-18,"")</f>
        <v>32</v>
      </c>
      <c r="B50" s="18">
        <f>IF(A50="","",ROUNDUP(A50/$B$8,0))</f>
        <v>3</v>
      </c>
      <c r="C50" s="17">
        <f>IF(A50="","",G49)</f>
        <v>483360.33353605948</v>
      </c>
      <c r="D50" s="17">
        <f>IF(A50="","",$B$13)</f>
        <v>30724.055702284837</v>
      </c>
      <c r="E50" s="17">
        <f>IF(A50="","",C50*$B$11)</f>
        <v>4229.4029184405199</v>
      </c>
      <c r="F50" s="17">
        <f>IF(A50="","",D50-E50)</f>
        <v>26494.652783844318</v>
      </c>
      <c r="G50" s="17">
        <f>IF(A50="","",C50-F50)</f>
        <v>456865.68075221515</v>
      </c>
    </row>
    <row r="51" spans="1:7" x14ac:dyDescent="0.3">
      <c r="A51" s="18">
        <f>IF(ROW()-18&lt;=$B$12,ROW()-18,"")</f>
        <v>33</v>
      </c>
      <c r="B51" s="18">
        <f>IF(A51="","",ROUNDUP(A51/$B$8,0))</f>
        <v>3</v>
      </c>
      <c r="C51" s="17">
        <f>IF(A51="","",G50)</f>
        <v>456865.68075221515</v>
      </c>
      <c r="D51" s="17">
        <f>IF(A51="","",$B$13)</f>
        <v>30724.055702284837</v>
      </c>
      <c r="E51" s="17">
        <f>IF(A51="","",C51*$B$11)</f>
        <v>3997.5747065818823</v>
      </c>
      <c r="F51" s="17">
        <f>IF(A51="","",D51-E51)</f>
        <v>26726.480995702954</v>
      </c>
      <c r="G51" s="17">
        <f>IF(A51="","",C51-F51)</f>
        <v>430139.19975651219</v>
      </c>
    </row>
    <row r="52" spans="1:7" x14ac:dyDescent="0.3">
      <c r="A52" s="18">
        <f>IF(ROW()-18&lt;=$B$12,ROW()-18,"")</f>
        <v>34</v>
      </c>
      <c r="B52" s="18">
        <f>IF(A52="","",ROUNDUP(A52/$B$8,0))</f>
        <v>3</v>
      </c>
      <c r="C52" s="17">
        <f>IF(A52="","",G51)</f>
        <v>430139.19975651219</v>
      </c>
      <c r="D52" s="17">
        <f>IF(A52="","",$B$13)</f>
        <v>30724.055702284837</v>
      </c>
      <c r="E52" s="17">
        <f>IF(A52="","",C52*$B$11)</f>
        <v>3763.7179978694812</v>
      </c>
      <c r="F52" s="17">
        <f>IF(A52="","",D52-E52)</f>
        <v>26960.337704415357</v>
      </c>
      <c r="G52" s="17">
        <f>IF(A52="","",C52-F52)</f>
        <v>403178.86205209681</v>
      </c>
    </row>
    <row r="53" spans="1:7" x14ac:dyDescent="0.3">
      <c r="A53" s="18">
        <f>IF(ROW()-18&lt;=$B$12,ROW()-18,"")</f>
        <v>35</v>
      </c>
      <c r="B53" s="18">
        <f>IF(A53="","",ROUNDUP(A53/$B$8,0))</f>
        <v>3</v>
      </c>
      <c r="C53" s="17">
        <f>IF(A53="","",G52)</f>
        <v>403178.86205209681</v>
      </c>
      <c r="D53" s="17">
        <f>IF(A53="","",$B$13)</f>
        <v>30724.055702284837</v>
      </c>
      <c r="E53" s="17">
        <f>IF(A53="","",C53*$B$11)</f>
        <v>3527.8150429558468</v>
      </c>
      <c r="F53" s="17">
        <f>IF(A53="","",D53-E53)</f>
        <v>27196.240659328989</v>
      </c>
      <c r="G53" s="17">
        <f>IF(A53="","",C53-F53)</f>
        <v>375982.62139276782</v>
      </c>
    </row>
    <row r="54" spans="1:7" x14ac:dyDescent="0.3">
      <c r="A54" s="18">
        <f>IF(ROW()-18&lt;=$B$12,ROW()-18,"")</f>
        <v>36</v>
      </c>
      <c r="B54" s="18">
        <f>IF(A54="","",ROUNDUP(A54/$B$8,0))</f>
        <v>3</v>
      </c>
      <c r="C54" s="17">
        <f>IF(A54="","",G53)</f>
        <v>375982.62139276782</v>
      </c>
      <c r="D54" s="17">
        <f>IF(A54="","",$B$13)</f>
        <v>30724.055702284837</v>
      </c>
      <c r="E54" s="17">
        <f>IF(A54="","",C54*$B$11)</f>
        <v>3289.8479371867179</v>
      </c>
      <c r="F54" s="17">
        <f>IF(A54="","",D54-E54)</f>
        <v>27434.207765098119</v>
      </c>
      <c r="G54" s="17">
        <f>IF(A54="","",C54-F54)</f>
        <v>348548.41362766968</v>
      </c>
    </row>
    <row r="55" spans="1:7" x14ac:dyDescent="0.3">
      <c r="A55" s="18">
        <f>IF(ROW()-18&lt;=$B$12,ROW()-18,"")</f>
        <v>37</v>
      </c>
      <c r="B55" s="18">
        <f>IF(A55="","",ROUNDUP(A55/$B$8,0))</f>
        <v>4</v>
      </c>
      <c r="C55" s="17">
        <f>IF(A55="","",G54)</f>
        <v>348548.41362766968</v>
      </c>
      <c r="D55" s="17">
        <f>IF(A55="","",$B$13)</f>
        <v>30724.055702284837</v>
      </c>
      <c r="E55" s="17">
        <f>IF(A55="","",C55*$B$11)</f>
        <v>3049.7986192421095</v>
      </c>
      <c r="F55" s="17">
        <f>IF(A55="","",D55-E55)</f>
        <v>27674.257083042728</v>
      </c>
      <c r="G55" s="17">
        <f>IF(A55="","",C55-F55)</f>
        <v>320874.15654462692</v>
      </c>
    </row>
    <row r="56" spans="1:7" x14ac:dyDescent="0.3">
      <c r="A56" s="18">
        <f>IF(ROW()-18&lt;=$B$12,ROW()-18,"")</f>
        <v>38</v>
      </c>
      <c r="B56" s="18">
        <f>IF(A56="","",ROUNDUP(A56/$B$8,0))</f>
        <v>4</v>
      </c>
      <c r="C56" s="17">
        <f>IF(A56="","",G55)</f>
        <v>320874.15654462692</v>
      </c>
      <c r="D56" s="17">
        <f>IF(A56="","",$B$13)</f>
        <v>30724.055702284837</v>
      </c>
      <c r="E56" s="17">
        <f>IF(A56="","",C56*$B$11)</f>
        <v>2807.6488697654854</v>
      </c>
      <c r="F56" s="17">
        <f>IF(A56="","",D56-E56)</f>
        <v>27916.406832519351</v>
      </c>
      <c r="G56" s="17">
        <f>IF(A56="","",C56-F56)</f>
        <v>292957.74971210759</v>
      </c>
    </row>
    <row r="57" spans="1:7" x14ac:dyDescent="0.3">
      <c r="A57" s="18">
        <f>IF(ROW()-18&lt;=$B$12,ROW()-18,"")</f>
        <v>39</v>
      </c>
      <c r="B57" s="18">
        <f>IF(A57="","",ROUNDUP(A57/$B$8,0))</f>
        <v>4</v>
      </c>
      <c r="C57" s="17">
        <f>IF(A57="","",G56)</f>
        <v>292957.74971210759</v>
      </c>
      <c r="D57" s="17">
        <f>IF(A57="","",$B$13)</f>
        <v>30724.055702284837</v>
      </c>
      <c r="E57" s="17">
        <f>IF(A57="","",C57*$B$11)</f>
        <v>2563.3803099809411</v>
      </c>
      <c r="F57" s="17">
        <f>IF(A57="","",D57-E57)</f>
        <v>28160.675392303896</v>
      </c>
      <c r="G57" s="17">
        <f>IF(A57="","",C57-F57)</f>
        <v>264797.07431980368</v>
      </c>
    </row>
    <row r="58" spans="1:7" x14ac:dyDescent="0.3">
      <c r="A58" s="18">
        <f>IF(ROW()-18&lt;=$B$12,ROW()-18,"")</f>
        <v>40</v>
      </c>
      <c r="B58" s="18">
        <f>IF(A58="","",ROUNDUP(A58/$B$8,0))</f>
        <v>4</v>
      </c>
      <c r="C58" s="17">
        <f>IF(A58="","",G57)</f>
        <v>264797.07431980368</v>
      </c>
      <c r="D58" s="17">
        <f>IF(A58="","",$B$13)</f>
        <v>30724.055702284837</v>
      </c>
      <c r="E58" s="17">
        <f>IF(A58="","",C58*$B$11)</f>
        <v>2316.974400298282</v>
      </c>
      <c r="F58" s="17">
        <f>IF(A58="","",D58-E58)</f>
        <v>28407.081301986556</v>
      </c>
      <c r="G58" s="17">
        <f>IF(A58="","",C58-F58)</f>
        <v>236389.99301781712</v>
      </c>
    </row>
    <row r="59" spans="1:7" x14ac:dyDescent="0.3">
      <c r="A59" s="18">
        <f>IF(ROW()-18&lt;=$B$12,ROW()-18,"")</f>
        <v>41</v>
      </c>
      <c r="B59" s="18">
        <f>IF(A59="","",ROUNDUP(A59/$B$8,0))</f>
        <v>4</v>
      </c>
      <c r="C59" s="17">
        <f>IF(A59="","",G58)</f>
        <v>236389.99301781712</v>
      </c>
      <c r="D59" s="17">
        <f>IF(A59="","",$B$13)</f>
        <v>30724.055702284837</v>
      </c>
      <c r="E59" s="17">
        <f>IF(A59="","",C59*$B$11)</f>
        <v>2068.4124389058998</v>
      </c>
      <c r="F59" s="17">
        <f>IF(A59="","",D59-E59)</f>
        <v>28655.643263378937</v>
      </c>
      <c r="G59" s="17">
        <f>IF(A59="","",C59-F59)</f>
        <v>207734.34975443818</v>
      </c>
    </row>
    <row r="60" spans="1:7" x14ac:dyDescent="0.3">
      <c r="A60" s="18">
        <f>IF(ROW()-18&lt;=$B$12,ROW()-18,"")</f>
        <v>42</v>
      </c>
      <c r="B60" s="18">
        <f>IF(A60="","",ROUNDUP(A60/$B$8,0))</f>
        <v>4</v>
      </c>
      <c r="C60" s="17">
        <f>IF(A60="","",G59)</f>
        <v>207734.34975443818</v>
      </c>
      <c r="D60" s="17">
        <f>IF(A60="","",$B$13)</f>
        <v>30724.055702284837</v>
      </c>
      <c r="E60" s="17">
        <f>IF(A60="","",C60*$B$11)</f>
        <v>1817.6755603513338</v>
      </c>
      <c r="F60" s="17">
        <f>IF(A60="","",D60-E60)</f>
        <v>28906.380141933503</v>
      </c>
      <c r="G60" s="17">
        <f>IF(A60="","",C60-F60)</f>
        <v>178827.96961250468</v>
      </c>
    </row>
    <row r="61" spans="1:7" x14ac:dyDescent="0.3">
      <c r="A61" s="18">
        <f>IF(ROW()-18&lt;=$B$12,ROW()-18,"")</f>
        <v>43</v>
      </c>
      <c r="B61" s="18">
        <f>IF(A61="","",ROUNDUP(A61/$B$8,0))</f>
        <v>4</v>
      </c>
      <c r="C61" s="17">
        <f>IF(A61="","",G60)</f>
        <v>178827.96961250468</v>
      </c>
      <c r="D61" s="17">
        <f>IF(A61="","",$B$13)</f>
        <v>30724.055702284837</v>
      </c>
      <c r="E61" s="17">
        <f>IF(A61="","",C61*$B$11)</f>
        <v>1564.7447341094157</v>
      </c>
      <c r="F61" s="17">
        <f>IF(A61="","",D61-E61)</f>
        <v>29159.310968175421</v>
      </c>
      <c r="G61" s="17">
        <f>IF(A61="","",C61-F61)</f>
        <v>149668.65864432926</v>
      </c>
    </row>
    <row r="62" spans="1:7" x14ac:dyDescent="0.3">
      <c r="A62" s="18">
        <f>IF(ROW()-18&lt;=$B$12,ROW()-18,"")</f>
        <v>44</v>
      </c>
      <c r="B62" s="18">
        <f>IF(A62="","",ROUNDUP(A62/$B$8,0))</f>
        <v>4</v>
      </c>
      <c r="C62" s="17">
        <f>IF(A62="","",G61)</f>
        <v>149668.65864432926</v>
      </c>
      <c r="D62" s="17">
        <f>IF(A62="","",$B$13)</f>
        <v>30724.055702284837</v>
      </c>
      <c r="E62" s="17">
        <f>IF(A62="","",C62*$B$11)</f>
        <v>1309.6007631378809</v>
      </c>
      <c r="F62" s="17">
        <f>IF(A62="","",D62-E62)</f>
        <v>29414.454939146955</v>
      </c>
      <c r="G62" s="17">
        <f>IF(A62="","",C62-F62)</f>
        <v>120254.2037051823</v>
      </c>
    </row>
    <row r="63" spans="1:7" x14ac:dyDescent="0.3">
      <c r="A63" s="18">
        <f>IF(ROW()-18&lt;=$B$12,ROW()-18,"")</f>
        <v>45</v>
      </c>
      <c r="B63" s="18">
        <f>IF(A63="","",ROUNDUP(A63/$B$8,0))</f>
        <v>4</v>
      </c>
      <c r="C63" s="17">
        <f>IF(A63="","",G62)</f>
        <v>120254.2037051823</v>
      </c>
      <c r="D63" s="17">
        <f>IF(A63="","",$B$13)</f>
        <v>30724.055702284837</v>
      </c>
      <c r="E63" s="17">
        <f>IF(A63="","",C63*$B$11)</f>
        <v>1052.2242824203449</v>
      </c>
      <c r="F63" s="17">
        <f>IF(A63="","",D63-E63)</f>
        <v>29671.831419864491</v>
      </c>
      <c r="G63" s="17">
        <f>IF(A63="","",C63-F63)</f>
        <v>90582.372285317804</v>
      </c>
    </row>
    <row r="64" spans="1:7" x14ac:dyDescent="0.3">
      <c r="A64" s="18">
        <f>IF(ROW()-18&lt;=$B$12,ROW()-18,"")</f>
        <v>46</v>
      </c>
      <c r="B64" s="18">
        <f>IF(A64="","",ROUNDUP(A64/$B$8,0))</f>
        <v>4</v>
      </c>
      <c r="C64" s="17">
        <f>IF(A64="","",G63)</f>
        <v>90582.372285317804</v>
      </c>
      <c r="D64" s="17">
        <f>IF(A64="","",$B$13)</f>
        <v>30724.055702284837</v>
      </c>
      <c r="E64" s="17">
        <f>IF(A64="","",C64*$B$11)</f>
        <v>792.59575749653072</v>
      </c>
      <c r="F64" s="17">
        <f>IF(A64="","",D64-E64)</f>
        <v>29931.459944788305</v>
      </c>
      <c r="G64" s="17">
        <f>IF(A64="","",C64-F64)</f>
        <v>60650.912340529496</v>
      </c>
    </row>
    <row r="65" spans="1:7" x14ac:dyDescent="0.3">
      <c r="A65" s="18">
        <f>IF(ROW()-18&lt;=$B$12,ROW()-18,"")</f>
        <v>47</v>
      </c>
      <c r="B65" s="18">
        <f>IF(A65="","",ROUNDUP(A65/$B$8,0))</f>
        <v>4</v>
      </c>
      <c r="C65" s="17">
        <f>IF(A65="","",G64)</f>
        <v>60650.912340529496</v>
      </c>
      <c r="D65" s="17">
        <f>IF(A65="","",$B$13)</f>
        <v>30724.055702284837</v>
      </c>
      <c r="E65" s="17">
        <f>IF(A65="","",C65*$B$11)</f>
        <v>530.69548297963308</v>
      </c>
      <c r="F65" s="17">
        <f>IF(A65="","",D65-E65)</f>
        <v>30193.360219305203</v>
      </c>
      <c r="G65" s="17">
        <f>IF(A65="","",C65-F65)</f>
        <v>30457.552121224293</v>
      </c>
    </row>
    <row r="66" spans="1:7" x14ac:dyDescent="0.3">
      <c r="A66" s="18">
        <f>IF(ROW()-18&lt;=$B$12,ROW()-18,"")</f>
        <v>48</v>
      </c>
      <c r="B66" s="18">
        <f>IF(A66="","",ROUNDUP(A66/$B$8,0))</f>
        <v>4</v>
      </c>
      <c r="C66" s="17">
        <f>IF(A66="","",G65)</f>
        <v>30457.552121224293</v>
      </c>
      <c r="D66" s="17">
        <f>IF(A66="","",$B$13)</f>
        <v>30724.055702284837</v>
      </c>
      <c r="E66" s="17">
        <f>IF(A66="","",C66*$B$11)</f>
        <v>266.50358106071252</v>
      </c>
      <c r="F66" s="17">
        <f>IF(A66="","",D66-E66)</f>
        <v>30457.552121224126</v>
      </c>
      <c r="G66" s="17">
        <f>IF(A66="","",C66-F66)</f>
        <v>1.673470251262188E-10</v>
      </c>
    </row>
    <row r="67" spans="1:7" x14ac:dyDescent="0.3">
      <c r="A67" s="20" t="s">
        <v>136</v>
      </c>
      <c r="B67" s="20"/>
      <c r="C67" s="21"/>
      <c r="D67" s="21">
        <f>SUM(D19:D66)</f>
        <v>1474754.6737096726</v>
      </c>
      <c r="E67" s="21">
        <f>SUM(E19:E66)</f>
        <v>274754.67370967247</v>
      </c>
      <c r="F67" s="21">
        <f>SUM(F19:F66)</f>
        <v>1200000</v>
      </c>
      <c r="G67" s="21"/>
    </row>
    <row r="68" spans="1:7" x14ac:dyDescent="0.3">
      <c r="A68" t="s">
        <v>137</v>
      </c>
      <c r="B68" s="17" cm="1">
        <f t="array" ref="B68">ROUND(INDEX(G19:G66,B12),2)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7CA0-71C5-4B44-908A-5087628CC536}">
  <dimension ref="A1:F26"/>
  <sheetViews>
    <sheetView showGridLines="0" workbookViewId="0">
      <selection activeCell="B28" sqref="B28"/>
    </sheetView>
  </sheetViews>
  <sheetFormatPr defaultRowHeight="14.4" x14ac:dyDescent="0.3"/>
  <cols>
    <col min="1" max="1" width="48.109375" customWidth="1"/>
    <col min="2" max="6" width="17.5546875" customWidth="1"/>
  </cols>
  <sheetData>
    <row r="1" spans="1:6" ht="18" x14ac:dyDescent="0.35">
      <c r="A1" s="7" t="s">
        <v>140</v>
      </c>
    </row>
    <row r="2" spans="1:6" x14ac:dyDescent="0.3">
      <c r="A2" s="8" t="s">
        <v>141</v>
      </c>
    </row>
    <row r="4" spans="1:6" x14ac:dyDescent="0.3">
      <c r="A4" s="61" t="s">
        <v>116</v>
      </c>
    </row>
    <row r="5" spans="1:6" x14ac:dyDescent="0.3">
      <c r="A5" t="s">
        <v>142</v>
      </c>
      <c r="B5" s="12">
        <v>1200000</v>
      </c>
    </row>
    <row r="6" spans="1:6" x14ac:dyDescent="0.3">
      <c r="A6" t="s">
        <v>143</v>
      </c>
      <c r="B6" s="23">
        <v>0.11</v>
      </c>
    </row>
    <row r="8" spans="1:6" x14ac:dyDescent="0.3">
      <c r="A8" s="57" t="s">
        <v>144</v>
      </c>
      <c r="B8" s="56" t="s">
        <v>145</v>
      </c>
      <c r="C8" s="56" t="s">
        <v>146</v>
      </c>
      <c r="D8" s="56" t="s">
        <v>147</v>
      </c>
      <c r="E8" s="56" t="s">
        <v>148</v>
      </c>
      <c r="F8" s="56" t="s">
        <v>149</v>
      </c>
    </row>
    <row r="9" spans="1:6" x14ac:dyDescent="0.3">
      <c r="A9" t="s">
        <v>130</v>
      </c>
      <c r="B9" s="18">
        <v>0</v>
      </c>
      <c r="C9" s="18">
        <v>1</v>
      </c>
      <c r="D9" s="18">
        <v>2</v>
      </c>
      <c r="E9" s="18">
        <v>3</v>
      </c>
      <c r="F9" s="18">
        <v>4</v>
      </c>
    </row>
    <row r="10" spans="1:6" x14ac:dyDescent="0.3">
      <c r="A10" t="s">
        <v>150</v>
      </c>
      <c r="B10" s="17">
        <f>-B5</f>
        <v>-1200000</v>
      </c>
      <c r="C10" s="12">
        <v>400000</v>
      </c>
      <c r="D10" s="12">
        <v>500000</v>
      </c>
      <c r="E10" s="12">
        <v>450000</v>
      </c>
      <c r="F10" s="12">
        <v>350000</v>
      </c>
    </row>
    <row r="11" spans="1:6" x14ac:dyDescent="0.3">
      <c r="A11" t="s">
        <v>151</v>
      </c>
      <c r="B11" s="24">
        <f>1/(1+$B$6)^B9</f>
        <v>1</v>
      </c>
      <c r="C11" s="24">
        <f>1/(1+$B$6)^C9</f>
        <v>0.9009009009009008</v>
      </c>
      <c r="D11" s="24">
        <f>1/(1+$B$6)^D9</f>
        <v>0.8116224332440547</v>
      </c>
      <c r="E11" s="24">
        <f>1/(1+$B$6)^E9</f>
        <v>0.73119138130095018</v>
      </c>
      <c r="F11" s="24">
        <f>1/(1+$B$6)^F9</f>
        <v>0.65873097414500015</v>
      </c>
    </row>
    <row r="12" spans="1:6" x14ac:dyDescent="0.3">
      <c r="A12" s="33" t="s">
        <v>152</v>
      </c>
      <c r="B12" s="34">
        <f>B10*B11</f>
        <v>-1200000</v>
      </c>
      <c r="C12" s="34">
        <f>C10*C11</f>
        <v>360360.3603603603</v>
      </c>
      <c r="D12" s="34">
        <f>D10*D11</f>
        <v>405811.21662202734</v>
      </c>
      <c r="E12" s="34">
        <f>E10*E11</f>
        <v>329036.12158542761</v>
      </c>
      <c r="F12" s="34">
        <f>F10*F11</f>
        <v>230555.84095075005</v>
      </c>
    </row>
    <row r="13" spans="1:6" x14ac:dyDescent="0.3">
      <c r="A13" t="s">
        <v>153</v>
      </c>
      <c r="B13" s="17">
        <f>B10</f>
        <v>-1200000</v>
      </c>
      <c r="C13" s="17">
        <f>B13+C10</f>
        <v>-800000</v>
      </c>
      <c r="D13" s="17">
        <f>C13+D10</f>
        <v>-300000</v>
      </c>
      <c r="E13" s="17">
        <f>D13+E10</f>
        <v>150000</v>
      </c>
      <c r="F13" s="17">
        <f>E13+F10</f>
        <v>500000</v>
      </c>
    </row>
    <row r="14" spans="1:6" x14ac:dyDescent="0.3">
      <c r="A14" t="s">
        <v>154</v>
      </c>
      <c r="B14" s="17">
        <f>B12</f>
        <v>-1200000</v>
      </c>
      <c r="C14" s="17">
        <f>B14+C12</f>
        <v>-839639.63963963976</v>
      </c>
      <c r="D14" s="17">
        <f>C14+D12</f>
        <v>-433828.42301761243</v>
      </c>
      <c r="E14" s="17">
        <f>D14+E12</f>
        <v>-104792.30143218482</v>
      </c>
      <c r="F14" s="17">
        <f>E14+F12</f>
        <v>125763.53951856523</v>
      </c>
    </row>
    <row r="15" spans="1:6" x14ac:dyDescent="0.3">
      <c r="A15" s="26" t="s">
        <v>155</v>
      </c>
      <c r="B15" s="27">
        <v>0</v>
      </c>
      <c r="C15" s="27">
        <f>IF(AND(B13&lt;0,C13&gt;=0),B9-B13/C10,0)</f>
        <v>0</v>
      </c>
      <c r="D15" s="27">
        <f>IF(AND(C13&lt;0,D13&gt;=0),C9-C13/D10,0)</f>
        <v>0</v>
      </c>
      <c r="E15" s="27">
        <f>IF(AND(D13&lt;0,E13&gt;=0),D9-D13/E10,0)</f>
        <v>2.6666666666666665</v>
      </c>
      <c r="F15" s="27">
        <f>IF(AND(E13&lt;0,F13&gt;=0),E9-E13/F10,0)</f>
        <v>0</v>
      </c>
    </row>
    <row r="16" spans="1:6" x14ac:dyDescent="0.3">
      <c r="A16" s="26" t="s">
        <v>156</v>
      </c>
      <c r="B16" s="27">
        <v>0</v>
      </c>
      <c r="C16" s="27">
        <f>IF(AND(B14&lt;0,C14&gt;=0),B9-B14/C12,0)</f>
        <v>0</v>
      </c>
      <c r="D16" s="27">
        <f>IF(AND(C14&lt;0,D14&gt;=0),C9-C14/D12,0)</f>
        <v>0</v>
      </c>
      <c r="E16" s="27">
        <f>IF(AND(D14&lt;0,E14&gt;=0),D9-D14/E12,0)</f>
        <v>0</v>
      </c>
      <c r="F16" s="27">
        <f>IF(AND(E14&lt;0,F14&gt;=0),E9-E14/F12,0)</f>
        <v>3.4545202628571441</v>
      </c>
    </row>
    <row r="18" spans="1:2" x14ac:dyDescent="0.3">
      <c r="A18" s="61" t="s">
        <v>122</v>
      </c>
    </row>
    <row r="19" spans="1:2" x14ac:dyDescent="0.3">
      <c r="A19" t="s">
        <v>157</v>
      </c>
      <c r="B19" s="28">
        <f>SUM(C12:F12)</f>
        <v>1325763.5395185652</v>
      </c>
    </row>
    <row r="20" spans="1:2" x14ac:dyDescent="0.3">
      <c r="A20" s="9" t="s">
        <v>158</v>
      </c>
      <c r="B20" s="32">
        <f>SUM(B12:F12)</f>
        <v>125763.53951856523</v>
      </c>
    </row>
    <row r="21" spans="1:2" x14ac:dyDescent="0.3">
      <c r="A21" t="s">
        <v>159</v>
      </c>
      <c r="B21" s="28">
        <f>NPV(B6,C10:F10)+B10</f>
        <v>125763.53951856517</v>
      </c>
    </row>
    <row r="22" spans="1:2" x14ac:dyDescent="0.3">
      <c r="A22" t="s">
        <v>160</v>
      </c>
      <c r="B22" s="29">
        <f>IRR(B10:F10)</f>
        <v>0.15915305145917458</v>
      </c>
    </row>
    <row r="23" spans="1:2" x14ac:dyDescent="0.3">
      <c r="A23" t="s">
        <v>161</v>
      </c>
      <c r="B23" s="30">
        <f>B19/B5</f>
        <v>1.1048029495988043</v>
      </c>
    </row>
    <row r="24" spans="1:2" x14ac:dyDescent="0.3">
      <c r="A24" t="s">
        <v>162</v>
      </c>
      <c r="B24" s="31">
        <f>IF(SUM(B15:F15)=0,"Not recovered",SUM(B15:F15))</f>
        <v>2.6666666666666665</v>
      </c>
    </row>
    <row r="25" spans="1:2" x14ac:dyDescent="0.3">
      <c r="A25" t="s">
        <v>163</v>
      </c>
      <c r="B25" s="31">
        <f>IF(SUM(B16:F16)=0,"Not recovered",SUM(B16:F16))</f>
        <v>3.4545202628571441</v>
      </c>
    </row>
    <row r="26" spans="1:2" x14ac:dyDescent="0.3">
      <c r="A26" s="9" t="s">
        <v>164</v>
      </c>
      <c r="B26" s="35" t="str">
        <f>IF(B20&gt;0,"ACCEPT – NPV is positive and IRR exceeds the cost of capital","REJECT – NPV is negative")</f>
        <v>ACCEPT – NPV is positive and IRR exceeds the cost of capital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6A20-FF04-42EF-AE1B-170E24702DDA}">
  <dimension ref="A1:R70"/>
  <sheetViews>
    <sheetView showGridLines="0" tabSelected="1" zoomScale="73" workbookViewId="0">
      <selection activeCell="B12" sqref="B12:D12"/>
    </sheetView>
  </sheetViews>
  <sheetFormatPr defaultRowHeight="14.4" x14ac:dyDescent="0.3"/>
  <cols>
    <col min="1" max="1" width="2.5546875" customWidth="1"/>
    <col min="2" max="4" width="11.88671875" customWidth="1"/>
    <col min="5" max="5" width="2.5546875" customWidth="1"/>
    <col min="6" max="8" width="11.88671875" customWidth="1"/>
    <col min="9" max="9" width="2.5546875" customWidth="1"/>
    <col min="10" max="12" width="11.88671875" customWidth="1"/>
    <col min="13" max="13" width="2.5546875" customWidth="1"/>
    <col min="14" max="16" width="11.88671875" customWidth="1"/>
    <col min="17" max="17" width="2.5546875" customWidth="1"/>
  </cols>
  <sheetData>
    <row r="1" spans="1:18" ht="7.95" customHeight="1" x14ac:dyDescent="0.4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30" customHeight="1" x14ac:dyDescent="0.65">
      <c r="A2" s="67"/>
      <c r="B2" s="68" t="s">
        <v>385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3" spans="1:18" ht="18" customHeight="1" x14ac:dyDescent="0.4">
      <c r="A3" s="67"/>
      <c r="B3" s="69" t="s">
        <v>386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18" ht="7.95" customHeight="1" x14ac:dyDescent="0.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1:18" ht="19.95" customHeight="1" x14ac:dyDescent="0.4">
      <c r="A5" s="67"/>
      <c r="B5" s="78" t="s">
        <v>387</v>
      </c>
      <c r="C5" s="79"/>
      <c r="D5" s="79"/>
      <c r="E5" s="67"/>
      <c r="F5" s="73" t="s">
        <v>388</v>
      </c>
      <c r="G5" s="71"/>
      <c r="H5" s="71"/>
      <c r="I5" s="67"/>
      <c r="J5" s="73" t="s">
        <v>389</v>
      </c>
      <c r="K5" s="71"/>
      <c r="L5" s="71"/>
      <c r="M5" s="67"/>
      <c r="N5" s="73" t="s">
        <v>390</v>
      </c>
      <c r="O5" s="71"/>
      <c r="P5" s="71"/>
      <c r="Q5" s="67"/>
      <c r="R5" s="67"/>
    </row>
    <row r="6" spans="1:18" ht="40.049999999999997" customHeight="1" x14ac:dyDescent="0.4">
      <c r="A6" s="67"/>
      <c r="B6" s="80">
        <f>'Dashboard Data'!H5</f>
        <v>13594797.398000015</v>
      </c>
      <c r="C6" s="79"/>
      <c r="D6" s="79"/>
      <c r="E6" s="67"/>
      <c r="F6" s="74">
        <f>'Dashboard Data'!H6</f>
        <v>42076441.169</v>
      </c>
      <c r="G6" s="71"/>
      <c r="H6" s="71"/>
      <c r="I6" s="67"/>
      <c r="J6" s="74">
        <f>'Dashboard Data'!H7</f>
        <v>38659422.495000005</v>
      </c>
      <c r="K6" s="71"/>
      <c r="L6" s="71"/>
      <c r="M6" s="67"/>
      <c r="N6" s="74">
        <f>'Dashboard Data'!H8</f>
        <v>3417018.6739999983</v>
      </c>
      <c r="O6" s="71"/>
      <c r="P6" s="71"/>
      <c r="Q6" s="67"/>
      <c r="R6" s="67"/>
    </row>
    <row r="7" spans="1:18" ht="19.95" customHeight="1" x14ac:dyDescent="0.4">
      <c r="A7" s="67"/>
      <c r="B7" s="81" t="str">
        <f>"Total assets "&amp;TEXT('Dashboard Data'!H11/1000000,"0.00")&amp;"M"</f>
        <v>Total assets 49.12M</v>
      </c>
      <c r="C7" s="79"/>
      <c r="D7" s="79"/>
      <c r="E7" s="67"/>
      <c r="F7" s="75" t="str">
        <f>"Oct "&amp;TEXT('Dashboard Data'!I6/1000000,"0.00;-0.00")&amp;"M  |  Sep "&amp;TEXT('Dashboard Data'!J6/1000000,"0.00;-0.00")&amp;"M"</f>
        <v>Oct 5.54M  |  Sep 6.95M</v>
      </c>
      <c r="G7" s="71"/>
      <c r="H7" s="71"/>
      <c r="I7" s="67"/>
      <c r="J7" s="75" t="str">
        <f>"Oct "&amp;TEXT('Dashboard Data'!I7/1000000,"0.00;-0.00")&amp;"M  |  Sep "&amp;TEXT('Dashboard Data'!J7/1000000,"0.00;-0.00")&amp;"M"</f>
        <v>Oct 5.73M  |  Sep 5.65M</v>
      </c>
      <c r="K7" s="71"/>
      <c r="L7" s="71"/>
      <c r="M7" s="67"/>
      <c r="N7" s="75" t="str">
        <f>"Oct "&amp;TEXT('Dashboard Data'!I8/1000000,"0.00;-0.00")&amp;"M  |  Sep "&amp;TEXT('Dashboard Data'!J8/1000000,"0.00;-0.00")&amp;"M"</f>
        <v>Oct -0.19M  |  Sep 1.29M</v>
      </c>
      <c r="O7" s="71"/>
      <c r="P7" s="71"/>
      <c r="Q7" s="67"/>
      <c r="R7" s="67"/>
    </row>
    <row r="8" spans="1:18" ht="7.95" customHeight="1" x14ac:dyDescent="0.4">
      <c r="A8" s="67"/>
      <c r="B8" s="70"/>
      <c r="C8" s="70"/>
      <c r="D8" s="70"/>
      <c r="E8" s="67"/>
      <c r="F8" s="72"/>
      <c r="G8" s="72"/>
      <c r="H8" s="72"/>
      <c r="I8" s="67"/>
      <c r="J8" s="72"/>
      <c r="K8" s="72"/>
      <c r="L8" s="72"/>
      <c r="M8" s="67"/>
      <c r="N8" s="72"/>
      <c r="O8" s="72"/>
      <c r="P8" s="72"/>
      <c r="Q8" s="67"/>
      <c r="R8" s="67"/>
    </row>
    <row r="9" spans="1:18" ht="12" customHeight="1" x14ac:dyDescent="0.4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</row>
    <row r="10" spans="1:18" ht="19.95" customHeight="1" x14ac:dyDescent="0.4">
      <c r="A10" s="67"/>
      <c r="B10" s="78" t="s">
        <v>391</v>
      </c>
      <c r="C10" s="79"/>
      <c r="D10" s="79"/>
      <c r="E10" s="67"/>
      <c r="F10" s="73" t="s">
        <v>181</v>
      </c>
      <c r="G10" s="71"/>
      <c r="H10" s="71"/>
      <c r="I10" s="67"/>
      <c r="J10" s="73" t="s">
        <v>392</v>
      </c>
      <c r="K10" s="71"/>
      <c r="L10" s="71"/>
      <c r="M10" s="67"/>
      <c r="N10" s="73" t="s">
        <v>393</v>
      </c>
      <c r="O10" s="71"/>
      <c r="P10" s="71"/>
      <c r="Q10" s="67"/>
      <c r="R10" s="67"/>
    </row>
    <row r="11" spans="1:18" ht="40.049999999999997" customHeight="1" x14ac:dyDescent="0.4">
      <c r="A11" s="67"/>
      <c r="B11" s="82" t="str">
        <f>UPPER('Dashboard Data'!H9)</f>
        <v>GOOD</v>
      </c>
      <c r="C11" s="79"/>
      <c r="D11" s="79"/>
      <c r="E11" s="67"/>
      <c r="F11" s="76">
        <f>'Dashboard Data'!H14</f>
        <v>0.80446982444351467</v>
      </c>
      <c r="G11" s="71"/>
      <c r="H11" s="71"/>
      <c r="I11" s="67"/>
      <c r="J11" s="76">
        <f>'Dashboard Data'!H15</f>
        <v>0.20351335537681903</v>
      </c>
      <c r="K11" s="71"/>
      <c r="L11" s="71"/>
      <c r="M11" s="67"/>
      <c r="N11" s="77">
        <f>'Dashboard Data'!H16</f>
        <v>144.70413397030569</v>
      </c>
      <c r="O11" s="71"/>
      <c r="P11" s="71"/>
      <c r="Q11" s="67"/>
      <c r="R11" s="67"/>
    </row>
    <row r="12" spans="1:18" ht="19.95" customHeight="1" x14ac:dyDescent="0.4">
      <c r="A12" s="67"/>
      <c r="B12" s="81" t="str">
        <f>"Average ratio score "&amp;TEXT('Dashboard Data'!H10,"0.00")&amp;" / 3"</f>
        <v>Average ratio score 1.67 / 3</v>
      </c>
      <c r="C12" s="79"/>
      <c r="D12" s="79"/>
      <c r="E12" s="67"/>
      <c r="F12" s="75" t="str">
        <f>"Rating: "&amp;'Dashboard Data'!I14</f>
        <v>Rating: Excellent</v>
      </c>
      <c r="G12" s="71"/>
      <c r="H12" s="71"/>
      <c r="I12" s="67"/>
      <c r="J12" s="75" t="str">
        <f>"Rating: "&amp;'Dashboard Data'!I15</f>
        <v>Rating: Excellent</v>
      </c>
      <c r="K12" s="71"/>
      <c r="L12" s="71"/>
      <c r="M12" s="67"/>
      <c r="N12" s="75" t="str">
        <f>"Rating: "&amp;'Dashboard Data'!I16</f>
        <v>Rating: Bad</v>
      </c>
      <c r="O12" s="71"/>
      <c r="P12" s="71"/>
      <c r="Q12" s="67"/>
      <c r="R12" s="67"/>
    </row>
    <row r="13" spans="1:18" ht="7.95" customHeight="1" x14ac:dyDescent="0.4">
      <c r="A13" s="67"/>
      <c r="B13" s="70"/>
      <c r="C13" s="70"/>
      <c r="D13" s="70"/>
      <c r="E13" s="67"/>
      <c r="F13" s="72"/>
      <c r="G13" s="72"/>
      <c r="H13" s="72"/>
      <c r="I13" s="67"/>
      <c r="J13" s="72"/>
      <c r="K13" s="72"/>
      <c r="L13" s="72"/>
      <c r="M13" s="67"/>
      <c r="N13" s="72"/>
      <c r="O13" s="72"/>
      <c r="P13" s="72"/>
      <c r="Q13" s="67"/>
      <c r="R13" s="67"/>
    </row>
    <row r="14" spans="1:18" ht="12" customHeight="1" x14ac:dyDescent="0.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</row>
    <row r="15" spans="1:18" ht="16.8" x14ac:dyDescent="0.4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</row>
    <row r="16" spans="1:18" ht="16.8" x14ac:dyDescent="0.4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</row>
    <row r="17" spans="1:18" ht="16.8" x14ac:dyDescent="0.4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1:18" ht="16.8" x14ac:dyDescent="0.4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</row>
    <row r="19" spans="1:18" ht="16.8" x14ac:dyDescent="0.4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</row>
    <row r="20" spans="1:18" ht="16.8" x14ac:dyDescent="0.4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</row>
    <row r="21" spans="1:18" ht="16.8" x14ac:dyDescent="0.4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</row>
    <row r="22" spans="1:18" ht="16.8" x14ac:dyDescent="0.4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</row>
    <row r="23" spans="1:18" ht="16.8" x14ac:dyDescent="0.4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</row>
    <row r="24" spans="1:18" ht="16.8" x14ac:dyDescent="0.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</row>
    <row r="25" spans="1:18" ht="16.8" x14ac:dyDescent="0.4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spans="1:18" ht="16.8" x14ac:dyDescent="0.4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spans="1:18" ht="16.8" x14ac:dyDescent="0.4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18" ht="16.8" x14ac:dyDescent="0.4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ht="16.8" x14ac:dyDescent="0.4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 ht="16.8" x14ac:dyDescent="0.4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1:18" ht="16.8" x14ac:dyDescent="0.4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  <row r="32" spans="1:18" ht="16.8" x14ac:dyDescent="0.4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</row>
    <row r="33" spans="1:18" ht="16.8" x14ac:dyDescent="0.4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</row>
    <row r="34" spans="1:18" ht="16.8" x14ac:dyDescent="0.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</row>
    <row r="35" spans="1:18" ht="16.8" x14ac:dyDescent="0.4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</row>
    <row r="36" spans="1:18" ht="16.8" x14ac:dyDescent="0.4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</row>
    <row r="37" spans="1:18" ht="16.8" x14ac:dyDescent="0.4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</row>
    <row r="38" spans="1:18" ht="16.8" x14ac:dyDescent="0.4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</row>
    <row r="39" spans="1:18" ht="16.8" x14ac:dyDescent="0.4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</row>
    <row r="40" spans="1:18" ht="16.8" x14ac:dyDescent="0.4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</row>
    <row r="41" spans="1:18" ht="16.8" x14ac:dyDescent="0.4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</row>
    <row r="42" spans="1:18" ht="16.8" x14ac:dyDescent="0.4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</row>
    <row r="43" spans="1:18" ht="16.8" x14ac:dyDescent="0.4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</row>
    <row r="44" spans="1:18" ht="16.8" x14ac:dyDescent="0.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  <row r="45" spans="1:18" ht="16.8" x14ac:dyDescent="0.4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</row>
    <row r="46" spans="1:18" ht="16.8" x14ac:dyDescent="0.4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</row>
    <row r="47" spans="1:18" ht="16.8" x14ac:dyDescent="0.4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</row>
    <row r="48" spans="1:18" ht="16.8" x14ac:dyDescent="0.4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</row>
    <row r="49" spans="1:18" ht="16.8" x14ac:dyDescent="0.4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</row>
    <row r="50" spans="1:18" ht="16.8" x14ac:dyDescent="0.4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</row>
    <row r="51" spans="1:18" ht="16.8" x14ac:dyDescent="0.4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</row>
    <row r="52" spans="1:18" ht="16.8" x14ac:dyDescent="0.4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</row>
    <row r="53" spans="1:18" ht="16.8" x14ac:dyDescent="0.4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</row>
    <row r="54" spans="1:18" ht="16.8" x14ac:dyDescent="0.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</row>
    <row r="55" spans="1:18" ht="16.8" x14ac:dyDescent="0.4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</row>
    <row r="56" spans="1:18" ht="16.8" x14ac:dyDescent="0.4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</row>
    <row r="57" spans="1:18" ht="16.8" x14ac:dyDescent="0.4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</row>
    <row r="58" spans="1:18" ht="16.8" x14ac:dyDescent="0.4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</row>
    <row r="59" spans="1:18" ht="16.8" x14ac:dyDescent="0.4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</row>
    <row r="60" spans="1:18" ht="16.8" x14ac:dyDescent="0.4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</row>
    <row r="61" spans="1:18" ht="16.8" x14ac:dyDescent="0.4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</row>
    <row r="62" spans="1:18" ht="16.8" x14ac:dyDescent="0.4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</row>
    <row r="63" spans="1:18" ht="16.8" x14ac:dyDescent="0.4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</row>
    <row r="64" spans="1:18" ht="16.8" x14ac:dyDescent="0.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</row>
    <row r="65" spans="1:18" ht="16.8" x14ac:dyDescent="0.4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</row>
    <row r="66" spans="1:18" ht="16.8" x14ac:dyDescent="0.4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</row>
    <row r="67" spans="1:18" ht="16.8" x14ac:dyDescent="0.4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</row>
    <row r="68" spans="1:18" ht="16.8" x14ac:dyDescent="0.4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</row>
    <row r="69" spans="1:18" ht="16.8" x14ac:dyDescent="0.4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</row>
    <row r="70" spans="1:18" ht="16.8" x14ac:dyDescent="0.4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</row>
  </sheetData>
  <mergeCells count="24">
    <mergeCell ref="J10:L10"/>
    <mergeCell ref="J11:L11"/>
    <mergeCell ref="J12:L12"/>
    <mergeCell ref="N10:P10"/>
    <mergeCell ref="N11:P11"/>
    <mergeCell ref="N12:P12"/>
    <mergeCell ref="B10:D10"/>
    <mergeCell ref="B11:D11"/>
    <mergeCell ref="B12:D12"/>
    <mergeCell ref="F10:H10"/>
    <mergeCell ref="F11:H11"/>
    <mergeCell ref="F12:H12"/>
    <mergeCell ref="J5:L5"/>
    <mergeCell ref="J6:L6"/>
    <mergeCell ref="J7:L7"/>
    <mergeCell ref="N5:P5"/>
    <mergeCell ref="N6:P6"/>
    <mergeCell ref="N7:P7"/>
    <mergeCell ref="B5:D5"/>
    <mergeCell ref="B6:D6"/>
    <mergeCell ref="B7:D7"/>
    <mergeCell ref="F5:H5"/>
    <mergeCell ref="F6:H6"/>
    <mergeCell ref="F7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9740-EF0D-407A-9A12-A7A68A0BEB09}">
  <dimension ref="A1:H43"/>
  <sheetViews>
    <sheetView showGridLines="0" topLeftCell="A17" workbookViewId="0">
      <selection activeCell="C28" sqref="C28"/>
    </sheetView>
  </sheetViews>
  <sheetFormatPr defaultRowHeight="14.4" x14ac:dyDescent="0.3"/>
  <cols>
    <col min="1" max="1" width="55.5546875" customWidth="1"/>
    <col min="2" max="5" width="20.33203125" customWidth="1"/>
  </cols>
  <sheetData>
    <row r="1" spans="1:5" ht="18" x14ac:dyDescent="0.35">
      <c r="A1" s="7" t="s">
        <v>321</v>
      </c>
    </row>
    <row r="2" spans="1:5" x14ac:dyDescent="0.3">
      <c r="A2" s="8" t="s">
        <v>345</v>
      </c>
    </row>
    <row r="4" spans="1:5" x14ac:dyDescent="0.3">
      <c r="A4" s="57" t="s">
        <v>322</v>
      </c>
      <c r="B4" s="60" t="s">
        <v>40</v>
      </c>
    </row>
    <row r="5" spans="1:5" x14ac:dyDescent="0.3">
      <c r="A5" t="s">
        <v>267</v>
      </c>
      <c r="B5" s="36">
        <f>'Income Statement'!I8</f>
        <v>41709629.932000004</v>
      </c>
    </row>
    <row r="6" spans="1:5" x14ac:dyDescent="0.3">
      <c r="A6" t="s">
        <v>269</v>
      </c>
      <c r="B6" s="36">
        <f>'Income Statement'!I13</f>
        <v>33554138.669000003</v>
      </c>
    </row>
    <row r="7" spans="1:5" x14ac:dyDescent="0.3">
      <c r="A7" t="s">
        <v>270</v>
      </c>
      <c r="B7" s="36">
        <f>'Income Statement'!I27</f>
        <v>4356663.0500000045</v>
      </c>
    </row>
    <row r="8" spans="1:5" x14ac:dyDescent="0.3">
      <c r="A8" t="s">
        <v>272</v>
      </c>
      <c r="B8" s="36">
        <f>'Income Statement'!I34</f>
        <v>3417018.6740000043</v>
      </c>
    </row>
    <row r="9" spans="1:5" x14ac:dyDescent="0.3">
      <c r="A9" t="s">
        <v>323</v>
      </c>
      <c r="B9" s="36">
        <f>'Balance Sheet'!H17</f>
        <v>49124963.644000016</v>
      </c>
    </row>
    <row r="10" spans="1:5" x14ac:dyDescent="0.3">
      <c r="A10" t="s">
        <v>324</v>
      </c>
      <c r="B10" s="36">
        <f>'Balance Sheet'!H27</f>
        <v>20341858.522</v>
      </c>
    </row>
    <row r="11" spans="1:5" x14ac:dyDescent="0.3">
      <c r="A11" t="s">
        <v>325</v>
      </c>
      <c r="B11" s="36">
        <f>'Balance Sheet'!H32</f>
        <v>28783105.105999991</v>
      </c>
    </row>
    <row r="12" spans="1:5" x14ac:dyDescent="0.3">
      <c r="A12" t="s">
        <v>326</v>
      </c>
      <c r="B12" s="36">
        <f>'Balance Sheet'!H7</f>
        <v>13594797.398000015</v>
      </c>
    </row>
    <row r="13" spans="1:5" x14ac:dyDescent="0.3">
      <c r="A13" t="s">
        <v>327</v>
      </c>
      <c r="B13" s="36">
        <f>'Cash Flow'!I15</f>
        <v>2184440.503999989</v>
      </c>
    </row>
    <row r="14" spans="1:5" x14ac:dyDescent="0.3">
      <c r="A14" t="s">
        <v>328</v>
      </c>
      <c r="B14" s="36">
        <f>'Cash Flow'!I27</f>
        <v>-5026410.1190000186</v>
      </c>
    </row>
    <row r="16" spans="1:5" x14ac:dyDescent="0.3">
      <c r="A16" s="57" t="s">
        <v>329</v>
      </c>
      <c r="B16" s="56" t="s">
        <v>330</v>
      </c>
      <c r="C16" s="56" t="s">
        <v>331</v>
      </c>
      <c r="D16" s="56" t="s">
        <v>316</v>
      </c>
      <c r="E16" s="56" t="s">
        <v>317</v>
      </c>
    </row>
    <row r="17" spans="1:5" x14ac:dyDescent="0.3">
      <c r="A17" t="str">
        <f>Ratios!A26</f>
        <v>Liquidity – Current Ratio</v>
      </c>
      <c r="B17" s="30">
        <f>Ratios!H26</f>
        <v>2.7021586761089953</v>
      </c>
      <c r="C17" s="18" t="str">
        <f>Ratios!I26</f>
        <v>Caution</v>
      </c>
      <c r="D17" s="18" t="str">
        <f>Ratios!J26</f>
        <v>Average</v>
      </c>
      <c r="E17" s="18">
        <f>IF(D17="N/A","",INDEX(Ratios!$B$50:$B$53,MATCH(D17,Ratios!$A$50:$A$53,0)))</f>
        <v>1</v>
      </c>
    </row>
    <row r="18" spans="1:5" x14ac:dyDescent="0.3">
      <c r="A18" t="str">
        <f>Ratios!A27</f>
        <v>Liquidity – Quick Ratio</v>
      </c>
      <c r="B18" s="30">
        <f>Ratios!H27</f>
        <v>2.50525548616779</v>
      </c>
      <c r="C18" s="18" t="str">
        <f>Ratios!I27</f>
        <v>Caution</v>
      </c>
      <c r="D18" s="18" t="str">
        <f>Ratios!J27</f>
        <v>Average</v>
      </c>
      <c r="E18" s="18">
        <f>IF(D18="N/A","",INDEX(Ratios!$B$50:$B$53,MATCH(D18,Ratios!$A$50:$A$53,0)))</f>
        <v>1</v>
      </c>
    </row>
    <row r="19" spans="1:5" x14ac:dyDescent="0.3">
      <c r="A19" t="str">
        <f>Ratios!A28</f>
        <v>Solvency – Debt-to-Equity</v>
      </c>
      <c r="B19" s="30">
        <f>Ratios!H28</f>
        <v>0.57965456463285048</v>
      </c>
      <c r="C19" s="18" t="str">
        <f>Ratios!I28</f>
        <v>Balanced</v>
      </c>
      <c r="D19" s="18" t="str">
        <f>Ratios!J28</f>
        <v>Average</v>
      </c>
      <c r="E19" s="18">
        <f>IF(D19="N/A","",INDEX(Ratios!$B$50:$B$53,MATCH(D19,Ratios!$A$50:$A$53,0)))</f>
        <v>1</v>
      </c>
    </row>
    <row r="20" spans="1:5" x14ac:dyDescent="0.3">
      <c r="A20" t="str">
        <f>Ratios!A29</f>
        <v>Solvency – Interest Coverage</v>
      </c>
      <c r="B20" s="42">
        <f>Ratios!H29</f>
        <v>27.058227554984409</v>
      </c>
      <c r="C20" s="18" t="str">
        <f>Ratios!I29</f>
        <v>Excellent</v>
      </c>
      <c r="D20" s="18" t="str">
        <f>Ratios!J29</f>
        <v>Excellent</v>
      </c>
      <c r="E20" s="18">
        <f>IF(D20="N/A","",INDEX(Ratios!$B$50:$B$53,MATCH(D20,Ratios!$A$50:$A$53,0)))</f>
        <v>3</v>
      </c>
    </row>
    <row r="21" spans="1:5" x14ac:dyDescent="0.3">
      <c r="A21" t="str">
        <f>Ratios!A30</f>
        <v>Efficiency – Days Sales Outstanding</v>
      </c>
      <c r="B21" s="43">
        <f>Ratios!H30</f>
        <v>144.70413397030569</v>
      </c>
      <c r="C21" s="18" t="str">
        <f>Ratios!I30</f>
        <v>Poor</v>
      </c>
      <c r="D21" s="18" t="str">
        <f>Ratios!J30</f>
        <v>Bad</v>
      </c>
      <c r="E21" s="18">
        <f>IF(D21="N/A","",INDEX(Ratios!$B$50:$B$53,MATCH(D21,Ratios!$A$50:$A$53,0)))</f>
        <v>0</v>
      </c>
    </row>
    <row r="22" spans="1:5" x14ac:dyDescent="0.3">
      <c r="A22" t="str">
        <f>Ratios!A31</f>
        <v>Efficiency – Asset Turnover</v>
      </c>
      <c r="B22" s="30">
        <f>Ratios!H31</f>
        <v>1.4555170617272204</v>
      </c>
      <c r="C22" s="18" t="str">
        <f>Ratios!I31</f>
        <v>Average</v>
      </c>
      <c r="D22" s="18" t="str">
        <f>Ratios!J31</f>
        <v>Average</v>
      </c>
      <c r="E22" s="18">
        <f>IF(D22="N/A","",INDEX(Ratios!$B$50:$B$53,MATCH(D22,Ratios!$A$50:$A$53,0)))</f>
        <v>1</v>
      </c>
    </row>
    <row r="23" spans="1:5" x14ac:dyDescent="0.3">
      <c r="A23" t="str">
        <f>Ratios!A32</f>
        <v>Profitability – Gross Profit Margin</v>
      </c>
      <c r="B23" s="44">
        <f>Ratios!H32</f>
        <v>0.80446982444351467</v>
      </c>
      <c r="C23" s="18" t="str">
        <f>Ratios!I32</f>
        <v>Excellent</v>
      </c>
      <c r="D23" s="18" t="str">
        <f>Ratios!J32</f>
        <v>Excellent</v>
      </c>
      <c r="E23" s="18">
        <f>IF(D23="N/A","",INDEX(Ratios!$B$50:$B$53,MATCH(D23,Ratios!$A$50:$A$53,0)))</f>
        <v>3</v>
      </c>
    </row>
    <row r="24" spans="1:5" x14ac:dyDescent="0.3">
      <c r="A24" t="str">
        <f>Ratios!A33</f>
        <v>Profitability – Return on Assets</v>
      </c>
      <c r="B24" s="44">
        <f>Ratios!H33</f>
        <v>0.1192417431743211</v>
      </c>
      <c r="C24" s="18" t="str">
        <f>Ratios!I33</f>
        <v>Good</v>
      </c>
      <c r="D24" s="18" t="str">
        <f>Ratios!J33</f>
        <v>Good</v>
      </c>
      <c r="E24" s="18">
        <f>IF(D24="N/A","",INDEX(Ratios!$B$50:$B$53,MATCH(D24,Ratios!$A$50:$A$53,0)))</f>
        <v>2</v>
      </c>
    </row>
    <row r="25" spans="1:5" x14ac:dyDescent="0.3">
      <c r="A25" t="str">
        <f>Ratios!A34</f>
        <v>Profitability – Return on Equity</v>
      </c>
      <c r="B25" s="44">
        <f>Ratios!H34</f>
        <v>0.20351335537681903</v>
      </c>
      <c r="C25" s="18" t="str">
        <f>Ratios!I34</f>
        <v>Excellent</v>
      </c>
      <c r="D25" s="18" t="str">
        <f>Ratios!J34</f>
        <v>Excellent</v>
      </c>
      <c r="E25" s="18">
        <f>IF(D25="N/A","",INDEX(Ratios!$B$50:$B$53,MATCH(D25,Ratios!$A$50:$A$53,0)))</f>
        <v>3</v>
      </c>
    </row>
    <row r="27" spans="1:5" x14ac:dyDescent="0.3">
      <c r="A27" s="57" t="s">
        <v>332</v>
      </c>
      <c r="B27" s="57" t="s">
        <v>334</v>
      </c>
    </row>
    <row r="28" spans="1:5" x14ac:dyDescent="0.3">
      <c r="A28" t="s">
        <v>333</v>
      </c>
      <c r="B28" s="51">
        <f>COUNT(E17:E25)</f>
        <v>9</v>
      </c>
    </row>
    <row r="29" spans="1:5" x14ac:dyDescent="0.3">
      <c r="A29" t="s">
        <v>310</v>
      </c>
      <c r="B29" s="51">
        <f>COUNTIF($D$17:$D$25,A29)</f>
        <v>3</v>
      </c>
    </row>
    <row r="30" spans="1:5" x14ac:dyDescent="0.3">
      <c r="A30" t="s">
        <v>304</v>
      </c>
      <c r="B30" s="51">
        <f>COUNTIF($D$17:$D$25,A30)</f>
        <v>1</v>
      </c>
    </row>
    <row r="31" spans="1:5" x14ac:dyDescent="0.3">
      <c r="A31" t="s">
        <v>305</v>
      </c>
      <c r="B31" s="51">
        <f>COUNTIF($D$17:$D$25,A31)</f>
        <v>4</v>
      </c>
    </row>
    <row r="32" spans="1:5" x14ac:dyDescent="0.3">
      <c r="A32" t="s">
        <v>303</v>
      </c>
      <c r="B32" s="51">
        <f>COUNTIF($D$17:$D$25,A32)</f>
        <v>1</v>
      </c>
    </row>
    <row r="33" spans="1:8" x14ac:dyDescent="0.3">
      <c r="A33" t="s">
        <v>335</v>
      </c>
      <c r="B33" s="52">
        <f>AVERAGE(E17:E25)</f>
        <v>1.6666666666666667</v>
      </c>
    </row>
    <row r="34" spans="1:8" x14ac:dyDescent="0.3">
      <c r="A34" s="9" t="s">
        <v>336</v>
      </c>
      <c r="B34" s="54" t="str">
        <f>IF(B33&gt;=Ratios!E50,Ratios!D50,IF(B33&gt;=Ratios!E51,Ratios!D51,IF(B33&gt;=Ratios!E52,Ratios!D52,Ratios!D53)))</f>
        <v>Good</v>
      </c>
    </row>
    <row r="35" spans="1:8" x14ac:dyDescent="0.3">
      <c r="A35" t="s">
        <v>337</v>
      </c>
      <c r="B35" s="53" t="str" cm="1">
        <f t="array" ref="B35">IF(B32=0,"None",_xlfn.TEXTJOIN(", ",TRUE,IF(D17:D25="Bad",A17:A25,"")))</f>
        <v>Efficiency – Days Sales Outstanding</v>
      </c>
    </row>
    <row r="37" spans="1:8" x14ac:dyDescent="0.3">
      <c r="A37" s="57" t="s">
        <v>338</v>
      </c>
      <c r="B37" s="57" t="s">
        <v>339</v>
      </c>
    </row>
    <row r="38" spans="1:8" x14ac:dyDescent="0.3">
      <c r="A38" t="s">
        <v>340</v>
      </c>
      <c r="B38" s="55" t="str" cm="1">
        <f t="array" ref="B38">IF(SUMPRODUCT(ABS('Balance Sheet'!B35:H35))=0,"OK","ERROR")</f>
        <v>OK</v>
      </c>
    </row>
    <row r="39" spans="1:8" x14ac:dyDescent="0.3">
      <c r="A39" t="s">
        <v>341</v>
      </c>
      <c r="B39" s="55" t="str" cm="1">
        <f t="array" ref="B39">IF(SUMPRODUCT(ABS('Cash Flow'!C31:I31))=0,"OK","ERROR")</f>
        <v>OK</v>
      </c>
    </row>
    <row r="40" spans="1:8" x14ac:dyDescent="0.3">
      <c r="A40" t="s">
        <v>342</v>
      </c>
      <c r="B40" s="55" t="str">
        <f>IF('Income Statement'!I37=0,"OK","ERROR")</f>
        <v>OK</v>
      </c>
    </row>
    <row r="41" spans="1:8" x14ac:dyDescent="0.3">
      <c r="A41" t="s">
        <v>343</v>
      </c>
      <c r="B41" s="55" t="str" cm="1">
        <f t="array" ref="B41">IF(SUMPRODUCT(ABS('TB Summary'!E37:K38))=0,"OK","ERROR")</f>
        <v>OK</v>
      </c>
    </row>
    <row r="43" spans="1:8" x14ac:dyDescent="0.3">
      <c r="A43" s="63" t="s">
        <v>344</v>
      </c>
      <c r="B43" s="64" t="str">
        <f>"Overall business health: "&amp;UPPER(B34)&amp;"."</f>
        <v>Overall business health: GOOD.</v>
      </c>
      <c r="C43" s="62"/>
      <c r="D43" s="62"/>
      <c r="E43" s="62"/>
      <c r="F43" s="62"/>
      <c r="G43" s="62"/>
      <c r="H43" s="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734F-D9AC-4117-B3F8-E1C3A7FEFA8F}">
  <dimension ref="A1:I37"/>
  <sheetViews>
    <sheetView showGridLines="0" workbookViewId="0"/>
  </sheetViews>
  <sheetFormatPr defaultRowHeight="14.4" x14ac:dyDescent="0.3"/>
  <cols>
    <col min="1" max="1" width="55.5546875" customWidth="1"/>
    <col min="2" max="9" width="16.6640625" customWidth="1"/>
  </cols>
  <sheetData>
    <row r="1" spans="1:9" ht="18" x14ac:dyDescent="0.35">
      <c r="A1" s="7" t="s">
        <v>171</v>
      </c>
    </row>
    <row r="2" spans="1:9" x14ac:dyDescent="0.3">
      <c r="A2" s="8" t="s">
        <v>347</v>
      </c>
    </row>
    <row r="4" spans="1:9" x14ac:dyDescent="0.3">
      <c r="A4" s="57" t="s">
        <v>172</v>
      </c>
      <c r="B4" s="59">
        <f>'TB Summary'!E$4</f>
        <v>45777</v>
      </c>
      <c r="C4" s="59">
        <f>'TB Summary'!F$4</f>
        <v>45808</v>
      </c>
      <c r="D4" s="59">
        <f>'TB Summary'!G$4</f>
        <v>45838</v>
      </c>
      <c r="E4" s="59">
        <f>'TB Summary'!H$4</f>
        <v>45869</v>
      </c>
      <c r="F4" s="59">
        <f>'TB Summary'!I$4</f>
        <v>45900</v>
      </c>
      <c r="G4" s="59">
        <f>'TB Summary'!J$4</f>
        <v>45930</v>
      </c>
      <c r="H4" s="59">
        <f>'TB Summary'!K$4</f>
        <v>45961</v>
      </c>
      <c r="I4" s="56" t="s">
        <v>173</v>
      </c>
    </row>
    <row r="5" spans="1:9" x14ac:dyDescent="0.3">
      <c r="A5" s="61" t="s">
        <v>92</v>
      </c>
    </row>
    <row r="6" spans="1:9" x14ac:dyDescent="0.3">
      <c r="A6" t="s">
        <v>94</v>
      </c>
      <c r="B6" s="36">
        <f>-'TB Summary'!E17</f>
        <v>5289325.3129999992</v>
      </c>
      <c r="C6" s="36">
        <f>-('TB Summary'!F17-'TB Summary'!E17)</f>
        <v>5772412.8200000003</v>
      </c>
      <c r="D6" s="36">
        <f>-('TB Summary'!G17-'TB Summary'!F17)</f>
        <v>6831641.4680000003</v>
      </c>
      <c r="E6" s="36">
        <f>-('TB Summary'!H17-'TB Summary'!G17)</f>
        <v>5172161.310999997</v>
      </c>
      <c r="F6" s="36">
        <f>-('TB Summary'!I17-'TB Summary'!H17)</f>
        <v>6356565.9210000001</v>
      </c>
      <c r="G6" s="36">
        <f>-('TB Summary'!J17-'TB Summary'!I17)</f>
        <v>6948556.3040000126</v>
      </c>
      <c r="H6" s="36">
        <f>-('TB Summary'!K17-'TB Summary'!J17)</f>
        <v>5564437.9039999843</v>
      </c>
      <c r="I6" s="17">
        <f>SUM(B6:H6)</f>
        <v>41935101.040999994</v>
      </c>
    </row>
    <row r="7" spans="1:9" x14ac:dyDescent="0.3">
      <c r="A7" t="s">
        <v>174</v>
      </c>
      <c r="B7" s="36">
        <f>-'TB Summary'!E16</f>
        <v>3526.5649999999296</v>
      </c>
      <c r="C7" s="36">
        <f>-('TB Summary'!F16-'TB Summary'!E16)</f>
        <v>-57232.762000002287</v>
      </c>
      <c r="D7" s="36">
        <f>-('TB Summary'!G16-'TB Summary'!F16)</f>
        <v>-40515.734999998094</v>
      </c>
      <c r="E7" s="36">
        <f>-('TB Summary'!H16-'TB Summary'!G16)</f>
        <v>-14122.435000001395</v>
      </c>
      <c r="F7" s="36">
        <f>-('TB Summary'!I16-'TB Summary'!H16)</f>
        <v>-7675.8369999918505</v>
      </c>
      <c r="G7" s="36">
        <f>-('TB Summary'!J16-'TB Summary'!I16)</f>
        <v>-42807.841000010711</v>
      </c>
      <c r="H7" s="36">
        <f>-('TB Summary'!K16-'TB Summary'!J16)</f>
        <v>-66643.063999989157</v>
      </c>
      <c r="I7" s="17">
        <f>SUM(B7:H7)</f>
        <v>-225471.10899999356</v>
      </c>
    </row>
    <row r="8" spans="1:9" x14ac:dyDescent="0.3">
      <c r="A8" s="20" t="s">
        <v>175</v>
      </c>
      <c r="B8" s="21">
        <f>B6+B7</f>
        <v>5292851.8779999986</v>
      </c>
      <c r="C8" s="21">
        <f>C6+C7</f>
        <v>5715180.0579999983</v>
      </c>
      <c r="D8" s="21">
        <f>D6+D7</f>
        <v>6791125.7330000019</v>
      </c>
      <c r="E8" s="21">
        <f>E6+E7</f>
        <v>5158038.8759999955</v>
      </c>
      <c r="F8" s="21">
        <f>F6+F7</f>
        <v>6348890.0840000082</v>
      </c>
      <c r="G8" s="21">
        <f>G6+G7</f>
        <v>6905748.4630000023</v>
      </c>
      <c r="H8" s="21">
        <f>H6+H7</f>
        <v>5497794.8399999952</v>
      </c>
      <c r="I8" s="21">
        <f>I6+I7</f>
        <v>41709629.932000004</v>
      </c>
    </row>
    <row r="9" spans="1:9" x14ac:dyDescent="0.3">
      <c r="A9" s="61" t="s">
        <v>176</v>
      </c>
      <c r="B9" s="17"/>
      <c r="C9" s="17"/>
      <c r="D9" s="17"/>
      <c r="E9" s="17"/>
      <c r="F9" s="17"/>
      <c r="G9" s="17"/>
      <c r="H9" s="17"/>
      <c r="I9" s="17"/>
    </row>
    <row r="10" spans="1:9" x14ac:dyDescent="0.3">
      <c r="A10" t="s">
        <v>177</v>
      </c>
      <c r="B10" s="36">
        <f>-'TB Summary'!E24</f>
        <v>-222457.77699999997</v>
      </c>
      <c r="C10" s="36">
        <f>-('TB Summary'!F24-'TB Summary'!E24)</f>
        <v>-271587.43399999989</v>
      </c>
      <c r="D10" s="36">
        <f>-('TB Summary'!G24-'TB Summary'!F24)</f>
        <v>-191123.26000000013</v>
      </c>
      <c r="E10" s="36">
        <f>-('TB Summary'!H24-'TB Summary'!G24)</f>
        <v>-187052.03099999996</v>
      </c>
      <c r="F10" s="36">
        <f>-('TB Summary'!I24-'TB Summary'!H24)</f>
        <v>-223471.87399999995</v>
      </c>
      <c r="G10" s="36">
        <f>-('TB Summary'!J24-'TB Summary'!I24)</f>
        <v>-184173.74800000014</v>
      </c>
      <c r="H10" s="36">
        <f>-('TB Summary'!K24-'TB Summary'!J24)</f>
        <v>-201042.49399999995</v>
      </c>
      <c r="I10" s="17">
        <f>SUM(B10:H10)</f>
        <v>-1480908.618</v>
      </c>
    </row>
    <row r="11" spans="1:9" x14ac:dyDescent="0.3">
      <c r="A11" t="s">
        <v>178</v>
      </c>
      <c r="B11" s="36">
        <f>-'TB Summary'!E25</f>
        <v>-997173.87600000016</v>
      </c>
      <c r="C11" s="36">
        <f>-('TB Summary'!F25-'TB Summary'!E25)</f>
        <v>-900935.51999999979</v>
      </c>
      <c r="D11" s="36">
        <f>-('TB Summary'!G25-'TB Summary'!F25)</f>
        <v>-962158.09400000027</v>
      </c>
      <c r="E11" s="36">
        <f>-('TB Summary'!H25-'TB Summary'!G25)</f>
        <v>-901497.0839999998</v>
      </c>
      <c r="F11" s="36">
        <f>-('TB Summary'!I25-'TB Summary'!H25)</f>
        <v>-984859.57799999975</v>
      </c>
      <c r="G11" s="36">
        <f>-('TB Summary'!J25-'TB Summary'!I25)</f>
        <v>-975027.17100000102</v>
      </c>
      <c r="H11" s="36">
        <f>-('TB Summary'!K25-'TB Summary'!J25)</f>
        <v>-952931.32199999876</v>
      </c>
      <c r="I11" s="17">
        <f>SUM(B11:H11)</f>
        <v>-6674582.6449999996</v>
      </c>
    </row>
    <row r="12" spans="1:9" x14ac:dyDescent="0.3">
      <c r="A12" s="20" t="s">
        <v>179</v>
      </c>
      <c r="B12" s="21">
        <f>B10+B11</f>
        <v>-1219631.6530000002</v>
      </c>
      <c r="C12" s="21">
        <f>C10+C11</f>
        <v>-1172522.9539999997</v>
      </c>
      <c r="D12" s="21">
        <f>D10+D11</f>
        <v>-1153281.3540000003</v>
      </c>
      <c r="E12" s="21">
        <f>E10+E11</f>
        <v>-1088549.1149999998</v>
      </c>
      <c r="F12" s="21">
        <f>F10+F11</f>
        <v>-1208331.4519999996</v>
      </c>
      <c r="G12" s="21">
        <f>G10+G11</f>
        <v>-1159200.9190000012</v>
      </c>
      <c r="H12" s="21">
        <f>H10+H11</f>
        <v>-1153973.8159999987</v>
      </c>
      <c r="I12" s="21">
        <f>I10+I11</f>
        <v>-8155491.2629999993</v>
      </c>
    </row>
    <row r="13" spans="1:9" x14ac:dyDescent="0.3">
      <c r="A13" s="20" t="s">
        <v>180</v>
      </c>
      <c r="B13" s="21">
        <f>B8+B12</f>
        <v>4073220.2249999987</v>
      </c>
      <c r="C13" s="21">
        <f>C8+C12</f>
        <v>4542657.1039999984</v>
      </c>
      <c r="D13" s="21">
        <f>D8+D12</f>
        <v>5637844.3790000016</v>
      </c>
      <c r="E13" s="21">
        <f>E8+E12</f>
        <v>4069489.7609999957</v>
      </c>
      <c r="F13" s="21">
        <f>F8+F12</f>
        <v>5140558.6320000086</v>
      </c>
      <c r="G13" s="21">
        <f>G8+G12</f>
        <v>5746547.5440000016</v>
      </c>
      <c r="H13" s="21">
        <f>H8+H12</f>
        <v>4343821.0239999965</v>
      </c>
      <c r="I13" s="21">
        <f>I8+I12</f>
        <v>33554138.669000003</v>
      </c>
    </row>
    <row r="14" spans="1:9" x14ac:dyDescent="0.3">
      <c r="A14" s="8" t="s">
        <v>181</v>
      </c>
      <c r="B14" s="37">
        <f>IF(B8=0,0,B13/B8)</f>
        <v>0.76957003877825125</v>
      </c>
      <c r="C14" s="37">
        <f>IF(C8=0,0,C13/C8)</f>
        <v>0.79484059257962925</v>
      </c>
      <c r="D14" s="37">
        <f>IF(D8=0,0,D13/D8)</f>
        <v>0.83017817673498817</v>
      </c>
      <c r="E14" s="37">
        <f>IF(E8=0,0,E13/E8)</f>
        <v>0.78896066098591366</v>
      </c>
      <c r="F14" s="37">
        <f>IF(F8=0,0,F13/F8)</f>
        <v>0.80967831605005336</v>
      </c>
      <c r="G14" s="37">
        <f>IF(G8=0,0,G13/G8)</f>
        <v>0.83213971299261325</v>
      </c>
      <c r="H14" s="37">
        <f>IF(H8=0,0,H13/H8)</f>
        <v>0.79010242295618294</v>
      </c>
      <c r="I14" s="37">
        <f>IF(I8=0,0,I13/I8)</f>
        <v>0.80446982444351456</v>
      </c>
    </row>
    <row r="15" spans="1:9" x14ac:dyDescent="0.3">
      <c r="A15" s="61" t="s">
        <v>99</v>
      </c>
      <c r="B15" s="17"/>
      <c r="C15" s="17"/>
      <c r="D15" s="17"/>
      <c r="E15" s="17"/>
      <c r="F15" s="17"/>
      <c r="G15" s="17"/>
      <c r="H15" s="17"/>
      <c r="I15" s="17"/>
    </row>
    <row r="16" spans="1:9" x14ac:dyDescent="0.3">
      <c r="A16" t="s">
        <v>182</v>
      </c>
      <c r="B16" s="36">
        <f>-'TB Summary'!E21</f>
        <v>-3396549.6500000008</v>
      </c>
      <c r="C16" s="36">
        <f>-('TB Summary'!F21-'TB Summary'!E21)</f>
        <v>-3614846.6649999996</v>
      </c>
      <c r="D16" s="36">
        <f>-('TB Summary'!G21-'TB Summary'!F21)</f>
        <v>-3175877.8270000024</v>
      </c>
      <c r="E16" s="36">
        <f>-('TB Summary'!H21-'TB Summary'!G21)</f>
        <v>-3592726.8830000069</v>
      </c>
      <c r="F16" s="36">
        <f>-('TB Summary'!I21-'TB Summary'!H21)</f>
        <v>-3793628.9729999788</v>
      </c>
      <c r="G16" s="36">
        <f>-('TB Summary'!J21-'TB Summary'!I21)</f>
        <v>-3360283.3820000142</v>
      </c>
      <c r="H16" s="36">
        <f>-('TB Summary'!K21-'TB Summary'!J21)</f>
        <v>-3860490.0480000004</v>
      </c>
      <c r="I16" s="17">
        <f>SUM(B16:H16)</f>
        <v>-24794403.428000003</v>
      </c>
    </row>
    <row r="17" spans="1:9" x14ac:dyDescent="0.3">
      <c r="A17" t="s">
        <v>183</v>
      </c>
      <c r="B17" s="36">
        <f>-'TB Summary'!E26</f>
        <v>-103703.69099999999</v>
      </c>
      <c r="C17" s="36">
        <f>-('TB Summary'!F26-'TB Summary'!E26)</f>
        <v>-69399.276999999973</v>
      </c>
      <c r="D17" s="36">
        <f>-('TB Summary'!G26-'TB Summary'!F26)</f>
        <v>-98608.209000000003</v>
      </c>
      <c r="E17" s="36">
        <f>-('TB Summary'!H26-'TB Summary'!G26)</f>
        <v>-85039.36300000007</v>
      </c>
      <c r="F17" s="36">
        <f>-('TB Summary'!I26-'TB Summary'!H26)</f>
        <v>-55956.278000000049</v>
      </c>
      <c r="G17" s="36">
        <f>-('TB Summary'!J26-'TB Summary'!I26)</f>
        <v>-79865.610999999801</v>
      </c>
      <c r="H17" s="36">
        <f>-('TB Summary'!K26-'TB Summary'!J26)</f>
        <v>-100998.14000000001</v>
      </c>
      <c r="I17" s="17">
        <f>SUM(B17:H17)</f>
        <v>-593570.5689999999</v>
      </c>
    </row>
    <row r="18" spans="1:9" x14ac:dyDescent="0.3">
      <c r="A18" t="s">
        <v>184</v>
      </c>
      <c r="B18" s="36">
        <f>-'TB Summary'!E27</f>
        <v>-92769.057999999961</v>
      </c>
      <c r="C18" s="36">
        <f>-('TB Summary'!F27-'TB Summary'!E27)</f>
        <v>-74108.002999999997</v>
      </c>
      <c r="D18" s="36">
        <f>-('TB Summary'!G27-'TB Summary'!F27)</f>
        <v>-149751.24399999992</v>
      </c>
      <c r="E18" s="36">
        <f>-('TB Summary'!H27-'TB Summary'!G27)</f>
        <v>-88450.722000000242</v>
      </c>
      <c r="F18" s="36">
        <f>-('TB Summary'!I27-'TB Summary'!H27)</f>
        <v>-97089.295999999857</v>
      </c>
      <c r="G18" s="36">
        <f>-('TB Summary'!J27-'TB Summary'!I27)</f>
        <v>-73925.876999999513</v>
      </c>
      <c r="H18" s="36">
        <f>-('TB Summary'!K27-'TB Summary'!J27)</f>
        <v>-104669.0280000004</v>
      </c>
      <c r="I18" s="17">
        <f>SUM(B18:H18)</f>
        <v>-680763.22799999989</v>
      </c>
    </row>
    <row r="19" spans="1:9" x14ac:dyDescent="0.3">
      <c r="A19" t="s">
        <v>185</v>
      </c>
      <c r="B19" s="36">
        <f>-'TB Summary'!E28</f>
        <v>-114491.95500000002</v>
      </c>
      <c r="C19" s="36">
        <f>-('TB Summary'!F28-'TB Summary'!E28)</f>
        <v>-155472.26899999991</v>
      </c>
      <c r="D19" s="36">
        <f>-('TB Summary'!G28-'TB Summary'!F28)</f>
        <v>-149562.04899999994</v>
      </c>
      <c r="E19" s="36">
        <f>-('TB Summary'!H28-'TB Summary'!G28)</f>
        <v>-183441.91200000007</v>
      </c>
      <c r="F19" s="36">
        <f>-('TB Summary'!I28-'TB Summary'!H28)</f>
        <v>-153593.03999999969</v>
      </c>
      <c r="G19" s="36">
        <f>-('TB Summary'!J28-'TB Summary'!I28)</f>
        <v>-138759.31000000029</v>
      </c>
      <c r="H19" s="36">
        <f>-('TB Summary'!K28-'TB Summary'!J28)</f>
        <v>-149015.18799999997</v>
      </c>
      <c r="I19" s="17">
        <f>SUM(B19:H19)</f>
        <v>-1044335.7229999999</v>
      </c>
    </row>
    <row r="20" spans="1:9" x14ac:dyDescent="0.3">
      <c r="A20" t="s">
        <v>186</v>
      </c>
      <c r="B20" s="36">
        <f>-'TB Summary'!E29</f>
        <v>-140924.45800000004</v>
      </c>
      <c r="C20" s="36">
        <f>-('TB Summary'!F29-'TB Summary'!E29)</f>
        <v>-118686.80099999995</v>
      </c>
      <c r="D20" s="36">
        <f>-('TB Summary'!G29-'TB Summary'!F29)</f>
        <v>-102593.06900000016</v>
      </c>
      <c r="E20" s="36">
        <f>-('TB Summary'!H29-'TB Summary'!G29)</f>
        <v>-171443.91499999986</v>
      </c>
      <c r="F20" s="36">
        <f>-('TB Summary'!I29-'TB Summary'!H29)</f>
        <v>-174797.10400000005</v>
      </c>
      <c r="G20" s="36">
        <f>-('TB Summary'!J29-'TB Summary'!I29)</f>
        <v>-84577.342999999644</v>
      </c>
      <c r="H20" s="36">
        <f>-('TB Summary'!K29-'TB Summary'!J29)</f>
        <v>-178690.92500000028</v>
      </c>
      <c r="I20" s="17">
        <f>SUM(B20:H20)</f>
        <v>-971713.61499999999</v>
      </c>
    </row>
    <row r="21" spans="1:9" x14ac:dyDescent="0.3">
      <c r="A21" t="s">
        <v>187</v>
      </c>
      <c r="B21" s="36">
        <f>-'TB Summary'!E30</f>
        <v>-37172.470999999998</v>
      </c>
      <c r="C21" s="36">
        <f>-('TB Summary'!F30-'TB Summary'!E30)</f>
        <v>-35814.719999999979</v>
      </c>
      <c r="D21" s="36">
        <f>-('TB Summary'!G30-'TB Summary'!F30)</f>
        <v>-38865.837000000029</v>
      </c>
      <c r="E21" s="36">
        <f>-('TB Summary'!H30-'TB Summary'!G30)</f>
        <v>-24109.558000000034</v>
      </c>
      <c r="F21" s="36">
        <f>-('TB Summary'!I30-'TB Summary'!H30)</f>
        <v>-27087.877999999968</v>
      </c>
      <c r="G21" s="36">
        <f>-('TB Summary'!J30-'TB Summary'!I30)</f>
        <v>-23654.39499999996</v>
      </c>
      <c r="H21" s="36">
        <f>-('TB Summary'!K30-'TB Summary'!J30)</f>
        <v>-17310.299000000115</v>
      </c>
      <c r="I21" s="17">
        <f>SUM(B21:H21)</f>
        <v>-204015.15800000008</v>
      </c>
    </row>
    <row r="22" spans="1:9" x14ac:dyDescent="0.3">
      <c r="A22" t="s">
        <v>188</v>
      </c>
      <c r="B22" s="36">
        <f>-'TB Summary'!E31</f>
        <v>-7750</v>
      </c>
      <c r="C22" s="36">
        <f>-('TB Summary'!F31-'TB Summary'!E31)</f>
        <v>-7750</v>
      </c>
      <c r="D22" s="36">
        <f>-('TB Summary'!G31-'TB Summary'!F31)</f>
        <v>-7910.0540000000001</v>
      </c>
      <c r="E22" s="36">
        <f>-('TB Summary'!H31-'TB Summary'!G31)</f>
        <v>-7803.3509999999987</v>
      </c>
      <c r="F22" s="36">
        <f>-('TB Summary'!I31-'TB Summary'!H31)</f>
        <v>-7803.3510000000024</v>
      </c>
      <c r="G22" s="36">
        <f>-('TB Summary'!J31-'TB Summary'!I31)</f>
        <v>-14160.740999999995</v>
      </c>
      <c r="H22" s="36">
        <f>-('TB Summary'!K31-'TB Summary'!J31)</f>
        <v>-8671.2840000000069</v>
      </c>
      <c r="I22" s="17">
        <f>SUM(B22:H22)</f>
        <v>-61848.781000000003</v>
      </c>
    </row>
    <row r="23" spans="1:9" x14ac:dyDescent="0.3">
      <c r="A23" t="s">
        <v>189</v>
      </c>
      <c r="B23" s="36">
        <f>-'TB Summary'!E32</f>
        <v>-7254.831000000001</v>
      </c>
      <c r="C23" s="36">
        <f>-('TB Summary'!F32-'TB Summary'!E32)</f>
        <v>13569.986000000001</v>
      </c>
      <c r="D23" s="36">
        <f>-('TB Summary'!G32-'TB Summary'!F32)</f>
        <v>-29429.613999999994</v>
      </c>
      <c r="E23" s="36">
        <f>-('TB Summary'!H32-'TB Summary'!G32)</f>
        <v>-15864.683000000019</v>
      </c>
      <c r="F23" s="36">
        <f>-('TB Summary'!I32-'TB Summary'!H32)</f>
        <v>-17822.182999999983</v>
      </c>
      <c r="G23" s="36">
        <f>-('TB Summary'!J32-'TB Summary'!I32)</f>
        <v>-16218.79399999998</v>
      </c>
      <c r="H23" s="36">
        <f>-('TB Summary'!K32-'TB Summary'!J32)</f>
        <v>-15833.989999999991</v>
      </c>
      <c r="I23" s="17">
        <f>SUM(B23:H23)</f>
        <v>-88854.108999999968</v>
      </c>
    </row>
    <row r="24" spans="1:9" x14ac:dyDescent="0.3">
      <c r="A24" t="s">
        <v>190</v>
      </c>
      <c r="B24" s="36">
        <f>-'TB Summary'!E23</f>
        <v>-104097.99800000001</v>
      </c>
      <c r="C24" s="36">
        <f>-('TB Summary'!F23-'TB Summary'!E23)</f>
        <v>-107612.69499999996</v>
      </c>
      <c r="D24" s="36">
        <f>-('TB Summary'!G23-'TB Summary'!F23)</f>
        <v>-103988.18099999998</v>
      </c>
      <c r="E24" s="36">
        <f>-('TB Summary'!H23-'TB Summary'!G23)</f>
        <v>-106563.52200000011</v>
      </c>
      <c r="F24" s="36">
        <f>-('TB Summary'!I23-'TB Summary'!H23)</f>
        <v>-114695.13599999994</v>
      </c>
      <c r="G24" s="36">
        <f>-('TB Summary'!J23-'TB Summary'!I23)</f>
        <v>-110796.625</v>
      </c>
      <c r="H24" s="36">
        <f>-('TB Summary'!K23-'TB Summary'!J23)</f>
        <v>-114287.32399999991</v>
      </c>
      <c r="I24" s="17">
        <f>SUM(B24:H24)</f>
        <v>-762041.48099999991</v>
      </c>
    </row>
    <row r="25" spans="1:9" x14ac:dyDescent="0.3">
      <c r="A25" t="s">
        <v>191</v>
      </c>
      <c r="B25" s="36">
        <f>-'TB Summary'!E19</f>
        <v>0</v>
      </c>
      <c r="C25" s="36">
        <f>-('TB Summary'!F19-'TB Summary'!E19)</f>
        <v>6731.0309999999999</v>
      </c>
      <c r="D25" s="36">
        <f>-('TB Summary'!G19-'TB Summary'!F19)</f>
        <v>-1504.1800000000003</v>
      </c>
      <c r="E25" s="36">
        <f>-('TB Summary'!H19-'TB Summary'!G19)</f>
        <v>-4797.7709999999997</v>
      </c>
      <c r="F25" s="36">
        <f>-('TB Summary'!I19-'TB Summary'!H19)</f>
        <v>3795.6900000000005</v>
      </c>
      <c r="G25" s="36">
        <f>-('TB Summary'!J19-'TB Summary'!I19)</f>
        <v>-6.0000000003128662E-3</v>
      </c>
      <c r="H25" s="36">
        <f>-('TB Summary'!K19-'TB Summary'!J19)</f>
        <v>-154.29100000000017</v>
      </c>
      <c r="I25" s="17">
        <f>SUM(B25:H25)</f>
        <v>4070.473</v>
      </c>
    </row>
    <row r="26" spans="1:9" x14ac:dyDescent="0.3">
      <c r="A26" s="20" t="s">
        <v>192</v>
      </c>
      <c r="B26" s="21">
        <f>SUM(B16:B25)</f>
        <v>-4004714.1120000011</v>
      </c>
      <c r="C26" s="21">
        <f>SUM(C16:C25)</f>
        <v>-4163389.4129999992</v>
      </c>
      <c r="D26" s="21">
        <f>SUM(D16:D25)</f>
        <v>-3858090.2640000023</v>
      </c>
      <c r="E26" s="21">
        <f>SUM(E16:E25)</f>
        <v>-4280241.6800000072</v>
      </c>
      <c r="F26" s="21">
        <f>SUM(F16:F25)</f>
        <v>-4438677.5489999773</v>
      </c>
      <c r="G26" s="21">
        <f>SUM(G16:G25)</f>
        <v>-3902242.0840000128</v>
      </c>
      <c r="H26" s="21">
        <f>SUM(H16:H25)</f>
        <v>-4550120.5170000028</v>
      </c>
      <c r="I26" s="21">
        <f>SUM(I16:I25)</f>
        <v>-29197475.618999999</v>
      </c>
    </row>
    <row r="27" spans="1:9" x14ac:dyDescent="0.3">
      <c r="A27" s="20" t="s">
        <v>193</v>
      </c>
      <c r="B27" s="21">
        <f>B13+B26</f>
        <v>68506.112999997567</v>
      </c>
      <c r="C27" s="21">
        <f>C13+C26</f>
        <v>379267.69099999918</v>
      </c>
      <c r="D27" s="21">
        <f>D13+D26</f>
        <v>1779754.1149999993</v>
      </c>
      <c r="E27" s="21">
        <f>E13+E26</f>
        <v>-210751.9190000114</v>
      </c>
      <c r="F27" s="21">
        <f>F13+F26</f>
        <v>701881.0830000313</v>
      </c>
      <c r="G27" s="21">
        <f>G13+G26</f>
        <v>1844305.4599999888</v>
      </c>
      <c r="H27" s="21">
        <f>H13+H26</f>
        <v>-206299.4930000063</v>
      </c>
      <c r="I27" s="21">
        <f>I13+I26</f>
        <v>4356663.0500000045</v>
      </c>
    </row>
    <row r="28" spans="1:9" x14ac:dyDescent="0.3">
      <c r="A28" s="61" t="s">
        <v>194</v>
      </c>
      <c r="B28" s="17"/>
      <c r="C28" s="17"/>
      <c r="D28" s="17"/>
      <c r="E28" s="17"/>
      <c r="F28" s="17"/>
      <c r="G28" s="17"/>
      <c r="H28" s="17"/>
      <c r="I28" s="17"/>
    </row>
    <row r="29" spans="1:9" x14ac:dyDescent="0.3">
      <c r="A29" t="s">
        <v>195</v>
      </c>
      <c r="B29" s="36">
        <f>-'TB Summary'!E18</f>
        <v>112645.209</v>
      </c>
      <c r="C29" s="36">
        <f>-('TB Summary'!F18-'TB Summary'!E18)</f>
        <v>101091.16100000002</v>
      </c>
      <c r="D29" s="36">
        <f>-('TB Summary'!G18-'TB Summary'!F18)</f>
        <v>101365.52899999995</v>
      </c>
      <c r="E29" s="36">
        <f>-('TB Summary'!H18-'TB Summary'!G18)</f>
        <v>4734.4590000000899</v>
      </c>
      <c r="F29" s="36">
        <f>-('TB Summary'!I18-'TB Summary'!H18)</f>
        <v>-30695.436999999976</v>
      </c>
      <c r="G29" s="36">
        <f>-('TB Summary'!J18-'TB Summary'!I18)</f>
        <v>40236.594999999914</v>
      </c>
      <c r="H29" s="36">
        <f>-('TB Summary'!K18-'TB Summary'!J18)</f>
        <v>37364.289000000048</v>
      </c>
      <c r="I29" s="17">
        <f>SUM(B29:H29)</f>
        <v>366741.80500000005</v>
      </c>
    </row>
    <row r="30" spans="1:9" x14ac:dyDescent="0.3">
      <c r="A30" t="s">
        <v>196</v>
      </c>
      <c r="B30" s="36">
        <f>-'TB Summary'!E20</f>
        <v>-0.2660000000000764</v>
      </c>
      <c r="C30" s="36">
        <f>-('TB Summary'!F20-'TB Summary'!E20)</f>
        <v>5.4640000000003965</v>
      </c>
      <c r="D30" s="36">
        <f>-('TB Summary'!G20-'TB Summary'!F20)</f>
        <v>24.028999999999542</v>
      </c>
      <c r="E30" s="36">
        <f>-('TB Summary'!H20-'TB Summary'!G20)</f>
        <v>45.820999999999913</v>
      </c>
      <c r="F30" s="36">
        <f>-('TB Summary'!I20-'TB Summary'!H20)</f>
        <v>54.395999999999731</v>
      </c>
      <c r="G30" s="36">
        <f>-('TB Summary'!J20-'TB Summary'!I20)</f>
        <v>-28.938000000000102</v>
      </c>
      <c r="H30" s="36">
        <f>-('TB Summary'!K20-'TB Summary'!J20)</f>
        <v>-31.074000000000524</v>
      </c>
      <c r="I30" s="17">
        <f>SUM(B30:H30)</f>
        <v>69.43199999999888</v>
      </c>
    </row>
    <row r="31" spans="1:9" x14ac:dyDescent="0.3">
      <c r="A31" t="s">
        <v>197</v>
      </c>
      <c r="B31" s="36">
        <f>-'TB Summary'!E22</f>
        <v>-15169.963999999998</v>
      </c>
      <c r="C31" s="36">
        <f>-('TB Summary'!F22-'TB Summary'!E22)</f>
        <v>-16220.510000000004</v>
      </c>
      <c r="D31" s="36">
        <f>-('TB Summary'!G22-'TB Summary'!F22)</f>
        <v>-19034.292999999998</v>
      </c>
      <c r="E31" s="36">
        <f>-('TB Summary'!H22-'TB Summary'!G22)</f>
        <v>-19912.712000000007</v>
      </c>
      <c r="F31" s="36">
        <f>-('TB Summary'!I22-'TB Summary'!H22)</f>
        <v>-33344.072999999989</v>
      </c>
      <c r="G31" s="36">
        <f>-('TB Summary'!J22-'TB Summary'!I22)</f>
        <v>-36723.183000000019</v>
      </c>
      <c r="H31" s="36">
        <f>-('TB Summary'!K22-'TB Summary'!J22)</f>
        <v>-20605.923999999999</v>
      </c>
      <c r="I31" s="17">
        <f>SUM(B31:H31)</f>
        <v>-161010.65900000001</v>
      </c>
    </row>
    <row r="32" spans="1:9" x14ac:dyDescent="0.3">
      <c r="A32" s="20" t="s">
        <v>198</v>
      </c>
      <c r="B32" s="21">
        <f>B27+SUM(B29:B31)</f>
        <v>165981.09199999756</v>
      </c>
      <c r="C32" s="21">
        <f>C27+SUM(C29:C31)</f>
        <v>464143.80599999917</v>
      </c>
      <c r="D32" s="21">
        <f>D27+SUM(D29:D31)</f>
        <v>1862109.3799999992</v>
      </c>
      <c r="E32" s="21">
        <f>E27+SUM(E29:E31)</f>
        <v>-225884.35100001132</v>
      </c>
      <c r="F32" s="21">
        <f>F27+SUM(F29:F31)</f>
        <v>637895.96900003136</v>
      </c>
      <c r="G32" s="21">
        <f>G27+SUM(G29:G31)</f>
        <v>1847789.9339999887</v>
      </c>
      <c r="H32" s="21">
        <f>H27+SUM(H29:H31)</f>
        <v>-189572.20200000625</v>
      </c>
      <c r="I32" s="21">
        <f>I27+SUM(I29:I31)</f>
        <v>4562463.6280000042</v>
      </c>
    </row>
    <row r="33" spans="1:9" x14ac:dyDescent="0.3">
      <c r="A33" t="s">
        <v>199</v>
      </c>
      <c r="B33" s="36">
        <f>-'TB Summary'!E33</f>
        <v>-11141.521999999999</v>
      </c>
      <c r="C33" s="36">
        <f>-('TB Summary'!F33-'TB Summary'!E33)</f>
        <v>2895.4619999999995</v>
      </c>
      <c r="D33" s="36">
        <f>-('TB Summary'!G33-'TB Summary'!F33)</f>
        <v>-637356.52800000005</v>
      </c>
      <c r="E33" s="36">
        <f>-('TB Summary'!H33-'TB Summary'!G33)</f>
        <v>58292.033000000287</v>
      </c>
      <c r="F33" s="36">
        <f>-('TB Summary'!I33-'TB Summary'!H33)</f>
        <v>-899.06600000022445</v>
      </c>
      <c r="G33" s="36">
        <f>-('TB Summary'!J33-'TB Summary'!I33)</f>
        <v>-554978.22800000035</v>
      </c>
      <c r="H33" s="36">
        <f>-('TB Summary'!K33-'TB Summary'!J33)</f>
        <v>-2257.1049999997485</v>
      </c>
      <c r="I33" s="17">
        <f>SUM(B33:H33)</f>
        <v>-1145444.9540000001</v>
      </c>
    </row>
    <row r="34" spans="1:9" ht="15" thickBot="1" x14ac:dyDescent="0.35">
      <c r="A34" s="38" t="s">
        <v>200</v>
      </c>
      <c r="B34" s="39">
        <f>B32+B33</f>
        <v>154839.56999999756</v>
      </c>
      <c r="C34" s="39">
        <f>C32+C33</f>
        <v>467039.26799999917</v>
      </c>
      <c r="D34" s="39">
        <f>D32+D33</f>
        <v>1224752.851999999</v>
      </c>
      <c r="E34" s="39">
        <f>E32+E33</f>
        <v>-167592.31800001103</v>
      </c>
      <c r="F34" s="39">
        <f>F32+F33</f>
        <v>636996.90300003113</v>
      </c>
      <c r="G34" s="39">
        <f>G32+G33</f>
        <v>1292811.7059999884</v>
      </c>
      <c r="H34" s="39">
        <f>H32+H33</f>
        <v>-191829.307000006</v>
      </c>
      <c r="I34" s="39">
        <f>I32+I33</f>
        <v>3417018.6740000043</v>
      </c>
    </row>
    <row r="35" spans="1:9" ht="15" thickTop="1" x14ac:dyDescent="0.3">
      <c r="A35" s="8" t="s">
        <v>201</v>
      </c>
      <c r="B35" s="37">
        <f>IF(B8=0,0,B34/B8)</f>
        <v>2.9254468775821201E-2</v>
      </c>
      <c r="C35" s="37">
        <f>IF(C8=0,0,C34/C8)</f>
        <v>8.1719082034212839E-2</v>
      </c>
      <c r="D35" s="37">
        <f>IF(D8=0,0,D34/D8)</f>
        <v>0.18034607223491361</v>
      </c>
      <c r="E35" s="37">
        <f>IF(E8=0,0,E34/E8)</f>
        <v>-3.2491480197988948E-2</v>
      </c>
      <c r="F35" s="37">
        <f>IF(F8=0,0,F34/F8)</f>
        <v>0.10033200993750742</v>
      </c>
      <c r="G35" s="37">
        <f>IF(G8=0,0,G34/G8)</f>
        <v>0.18720805035495947</v>
      </c>
      <c r="H35" s="37">
        <f>IF(H8=0,0,H34/H8)</f>
        <v>-3.489204537141407E-2</v>
      </c>
      <c r="I35" s="37">
        <f>IF(I8=0,0,I34/I8)</f>
        <v>8.1923974860741614E-2</v>
      </c>
    </row>
    <row r="36" spans="1:9" x14ac:dyDescent="0.3">
      <c r="B36" s="17"/>
      <c r="C36" s="17"/>
      <c r="D36" s="17"/>
      <c r="E36" s="17"/>
      <c r="F36" s="17"/>
      <c r="G36" s="17"/>
      <c r="H36" s="17"/>
      <c r="I36" s="17"/>
    </row>
    <row r="37" spans="1:9" x14ac:dyDescent="0.3">
      <c r="A37" s="8" t="s">
        <v>202</v>
      </c>
      <c r="B37" s="40"/>
      <c r="C37" s="40"/>
      <c r="D37" s="40"/>
      <c r="E37" s="40"/>
      <c r="F37" s="40"/>
      <c r="G37" s="40"/>
      <c r="H37" s="40"/>
      <c r="I37" s="40">
        <f>ROUND(I34-'TB Summary'!K35,0)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6BA-8D62-45C7-BA7D-4A81E1E6DB54}">
  <dimension ref="A1:I35"/>
  <sheetViews>
    <sheetView showGridLines="0" topLeftCell="A9" workbookViewId="0"/>
  </sheetViews>
  <sheetFormatPr defaultRowHeight="14.4" x14ac:dyDescent="0.3"/>
  <cols>
    <col min="1" max="1" width="55.5546875" customWidth="1"/>
    <col min="2" max="8" width="16.6640625" customWidth="1"/>
    <col min="9" max="9" width="3.6640625" customWidth="1"/>
  </cols>
  <sheetData>
    <row r="1" spans="1:9" ht="18" x14ac:dyDescent="0.35">
      <c r="A1" s="7" t="s">
        <v>203</v>
      </c>
    </row>
    <row r="2" spans="1:9" x14ac:dyDescent="0.3">
      <c r="A2" s="8" t="s">
        <v>348</v>
      </c>
    </row>
    <row r="4" spans="1:9" x14ac:dyDescent="0.3">
      <c r="A4" s="57" t="s">
        <v>172</v>
      </c>
      <c r="B4" s="59">
        <f>'TB Summary'!E$4</f>
        <v>45777</v>
      </c>
      <c r="C4" s="59">
        <f>'TB Summary'!F$4</f>
        <v>45808</v>
      </c>
      <c r="D4" s="59">
        <f>'TB Summary'!G$4</f>
        <v>45838</v>
      </c>
      <c r="E4" s="59">
        <f>'TB Summary'!H$4</f>
        <v>45869</v>
      </c>
      <c r="F4" s="59">
        <f>'TB Summary'!I$4</f>
        <v>45900</v>
      </c>
      <c r="G4" s="59">
        <f>'TB Summary'!J$4</f>
        <v>45930</v>
      </c>
      <c r="H4" s="59">
        <f>'TB Summary'!K$4</f>
        <v>45961</v>
      </c>
      <c r="I4" s="56"/>
    </row>
    <row r="5" spans="1:9" x14ac:dyDescent="0.3">
      <c r="A5" s="61" t="s">
        <v>204</v>
      </c>
    </row>
    <row r="6" spans="1:9" x14ac:dyDescent="0.3">
      <c r="A6" s="61" t="s">
        <v>80</v>
      </c>
    </row>
    <row r="7" spans="1:9" x14ac:dyDescent="0.3">
      <c r="A7" t="s">
        <v>205</v>
      </c>
      <c r="B7" s="36">
        <f>'TB Summary'!E7</f>
        <v>18621207.538999986</v>
      </c>
      <c r="C7" s="36">
        <f>'TB Summary'!F7</f>
        <v>18528228.175000016</v>
      </c>
      <c r="D7" s="36">
        <f>'TB Summary'!G7</f>
        <v>18663212.914000016</v>
      </c>
      <c r="E7" s="36">
        <f>'TB Summary'!H7</f>
        <v>18157594.832000002</v>
      </c>
      <c r="F7" s="36">
        <f>'TB Summary'!I7</f>
        <v>18778304.102000028</v>
      </c>
      <c r="G7" s="36">
        <f>'TB Summary'!J7</f>
        <v>12318271.590999993</v>
      </c>
      <c r="H7" s="36">
        <f>'TB Summary'!K7</f>
        <v>13594797.398000015</v>
      </c>
    </row>
    <row r="8" spans="1:9" x14ac:dyDescent="0.3">
      <c r="A8" t="s">
        <v>206</v>
      </c>
      <c r="B8" s="36">
        <f>'TB Summary'!E10</f>
        <v>26693472.80199999</v>
      </c>
      <c r="C8" s="36">
        <f>'TB Summary'!F10</f>
        <v>25194602.749999996</v>
      </c>
      <c r="D8" s="36">
        <f>'TB Summary'!G10</f>
        <v>27376325.456999995</v>
      </c>
      <c r="E8" s="36">
        <f>'TB Summary'!H10</f>
        <v>28192676.812999997</v>
      </c>
      <c r="F8" s="36">
        <f>'TB Summary'!I10</f>
        <v>26003064.486999985</v>
      </c>
      <c r="G8" s="36">
        <f>'TB Summary'!J10</f>
        <v>27157525.940999996</v>
      </c>
      <c r="H8" s="36">
        <f>'TB Summary'!K10</f>
        <v>28203532.138</v>
      </c>
    </row>
    <row r="9" spans="1:9" x14ac:dyDescent="0.3">
      <c r="A9" t="s">
        <v>207</v>
      </c>
      <c r="B9" s="36">
        <f>'TB Summary'!E11</f>
        <v>1633432.372</v>
      </c>
      <c r="C9" s="36">
        <f>'TB Summary'!F11</f>
        <v>1738354.7399999998</v>
      </c>
      <c r="D9" s="36">
        <f>'TB Summary'!G11</f>
        <v>1404231.2680000004</v>
      </c>
      <c r="E9" s="36">
        <f>'TB Summary'!H11</f>
        <v>1561606.6069999994</v>
      </c>
      <c r="F9" s="36">
        <f>'TB Summary'!I11</f>
        <v>1665493.4640000004</v>
      </c>
      <c r="G9" s="36">
        <f>'TB Summary'!J11</f>
        <v>1741380.9789999994</v>
      </c>
      <c r="H9" s="36">
        <f>'TB Summary'!K11</f>
        <v>1800281.2099999997</v>
      </c>
    </row>
    <row r="10" spans="1:9" x14ac:dyDescent="0.3">
      <c r="A10" t="s">
        <v>208</v>
      </c>
      <c r="B10" s="36">
        <f>'TB Summary'!E9</f>
        <v>1232168.9069999999</v>
      </c>
      <c r="C10" s="36">
        <f>'TB Summary'!F9</f>
        <v>1274561.246</v>
      </c>
      <c r="D10" s="36">
        <f>'TB Summary'!G9</f>
        <v>1362766.1870000002</v>
      </c>
      <c r="E10" s="36">
        <f>'TB Summary'!H9</f>
        <v>1787036.0009999999</v>
      </c>
      <c r="F10" s="36">
        <f>'TB Summary'!I9</f>
        <v>1676810.6569999999</v>
      </c>
      <c r="G10" s="36">
        <f>'TB Summary'!J9</f>
        <v>1599013.0080000001</v>
      </c>
      <c r="H10" s="36">
        <f>'TB Summary'!K9</f>
        <v>1484902.463</v>
      </c>
    </row>
    <row r="11" spans="1:9" x14ac:dyDescent="0.3">
      <c r="A11" s="20" t="s">
        <v>209</v>
      </c>
      <c r="B11" s="21">
        <f>SUM(B7:B10)</f>
        <v>48180281.619999975</v>
      </c>
      <c r="C11" s="21">
        <f>SUM(C7:C10)</f>
        <v>46735746.911000013</v>
      </c>
      <c r="D11" s="21">
        <f>SUM(D7:D10)</f>
        <v>48806535.826000005</v>
      </c>
      <c r="E11" s="21">
        <f>SUM(E7:E10)</f>
        <v>49698914.252999999</v>
      </c>
      <c r="F11" s="21">
        <f>SUM(F7:F10)</f>
        <v>48123672.710000016</v>
      </c>
      <c r="G11" s="21">
        <f>SUM(G7:G10)</f>
        <v>42816191.518999994</v>
      </c>
      <c r="H11" s="21">
        <f>SUM(H7:H10)</f>
        <v>45083513.209000014</v>
      </c>
    </row>
    <row r="12" spans="1:9" x14ac:dyDescent="0.3">
      <c r="A12" s="61" t="s">
        <v>77</v>
      </c>
      <c r="B12" s="17"/>
      <c r="C12" s="17"/>
      <c r="D12" s="17"/>
      <c r="E12" s="17"/>
      <c r="F12" s="17"/>
      <c r="G12" s="17"/>
      <c r="H12" s="17"/>
    </row>
    <row r="13" spans="1:9" x14ac:dyDescent="0.3">
      <c r="A13" t="s">
        <v>210</v>
      </c>
      <c r="B13" s="36">
        <f>'TB Summary'!E5</f>
        <v>4108318.8209999991</v>
      </c>
      <c r="C13" s="36">
        <f>'TB Summary'!F5</f>
        <v>4092358.2649999983</v>
      </c>
      <c r="D13" s="36">
        <f>'TB Summary'!G5</f>
        <v>4166361.9130000011</v>
      </c>
      <c r="E13" s="36">
        <f>'TB Summary'!H5</f>
        <v>4160953.884000001</v>
      </c>
      <c r="F13" s="36">
        <f>'TB Summary'!I5</f>
        <v>4265861.4700000007</v>
      </c>
      <c r="G13" s="36">
        <f>'TB Summary'!J5</f>
        <v>4237690.7380000018</v>
      </c>
      <c r="H13" s="36">
        <f>'TB Summary'!K5</f>
        <v>4161494.0540000005</v>
      </c>
    </row>
    <row r="14" spans="1:9" x14ac:dyDescent="0.3">
      <c r="A14" t="s">
        <v>211</v>
      </c>
      <c r="B14" s="36">
        <f>'TB Summary'!E6</f>
        <v>83942.334000000032</v>
      </c>
      <c r="C14" s="36">
        <f>'TB Summary'!F6</f>
        <v>82402.121000000043</v>
      </c>
      <c r="D14" s="36">
        <f>'TB Summary'!G6</f>
        <v>80092.22900000005</v>
      </c>
      <c r="E14" s="36">
        <f>'TB Summary'!H6</f>
        <v>76394.458000000042</v>
      </c>
      <c r="F14" s="36">
        <f>'TB Summary'!I6</f>
        <v>72965.501000000047</v>
      </c>
      <c r="G14" s="36">
        <f>'TB Summary'!J6</f>
        <v>70600.753000000026</v>
      </c>
      <c r="H14" s="36">
        <f>'TB Summary'!K6</f>
        <v>67771.199000000022</v>
      </c>
    </row>
    <row r="15" spans="1:9" x14ac:dyDescent="0.3">
      <c r="A15" t="s">
        <v>212</v>
      </c>
      <c r="B15" s="36">
        <f>'TB Summary'!E8</f>
        <v>484888.92</v>
      </c>
      <c r="C15" s="36">
        <f>'TB Summary'!F8</f>
        <v>385300.571</v>
      </c>
      <c r="D15" s="36">
        <f>'TB Summary'!G8</f>
        <v>199512.995</v>
      </c>
      <c r="E15" s="36">
        <f>'TB Summary'!H8</f>
        <v>226108.443</v>
      </c>
      <c r="F15" s="36">
        <f>'TB Summary'!I8</f>
        <v>191140.70200000002</v>
      </c>
      <c r="G15" s="36">
        <f>'TB Summary'!J8</f>
        <v>56565.474999999969</v>
      </c>
      <c r="H15" s="36">
        <f>'TB Summary'!K8</f>
        <v>-187814.81799999997</v>
      </c>
    </row>
    <row r="16" spans="1:9" x14ac:dyDescent="0.3">
      <c r="A16" s="20" t="s">
        <v>213</v>
      </c>
      <c r="B16" s="21">
        <f>SUM(B13:B15)</f>
        <v>4677150.0749999993</v>
      </c>
      <c r="C16" s="21">
        <f>SUM(C13:C15)</f>
        <v>4560060.9569999985</v>
      </c>
      <c r="D16" s="21">
        <f>SUM(D13:D15)</f>
        <v>4445967.137000001</v>
      </c>
      <c r="E16" s="21">
        <f>SUM(E13:E15)</f>
        <v>4463456.7850000011</v>
      </c>
      <c r="F16" s="21">
        <f>SUM(F13:F15)</f>
        <v>4529967.6730000004</v>
      </c>
      <c r="G16" s="21">
        <f>SUM(G13:G15)</f>
        <v>4364856.9660000019</v>
      </c>
      <c r="H16" s="21">
        <f>SUM(H13:H15)</f>
        <v>4041450.4350000005</v>
      </c>
    </row>
    <row r="17" spans="1:8" ht="15" thickBot="1" x14ac:dyDescent="0.35">
      <c r="A17" s="38" t="s">
        <v>214</v>
      </c>
      <c r="B17" s="39">
        <f>B11+B16</f>
        <v>52857431.694999978</v>
      </c>
      <c r="C17" s="39">
        <f>C11+C16</f>
        <v>51295807.868000016</v>
      </c>
      <c r="D17" s="39">
        <f>D11+D16</f>
        <v>53252502.963000007</v>
      </c>
      <c r="E17" s="39">
        <f>E11+E16</f>
        <v>54162371.038000003</v>
      </c>
      <c r="F17" s="39">
        <f>F11+F16</f>
        <v>52653640.383000016</v>
      </c>
      <c r="G17" s="39">
        <f>G11+G16</f>
        <v>47181048.484999999</v>
      </c>
      <c r="H17" s="39">
        <f>H11+H16</f>
        <v>49124963.644000016</v>
      </c>
    </row>
    <row r="18" spans="1:8" ht="15" thickTop="1" x14ac:dyDescent="0.3">
      <c r="B18" s="17"/>
      <c r="C18" s="17"/>
      <c r="D18" s="17"/>
      <c r="E18" s="17"/>
      <c r="F18" s="17"/>
      <c r="G18" s="17"/>
      <c r="H18" s="17"/>
    </row>
    <row r="19" spans="1:8" x14ac:dyDescent="0.3">
      <c r="A19" s="61" t="s">
        <v>215</v>
      </c>
      <c r="B19" s="17"/>
      <c r="C19" s="17"/>
      <c r="D19" s="17"/>
      <c r="E19" s="17"/>
      <c r="F19" s="17"/>
      <c r="G19" s="17"/>
      <c r="H19" s="17"/>
    </row>
    <row r="20" spans="1:8" x14ac:dyDescent="0.3">
      <c r="A20" s="61" t="s">
        <v>88</v>
      </c>
      <c r="B20" s="17"/>
      <c r="C20" s="17"/>
      <c r="D20" s="17"/>
      <c r="E20" s="17"/>
      <c r="F20" s="17"/>
      <c r="G20" s="17"/>
      <c r="H20" s="17"/>
    </row>
    <row r="21" spans="1:8" x14ac:dyDescent="0.3">
      <c r="A21" t="s">
        <v>216</v>
      </c>
      <c r="B21" s="36">
        <f>-'TB Summary'!E13</f>
        <v>16283078.001999998</v>
      </c>
      <c r="C21" s="36">
        <f>-'TB Summary'!F13</f>
        <v>13481366.70899999</v>
      </c>
      <c r="D21" s="36">
        <f>-'TB Summary'!G13</f>
        <v>14841655.698000003</v>
      </c>
      <c r="E21" s="36">
        <f>-'TB Summary'!H13</f>
        <v>14260133.807999995</v>
      </c>
      <c r="F21" s="36">
        <f>-'TB Summary'!I13</f>
        <v>14492842.349999992</v>
      </c>
      <c r="G21" s="36">
        <f>-'TB Summary'!J13</f>
        <v>15089237.426000003</v>
      </c>
      <c r="H21" s="36">
        <f>-'TB Summary'!K13</f>
        <v>16684258.259000001</v>
      </c>
    </row>
    <row r="22" spans="1:8" x14ac:dyDescent="0.3">
      <c r="A22" s="20" t="s">
        <v>217</v>
      </c>
      <c r="B22" s="21">
        <f>B21</f>
        <v>16283078.001999998</v>
      </c>
      <c r="C22" s="21">
        <f>C21</f>
        <v>13481366.70899999</v>
      </c>
      <c r="D22" s="21">
        <f>D21</f>
        <v>14841655.698000003</v>
      </c>
      <c r="E22" s="21">
        <f>E21</f>
        <v>14260133.807999995</v>
      </c>
      <c r="F22" s="21">
        <f>F21</f>
        <v>14492842.349999992</v>
      </c>
      <c r="G22" s="21">
        <f>G21</f>
        <v>15089237.426000003</v>
      </c>
      <c r="H22" s="21">
        <f>H21</f>
        <v>16684258.259000001</v>
      </c>
    </row>
    <row r="23" spans="1:8" x14ac:dyDescent="0.3">
      <c r="A23" s="61" t="s">
        <v>90</v>
      </c>
      <c r="B23" s="17"/>
      <c r="C23" s="17"/>
      <c r="D23" s="17"/>
      <c r="E23" s="17"/>
      <c r="F23" s="17"/>
      <c r="G23" s="17"/>
      <c r="H23" s="17"/>
    </row>
    <row r="24" spans="1:8" x14ac:dyDescent="0.3">
      <c r="A24" t="s">
        <v>218</v>
      </c>
      <c r="B24" s="36">
        <f>-'TB Summary'!E14</f>
        <v>2052362.6300000001</v>
      </c>
      <c r="C24" s="36">
        <f>-'TB Summary'!F14</f>
        <v>2478575.9039999996</v>
      </c>
      <c r="D24" s="36">
        <f>-'TB Summary'!G14</f>
        <v>1569837.3880000003</v>
      </c>
      <c r="E24" s="36">
        <f>-'TB Summary'!H14</f>
        <v>3132398.1080000005</v>
      </c>
      <c r="F24" s="36">
        <f>-'TB Summary'!I14</f>
        <v>1801856.2340000002</v>
      </c>
      <c r="G24" s="36">
        <f>-'TB Summary'!J14</f>
        <v>1564934.4879999997</v>
      </c>
      <c r="H24" s="36">
        <f>-'TB Summary'!K14</f>
        <v>1879201.0879999988</v>
      </c>
    </row>
    <row r="25" spans="1:8" x14ac:dyDescent="0.3">
      <c r="A25" t="s">
        <v>91</v>
      </c>
      <c r="B25" s="36">
        <f>-'TB Summary'!E15</f>
        <v>1407207.5129999996</v>
      </c>
      <c r="C25" s="36">
        <f>-'TB Summary'!F15</f>
        <v>1486230.4620000001</v>
      </c>
      <c r="D25" s="36">
        <f>-'TB Summary'!G15</f>
        <v>1537015.2810000002</v>
      </c>
      <c r="E25" s="36">
        <f>-'TB Summary'!H15</f>
        <v>1584383.8019999999</v>
      </c>
      <c r="F25" s="36">
        <f>-'TB Summary'!I15</f>
        <v>1645791.345</v>
      </c>
      <c r="G25" s="36">
        <f>-'TB Summary'!J15</f>
        <v>1682502.9550000001</v>
      </c>
      <c r="H25" s="36">
        <f>-'TB Summary'!K15</f>
        <v>1778399.1749999996</v>
      </c>
    </row>
    <row r="26" spans="1:8" x14ac:dyDescent="0.3">
      <c r="A26" s="20" t="s">
        <v>219</v>
      </c>
      <c r="B26" s="21">
        <f>SUM(B24:B25)</f>
        <v>3459570.1429999997</v>
      </c>
      <c r="C26" s="21">
        <f>SUM(C24:C25)</f>
        <v>3964806.3659999995</v>
      </c>
      <c r="D26" s="21">
        <f>SUM(D24:D25)</f>
        <v>3106852.6690000007</v>
      </c>
      <c r="E26" s="21">
        <f>SUM(E24:E25)</f>
        <v>4716781.91</v>
      </c>
      <c r="F26" s="21">
        <f>SUM(F24:F25)</f>
        <v>3447647.5789999999</v>
      </c>
      <c r="G26" s="21">
        <f>SUM(G24:G25)</f>
        <v>3247437.443</v>
      </c>
      <c r="H26" s="21">
        <f>SUM(H24:H25)</f>
        <v>3657600.2629999984</v>
      </c>
    </row>
    <row r="27" spans="1:8" x14ac:dyDescent="0.3">
      <c r="A27" s="20" t="s">
        <v>220</v>
      </c>
      <c r="B27" s="21">
        <f>B22+B26</f>
        <v>19742648.145</v>
      </c>
      <c r="C27" s="21">
        <f>C22+C26</f>
        <v>17446173.074999988</v>
      </c>
      <c r="D27" s="21">
        <f>D22+D26</f>
        <v>17948508.367000002</v>
      </c>
      <c r="E27" s="21">
        <f>E22+E26</f>
        <v>18976915.717999995</v>
      </c>
      <c r="F27" s="21">
        <f>F22+F26</f>
        <v>17940489.92899999</v>
      </c>
      <c r="G27" s="21">
        <f>G22+G26</f>
        <v>18336674.869000003</v>
      </c>
      <c r="H27" s="21">
        <f>H22+H26</f>
        <v>20341858.522</v>
      </c>
    </row>
    <row r="28" spans="1:8" x14ac:dyDescent="0.3">
      <c r="B28" s="17"/>
      <c r="C28" s="17"/>
      <c r="D28" s="17"/>
      <c r="E28" s="17"/>
      <c r="F28" s="17"/>
      <c r="G28" s="17"/>
      <c r="H28" s="17"/>
    </row>
    <row r="29" spans="1:8" x14ac:dyDescent="0.3">
      <c r="A29" s="61" t="s">
        <v>221</v>
      </c>
      <c r="B29" s="17"/>
      <c r="C29" s="17"/>
      <c r="D29" s="17"/>
      <c r="E29" s="17"/>
      <c r="F29" s="17"/>
      <c r="G29" s="17"/>
      <c r="H29" s="17"/>
    </row>
    <row r="30" spans="1:8" x14ac:dyDescent="0.3">
      <c r="A30" t="s">
        <v>222</v>
      </c>
      <c r="B30" s="36">
        <f>-'TB Summary'!E12</f>
        <v>32959943.942000002</v>
      </c>
      <c r="C30" s="36">
        <f>-'TB Summary'!F12</f>
        <v>33227755.92400001</v>
      </c>
      <c r="D30" s="36">
        <f>-'TB Summary'!G12</f>
        <v>33457362.854000006</v>
      </c>
      <c r="E30" s="36">
        <f>-'TB Summary'!H12</f>
        <v>33506415.961000003</v>
      </c>
      <c r="F30" s="36">
        <f>-'TB Summary'!I12</f>
        <v>32397114.197000027</v>
      </c>
      <c r="G30" s="36">
        <f>-'TB Summary'!J12</f>
        <v>25235525.632999994</v>
      </c>
      <c r="H30" s="36">
        <f>-'TB Summary'!K12</f>
        <v>25366086.431999993</v>
      </c>
    </row>
    <row r="31" spans="1:8" x14ac:dyDescent="0.3">
      <c r="A31" t="s">
        <v>223</v>
      </c>
      <c r="B31" s="36">
        <f>SUM('Income Statement'!$B$34:B34)</f>
        <v>154839.56999999756</v>
      </c>
      <c r="C31" s="36">
        <f>SUM('Income Statement'!$B$34:C34)</f>
        <v>621878.83799999673</v>
      </c>
      <c r="D31" s="36">
        <f>SUM('Income Statement'!$B$34:D34)</f>
        <v>1846631.6899999958</v>
      </c>
      <c r="E31" s="36">
        <f>SUM('Income Statement'!$B$34:E34)</f>
        <v>1679039.3719999846</v>
      </c>
      <c r="F31" s="36">
        <f>SUM('Income Statement'!$B$34:F34)</f>
        <v>2316036.2750000157</v>
      </c>
      <c r="G31" s="36">
        <f>SUM('Income Statement'!$B$34:G34)</f>
        <v>3608847.9810000043</v>
      </c>
      <c r="H31" s="36">
        <f>SUM('Income Statement'!$B$34:H34)</f>
        <v>3417018.6739999983</v>
      </c>
    </row>
    <row r="32" spans="1:8" x14ac:dyDescent="0.3">
      <c r="A32" s="20" t="s">
        <v>224</v>
      </c>
      <c r="B32" s="21">
        <f>B30+B31</f>
        <v>33114783.511999998</v>
      </c>
      <c r="C32" s="21">
        <f>C30+C31</f>
        <v>33849634.762000009</v>
      </c>
      <c r="D32" s="21">
        <f>D30+D31</f>
        <v>35303994.544</v>
      </c>
      <c r="E32" s="21">
        <f>E30+E31</f>
        <v>35185455.332999989</v>
      </c>
      <c r="F32" s="21">
        <f>F30+F31</f>
        <v>34713150.47200004</v>
      </c>
      <c r="G32" s="21">
        <f>G30+G31</f>
        <v>28844373.614</v>
      </c>
      <c r="H32" s="21">
        <f>H30+H31</f>
        <v>28783105.105999991</v>
      </c>
    </row>
    <row r="33" spans="1:8" ht="15" thickBot="1" x14ac:dyDescent="0.35">
      <c r="A33" s="38" t="s">
        <v>225</v>
      </c>
      <c r="B33" s="39">
        <f>B27+B32</f>
        <v>52857431.656999998</v>
      </c>
      <c r="C33" s="39">
        <f>C27+C32</f>
        <v>51295807.836999997</v>
      </c>
      <c r="D33" s="39">
        <f>D27+D32</f>
        <v>53252502.910999998</v>
      </c>
      <c r="E33" s="39">
        <f>E27+E32</f>
        <v>54162371.050999984</v>
      </c>
      <c r="F33" s="39">
        <f>F27+F32</f>
        <v>52653640.40100003</v>
      </c>
      <c r="G33" s="39">
        <f>G27+G32</f>
        <v>47181048.483000003</v>
      </c>
      <c r="H33" s="39">
        <f>H27+H32</f>
        <v>49124963.627999991</v>
      </c>
    </row>
    <row r="34" spans="1:8" ht="15" thickTop="1" x14ac:dyDescent="0.3">
      <c r="B34" s="17"/>
      <c r="C34" s="17"/>
      <c r="D34" s="17"/>
      <c r="E34" s="17"/>
      <c r="F34" s="17"/>
      <c r="G34" s="17"/>
      <c r="H34" s="17"/>
    </row>
    <row r="35" spans="1:8" x14ac:dyDescent="0.3">
      <c r="A35" s="8" t="s">
        <v>226</v>
      </c>
      <c r="B35" s="40">
        <f>ROUND(B17-B33,0)</f>
        <v>0</v>
      </c>
      <c r="C35" s="40">
        <f>ROUND(C17-C33,0)</f>
        <v>0</v>
      </c>
      <c r="D35" s="40">
        <f>ROUND(D17-D33,0)</f>
        <v>0</v>
      </c>
      <c r="E35" s="40">
        <f>ROUND(E17-E33,0)</f>
        <v>0</v>
      </c>
      <c r="F35" s="40">
        <f>ROUND(F17-F33,0)</f>
        <v>0</v>
      </c>
      <c r="G35" s="40">
        <f>ROUND(G17-G33,0)</f>
        <v>0</v>
      </c>
      <c r="H35" s="40">
        <f>ROUND(H17-H33,0)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65C9-1326-48FD-986B-B583E0B9A445}">
  <dimension ref="A1:I31"/>
  <sheetViews>
    <sheetView showGridLines="0" topLeftCell="A9" workbookViewId="0"/>
  </sheetViews>
  <sheetFormatPr defaultRowHeight="14.4" x14ac:dyDescent="0.3"/>
  <cols>
    <col min="1" max="1" width="61.109375" customWidth="1"/>
    <col min="2" max="9" width="16.6640625" customWidth="1"/>
  </cols>
  <sheetData>
    <row r="1" spans="1:9" ht="18" x14ac:dyDescent="0.35">
      <c r="A1" s="7" t="s">
        <v>227</v>
      </c>
    </row>
    <row r="2" spans="1:9" x14ac:dyDescent="0.3">
      <c r="A2" s="8" t="s">
        <v>349</v>
      </c>
    </row>
    <row r="4" spans="1:9" x14ac:dyDescent="0.3">
      <c r="A4" s="57" t="s">
        <v>172</v>
      </c>
      <c r="B4" s="59">
        <f>'TB Summary'!E$4</f>
        <v>45777</v>
      </c>
      <c r="C4" s="59">
        <f>'TB Summary'!F$4</f>
        <v>45808</v>
      </c>
      <c r="D4" s="59">
        <f>'TB Summary'!G$4</f>
        <v>45838</v>
      </c>
      <c r="E4" s="59">
        <f>'TB Summary'!H$4</f>
        <v>45869</v>
      </c>
      <c r="F4" s="59">
        <f>'TB Summary'!I$4</f>
        <v>45900</v>
      </c>
      <c r="G4" s="59">
        <f>'TB Summary'!J$4</f>
        <v>45930</v>
      </c>
      <c r="H4" s="59">
        <f>'TB Summary'!K$4</f>
        <v>45961</v>
      </c>
      <c r="I4" s="56" t="s">
        <v>228</v>
      </c>
    </row>
    <row r="5" spans="1:9" x14ac:dyDescent="0.3">
      <c r="A5" s="61" t="s">
        <v>229</v>
      </c>
    </row>
    <row r="6" spans="1:9" x14ac:dyDescent="0.3">
      <c r="A6" t="s">
        <v>230</v>
      </c>
      <c r="B6" s="17"/>
      <c r="C6" s="36">
        <f>'Income Statement'!C34</f>
        <v>467039.26799999917</v>
      </c>
      <c r="D6" s="36">
        <f>'Income Statement'!D34</f>
        <v>1224752.851999999</v>
      </c>
      <c r="E6" s="36">
        <f>'Income Statement'!E34</f>
        <v>-167592.31800001103</v>
      </c>
      <c r="F6" s="36">
        <f>'Income Statement'!F34</f>
        <v>636996.90300003113</v>
      </c>
      <c r="G6" s="36">
        <f>'Income Statement'!G34</f>
        <v>1292811.7059999884</v>
      </c>
      <c r="H6" s="36">
        <f>'Income Statement'!H34</f>
        <v>-191829.307000006</v>
      </c>
      <c r="I6" s="17">
        <f>SUM(C6:H6)</f>
        <v>3262179.1040000007</v>
      </c>
    </row>
    <row r="7" spans="1:9" x14ac:dyDescent="0.3">
      <c r="A7" t="s">
        <v>231</v>
      </c>
      <c r="B7" s="17"/>
      <c r="C7" s="36">
        <f>-'Income Statement'!C24</f>
        <v>107612.69499999996</v>
      </c>
      <c r="D7" s="36">
        <f>-'Income Statement'!D24</f>
        <v>103988.18099999998</v>
      </c>
      <c r="E7" s="36">
        <f>-'Income Statement'!E24</f>
        <v>106563.52200000011</v>
      </c>
      <c r="F7" s="36">
        <f>-'Income Statement'!F24</f>
        <v>114695.13599999994</v>
      </c>
      <c r="G7" s="36">
        <f>-'Income Statement'!G24</f>
        <v>110796.625</v>
      </c>
      <c r="H7" s="36">
        <f>-'Income Statement'!H24</f>
        <v>114287.32399999991</v>
      </c>
      <c r="I7" s="17">
        <f>SUM(C7:H7)</f>
        <v>657943.48299999989</v>
      </c>
    </row>
    <row r="8" spans="1:9" x14ac:dyDescent="0.3">
      <c r="A8" t="s">
        <v>232</v>
      </c>
      <c r="B8" s="17"/>
      <c r="C8" s="36">
        <f>-'Income Statement'!C25</f>
        <v>-6731.0309999999999</v>
      </c>
      <c r="D8" s="36">
        <f>-'Income Statement'!D25</f>
        <v>1504.1800000000003</v>
      </c>
      <c r="E8" s="36">
        <f>-'Income Statement'!E25</f>
        <v>4797.7709999999997</v>
      </c>
      <c r="F8" s="36">
        <f>-'Income Statement'!F25</f>
        <v>-3795.6900000000005</v>
      </c>
      <c r="G8" s="36">
        <f>-'Income Statement'!G25</f>
        <v>6.0000000003128662E-3</v>
      </c>
      <c r="H8" s="36">
        <f>-'Income Statement'!H25</f>
        <v>154.29100000000017</v>
      </c>
      <c r="I8" s="17">
        <f>SUM(C8:H8)</f>
        <v>-4070.473</v>
      </c>
    </row>
    <row r="9" spans="1:9" x14ac:dyDescent="0.3">
      <c r="A9" s="61" t="s">
        <v>233</v>
      </c>
      <c r="B9" s="17"/>
      <c r="C9" s="17"/>
      <c r="D9" s="17"/>
      <c r="E9" s="17"/>
      <c r="F9" s="17"/>
      <c r="G9" s="17"/>
      <c r="H9" s="17"/>
      <c r="I9" s="17"/>
    </row>
    <row r="10" spans="1:9" x14ac:dyDescent="0.3">
      <c r="A10" t="s">
        <v>234</v>
      </c>
      <c r="B10" s="17"/>
      <c r="C10" s="36">
        <f>-('Balance Sheet'!C8-'Balance Sheet'!B8)</f>
        <v>1498870.0519999936</v>
      </c>
      <c r="D10" s="36">
        <f>-('Balance Sheet'!D8-'Balance Sheet'!C8)</f>
        <v>-2181722.7069999985</v>
      </c>
      <c r="E10" s="36">
        <f>-('Balance Sheet'!E8-'Balance Sheet'!D8)</f>
        <v>-816351.35600000247</v>
      </c>
      <c r="F10" s="36">
        <f>-('Balance Sheet'!F8-'Balance Sheet'!E8)</f>
        <v>2189612.3260000125</v>
      </c>
      <c r="G10" s="36">
        <f>-('Balance Sheet'!G8-'Balance Sheet'!F8)</f>
        <v>-1154461.4540000111</v>
      </c>
      <c r="H10" s="36">
        <f>-('Balance Sheet'!H8-'Balance Sheet'!G8)</f>
        <v>-1046006.1970000044</v>
      </c>
      <c r="I10" s="17">
        <f>SUM(C10:H10)</f>
        <v>-1510059.3360000104</v>
      </c>
    </row>
    <row r="11" spans="1:9" x14ac:dyDescent="0.3">
      <c r="A11" t="s">
        <v>235</v>
      </c>
      <c r="B11" s="17"/>
      <c r="C11" s="36">
        <f>-('Balance Sheet'!C9-'Balance Sheet'!B9)</f>
        <v>-104922.36799999978</v>
      </c>
      <c r="D11" s="36">
        <f>-('Balance Sheet'!D9-'Balance Sheet'!C9)</f>
        <v>334123.47199999937</v>
      </c>
      <c r="E11" s="36">
        <f>-('Balance Sheet'!E9-'Balance Sheet'!D9)</f>
        <v>-157375.33899999899</v>
      </c>
      <c r="F11" s="36">
        <f>-('Balance Sheet'!F9-'Balance Sheet'!E9)</f>
        <v>-103886.85700000101</v>
      </c>
      <c r="G11" s="36">
        <f>-('Balance Sheet'!G9-'Balance Sheet'!F9)</f>
        <v>-75887.514999998966</v>
      </c>
      <c r="H11" s="36">
        <f>-('Balance Sheet'!H9-'Balance Sheet'!G9)</f>
        <v>-58900.231000000378</v>
      </c>
      <c r="I11" s="17">
        <f>SUM(C11:H11)</f>
        <v>-166848.83799999976</v>
      </c>
    </row>
    <row r="12" spans="1:9" x14ac:dyDescent="0.3">
      <c r="A12" t="s">
        <v>236</v>
      </c>
      <c r="B12" s="17"/>
      <c r="C12" s="36">
        <f>-('Balance Sheet'!C10-'Balance Sheet'!B10)</f>
        <v>-42392.339000000153</v>
      </c>
      <c r="D12" s="36">
        <f>-('Balance Sheet'!D10-'Balance Sheet'!C10)</f>
        <v>-88204.941000000108</v>
      </c>
      <c r="E12" s="36">
        <f>-('Balance Sheet'!E10-'Balance Sheet'!D10)</f>
        <v>-424269.81399999978</v>
      </c>
      <c r="F12" s="36">
        <f>-('Balance Sheet'!F10-'Balance Sheet'!E10)</f>
        <v>110225.34400000004</v>
      </c>
      <c r="G12" s="36">
        <f>-('Balance Sheet'!G10-'Balance Sheet'!F10)</f>
        <v>77797.648999999743</v>
      </c>
      <c r="H12" s="36">
        <f>-('Balance Sheet'!H10-'Balance Sheet'!G10)</f>
        <v>114110.54500000016</v>
      </c>
      <c r="I12" s="17">
        <f>SUM(C12:H12)</f>
        <v>-252733.5560000001</v>
      </c>
    </row>
    <row r="13" spans="1:9" x14ac:dyDescent="0.3">
      <c r="A13" t="s">
        <v>237</v>
      </c>
      <c r="B13" s="17"/>
      <c r="C13" s="36">
        <f>'Balance Sheet'!C24-'Balance Sheet'!B24</f>
        <v>426213.27399999951</v>
      </c>
      <c r="D13" s="36">
        <f>'Balance Sheet'!D24-'Balance Sheet'!C24</f>
        <v>-908738.51599999936</v>
      </c>
      <c r="E13" s="36">
        <f>'Balance Sheet'!E24-'Balance Sheet'!D24</f>
        <v>1562560.7200000002</v>
      </c>
      <c r="F13" s="36">
        <f>'Balance Sheet'!F24-'Balance Sheet'!E24</f>
        <v>-1330541.8740000003</v>
      </c>
      <c r="G13" s="36">
        <f>'Balance Sheet'!G24-'Balance Sheet'!F24</f>
        <v>-236921.74600000051</v>
      </c>
      <c r="H13" s="36">
        <f>'Balance Sheet'!H24-'Balance Sheet'!G24</f>
        <v>314266.59999999916</v>
      </c>
      <c r="I13" s="17">
        <f>SUM(C13:H13)</f>
        <v>-173161.5420000013</v>
      </c>
    </row>
    <row r="14" spans="1:9" x14ac:dyDescent="0.3">
      <c r="A14" t="s">
        <v>238</v>
      </c>
      <c r="B14" s="17"/>
      <c r="C14" s="36">
        <f>'Balance Sheet'!C25-'Balance Sheet'!B25</f>
        <v>79022.949000000488</v>
      </c>
      <c r="D14" s="36">
        <f>'Balance Sheet'!D25-'Balance Sheet'!C25</f>
        <v>50784.819000000134</v>
      </c>
      <c r="E14" s="36">
        <f>'Balance Sheet'!E25-'Balance Sheet'!D25</f>
        <v>47368.520999999717</v>
      </c>
      <c r="F14" s="36">
        <f>'Balance Sheet'!F25-'Balance Sheet'!E25</f>
        <v>61407.543000000063</v>
      </c>
      <c r="G14" s="36">
        <f>'Balance Sheet'!G25-'Balance Sheet'!F25</f>
        <v>36711.610000000102</v>
      </c>
      <c r="H14" s="36">
        <f>'Balance Sheet'!H25-'Balance Sheet'!G25</f>
        <v>95896.219999999506</v>
      </c>
      <c r="I14" s="17">
        <f>SUM(C14:H14)</f>
        <v>371191.66200000001</v>
      </c>
    </row>
    <row r="15" spans="1:9" x14ac:dyDescent="0.3">
      <c r="A15" s="20" t="s">
        <v>239</v>
      </c>
      <c r="B15" s="21"/>
      <c r="C15" s="21">
        <f>SUM(C6:C8)+SUM(C10:C14)</f>
        <v>2424712.499999993</v>
      </c>
      <c r="D15" s="21">
        <f>SUM(D6:D8)+SUM(D10:D14)</f>
        <v>-1463512.66</v>
      </c>
      <c r="E15" s="21">
        <f>SUM(E6:E8)+SUM(E10:E14)</f>
        <v>155701.70699998777</v>
      </c>
      <c r="F15" s="21">
        <f>SUM(F6:F8)+SUM(F10:F14)</f>
        <v>1674712.8310000421</v>
      </c>
      <c r="G15" s="21">
        <f>SUM(G6:G8)+SUM(G10:G14)</f>
        <v>50846.8809999777</v>
      </c>
      <c r="H15" s="21">
        <f>SUM(H6:H8)+SUM(H10:H14)</f>
        <v>-658020.755000012</v>
      </c>
      <c r="I15" s="21">
        <f>SUM(I6:I8)+SUM(I10:I14)</f>
        <v>2184440.503999989</v>
      </c>
    </row>
    <row r="16" spans="1:9" x14ac:dyDescent="0.3">
      <c r="B16" s="17"/>
      <c r="C16" s="17"/>
      <c r="D16" s="17"/>
      <c r="E16" s="17"/>
      <c r="F16" s="17"/>
      <c r="G16" s="17"/>
      <c r="H16" s="17"/>
      <c r="I16" s="17"/>
    </row>
    <row r="17" spans="1:9" x14ac:dyDescent="0.3">
      <c r="A17" s="61" t="s">
        <v>240</v>
      </c>
      <c r="B17" s="17"/>
      <c r="C17" s="17"/>
      <c r="D17" s="17"/>
      <c r="E17" s="17"/>
      <c r="F17" s="17"/>
      <c r="G17" s="17"/>
      <c r="H17" s="17"/>
      <c r="I17" s="17"/>
    </row>
    <row r="18" spans="1:9" x14ac:dyDescent="0.3">
      <c r="A18" t="s">
        <v>241</v>
      </c>
      <c r="B18" s="17"/>
      <c r="C18" s="17">
        <f>-(('Balance Sheet'!C13-'Balance Sheet'!B13)+('Balance Sheet'!C14-'Balance Sheet'!B14)+C7+C8)</f>
        <v>-83380.894999999175</v>
      </c>
      <c r="D18" s="17">
        <f>-(('Balance Sheet'!D13-'Balance Sheet'!C13)+('Balance Sheet'!D14-'Balance Sheet'!C14)+D7+D8)</f>
        <v>-177186.11700000282</v>
      </c>
      <c r="E18" s="17">
        <f>-(('Balance Sheet'!E13-'Balance Sheet'!D13)+('Balance Sheet'!E14-'Balance Sheet'!D14)+E7+E8)</f>
        <v>-102255.493</v>
      </c>
      <c r="F18" s="17">
        <f>-(('Balance Sheet'!F13-'Balance Sheet'!E13)+('Balance Sheet'!F14-'Balance Sheet'!E14)+F7+F8)</f>
        <v>-212378.0749999996</v>
      </c>
      <c r="G18" s="17">
        <f>-(('Balance Sheet'!G13-'Balance Sheet'!F13)+('Balance Sheet'!G14-'Balance Sheet'!F14)+G7+G8)</f>
        <v>-80261.15100000106</v>
      </c>
      <c r="H18" s="17">
        <f>-(('Balance Sheet'!H13-'Balance Sheet'!G13)+('Balance Sheet'!H14-'Balance Sheet'!G14)+H7+H8)</f>
        <v>-35415.376999998611</v>
      </c>
      <c r="I18" s="17">
        <f>SUM(C18:H18)</f>
        <v>-690877.10800000129</v>
      </c>
    </row>
    <row r="19" spans="1:9" x14ac:dyDescent="0.3">
      <c r="A19" t="s">
        <v>242</v>
      </c>
      <c r="B19" s="17"/>
      <c r="C19" s="36">
        <f>-('Balance Sheet'!C15-'Balance Sheet'!B15)</f>
        <v>99588.348999999987</v>
      </c>
      <c r="D19" s="36">
        <f>-('Balance Sheet'!D15-'Balance Sheet'!C15)</f>
        <v>185787.576</v>
      </c>
      <c r="E19" s="36">
        <f>-('Balance Sheet'!E15-'Balance Sheet'!D15)</f>
        <v>-26595.448000000004</v>
      </c>
      <c r="F19" s="36">
        <f>-('Balance Sheet'!F15-'Balance Sheet'!E15)</f>
        <v>34967.74099999998</v>
      </c>
      <c r="G19" s="36">
        <f>-('Balance Sheet'!G15-'Balance Sheet'!F15)</f>
        <v>134575.22700000004</v>
      </c>
      <c r="H19" s="36">
        <f>-('Balance Sheet'!H15-'Balance Sheet'!G15)</f>
        <v>244380.29299999995</v>
      </c>
      <c r="I19" s="17">
        <f>SUM(C19:H19)</f>
        <v>672703.73800000001</v>
      </c>
    </row>
    <row r="20" spans="1:9" x14ac:dyDescent="0.3">
      <c r="A20" s="20" t="s">
        <v>243</v>
      </c>
      <c r="B20" s="21"/>
      <c r="C20" s="21">
        <f>SUM(C18:C19)</f>
        <v>16207.454000000813</v>
      </c>
      <c r="D20" s="21">
        <f>SUM(D18:D19)</f>
        <v>8601.4589999971795</v>
      </c>
      <c r="E20" s="21">
        <f>SUM(E18:E19)</f>
        <v>-128850.94100000001</v>
      </c>
      <c r="F20" s="21">
        <f>SUM(F18:F19)</f>
        <v>-177410.33399999962</v>
      </c>
      <c r="G20" s="21">
        <f>SUM(G18:G19)</f>
        <v>54314.075999998982</v>
      </c>
      <c r="H20" s="21">
        <f>SUM(H18:H19)</f>
        <v>208964.91600000134</v>
      </c>
      <c r="I20" s="21">
        <f>SUM(I18:I19)</f>
        <v>-18173.370000001276</v>
      </c>
    </row>
    <row r="21" spans="1:9" x14ac:dyDescent="0.3">
      <c r="B21" s="17"/>
      <c r="C21" s="17"/>
      <c r="D21" s="17"/>
      <c r="E21" s="17"/>
      <c r="F21" s="17"/>
      <c r="G21" s="17"/>
      <c r="H21" s="17"/>
      <c r="I21" s="17"/>
    </row>
    <row r="22" spans="1:9" x14ac:dyDescent="0.3">
      <c r="A22" s="61" t="s">
        <v>244</v>
      </c>
      <c r="B22" s="17"/>
      <c r="C22" s="17"/>
      <c r="D22" s="17"/>
      <c r="E22" s="17"/>
      <c r="F22" s="17"/>
      <c r="G22" s="17"/>
      <c r="H22" s="17"/>
      <c r="I22" s="17"/>
    </row>
    <row r="23" spans="1:9" x14ac:dyDescent="0.3">
      <c r="A23" t="s">
        <v>245</v>
      </c>
      <c r="B23" s="17"/>
      <c r="C23" s="36">
        <f>'Balance Sheet'!C21-'Balance Sheet'!B21</f>
        <v>-2801711.2930000089</v>
      </c>
      <c r="D23" s="36">
        <f>'Balance Sheet'!D21-'Balance Sheet'!C21</f>
        <v>1360288.9890000131</v>
      </c>
      <c r="E23" s="36">
        <f>'Balance Sheet'!E21-'Balance Sheet'!D21</f>
        <v>-581521.89000000805</v>
      </c>
      <c r="F23" s="36">
        <f>'Balance Sheet'!F21-'Balance Sheet'!E21</f>
        <v>232708.54199999757</v>
      </c>
      <c r="G23" s="36">
        <f>'Balance Sheet'!G21-'Balance Sheet'!F21</f>
        <v>596395.07600001059</v>
      </c>
      <c r="H23" s="36">
        <f>'Balance Sheet'!H21-'Balance Sheet'!G21</f>
        <v>1595020.8329999987</v>
      </c>
      <c r="I23" s="17">
        <f>SUM(C23:H23)</f>
        <v>401180.25700000301</v>
      </c>
    </row>
    <row r="24" spans="1:9" x14ac:dyDescent="0.3">
      <c r="A24" t="s">
        <v>246</v>
      </c>
      <c r="B24" s="17"/>
      <c r="C24" s="36">
        <f>'Balance Sheet'!C30-'Balance Sheet'!B30</f>
        <v>267811.98200000823</v>
      </c>
      <c r="D24" s="36">
        <f>'Balance Sheet'!D30-'Balance Sheet'!C30</f>
        <v>229606.92999999598</v>
      </c>
      <c r="E24" s="36">
        <f>'Balance Sheet'!E30-'Balance Sheet'!D30</f>
        <v>49053.10699999705</v>
      </c>
      <c r="F24" s="36">
        <f>'Balance Sheet'!F30-'Balance Sheet'!E30</f>
        <v>-1109301.7639999762</v>
      </c>
      <c r="G24" s="36">
        <f>'Balance Sheet'!G30-'Balance Sheet'!F30</f>
        <v>-7161588.5640000328</v>
      </c>
      <c r="H24" s="36">
        <f>'Balance Sheet'!H30-'Balance Sheet'!G30</f>
        <v>130560.79899999872</v>
      </c>
      <c r="I24" s="17">
        <f>SUM(C24:H24)</f>
        <v>-7593857.5100000091</v>
      </c>
    </row>
    <row r="25" spans="1:9" x14ac:dyDescent="0.3">
      <c r="A25" s="20" t="s">
        <v>247</v>
      </c>
      <c r="B25" s="21"/>
      <c r="C25" s="21">
        <f>SUM(C23:C24)</f>
        <v>-2533899.3110000007</v>
      </c>
      <c r="D25" s="21">
        <f>SUM(D23:D24)</f>
        <v>1589895.9190000091</v>
      </c>
      <c r="E25" s="21">
        <f>SUM(E23:E24)</f>
        <v>-532468.783000011</v>
      </c>
      <c r="F25" s="21">
        <f>SUM(F23:F24)</f>
        <v>-876593.22199997865</v>
      </c>
      <c r="G25" s="21">
        <f>SUM(G23:G24)</f>
        <v>-6565193.4880000222</v>
      </c>
      <c r="H25" s="21">
        <f>SUM(H23:H24)</f>
        <v>1725581.6319999974</v>
      </c>
      <c r="I25" s="21">
        <f>SUM(I23:I24)</f>
        <v>-7192677.2530000061</v>
      </c>
    </row>
    <row r="26" spans="1:9" x14ac:dyDescent="0.3">
      <c r="B26" s="17"/>
      <c r="C26" s="17"/>
      <c r="D26" s="17"/>
      <c r="E26" s="17"/>
      <c r="F26" s="17"/>
      <c r="G26" s="17"/>
      <c r="H26" s="17"/>
      <c r="I26" s="17"/>
    </row>
    <row r="27" spans="1:9" x14ac:dyDescent="0.3">
      <c r="A27" s="20" t="s">
        <v>248</v>
      </c>
      <c r="B27" s="21"/>
      <c r="C27" s="21">
        <f>C15+C20+C25</f>
        <v>-92979.357000006828</v>
      </c>
      <c r="D27" s="21">
        <f>D15+D20+D25</f>
        <v>134984.7180000064</v>
      </c>
      <c r="E27" s="21">
        <f>E15+E20+E25</f>
        <v>-505618.01700002322</v>
      </c>
      <c r="F27" s="21">
        <f>F15+F20+F25</f>
        <v>620709.27500006394</v>
      </c>
      <c r="G27" s="21">
        <f>G15+G20+G25</f>
        <v>-6460032.5310000451</v>
      </c>
      <c r="H27" s="21">
        <f>H15+H20+H25</f>
        <v>1276525.7929999868</v>
      </c>
      <c r="I27" s="21">
        <f>I15+I20+I25</f>
        <v>-5026410.1190000186</v>
      </c>
    </row>
    <row r="28" spans="1:9" x14ac:dyDescent="0.3">
      <c r="A28" t="s">
        <v>249</v>
      </c>
      <c r="B28" s="17"/>
      <c r="C28" s="36">
        <f>'Balance Sheet'!B7</f>
        <v>18621207.538999986</v>
      </c>
      <c r="D28" s="36">
        <f>'Balance Sheet'!C7</f>
        <v>18528228.175000016</v>
      </c>
      <c r="E28" s="36">
        <f>'Balance Sheet'!D7</f>
        <v>18663212.914000016</v>
      </c>
      <c r="F28" s="36">
        <f>'Balance Sheet'!E7</f>
        <v>18157594.832000002</v>
      </c>
      <c r="G28" s="36">
        <f>'Balance Sheet'!F7</f>
        <v>18778304.102000028</v>
      </c>
      <c r="H28" s="36">
        <f>'Balance Sheet'!G7</f>
        <v>12318271.590999993</v>
      </c>
      <c r="I28" s="17">
        <f>C28</f>
        <v>18621207.538999986</v>
      </c>
    </row>
    <row r="29" spans="1:9" ht="15" thickBot="1" x14ac:dyDescent="0.35">
      <c r="A29" s="41" t="s">
        <v>250</v>
      </c>
      <c r="B29" s="39"/>
      <c r="C29" s="39">
        <f>C27+C28</f>
        <v>18528228.181999978</v>
      </c>
      <c r="D29" s="39">
        <f>D27+D28</f>
        <v>18663212.893000022</v>
      </c>
      <c r="E29" s="39">
        <f>E27+E28</f>
        <v>18157594.896999992</v>
      </c>
      <c r="F29" s="39">
        <f>F27+F28</f>
        <v>18778304.107000068</v>
      </c>
      <c r="G29" s="39">
        <f>G27+G28</f>
        <v>12318271.570999984</v>
      </c>
      <c r="H29" s="39">
        <f>H27+H28</f>
        <v>13594797.383999979</v>
      </c>
      <c r="I29" s="39">
        <f>I27+I28</f>
        <v>13594797.419999968</v>
      </c>
    </row>
    <row r="30" spans="1:9" ht="15" thickTop="1" x14ac:dyDescent="0.3">
      <c r="A30" t="s">
        <v>251</v>
      </c>
      <c r="B30" s="17"/>
      <c r="C30" s="36">
        <f>'Balance Sheet'!C7</f>
        <v>18528228.175000016</v>
      </c>
      <c r="D30" s="36">
        <f>'Balance Sheet'!D7</f>
        <v>18663212.914000016</v>
      </c>
      <c r="E30" s="36">
        <f>'Balance Sheet'!E7</f>
        <v>18157594.832000002</v>
      </c>
      <c r="F30" s="36">
        <f>'Balance Sheet'!F7</f>
        <v>18778304.102000028</v>
      </c>
      <c r="G30" s="36">
        <f>'Balance Sheet'!G7</f>
        <v>12318271.590999993</v>
      </c>
      <c r="H30" s="36">
        <f>'Balance Sheet'!H7</f>
        <v>13594797.398000015</v>
      </c>
      <c r="I30" s="17">
        <f>'Balance Sheet'!H7</f>
        <v>13594797.398000015</v>
      </c>
    </row>
    <row r="31" spans="1:9" x14ac:dyDescent="0.3">
      <c r="A31" s="8" t="s">
        <v>252</v>
      </c>
      <c r="B31" s="40"/>
      <c r="C31" s="40">
        <f>ROUND(C29-C30,0)</f>
        <v>0</v>
      </c>
      <c r="D31" s="40">
        <f>ROUND(D29-D30,0)</f>
        <v>0</v>
      </c>
      <c r="E31" s="40">
        <f>ROUND(E29-E30,0)</f>
        <v>0</v>
      </c>
      <c r="F31" s="40">
        <f>ROUND(F29-F30,0)</f>
        <v>0</v>
      </c>
      <c r="G31" s="40">
        <f>ROUND(G29-G30,0)</f>
        <v>0</v>
      </c>
      <c r="H31" s="40">
        <f>ROUND(H29-H30,0)</f>
        <v>0</v>
      </c>
      <c r="I31" s="40">
        <f>ROUND(I29-I30,0)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FF33-ED8E-46B2-8B8D-E02B0B37E48D}">
  <dimension ref="A1:K53"/>
  <sheetViews>
    <sheetView showGridLines="0" topLeftCell="A32" workbookViewId="0">
      <selection activeCell="K17" sqref="K17"/>
    </sheetView>
  </sheetViews>
  <sheetFormatPr defaultRowHeight="14.4" x14ac:dyDescent="0.3"/>
  <cols>
    <col min="1" max="1" width="46.33203125" customWidth="1"/>
    <col min="2" max="8" width="15.77734375" customWidth="1"/>
    <col min="9" max="10" width="20.33203125" customWidth="1"/>
    <col min="11" max="11" width="88.88671875" customWidth="1"/>
  </cols>
  <sheetData>
    <row r="1" spans="1:8" ht="18" x14ac:dyDescent="0.35">
      <c r="A1" s="7" t="s">
        <v>253</v>
      </c>
    </row>
    <row r="2" spans="1:8" x14ac:dyDescent="0.3">
      <c r="A2" s="8" t="s">
        <v>346</v>
      </c>
    </row>
    <row r="4" spans="1:8" x14ac:dyDescent="0.3">
      <c r="A4" t="s">
        <v>254</v>
      </c>
      <c r="B4" s="11">
        <v>4</v>
      </c>
    </row>
    <row r="6" spans="1:8" x14ac:dyDescent="0.3">
      <c r="A6" s="57" t="s">
        <v>255</v>
      </c>
      <c r="B6" s="59">
        <f>'TB Summary'!E$4</f>
        <v>45777</v>
      </c>
      <c r="C6" s="59">
        <f>'TB Summary'!F$4</f>
        <v>45808</v>
      </c>
      <c r="D6" s="59">
        <f>'TB Summary'!G$4</f>
        <v>45838</v>
      </c>
      <c r="E6" s="59">
        <f>'TB Summary'!H$4</f>
        <v>45869</v>
      </c>
      <c r="F6" s="59">
        <f>'TB Summary'!I$4</f>
        <v>45900</v>
      </c>
      <c r="G6" s="59">
        <f>'TB Summary'!J$4</f>
        <v>45930</v>
      </c>
      <c r="H6" s="59">
        <f>'TB Summary'!K$4</f>
        <v>45961</v>
      </c>
    </row>
    <row r="7" spans="1:8" x14ac:dyDescent="0.3">
      <c r="A7" t="s">
        <v>256</v>
      </c>
      <c r="B7" s="16">
        <f>MOD(MONTH(B$6)-$B$4,12)+1</f>
        <v>1</v>
      </c>
      <c r="C7" s="16">
        <f>MOD(MONTH(C$6)-$B$4,12)+1</f>
        <v>2</v>
      </c>
      <c r="D7" s="16">
        <f>MOD(MONTH(D$6)-$B$4,12)+1</f>
        <v>3</v>
      </c>
      <c r="E7" s="16">
        <f>MOD(MONTH(E$6)-$B$4,12)+1</f>
        <v>4</v>
      </c>
      <c r="F7" s="16">
        <f>MOD(MONTH(F$6)-$B$4,12)+1</f>
        <v>5</v>
      </c>
      <c r="G7" s="16">
        <f>MOD(MONTH(G$6)-$B$4,12)+1</f>
        <v>6</v>
      </c>
      <c r="H7" s="16">
        <f>MOD(MONTH(H$6)-$B$4,12)+1</f>
        <v>7</v>
      </c>
    </row>
    <row r="8" spans="1:8" x14ac:dyDescent="0.3">
      <c r="A8" t="s">
        <v>257</v>
      </c>
      <c r="B8" s="16">
        <f>B$6-DATE(YEAR(B$6)-IF(MONTH(B$6)&lt;$B$4,1,0),$B$4,1)+1</f>
        <v>30</v>
      </c>
      <c r="C8" s="16">
        <f>C$6-DATE(YEAR(C$6)-IF(MONTH(C$6)&lt;$B$4,1,0),$B$4,1)+1</f>
        <v>61</v>
      </c>
      <c r="D8" s="16">
        <f>D$6-DATE(YEAR(D$6)-IF(MONTH(D$6)&lt;$B$4,1,0),$B$4,1)+1</f>
        <v>91</v>
      </c>
      <c r="E8" s="16">
        <f>E$6-DATE(YEAR(E$6)-IF(MONTH(E$6)&lt;$B$4,1,0),$B$4,1)+1</f>
        <v>122</v>
      </c>
      <c r="F8" s="16">
        <f>F$6-DATE(YEAR(F$6)-IF(MONTH(F$6)&lt;$B$4,1,0),$B$4,1)+1</f>
        <v>153</v>
      </c>
      <c r="G8" s="16">
        <f>G$6-DATE(YEAR(G$6)-IF(MONTH(G$6)&lt;$B$4,1,0),$B$4,1)+1</f>
        <v>183</v>
      </c>
      <c r="H8" s="16">
        <f>H$6-DATE(YEAR(H$6)-IF(MONTH(H$6)&lt;$B$4,1,0),$B$4,1)+1</f>
        <v>214</v>
      </c>
    </row>
    <row r="9" spans="1:8" x14ac:dyDescent="0.3">
      <c r="A9" t="s">
        <v>258</v>
      </c>
      <c r="B9" s="25">
        <f>12/B7</f>
        <v>12</v>
      </c>
      <c r="C9" s="25">
        <f>12/C7</f>
        <v>6</v>
      </c>
      <c r="D9" s="25">
        <f>12/D7</f>
        <v>4</v>
      </c>
      <c r="E9" s="25">
        <f>12/E7</f>
        <v>3</v>
      </c>
      <c r="F9" s="25">
        <f>12/F7</f>
        <v>2.4</v>
      </c>
      <c r="G9" s="25">
        <f>12/G7</f>
        <v>2</v>
      </c>
      <c r="H9" s="25">
        <f>12/H7</f>
        <v>1.7142857142857142</v>
      </c>
    </row>
    <row r="10" spans="1:8" x14ac:dyDescent="0.3">
      <c r="A10" t="s">
        <v>259</v>
      </c>
      <c r="B10" s="36">
        <f>'Balance Sheet'!B11</f>
        <v>48180281.619999975</v>
      </c>
      <c r="C10" s="36">
        <f>'Balance Sheet'!C11</f>
        <v>46735746.911000013</v>
      </c>
      <c r="D10" s="36">
        <f>'Balance Sheet'!D11</f>
        <v>48806535.826000005</v>
      </c>
      <c r="E10" s="36">
        <f>'Balance Sheet'!E11</f>
        <v>49698914.252999999</v>
      </c>
      <c r="F10" s="36">
        <f>'Balance Sheet'!F11</f>
        <v>48123672.710000016</v>
      </c>
      <c r="G10" s="36">
        <f>'Balance Sheet'!G11</f>
        <v>42816191.518999994</v>
      </c>
      <c r="H10" s="36">
        <f>'Balance Sheet'!H11</f>
        <v>45083513.209000014</v>
      </c>
    </row>
    <row r="11" spans="1:8" x14ac:dyDescent="0.3">
      <c r="A11" t="s">
        <v>260</v>
      </c>
      <c r="B11" s="36">
        <f>'Balance Sheet'!B22</f>
        <v>16283078.001999998</v>
      </c>
      <c r="C11" s="36">
        <f>'Balance Sheet'!C22</f>
        <v>13481366.70899999</v>
      </c>
      <c r="D11" s="36">
        <f>'Balance Sheet'!D22</f>
        <v>14841655.698000003</v>
      </c>
      <c r="E11" s="36">
        <f>'Balance Sheet'!E22</f>
        <v>14260133.807999995</v>
      </c>
      <c r="F11" s="36">
        <f>'Balance Sheet'!F22</f>
        <v>14492842.349999992</v>
      </c>
      <c r="G11" s="36">
        <f>'Balance Sheet'!G22</f>
        <v>15089237.426000003</v>
      </c>
      <c r="H11" s="36">
        <f>'Balance Sheet'!H22</f>
        <v>16684258.259000001</v>
      </c>
    </row>
    <row r="12" spans="1:8" x14ac:dyDescent="0.3">
      <c r="A12" t="s">
        <v>261</v>
      </c>
      <c r="B12" s="36">
        <f>'Balance Sheet'!B7</f>
        <v>18621207.538999986</v>
      </c>
      <c r="C12" s="36">
        <f>'Balance Sheet'!C7</f>
        <v>18528228.175000016</v>
      </c>
      <c r="D12" s="36">
        <f>'Balance Sheet'!D7</f>
        <v>18663212.914000016</v>
      </c>
      <c r="E12" s="36">
        <f>'Balance Sheet'!E7</f>
        <v>18157594.832000002</v>
      </c>
      <c r="F12" s="36">
        <f>'Balance Sheet'!F7</f>
        <v>18778304.102000028</v>
      </c>
      <c r="G12" s="36">
        <f>'Balance Sheet'!G7</f>
        <v>12318271.590999993</v>
      </c>
      <c r="H12" s="36">
        <f>'Balance Sheet'!H7</f>
        <v>13594797.398000015</v>
      </c>
    </row>
    <row r="13" spans="1:8" x14ac:dyDescent="0.3">
      <c r="A13" t="s">
        <v>262</v>
      </c>
      <c r="B13" s="36">
        <f>'Balance Sheet'!B8</f>
        <v>26693472.80199999</v>
      </c>
      <c r="C13" s="36">
        <f>'Balance Sheet'!C8</f>
        <v>25194602.749999996</v>
      </c>
      <c r="D13" s="36">
        <f>'Balance Sheet'!D8</f>
        <v>27376325.456999995</v>
      </c>
      <c r="E13" s="36">
        <f>'Balance Sheet'!E8</f>
        <v>28192676.812999997</v>
      </c>
      <c r="F13" s="36">
        <f>'Balance Sheet'!F8</f>
        <v>26003064.486999985</v>
      </c>
      <c r="G13" s="36">
        <f>'Balance Sheet'!G8</f>
        <v>27157525.940999996</v>
      </c>
      <c r="H13" s="36">
        <f>'Balance Sheet'!H8</f>
        <v>28203532.138</v>
      </c>
    </row>
    <row r="14" spans="1:8" x14ac:dyDescent="0.3">
      <c r="A14" t="s">
        <v>263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</row>
    <row r="15" spans="1:8" x14ac:dyDescent="0.3">
      <c r="A15" t="s">
        <v>264</v>
      </c>
      <c r="B15" s="36">
        <f>'Balance Sheet'!B21</f>
        <v>16283078.001999998</v>
      </c>
      <c r="C15" s="36">
        <f>'Balance Sheet'!C21</f>
        <v>13481366.70899999</v>
      </c>
      <c r="D15" s="36">
        <f>'Balance Sheet'!D21</f>
        <v>14841655.698000003</v>
      </c>
      <c r="E15" s="36">
        <f>'Balance Sheet'!E21</f>
        <v>14260133.807999995</v>
      </c>
      <c r="F15" s="36">
        <f>'Balance Sheet'!F21</f>
        <v>14492842.349999992</v>
      </c>
      <c r="G15" s="36">
        <f>'Balance Sheet'!G21</f>
        <v>15089237.426000003</v>
      </c>
      <c r="H15" s="36">
        <f>'Balance Sheet'!H21</f>
        <v>16684258.259000001</v>
      </c>
    </row>
    <row r="16" spans="1:8" x14ac:dyDescent="0.3">
      <c r="A16" t="s">
        <v>265</v>
      </c>
      <c r="B16" s="36">
        <f>'Balance Sheet'!B32</f>
        <v>33114783.511999998</v>
      </c>
      <c r="C16" s="36">
        <f>'Balance Sheet'!C32</f>
        <v>33849634.762000009</v>
      </c>
      <c r="D16" s="36">
        <f>'Balance Sheet'!D32</f>
        <v>35303994.544</v>
      </c>
      <c r="E16" s="36">
        <f>'Balance Sheet'!E32</f>
        <v>35185455.332999989</v>
      </c>
      <c r="F16" s="36">
        <f>'Balance Sheet'!F32</f>
        <v>34713150.47200004</v>
      </c>
      <c r="G16" s="36">
        <f>'Balance Sheet'!G32</f>
        <v>28844373.614</v>
      </c>
      <c r="H16" s="36">
        <f>'Balance Sheet'!H32</f>
        <v>28783105.105999991</v>
      </c>
    </row>
    <row r="17" spans="1:11" x14ac:dyDescent="0.3">
      <c r="A17" t="s">
        <v>266</v>
      </c>
      <c r="B17" s="36">
        <f>'Balance Sheet'!B17</f>
        <v>52857431.694999978</v>
      </c>
      <c r="C17" s="36">
        <f>'Balance Sheet'!C17</f>
        <v>51295807.868000016</v>
      </c>
      <c r="D17" s="36">
        <f>'Balance Sheet'!D17</f>
        <v>53252502.963000007</v>
      </c>
      <c r="E17" s="36">
        <f>'Balance Sheet'!E17</f>
        <v>54162371.038000003</v>
      </c>
      <c r="F17" s="36">
        <f>'Balance Sheet'!F17</f>
        <v>52653640.383000016</v>
      </c>
      <c r="G17" s="36">
        <f>'Balance Sheet'!G17</f>
        <v>47181048.484999999</v>
      </c>
      <c r="H17" s="36">
        <f>'Balance Sheet'!H17</f>
        <v>49124963.644000016</v>
      </c>
    </row>
    <row r="18" spans="1:11" x14ac:dyDescent="0.3">
      <c r="A18" t="s">
        <v>267</v>
      </c>
      <c r="B18" s="36">
        <f>SUM('Income Statement'!$B8:B8)</f>
        <v>5292851.8779999986</v>
      </c>
      <c r="C18" s="36">
        <f>SUM('Income Statement'!$B8:C8)</f>
        <v>11008031.935999997</v>
      </c>
      <c r="D18" s="36">
        <f>SUM('Income Statement'!$B8:D8)</f>
        <v>17799157.669</v>
      </c>
      <c r="E18" s="36">
        <f>SUM('Income Statement'!$B8:E8)</f>
        <v>22957196.544999994</v>
      </c>
      <c r="F18" s="36">
        <f>SUM('Income Statement'!$B8:F8)</f>
        <v>29306086.629000001</v>
      </c>
      <c r="G18" s="36">
        <f>SUM('Income Statement'!$B8:G8)</f>
        <v>36211835.092</v>
      </c>
      <c r="H18" s="36">
        <f>SUM('Income Statement'!$B8:H8)</f>
        <v>41709629.931999996</v>
      </c>
    </row>
    <row r="19" spans="1:11" x14ac:dyDescent="0.3">
      <c r="A19" t="s">
        <v>268</v>
      </c>
      <c r="B19" s="36">
        <f>-SUM('Income Statement'!$B12:B12)</f>
        <v>1219631.6530000002</v>
      </c>
      <c r="C19" s="36">
        <f>-SUM('Income Statement'!$B12:C12)</f>
        <v>2392154.6069999998</v>
      </c>
      <c r="D19" s="36">
        <f>-SUM('Income Statement'!$B12:D12)</f>
        <v>3545435.9610000001</v>
      </c>
      <c r="E19" s="36">
        <f>-SUM('Income Statement'!$B12:E12)</f>
        <v>4633985.0759999994</v>
      </c>
      <c r="F19" s="36">
        <f>-SUM('Income Statement'!$B12:F12)</f>
        <v>5842316.527999999</v>
      </c>
      <c r="G19" s="36">
        <f>-SUM('Income Statement'!$B12:G12)</f>
        <v>7001517.4470000006</v>
      </c>
      <c r="H19" s="36">
        <f>-SUM('Income Statement'!$B12:H12)</f>
        <v>8155491.2629999993</v>
      </c>
    </row>
    <row r="20" spans="1:11" x14ac:dyDescent="0.3">
      <c r="A20" t="s">
        <v>269</v>
      </c>
      <c r="B20" s="36">
        <f>SUM('Income Statement'!$B13:B13)</f>
        <v>4073220.2249999987</v>
      </c>
      <c r="C20" s="36">
        <f>SUM('Income Statement'!$B13:C13)</f>
        <v>8615877.3289999962</v>
      </c>
      <c r="D20" s="36">
        <f>SUM('Income Statement'!$B13:D13)</f>
        <v>14253721.707999997</v>
      </c>
      <c r="E20" s="36">
        <f>SUM('Income Statement'!$B13:E13)</f>
        <v>18323211.468999993</v>
      </c>
      <c r="F20" s="36">
        <f>SUM('Income Statement'!$B13:F13)</f>
        <v>23463770.101000004</v>
      </c>
      <c r="G20" s="36">
        <f>SUM('Income Statement'!$B13:G13)</f>
        <v>29210317.645000003</v>
      </c>
      <c r="H20" s="36">
        <f>SUM('Income Statement'!$B13:H13)</f>
        <v>33554138.669</v>
      </c>
    </row>
    <row r="21" spans="1:11" x14ac:dyDescent="0.3">
      <c r="A21" t="s">
        <v>270</v>
      </c>
      <c r="B21" s="36">
        <f>SUM('Income Statement'!$B27:B27)</f>
        <v>68506.112999997567</v>
      </c>
      <c r="C21" s="36">
        <f>SUM('Income Statement'!$B27:C27)</f>
        <v>447773.80399999674</v>
      </c>
      <c r="D21" s="36">
        <f>SUM('Income Statement'!$B27:D27)</f>
        <v>2227527.918999996</v>
      </c>
      <c r="E21" s="36">
        <f>SUM('Income Statement'!$B27:E27)</f>
        <v>2016775.9999999846</v>
      </c>
      <c r="F21" s="36">
        <f>SUM('Income Statement'!$B27:F27)</f>
        <v>2718657.0830000159</v>
      </c>
      <c r="G21" s="36">
        <f>SUM('Income Statement'!$B27:G27)</f>
        <v>4562962.5430000052</v>
      </c>
      <c r="H21" s="36">
        <f>SUM('Income Statement'!$B27:H27)</f>
        <v>4356663.0499999989</v>
      </c>
    </row>
    <row r="22" spans="1:11" x14ac:dyDescent="0.3">
      <c r="A22" t="s">
        <v>271</v>
      </c>
      <c r="B22" s="36">
        <f>SUM('Income Statement'!$B31:B31)</f>
        <v>-15169.963999999998</v>
      </c>
      <c r="C22" s="36">
        <f>SUM('Income Statement'!$B31:C31)</f>
        <v>-31390.474000000002</v>
      </c>
      <c r="D22" s="36">
        <f>SUM('Income Statement'!$B31:D31)</f>
        <v>-50424.767</v>
      </c>
      <c r="E22" s="36">
        <f>SUM('Income Statement'!$B31:E31)</f>
        <v>-70337.479000000007</v>
      </c>
      <c r="F22" s="36">
        <f>SUM('Income Statement'!$B31:F31)</f>
        <v>-103681.552</v>
      </c>
      <c r="G22" s="36">
        <f>SUM('Income Statement'!$B31:G31)</f>
        <v>-140404.73500000002</v>
      </c>
      <c r="H22" s="36">
        <f>SUM('Income Statement'!$B31:H31)</f>
        <v>-161010.65900000001</v>
      </c>
    </row>
    <row r="23" spans="1:11" x14ac:dyDescent="0.3">
      <c r="A23" t="s">
        <v>272</v>
      </c>
      <c r="B23" s="36">
        <f>SUM('Income Statement'!$B34:B34)</f>
        <v>154839.56999999756</v>
      </c>
      <c r="C23" s="36">
        <f>SUM('Income Statement'!$B34:C34)</f>
        <v>621878.83799999673</v>
      </c>
      <c r="D23" s="36">
        <f>SUM('Income Statement'!$B34:D34)</f>
        <v>1846631.6899999958</v>
      </c>
      <c r="E23" s="36">
        <f>SUM('Income Statement'!$B34:E34)</f>
        <v>1679039.3719999846</v>
      </c>
      <c r="F23" s="36">
        <f>SUM('Income Statement'!$B34:F34)</f>
        <v>2316036.2750000157</v>
      </c>
      <c r="G23" s="36">
        <f>SUM('Income Statement'!$B34:G34)</f>
        <v>3608847.9810000043</v>
      </c>
      <c r="H23" s="36">
        <f>SUM('Income Statement'!$B34:H34)</f>
        <v>3417018.6739999983</v>
      </c>
    </row>
    <row r="25" spans="1:11" x14ac:dyDescent="0.3">
      <c r="A25" s="57" t="s">
        <v>273</v>
      </c>
      <c r="B25" s="59">
        <f>B6</f>
        <v>45777</v>
      </c>
      <c r="C25" s="59">
        <f>C6</f>
        <v>45808</v>
      </c>
      <c r="D25" s="59">
        <f>D6</f>
        <v>45838</v>
      </c>
      <c r="E25" s="59">
        <f>E6</f>
        <v>45869</v>
      </c>
      <c r="F25" s="59">
        <f>F6</f>
        <v>45900</v>
      </c>
      <c r="G25" s="59">
        <f>G6</f>
        <v>45930</v>
      </c>
      <c r="H25" s="59">
        <f>H6</f>
        <v>45961</v>
      </c>
      <c r="I25" s="56" t="s">
        <v>274</v>
      </c>
      <c r="J25" s="56" t="s">
        <v>275</v>
      </c>
      <c r="K25" s="57" t="s">
        <v>276</v>
      </c>
    </row>
    <row r="26" spans="1:11" x14ac:dyDescent="0.3">
      <c r="A26" t="s">
        <v>277</v>
      </c>
      <c r="B26" s="30">
        <f>IF(B11=0,"N/A",B10/B11)</f>
        <v>2.9589173259553352</v>
      </c>
      <c r="C26" s="30">
        <f>IF(C11=0,"N/A",C10/C11)</f>
        <v>3.4666920587361383</v>
      </c>
      <c r="D26" s="30">
        <f>IF(D11=0,"N/A",D10/D11)</f>
        <v>3.2884832271494453</v>
      </c>
      <c r="E26" s="30">
        <f>IF(E11=0,"N/A",E10/E11)</f>
        <v>3.4851646500763338</v>
      </c>
      <c r="F26" s="30">
        <f>IF(F11=0,"N/A",F10/F11)</f>
        <v>3.3205130883107992</v>
      </c>
      <c r="G26" s="30">
        <f>IF(G11=0,"N/A",G10/G11)</f>
        <v>2.837531832140447</v>
      </c>
      <c r="H26" s="30">
        <f>IF(H11=0,"N/A",H10/H11)</f>
        <v>2.7021586761089953</v>
      </c>
      <c r="I26" s="45" t="str">
        <f>IF(ISNUMBER(H26),IF(H26&lt;$B38,$D38,IF(H26&lt;=$C38,$E38,$F38)),"N/A")</f>
        <v>Caution</v>
      </c>
      <c r="J26" s="45" t="str">
        <f>IF(ISNUMBER(H26),IF(H26&lt;$B38,$G38,IF(H26&lt;=$C38,$H38,$I38)),"N/A")</f>
        <v>Average</v>
      </c>
      <c r="K26" s="65" t="s">
        <v>278</v>
      </c>
    </row>
    <row r="27" spans="1:11" x14ac:dyDescent="0.3">
      <c r="A27" t="s">
        <v>279</v>
      </c>
      <c r="B27" s="30">
        <f>IF(B11=0,"N/A",(B12+B13)/B11)</f>
        <v>2.7829308645106359</v>
      </c>
      <c r="C27" s="30">
        <f>IF(C11=0,"N/A",(C12+C13)/C11)</f>
        <v>3.2432046296768418</v>
      </c>
      <c r="D27" s="30">
        <f>IF(D11=0,"N/A",(D12+D13)/D11)</f>
        <v>3.1020486735320301</v>
      </c>
      <c r="E27" s="30">
        <f>IF(E11=0,"N/A",(E12+E13)/E11)</f>
        <v>3.2503391811791627</v>
      </c>
      <c r="F27" s="30">
        <f>IF(F11=0,"N/A",(F12+F13)/F11)</f>
        <v>3.0898955158371706</v>
      </c>
      <c r="G27" s="30">
        <f>IF(G11=0,"N/A",(G12+G13)/G11)</f>
        <v>2.6161559008926409</v>
      </c>
      <c r="H27" s="30">
        <f>IF(H11=0,"N/A",(H12+H13)/H11)</f>
        <v>2.50525548616779</v>
      </c>
      <c r="I27" s="45" t="str">
        <f>IF(ISNUMBER(H27),IF(H27&lt;$B39,$D39,IF(H27&lt;=$C39,$E39,$F39)),"N/A")</f>
        <v>Caution</v>
      </c>
      <c r="J27" s="45" t="str">
        <f>IF(ISNUMBER(H27),IF(H27&lt;$B39,$G39,IF(H27&lt;=$C39,$H39,$I39)),"N/A")</f>
        <v>Average</v>
      </c>
      <c r="K27" s="65" t="s">
        <v>280</v>
      </c>
    </row>
    <row r="28" spans="1:11" x14ac:dyDescent="0.3">
      <c r="A28" t="s">
        <v>281</v>
      </c>
      <c r="B28" s="30">
        <f>IF(B16=0,"N/A",B15/B16)</f>
        <v>0.49171627518263572</v>
      </c>
      <c r="C28" s="30">
        <f>IF(C16=0,"N/A",C15/C16)</f>
        <v>0.39827214691646623</v>
      </c>
      <c r="D28" s="30">
        <f>IF(D16=0,"N/A",D15/D16)</f>
        <v>0.42039593223657967</v>
      </c>
      <c r="E28" s="30">
        <f>IF(E16=0,"N/A",E15/E16)</f>
        <v>0.40528490175955167</v>
      </c>
      <c r="F28" s="30">
        <f>IF(F16=0,"N/A",F15/F16)</f>
        <v>0.41750293917257836</v>
      </c>
      <c r="G28" s="30">
        <f>IF(G16=0,"N/A",G15/G16)</f>
        <v>0.5231258486638185</v>
      </c>
      <c r="H28" s="30">
        <f>IF(H16=0,"N/A",H15/H16)</f>
        <v>0.57965456463285048</v>
      </c>
      <c r="I28" s="45" t="str">
        <f>IF(ISNUMBER(H28),IF(H28&lt;$B40,$D40,IF(H28&lt;=$C40,$E40,$F40)),"N/A")</f>
        <v>Balanced</v>
      </c>
      <c r="J28" s="45" t="str">
        <f>IF(ISNUMBER(H28),IF(H28&lt;$B40,$G40,IF(H28&lt;=$C40,$H40,$I40)),"N/A")</f>
        <v>Average</v>
      </c>
      <c r="K28" s="65" t="s">
        <v>352</v>
      </c>
    </row>
    <row r="29" spans="1:11" x14ac:dyDescent="0.3">
      <c r="A29" t="s">
        <v>282</v>
      </c>
      <c r="B29" s="42">
        <f>IF(B22=0,"N/A",B21/ABS(B22))</f>
        <v>4.5159047839531841</v>
      </c>
      <c r="C29" s="42">
        <f>IF(C22=0,"N/A",C21/ABS(C22))</f>
        <v>14.264639775748423</v>
      </c>
      <c r="D29" s="42">
        <f>IF(D22=0,"N/A",D21/ABS(D22))</f>
        <v>44.175274404341742</v>
      </c>
      <c r="E29" s="42">
        <f>IF(E22=0,"N/A",E21/ABS(E22))</f>
        <v>28.672850216880597</v>
      </c>
      <c r="F29" s="42">
        <f>IF(F22=0,"N/A",F21/ABS(F22))</f>
        <v>26.22122287482749</v>
      </c>
      <c r="G29" s="42">
        <f>IF(G22=0,"N/A",G21/ABS(G22))</f>
        <v>32.498637193396682</v>
      </c>
      <c r="H29" s="42">
        <f>IF(H22=0,"N/A",H21/ABS(H22))</f>
        <v>27.058227554984409</v>
      </c>
      <c r="I29" s="45" t="str">
        <f>IF(ISNUMBER(H29),IF(H29&lt;$B41,$D41,IF(H29&lt;=$C41,$E41,$F41)),"N/A")</f>
        <v>Excellent</v>
      </c>
      <c r="J29" s="45" t="str">
        <f>IF(ISNUMBER(H29),IF(H29&lt;$B41,$G41,IF(H29&lt;=$C41,$H41,$I41)),"N/A")</f>
        <v>Excellent</v>
      </c>
      <c r="K29" s="65" t="s">
        <v>283</v>
      </c>
    </row>
    <row r="30" spans="1:11" x14ac:dyDescent="0.3">
      <c r="A30" t="s">
        <v>284</v>
      </c>
      <c r="B30" s="43">
        <f>IF(B18=0,"N/A",B13/B18*B8)</f>
        <v>151.2991866234878</v>
      </c>
      <c r="C30" s="43">
        <f>IF(C18=0,"N/A",C13/C18*C8)</f>
        <v>139.61358185416515</v>
      </c>
      <c r="D30" s="43">
        <f>IF(D18=0,"N/A",D13/D18*D8)</f>
        <v>139.96424229253788</v>
      </c>
      <c r="E30" s="43">
        <f>IF(E18=0,"N/A",E13/E18*E8)</f>
        <v>149.82258676245524</v>
      </c>
      <c r="F30" s="43">
        <f>IF(F18=0,"N/A",F13/F18*F8)</f>
        <v>135.75571917453084</v>
      </c>
      <c r="G30" s="43">
        <f>IF(G18=0,"N/A",G13/G18*G8)</f>
        <v>137.24317573458035</v>
      </c>
      <c r="H30" s="43">
        <f>IF(H18=0,"N/A",H13/H18*H8)</f>
        <v>144.70413397030569</v>
      </c>
      <c r="I30" s="45" t="str">
        <f>IF(ISNUMBER(H30),IF(H30&lt;$B42,$D42,IF(H30&lt;=$C42,$E42,$F42)),"N/A")</f>
        <v>Poor</v>
      </c>
      <c r="J30" s="45" t="str">
        <f>IF(ISNUMBER(H30),IF(H30&lt;$B42,$G42,IF(H30&lt;=$C42,$H42,$I42)),"N/A")</f>
        <v>Bad</v>
      </c>
      <c r="K30" s="65" t="s">
        <v>353</v>
      </c>
    </row>
    <row r="31" spans="1:11" x14ac:dyDescent="0.3">
      <c r="A31" t="s">
        <v>285</v>
      </c>
      <c r="B31" s="30">
        <f>IF(B17=0,"N/A",B18*B9/B17)</f>
        <v>1.2016138601378181</v>
      </c>
      <c r="C31" s="30">
        <f>IF(C17=0,"N/A",C18*C9/C17)</f>
        <v>1.2875943349203587</v>
      </c>
      <c r="D31" s="30">
        <f>IF(D17=0,"N/A",D18*D9/D17)</f>
        <v>1.3369630855749188</v>
      </c>
      <c r="E31" s="30">
        <f>IF(E17=0,"N/A",E18*E9/E17)</f>
        <v>1.2715763419345154</v>
      </c>
      <c r="F31" s="30">
        <f>IF(F17=0,"N/A",F18*F9/F17)</f>
        <v>1.3357976276282038</v>
      </c>
      <c r="G31" s="30">
        <f>IF(G17=0,"N/A",G18*G9/G17)</f>
        <v>1.5350161242606815</v>
      </c>
      <c r="H31" s="30">
        <f>IF(H17=0,"N/A",H18*H9/H17)</f>
        <v>1.4555170617272204</v>
      </c>
      <c r="I31" s="45" t="str">
        <f>IF(ISNUMBER(H31),IF(H31&lt;$B43,$D43,IF(H31&lt;=$C43,$E43,$F43)),"N/A")</f>
        <v>Average</v>
      </c>
      <c r="J31" s="45" t="str">
        <f>IF(ISNUMBER(H31),IF(H31&lt;$B43,$G43,IF(H31&lt;=$C43,$H43,$I43)),"N/A")</f>
        <v>Average</v>
      </c>
      <c r="K31" s="65" t="s">
        <v>286</v>
      </c>
    </row>
    <row r="32" spans="1:11" x14ac:dyDescent="0.3">
      <c r="A32" t="s">
        <v>287</v>
      </c>
      <c r="B32" s="44">
        <f>IF(B18=0,"N/A",B20/B18)</f>
        <v>0.76957003877825125</v>
      </c>
      <c r="C32" s="44">
        <f>IF(C18=0,"N/A",C20/C18)</f>
        <v>0.78269007385626821</v>
      </c>
      <c r="D32" s="44">
        <f>IF(D18=0,"N/A",D20/D18)</f>
        <v>0.80080877831792396</v>
      </c>
      <c r="E32" s="44">
        <f>IF(E18=0,"N/A",E20/E18)</f>
        <v>0.79814673508080114</v>
      </c>
      <c r="F32" s="44">
        <f>IF(F18=0,"N/A",F20/F18)</f>
        <v>0.80064494444581691</v>
      </c>
      <c r="G32" s="44">
        <f>IF(G18=0,"N/A",G20/G18)</f>
        <v>0.8066511285823571</v>
      </c>
      <c r="H32" s="44">
        <f>IF(H18=0,"N/A",H20/H18)</f>
        <v>0.80446982444351467</v>
      </c>
      <c r="I32" s="45" t="str">
        <f>IF(ISNUMBER(H32),IF(H32&lt;$B44,$D44,IF(H32&lt;=$C44,$E44,$F44)),"N/A")</f>
        <v>Excellent</v>
      </c>
      <c r="J32" s="45" t="str">
        <f>IF(ISNUMBER(H32),IF(H32&lt;$B44,$G44,IF(H32&lt;=$C44,$H44,$I44)),"N/A")</f>
        <v>Excellent</v>
      </c>
      <c r="K32" s="65" t="s">
        <v>354</v>
      </c>
    </row>
    <row r="33" spans="1:11" x14ac:dyDescent="0.3">
      <c r="A33" t="s">
        <v>288</v>
      </c>
      <c r="B33" s="44">
        <f>IF(B17=0,"N/A",B23*B9/B17)</f>
        <v>3.5152575151995789E-2</v>
      </c>
      <c r="C33" s="44">
        <f>IF(C17=0,"N/A",C23*C9/C17)</f>
        <v>7.2740311208309663E-2</v>
      </c>
      <c r="D33" s="44">
        <f>IF(D17=0,"N/A",D23*D9/D17)</f>
        <v>0.13870759774676061</v>
      </c>
      <c r="E33" s="44">
        <f>IF(E17=0,"N/A",E23*E9/E17)</f>
        <v>9.300032512361657E-2</v>
      </c>
      <c r="F33" s="44">
        <f>IF(F17=0,"N/A",F23*F9/F17)</f>
        <v>0.10556700390643217</v>
      </c>
      <c r="G33" s="44">
        <f>IF(G17=0,"N/A",G23*G9/G17)</f>
        <v>0.15297871060018281</v>
      </c>
      <c r="H33" s="44">
        <f>IF(H17=0,"N/A",H23*H9/H17)</f>
        <v>0.1192417431743211</v>
      </c>
      <c r="I33" s="45" t="str">
        <f>IF(ISNUMBER(H33),IF(H33&lt;$B45,$D45,IF(H33&lt;=$C45,$E45,$F45)),"N/A")</f>
        <v>Good</v>
      </c>
      <c r="J33" s="45" t="str">
        <f>IF(ISNUMBER(H33),IF(H33&lt;$B45,$G45,IF(H33&lt;=$C45,$H45,$I45)),"N/A")</f>
        <v>Good</v>
      </c>
      <c r="K33" s="65" t="s">
        <v>289</v>
      </c>
    </row>
    <row r="34" spans="1:11" x14ac:dyDescent="0.3">
      <c r="A34" t="s">
        <v>290</v>
      </c>
      <c r="B34" s="44">
        <f>IF(B16=0,"N/A",B23*B9/B16)</f>
        <v>5.611013097297312E-2</v>
      </c>
      <c r="C34" s="44">
        <f>IF(C16=0,"N/A",C23*C9/C16)</f>
        <v>0.11023082093011977</v>
      </c>
      <c r="D34" s="44">
        <f>IF(D16=0,"N/A",D23*D9/D16)</f>
        <v>0.20922637382560272</v>
      </c>
      <c r="E34" s="44">
        <f>IF(E16=0,"N/A",E23*E9/E16)</f>
        <v>0.14315909992717091</v>
      </c>
      <c r="F34" s="44">
        <f>IF(F16=0,"N/A",F23*F9/F16)</f>
        <v>0.16012626294128984</v>
      </c>
      <c r="G34" s="44">
        <f>IF(G16=0,"N/A",G23*G9/G16)</f>
        <v>0.25022890282133925</v>
      </c>
      <c r="H34" s="44">
        <f>IF(H16=0,"N/A",H23*H9/H16)</f>
        <v>0.20351335537681903</v>
      </c>
      <c r="I34" s="45" t="str">
        <f>IF(ISNUMBER(H34),IF(H34&lt;$B46,$D46,IF(H34&lt;=$C46,$E46,$F46)),"N/A")</f>
        <v>Excellent</v>
      </c>
      <c r="J34" s="45" t="str">
        <f>IF(ISNUMBER(H34),IF(H34&lt;$B46,$G46,IF(H34&lt;=$C46,$H46,$I46)),"N/A")</f>
        <v>Excellent</v>
      </c>
      <c r="K34" s="65" t="s">
        <v>355</v>
      </c>
    </row>
    <row r="36" spans="1:11" x14ac:dyDescent="0.3">
      <c r="A36" s="61" t="s">
        <v>291</v>
      </c>
    </row>
    <row r="37" spans="1:11" x14ac:dyDescent="0.3">
      <c r="A37" s="57" t="s">
        <v>273</v>
      </c>
      <c r="B37" s="56" t="s">
        <v>292</v>
      </c>
      <c r="C37" s="56" t="s">
        <v>293</v>
      </c>
      <c r="D37" s="56" t="s">
        <v>294</v>
      </c>
      <c r="E37" s="56" t="s">
        <v>295</v>
      </c>
      <c r="F37" s="56" t="s">
        <v>296</v>
      </c>
      <c r="G37" s="56" t="s">
        <v>297</v>
      </c>
      <c r="H37" s="56" t="s">
        <v>298</v>
      </c>
      <c r="I37" s="56" t="s">
        <v>299</v>
      </c>
    </row>
    <row r="38" spans="1:11" x14ac:dyDescent="0.3">
      <c r="A38" t="str">
        <f>A26</f>
        <v>Liquidity – Current Ratio</v>
      </c>
      <c r="B38" s="46">
        <v>1.2</v>
      </c>
      <c r="C38" s="46">
        <v>2</v>
      </c>
      <c r="D38" s="47" t="s">
        <v>300</v>
      </c>
      <c r="E38" s="47" t="s">
        <v>301</v>
      </c>
      <c r="F38" s="47" t="s">
        <v>302</v>
      </c>
      <c r="G38" s="47" t="s">
        <v>303</v>
      </c>
      <c r="H38" s="47" t="s">
        <v>304</v>
      </c>
      <c r="I38" s="47" t="s">
        <v>305</v>
      </c>
    </row>
    <row r="39" spans="1:11" x14ac:dyDescent="0.3">
      <c r="A39" t="str">
        <f>A27</f>
        <v>Liquidity – Quick Ratio</v>
      </c>
      <c r="B39" s="46">
        <v>1</v>
      </c>
      <c r="C39" s="46">
        <v>1.5</v>
      </c>
      <c r="D39" s="47" t="s">
        <v>303</v>
      </c>
      <c r="E39" s="47" t="s">
        <v>304</v>
      </c>
      <c r="F39" s="47" t="s">
        <v>302</v>
      </c>
      <c r="G39" s="47" t="s">
        <v>303</v>
      </c>
      <c r="H39" s="47" t="s">
        <v>304</v>
      </c>
      <c r="I39" s="47" t="s">
        <v>305</v>
      </c>
    </row>
    <row r="40" spans="1:11" x14ac:dyDescent="0.3">
      <c r="A40" t="str">
        <f>A28</f>
        <v>Solvency – Debt-to-Equity</v>
      </c>
      <c r="B40" s="46">
        <v>0.5</v>
      </c>
      <c r="C40" s="46">
        <v>1.5</v>
      </c>
      <c r="D40" s="47" t="s">
        <v>306</v>
      </c>
      <c r="E40" s="47" t="s">
        <v>307</v>
      </c>
      <c r="F40" s="47" t="s">
        <v>308</v>
      </c>
      <c r="G40" s="47" t="s">
        <v>304</v>
      </c>
      <c r="H40" s="47" t="s">
        <v>305</v>
      </c>
      <c r="I40" s="47" t="s">
        <v>303</v>
      </c>
    </row>
    <row r="41" spans="1:11" x14ac:dyDescent="0.3">
      <c r="A41" t="str">
        <f>A29</f>
        <v>Solvency – Interest Coverage</v>
      </c>
      <c r="B41" s="46">
        <v>1.5</v>
      </c>
      <c r="C41" s="46">
        <v>4</v>
      </c>
      <c r="D41" s="47" t="s">
        <v>309</v>
      </c>
      <c r="E41" s="47" t="s">
        <v>305</v>
      </c>
      <c r="F41" s="47" t="s">
        <v>310</v>
      </c>
      <c r="G41" s="47" t="s">
        <v>303</v>
      </c>
      <c r="H41" s="47" t="s">
        <v>305</v>
      </c>
      <c r="I41" s="47" t="s">
        <v>310</v>
      </c>
    </row>
    <row r="42" spans="1:11" x14ac:dyDescent="0.3">
      <c r="A42" t="str">
        <f>A30</f>
        <v>Efficiency – Days Sales Outstanding</v>
      </c>
      <c r="B42" s="48">
        <v>30</v>
      </c>
      <c r="C42" s="48">
        <v>45</v>
      </c>
      <c r="D42" s="47" t="s">
        <v>310</v>
      </c>
      <c r="E42" s="47" t="s">
        <v>311</v>
      </c>
      <c r="F42" s="47" t="s">
        <v>312</v>
      </c>
      <c r="G42" s="47" t="s">
        <v>310</v>
      </c>
      <c r="H42" s="47" t="s">
        <v>305</v>
      </c>
      <c r="I42" s="47" t="s">
        <v>303</v>
      </c>
    </row>
    <row r="43" spans="1:11" x14ac:dyDescent="0.3">
      <c r="A43" t="str">
        <f>A31</f>
        <v>Efficiency – Asset Turnover</v>
      </c>
      <c r="B43" s="48">
        <v>0.5</v>
      </c>
      <c r="C43" s="48">
        <v>1.5</v>
      </c>
      <c r="D43" s="47" t="s">
        <v>313</v>
      </c>
      <c r="E43" s="47" t="s">
        <v>305</v>
      </c>
      <c r="F43" s="47" t="s">
        <v>310</v>
      </c>
      <c r="G43" s="47" t="s">
        <v>303</v>
      </c>
      <c r="H43" s="47" t="s">
        <v>305</v>
      </c>
      <c r="I43" s="47" t="s">
        <v>310</v>
      </c>
    </row>
    <row r="44" spans="1:11" x14ac:dyDescent="0.3">
      <c r="A44" t="str">
        <f>A32</f>
        <v>Profitability – Gross Profit Margin</v>
      </c>
      <c r="B44" s="49">
        <v>0.2</v>
      </c>
      <c r="C44" s="49">
        <v>0.5</v>
      </c>
      <c r="D44" s="47" t="s">
        <v>313</v>
      </c>
      <c r="E44" s="47" t="s">
        <v>314</v>
      </c>
      <c r="F44" s="47" t="s">
        <v>310</v>
      </c>
      <c r="G44" s="47" t="s">
        <v>303</v>
      </c>
      <c r="H44" s="47" t="s">
        <v>304</v>
      </c>
      <c r="I44" s="47" t="s">
        <v>310</v>
      </c>
    </row>
    <row r="45" spans="1:11" x14ac:dyDescent="0.3">
      <c r="A45" t="str">
        <f>A33</f>
        <v>Profitability – Return on Assets</v>
      </c>
      <c r="B45" s="49">
        <v>0.05</v>
      </c>
      <c r="C45" s="49">
        <v>0.15</v>
      </c>
      <c r="D45" s="47" t="s">
        <v>312</v>
      </c>
      <c r="E45" s="47" t="s">
        <v>304</v>
      </c>
      <c r="F45" s="47" t="s">
        <v>310</v>
      </c>
      <c r="G45" s="47" t="s">
        <v>303</v>
      </c>
      <c r="H45" s="47" t="s">
        <v>304</v>
      </c>
      <c r="I45" s="47" t="s">
        <v>310</v>
      </c>
    </row>
    <row r="46" spans="1:11" x14ac:dyDescent="0.3">
      <c r="A46" t="str">
        <f>A34</f>
        <v>Profitability – Return on Equity</v>
      </c>
      <c r="B46" s="49">
        <v>0.05</v>
      </c>
      <c r="C46" s="49">
        <v>0.15</v>
      </c>
      <c r="D46" s="47" t="s">
        <v>312</v>
      </c>
      <c r="E46" s="47" t="s">
        <v>304</v>
      </c>
      <c r="F46" s="47" t="s">
        <v>310</v>
      </c>
      <c r="G46" s="47" t="s">
        <v>303</v>
      </c>
      <c r="H46" s="47" t="s">
        <v>304</v>
      </c>
      <c r="I46" s="47" t="s">
        <v>310</v>
      </c>
    </row>
    <row r="48" spans="1:11" x14ac:dyDescent="0.3">
      <c r="A48" s="61" t="s">
        <v>315</v>
      </c>
      <c r="D48" s="61" t="s">
        <v>318</v>
      </c>
    </row>
    <row r="49" spans="1:5" x14ac:dyDescent="0.3">
      <c r="A49" s="57" t="s">
        <v>316</v>
      </c>
      <c r="B49" s="57" t="s">
        <v>317</v>
      </c>
      <c r="D49" s="57" t="s">
        <v>319</v>
      </c>
      <c r="E49" s="57" t="s">
        <v>320</v>
      </c>
    </row>
    <row r="50" spans="1:5" x14ac:dyDescent="0.3">
      <c r="A50" t="s">
        <v>303</v>
      </c>
      <c r="B50" s="11">
        <v>0</v>
      </c>
      <c r="D50" t="s">
        <v>310</v>
      </c>
      <c r="E50" s="11">
        <v>2.5</v>
      </c>
    </row>
    <row r="51" spans="1:5" x14ac:dyDescent="0.3">
      <c r="A51" t="s">
        <v>305</v>
      </c>
      <c r="B51" s="11">
        <v>1</v>
      </c>
      <c r="D51" t="s">
        <v>304</v>
      </c>
      <c r="E51" s="11">
        <v>1.5</v>
      </c>
    </row>
    <row r="52" spans="1:5" x14ac:dyDescent="0.3">
      <c r="A52" t="s">
        <v>304</v>
      </c>
      <c r="B52" s="11">
        <v>2</v>
      </c>
      <c r="D52" t="s">
        <v>305</v>
      </c>
      <c r="E52" s="11">
        <v>1</v>
      </c>
    </row>
    <row r="53" spans="1:5" x14ac:dyDescent="0.3">
      <c r="A53" t="s">
        <v>310</v>
      </c>
      <c r="B53" s="11">
        <v>3</v>
      </c>
      <c r="D53" t="s">
        <v>303</v>
      </c>
      <c r="E53" s="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6196-78DD-4207-9F88-C649D7A80234}">
  <dimension ref="A1:K38"/>
  <sheetViews>
    <sheetView showGridLines="0" topLeftCell="C5" zoomScale="101" workbookViewId="0">
      <selection activeCell="A38" sqref="A38:XFD38"/>
    </sheetView>
  </sheetViews>
  <sheetFormatPr defaultRowHeight="14.4" x14ac:dyDescent="0.3"/>
  <cols>
    <col min="1" max="1" width="9.21875" customWidth="1"/>
    <col min="2" max="2" width="61.109375" customWidth="1"/>
    <col min="3" max="3" width="37" customWidth="1"/>
    <col min="4" max="4" width="20.33203125" customWidth="1"/>
    <col min="5" max="11" width="16.6640625" customWidth="1"/>
  </cols>
  <sheetData>
    <row r="1" spans="1:11" ht="15.6" x14ac:dyDescent="0.3">
      <c r="A1" s="10" t="s">
        <v>350</v>
      </c>
    </row>
    <row r="2" spans="1:11" x14ac:dyDescent="0.3">
      <c r="A2" s="8" t="s">
        <v>351</v>
      </c>
    </row>
    <row r="4" spans="1:11" x14ac:dyDescent="0.3">
      <c r="A4" s="57" t="s">
        <v>165</v>
      </c>
      <c r="B4" s="57" t="s">
        <v>41</v>
      </c>
      <c r="C4" s="57" t="s">
        <v>166</v>
      </c>
      <c r="D4" s="57" t="s">
        <v>167</v>
      </c>
      <c r="E4" s="58">
        <f>Apr!$B$2</f>
        <v>45777</v>
      </c>
      <c r="F4" s="58">
        <f>May!$B$2</f>
        <v>45808</v>
      </c>
      <c r="G4" s="58">
        <f>Jun!$B$2</f>
        <v>45838</v>
      </c>
      <c r="H4" s="58">
        <f>Jul!$B$2</f>
        <v>45869</v>
      </c>
      <c r="I4" s="58">
        <f>Aug!$B$2</f>
        <v>45900</v>
      </c>
      <c r="J4" s="58">
        <f>Sep!$B$2</f>
        <v>45930</v>
      </c>
      <c r="K4" s="58">
        <f>Oct!$B$2</f>
        <v>45961</v>
      </c>
    </row>
    <row r="5" spans="1:11" x14ac:dyDescent="0.3">
      <c r="A5" s="18">
        <v>220</v>
      </c>
      <c r="B5" t="s">
        <v>65</v>
      </c>
      <c r="C5" t="str">
        <f>INDEX(COA!$B$2:$B$30,MATCH(A5,COA!$A$2:$A$30,0))</f>
        <v>PPE &amp; Non-current assets</v>
      </c>
      <c r="D5" t="str">
        <f>INDEX(COA!$C$2:$C$30,MATCH(A5,COA!$A$2:$A$30,0))</f>
        <v>Balance Sheet</v>
      </c>
      <c r="E5" s="17">
        <f>SUMIFS(Apr!$D:$D,Apr!$F:$F,$B5)</f>
        <v>4108318.8209999991</v>
      </c>
      <c r="F5" s="17">
        <f>SUMIFS(May!$D:$D,May!$F:$F,$B5)</f>
        <v>4092358.2649999983</v>
      </c>
      <c r="G5" s="17">
        <f>SUMIFS(Jun!$D:$D,Jun!$F:$F,$B5)</f>
        <v>4166361.9130000011</v>
      </c>
      <c r="H5" s="17">
        <f>SUMIFS(Jul!$D:$D,Jul!$F:$F,$B5)</f>
        <v>4160953.884000001</v>
      </c>
      <c r="I5" s="17">
        <f>SUMIFS(Aug!$D:$D,Aug!$F:$F,$B5)</f>
        <v>4265861.4700000007</v>
      </c>
      <c r="J5" s="17">
        <f>SUMIFS(Sep!$D:$D,Sep!$F:$F,$B5)</f>
        <v>4237690.7380000018</v>
      </c>
      <c r="K5" s="17">
        <f>SUMIFS(Oct!$D:$D,Oct!$F:$F,$B5)</f>
        <v>4161494.0540000005</v>
      </c>
    </row>
    <row r="6" spans="1:11" x14ac:dyDescent="0.3">
      <c r="A6" s="18">
        <v>225</v>
      </c>
      <c r="B6" t="s">
        <v>68</v>
      </c>
      <c r="C6" t="str">
        <f>INDEX(COA!$B$2:$B$30,MATCH(A6,COA!$A$2:$A$30,0))</f>
        <v>Goodwill &amp; Intangibles</v>
      </c>
      <c r="D6" t="str">
        <f>INDEX(COA!$C$2:$C$30,MATCH(A6,COA!$A$2:$A$30,0))</f>
        <v>Balance Sheet</v>
      </c>
      <c r="E6" s="17">
        <f>SUMIFS(Apr!$D:$D,Apr!$F:$F,$B6)</f>
        <v>83942.334000000032</v>
      </c>
      <c r="F6" s="17">
        <f>SUMIFS(May!$D:$D,May!$F:$F,$B6)</f>
        <v>82402.121000000043</v>
      </c>
      <c r="G6" s="17">
        <f>SUMIFS(Jun!$D:$D,Jun!$F:$F,$B6)</f>
        <v>80092.22900000005</v>
      </c>
      <c r="H6" s="17">
        <f>SUMIFS(Jul!$D:$D,Jul!$F:$F,$B6)</f>
        <v>76394.458000000042</v>
      </c>
      <c r="I6" s="17">
        <f>SUMIFS(Aug!$D:$D,Aug!$F:$F,$B6)</f>
        <v>72965.501000000047</v>
      </c>
      <c r="J6" s="17">
        <f>SUMIFS(Sep!$D:$D,Sep!$F:$F,$B6)</f>
        <v>70600.753000000026</v>
      </c>
      <c r="K6" s="17">
        <f>SUMIFS(Oct!$D:$D,Oct!$F:$F,$B6)</f>
        <v>67771.199000000022</v>
      </c>
    </row>
    <row r="7" spans="1:11" x14ac:dyDescent="0.3">
      <c r="A7" s="18">
        <v>230</v>
      </c>
      <c r="B7" t="s">
        <v>47</v>
      </c>
      <c r="C7" t="str">
        <f>INDEX(COA!$B$2:$B$30,MATCH(A7,COA!$A$2:$A$30,0))</f>
        <v>Cash</v>
      </c>
      <c r="D7" t="str">
        <f>INDEX(COA!$C$2:$C$30,MATCH(A7,COA!$A$2:$A$30,0))</f>
        <v>Balance Sheet</v>
      </c>
      <c r="E7" s="17">
        <f>SUMIFS(Apr!$D:$D,Apr!$F:$F,$B7)</f>
        <v>18621207.538999986</v>
      </c>
      <c r="F7" s="17">
        <f>SUMIFS(May!$D:$D,May!$F:$F,$B7)</f>
        <v>18528228.175000016</v>
      </c>
      <c r="G7" s="17">
        <f>SUMIFS(Jun!$D:$D,Jun!$F:$F,$B7)</f>
        <v>18663212.914000016</v>
      </c>
      <c r="H7" s="17">
        <f>SUMIFS(Jul!$D:$D,Jul!$F:$F,$B7)</f>
        <v>18157594.832000002</v>
      </c>
      <c r="I7" s="17">
        <f>SUMIFS(Aug!$D:$D,Aug!$F:$F,$B7)</f>
        <v>18778304.102000028</v>
      </c>
      <c r="J7" s="17">
        <f>SUMIFS(Sep!$D:$D,Sep!$F:$F,$B7)</f>
        <v>12318271.590999993</v>
      </c>
      <c r="K7" s="17">
        <f>SUMIFS(Oct!$D:$D,Oct!$F:$F,$B7)</f>
        <v>13594797.398000015</v>
      </c>
    </row>
    <row r="8" spans="1:11" x14ac:dyDescent="0.3">
      <c r="A8" s="18">
        <v>240</v>
      </c>
      <c r="B8" t="s">
        <v>48</v>
      </c>
      <c r="C8" t="str">
        <f>INDEX(COA!$B$2:$B$30,MATCH(A8,COA!$A$2:$A$30,0))</f>
        <v>Other Financial Assets</v>
      </c>
      <c r="D8" t="str">
        <f>INDEX(COA!$C$2:$C$30,MATCH(A8,COA!$A$2:$A$30,0))</f>
        <v>Balance Sheet</v>
      </c>
      <c r="E8" s="17">
        <f>SUMIFS(Apr!$D:$D,Apr!$F:$F,$B8)</f>
        <v>484888.92</v>
      </c>
      <c r="F8" s="17">
        <f>SUMIFS(May!$D:$D,May!$F:$F,$B8)</f>
        <v>385300.571</v>
      </c>
      <c r="G8" s="17">
        <f>SUMIFS(Jun!$D:$D,Jun!$F:$F,$B8)</f>
        <v>199512.995</v>
      </c>
      <c r="H8" s="17">
        <f>SUMIFS(Jul!$D:$D,Jul!$F:$F,$B8)</f>
        <v>226108.443</v>
      </c>
      <c r="I8" s="17">
        <f>SUMIFS(Aug!$D:$D,Aug!$F:$F,$B8)</f>
        <v>191140.70200000002</v>
      </c>
      <c r="J8" s="17">
        <f>SUMIFS(Sep!$D:$D,Sep!$F:$F,$B8)</f>
        <v>56565.474999999969</v>
      </c>
      <c r="K8" s="17">
        <f>SUMIFS(Oct!$D:$D,Oct!$F:$F,$B8)</f>
        <v>-187814.81799999997</v>
      </c>
    </row>
    <row r="9" spans="1:11" x14ac:dyDescent="0.3">
      <c r="A9" s="18">
        <v>245</v>
      </c>
      <c r="B9" t="s">
        <v>49</v>
      </c>
      <c r="C9" t="str">
        <f>INDEX(COA!$B$2:$B$30,MATCH(A9,COA!$A$2:$A$30,0))</f>
        <v>Other Assets</v>
      </c>
      <c r="D9" t="str">
        <f>INDEX(COA!$C$2:$C$30,MATCH(A9,COA!$A$2:$A$30,0))</f>
        <v>Balance Sheet</v>
      </c>
      <c r="E9" s="17">
        <f>SUMIFS(Apr!$D:$D,Apr!$F:$F,$B9)</f>
        <v>1232168.9069999999</v>
      </c>
      <c r="F9" s="17">
        <f>SUMIFS(May!$D:$D,May!$F:$F,$B9)</f>
        <v>1274561.246</v>
      </c>
      <c r="G9" s="17">
        <f>SUMIFS(Jun!$D:$D,Jun!$F:$F,$B9)</f>
        <v>1362766.1870000002</v>
      </c>
      <c r="H9" s="17">
        <f>SUMIFS(Jul!$D:$D,Jul!$F:$F,$B9)</f>
        <v>1787036.0009999999</v>
      </c>
      <c r="I9" s="17">
        <f>SUMIFS(Aug!$D:$D,Aug!$F:$F,$B9)</f>
        <v>1676810.6569999999</v>
      </c>
      <c r="J9" s="17">
        <f>SUMIFS(Sep!$D:$D,Sep!$F:$F,$B9)</f>
        <v>1599013.0080000001</v>
      </c>
      <c r="K9" s="17">
        <f>SUMIFS(Oct!$D:$D,Oct!$F:$F,$B9)</f>
        <v>1484902.463</v>
      </c>
    </row>
    <row r="10" spans="1:11" x14ac:dyDescent="0.3">
      <c r="A10" s="18">
        <v>250</v>
      </c>
      <c r="B10" t="s">
        <v>46</v>
      </c>
      <c r="C10" t="str">
        <f>INDEX(COA!$B$2:$B$30,MATCH(A10,COA!$A$2:$A$30,0))</f>
        <v>Trade Receivables</v>
      </c>
      <c r="D10" t="str">
        <f>INDEX(COA!$C$2:$C$30,MATCH(A10,COA!$A$2:$A$30,0))</f>
        <v>Balance Sheet</v>
      </c>
      <c r="E10" s="17">
        <f>SUMIFS(Apr!$D:$D,Apr!$F:$F,$B10)</f>
        <v>26693472.80199999</v>
      </c>
      <c r="F10" s="17">
        <f>SUMIFS(May!$D:$D,May!$F:$F,$B10)</f>
        <v>25194602.749999996</v>
      </c>
      <c r="G10" s="17">
        <f>SUMIFS(Jun!$D:$D,Jun!$F:$F,$B10)</f>
        <v>27376325.456999995</v>
      </c>
      <c r="H10" s="17">
        <f>SUMIFS(Jul!$D:$D,Jul!$F:$F,$B10)</f>
        <v>28192676.812999997</v>
      </c>
      <c r="I10" s="17">
        <f>SUMIFS(Aug!$D:$D,Aug!$F:$F,$B10)</f>
        <v>26003064.486999985</v>
      </c>
      <c r="J10" s="17">
        <f>SUMIFS(Sep!$D:$D,Sep!$F:$F,$B10)</f>
        <v>27157525.940999996</v>
      </c>
      <c r="K10" s="17">
        <f>SUMIFS(Oct!$D:$D,Oct!$F:$F,$B10)</f>
        <v>28203532.138</v>
      </c>
    </row>
    <row r="11" spans="1:11" x14ac:dyDescent="0.3">
      <c r="A11" s="18">
        <v>255</v>
      </c>
      <c r="B11" t="s">
        <v>58</v>
      </c>
      <c r="C11" t="str">
        <f>INDEX(COA!$B$2:$B$30,MATCH(A11,COA!$A$2:$A$30,0))</f>
        <v>Income Tax Receivables</v>
      </c>
      <c r="D11" t="str">
        <f>INDEX(COA!$C$2:$C$30,MATCH(A11,COA!$A$2:$A$30,0))</f>
        <v>Balance Sheet</v>
      </c>
      <c r="E11" s="17">
        <f>SUMIFS(Apr!$D:$D,Apr!$F:$F,$B11)</f>
        <v>1633432.372</v>
      </c>
      <c r="F11" s="17">
        <f>SUMIFS(May!$D:$D,May!$F:$F,$B11)</f>
        <v>1738354.7399999998</v>
      </c>
      <c r="G11" s="17">
        <f>SUMIFS(Jun!$D:$D,Jun!$F:$F,$B11)</f>
        <v>1404231.2680000004</v>
      </c>
      <c r="H11" s="17">
        <f>SUMIFS(Jul!$D:$D,Jul!$F:$F,$B11)</f>
        <v>1561606.6069999994</v>
      </c>
      <c r="I11" s="17">
        <f>SUMIFS(Aug!$D:$D,Aug!$F:$F,$B11)</f>
        <v>1665493.4640000004</v>
      </c>
      <c r="J11" s="17">
        <f>SUMIFS(Sep!$D:$D,Sep!$F:$F,$B11)</f>
        <v>1741380.9789999994</v>
      </c>
      <c r="K11" s="17">
        <f>SUMIFS(Oct!$D:$D,Oct!$F:$F,$B11)</f>
        <v>1800281.2099999997</v>
      </c>
    </row>
    <row r="12" spans="1:11" x14ac:dyDescent="0.3">
      <c r="A12" s="18">
        <v>260</v>
      </c>
      <c r="B12" t="s">
        <v>42</v>
      </c>
      <c r="C12" t="str">
        <f>INDEX(COA!$B$2:$B$30,MATCH(A12,COA!$A$2:$A$30,0))</f>
        <v>Equity</v>
      </c>
      <c r="D12" t="str">
        <f>INDEX(COA!$C$2:$C$30,MATCH(A12,COA!$A$2:$A$30,0))</f>
        <v>Balance Sheet</v>
      </c>
      <c r="E12" s="17">
        <f>SUMIFS(Apr!$D:$D,Apr!$F:$F,$B12)</f>
        <v>-32959943.942000002</v>
      </c>
      <c r="F12" s="17">
        <f>SUMIFS(May!$D:$D,May!$F:$F,$B12)</f>
        <v>-33227755.92400001</v>
      </c>
      <c r="G12" s="17">
        <f>SUMIFS(Jun!$D:$D,Jun!$F:$F,$B12)</f>
        <v>-33457362.854000006</v>
      </c>
      <c r="H12" s="17">
        <f>SUMIFS(Jul!$D:$D,Jul!$F:$F,$B12)</f>
        <v>-33506415.961000003</v>
      </c>
      <c r="I12" s="17">
        <f>SUMIFS(Aug!$D:$D,Aug!$F:$F,$B12)</f>
        <v>-32397114.197000027</v>
      </c>
      <c r="J12" s="17">
        <f>SUMIFS(Sep!$D:$D,Sep!$F:$F,$B12)</f>
        <v>-25235525.632999994</v>
      </c>
      <c r="K12" s="17">
        <f>SUMIFS(Oct!$D:$D,Oct!$F:$F,$B12)</f>
        <v>-25366086.431999993</v>
      </c>
    </row>
    <row r="13" spans="1:11" x14ac:dyDescent="0.3">
      <c r="A13" s="18">
        <v>270</v>
      </c>
      <c r="B13" t="s">
        <v>43</v>
      </c>
      <c r="C13" t="str">
        <f>INDEX(COA!$B$2:$B$30,MATCH(A13,COA!$A$2:$A$30,0))</f>
        <v>Financial Liabilities</v>
      </c>
      <c r="D13" t="str">
        <f>INDEX(COA!$C$2:$C$30,MATCH(A13,COA!$A$2:$A$30,0))</f>
        <v>Balance Sheet</v>
      </c>
      <c r="E13" s="17">
        <f>SUMIFS(Apr!$D:$D,Apr!$F:$F,$B13)</f>
        <v>-16283078.001999998</v>
      </c>
      <c r="F13" s="17">
        <f>SUMIFS(May!$D:$D,May!$F:$F,$B13)</f>
        <v>-13481366.70899999</v>
      </c>
      <c r="G13" s="17">
        <f>SUMIFS(Jun!$D:$D,Jun!$F:$F,$B13)</f>
        <v>-14841655.698000003</v>
      </c>
      <c r="H13" s="17">
        <f>SUMIFS(Jul!$D:$D,Jul!$F:$F,$B13)</f>
        <v>-14260133.807999995</v>
      </c>
      <c r="I13" s="17">
        <f>SUMIFS(Aug!$D:$D,Aug!$F:$F,$B13)</f>
        <v>-14492842.349999992</v>
      </c>
      <c r="J13" s="17">
        <f>SUMIFS(Sep!$D:$D,Sep!$F:$F,$B13)</f>
        <v>-15089237.426000003</v>
      </c>
      <c r="K13" s="17">
        <f>SUMIFS(Oct!$D:$D,Oct!$F:$F,$B13)</f>
        <v>-16684258.259000001</v>
      </c>
    </row>
    <row r="14" spans="1:11" x14ac:dyDescent="0.3">
      <c r="A14" s="18">
        <v>280</v>
      </c>
      <c r="B14" t="s">
        <v>45</v>
      </c>
      <c r="C14" t="str">
        <f>INDEX(COA!$B$2:$B$30,MATCH(A14,COA!$A$2:$A$30,0))</f>
        <v>Other Liabilities</v>
      </c>
      <c r="D14" t="str">
        <f>INDEX(COA!$C$2:$C$30,MATCH(A14,COA!$A$2:$A$30,0))</f>
        <v>Balance Sheet</v>
      </c>
      <c r="E14" s="17">
        <f>SUMIFS(Apr!$D:$D,Apr!$F:$F,$B14)</f>
        <v>-2052362.6300000001</v>
      </c>
      <c r="F14" s="17">
        <f>SUMIFS(May!$D:$D,May!$F:$F,$B14)</f>
        <v>-2478575.9039999996</v>
      </c>
      <c r="G14" s="17">
        <f>SUMIFS(Jun!$D:$D,Jun!$F:$F,$B14)</f>
        <v>-1569837.3880000003</v>
      </c>
      <c r="H14" s="17">
        <f>SUMIFS(Jul!$D:$D,Jul!$F:$F,$B14)</f>
        <v>-3132398.1080000005</v>
      </c>
      <c r="I14" s="17">
        <f>SUMIFS(Aug!$D:$D,Aug!$F:$F,$B14)</f>
        <v>-1801856.2340000002</v>
      </c>
      <c r="J14" s="17">
        <f>SUMIFS(Sep!$D:$D,Sep!$F:$F,$B14)</f>
        <v>-1564934.4879999997</v>
      </c>
      <c r="K14" s="17">
        <f>SUMIFS(Oct!$D:$D,Oct!$F:$F,$B14)</f>
        <v>-1879201.0879999988</v>
      </c>
    </row>
    <row r="15" spans="1:11" x14ac:dyDescent="0.3">
      <c r="A15" s="18">
        <v>290</v>
      </c>
      <c r="B15" t="s">
        <v>44</v>
      </c>
      <c r="C15" t="str">
        <f>INDEX(COA!$B$2:$B$30,MATCH(A15,COA!$A$2:$A$30,0))</f>
        <v>Provisions</v>
      </c>
      <c r="D15" t="str">
        <f>INDEX(COA!$C$2:$C$30,MATCH(A15,COA!$A$2:$A$30,0))</f>
        <v>Balance Sheet</v>
      </c>
      <c r="E15" s="17">
        <f>SUMIFS(Apr!$D:$D,Apr!$F:$F,$B15)</f>
        <v>-1407207.5129999996</v>
      </c>
      <c r="F15" s="17">
        <f>SUMIFS(May!$D:$D,May!$F:$F,$B15)</f>
        <v>-1486230.4620000001</v>
      </c>
      <c r="G15" s="17">
        <f>SUMIFS(Jun!$D:$D,Jun!$F:$F,$B15)</f>
        <v>-1537015.2810000002</v>
      </c>
      <c r="H15" s="17">
        <f>SUMIFS(Jul!$D:$D,Jul!$F:$F,$B15)</f>
        <v>-1584383.8019999999</v>
      </c>
      <c r="I15" s="17">
        <f>SUMIFS(Aug!$D:$D,Aug!$F:$F,$B15)</f>
        <v>-1645791.345</v>
      </c>
      <c r="J15" s="17">
        <f>SUMIFS(Sep!$D:$D,Sep!$F:$F,$B15)</f>
        <v>-1682502.9550000001</v>
      </c>
      <c r="K15" s="17">
        <f>SUMIFS(Oct!$D:$D,Oct!$F:$F,$B15)</f>
        <v>-1778399.1749999996</v>
      </c>
    </row>
    <row r="16" spans="1:11" x14ac:dyDescent="0.3">
      <c r="A16" s="18">
        <v>610</v>
      </c>
      <c r="B16" t="s">
        <v>51</v>
      </c>
      <c r="C16" t="str">
        <f>INDEX(COA!$B$2:$B$30,MATCH(A16,COA!$A$2:$A$30,0))</f>
        <v>Revenue</v>
      </c>
      <c r="D16" t="str">
        <f>INDEX(COA!$C$2:$C$30,MATCH(A16,COA!$A$2:$A$30,0))</f>
        <v>Profit and Loss</v>
      </c>
      <c r="E16" s="17">
        <f>SUMIFS(Apr!$D:$D,Apr!$F:$F,$B16)</f>
        <v>-3526.5649999999296</v>
      </c>
      <c r="F16" s="17">
        <f>SUMIFS(May!$D:$D,May!$F:$F,$B16)</f>
        <v>53706.197000002358</v>
      </c>
      <c r="G16" s="17">
        <f>SUMIFS(Jun!$D:$D,Jun!$F:$F,$B16)</f>
        <v>94221.932000000452</v>
      </c>
      <c r="H16" s="17">
        <f>SUMIFS(Jul!$D:$D,Jul!$F:$F,$B16)</f>
        <v>108344.36700000185</v>
      </c>
      <c r="I16" s="17">
        <f>SUMIFS(Aug!$D:$D,Aug!$F:$F,$B16)</f>
        <v>116020.2039999937</v>
      </c>
      <c r="J16" s="17">
        <f>SUMIFS(Sep!$D:$D,Sep!$F:$F,$B16)</f>
        <v>158828.04500000441</v>
      </c>
      <c r="K16" s="17">
        <f>SUMIFS(Oct!$D:$D,Oct!$F:$F,$B16)</f>
        <v>225471.10899999356</v>
      </c>
    </row>
    <row r="17" spans="1:11" x14ac:dyDescent="0.3">
      <c r="A17" s="18">
        <v>620</v>
      </c>
      <c r="B17" t="s">
        <v>50</v>
      </c>
      <c r="C17" t="str">
        <f>INDEX(COA!$B$2:$B$30,MATCH(A17,COA!$A$2:$A$30,0))</f>
        <v>Net Revenue</v>
      </c>
      <c r="D17" t="str">
        <f>INDEX(COA!$C$2:$C$30,MATCH(A17,COA!$A$2:$A$30,0))</f>
        <v>Profit and Loss</v>
      </c>
      <c r="E17" s="17">
        <f>SUMIFS(Apr!$D:$D,Apr!$F:$F,$B17)</f>
        <v>-5289325.3129999992</v>
      </c>
      <c r="F17" s="17">
        <f>SUMIFS(May!$D:$D,May!$F:$F,$B17)</f>
        <v>-11061738.132999999</v>
      </c>
      <c r="G17" s="17">
        <f>SUMIFS(Jun!$D:$D,Jun!$F:$F,$B17)</f>
        <v>-17893379.601</v>
      </c>
      <c r="H17" s="17">
        <f>SUMIFS(Jul!$D:$D,Jul!$F:$F,$B17)</f>
        <v>-23065540.911999997</v>
      </c>
      <c r="I17" s="17">
        <f>SUMIFS(Aug!$D:$D,Aug!$F:$F,$B17)</f>
        <v>-29422106.832999997</v>
      </c>
      <c r="J17" s="17">
        <f>SUMIFS(Sep!$D:$D,Sep!$F:$F,$B17)</f>
        <v>-36370663.137000009</v>
      </c>
      <c r="K17" s="17">
        <f>SUMIFS(Oct!$D:$D,Oct!$F:$F,$B17)</f>
        <v>-41935101.040999994</v>
      </c>
    </row>
    <row r="18" spans="1:11" x14ac:dyDescent="0.3">
      <c r="A18" s="18">
        <v>630</v>
      </c>
      <c r="B18" t="s">
        <v>52</v>
      </c>
      <c r="C18" t="str">
        <f>INDEX(COA!$B$2:$B$30,MATCH(A18,COA!$A$2:$A$30,0))</f>
        <v>Other Income</v>
      </c>
      <c r="D18" t="str">
        <f>INDEX(COA!$C$2:$C$30,MATCH(A18,COA!$A$2:$A$30,0))</f>
        <v>Profit and Loss</v>
      </c>
      <c r="E18" s="17">
        <f>SUMIFS(Apr!$D:$D,Apr!$F:$F,$B18)</f>
        <v>-112645.209</v>
      </c>
      <c r="F18" s="17">
        <f>SUMIFS(May!$D:$D,May!$F:$F,$B18)</f>
        <v>-213736.37000000002</v>
      </c>
      <c r="G18" s="17">
        <f>SUMIFS(Jun!$D:$D,Jun!$F:$F,$B18)</f>
        <v>-315101.89899999998</v>
      </c>
      <c r="H18" s="17">
        <f>SUMIFS(Jul!$D:$D,Jul!$F:$F,$B18)</f>
        <v>-319836.35800000007</v>
      </c>
      <c r="I18" s="17">
        <f>SUMIFS(Aug!$D:$D,Aug!$F:$F,$B18)</f>
        <v>-289140.92100000009</v>
      </c>
      <c r="J18" s="17">
        <f>SUMIFS(Sep!$D:$D,Sep!$F:$F,$B18)</f>
        <v>-329377.516</v>
      </c>
      <c r="K18" s="17">
        <f>SUMIFS(Oct!$D:$D,Oct!$F:$F,$B18)</f>
        <v>-366741.80500000005</v>
      </c>
    </row>
    <row r="19" spans="1:11" x14ac:dyDescent="0.3">
      <c r="A19" s="18">
        <v>635</v>
      </c>
      <c r="B19" t="s">
        <v>70</v>
      </c>
      <c r="C19" t="str">
        <f>INDEX(COA!$B$2:$B$30,MATCH(A19,COA!$A$2:$A$30,0))</f>
        <v>Loss (Profit) on sale of Fixed Assets</v>
      </c>
      <c r="D19" t="str">
        <f>INDEX(COA!$C$2:$C$30,MATCH(A19,COA!$A$2:$A$30,0))</f>
        <v>Profit and Loss</v>
      </c>
      <c r="E19" s="17">
        <f>SUMIFS(Apr!$D:$D,Apr!$F:$F,$B19)</f>
        <v>0</v>
      </c>
      <c r="F19" s="17">
        <f>SUMIFS(May!$D:$D,May!$F:$F,$B19)</f>
        <v>-6731.0309999999999</v>
      </c>
      <c r="G19" s="17">
        <f>SUMIFS(Jun!$D:$D,Jun!$F:$F,$B19)</f>
        <v>-5226.8509999999997</v>
      </c>
      <c r="H19" s="17">
        <f>SUMIFS(Jul!$D:$D,Jul!$F:$F,$B19)</f>
        <v>-429.08</v>
      </c>
      <c r="I19" s="17">
        <f>SUMIFS(Aug!$D:$D,Aug!$F:$F,$B19)</f>
        <v>-4224.7700000000004</v>
      </c>
      <c r="J19" s="17">
        <f>SUMIFS(Sep!$D:$D,Sep!$F:$F,$B19)</f>
        <v>-4224.7640000000001</v>
      </c>
      <c r="K19" s="17">
        <f>SUMIFS(Oct!$D:$D,Oct!$F:$F,$B19)</f>
        <v>-4070.473</v>
      </c>
    </row>
    <row r="20" spans="1:11" x14ac:dyDescent="0.3">
      <c r="A20" s="18">
        <v>640</v>
      </c>
      <c r="B20" t="s">
        <v>59</v>
      </c>
      <c r="C20" t="str">
        <f>INDEX(COA!$B$2:$B$30,MATCH(A20,COA!$A$2:$A$30,0))</f>
        <v>Interest on Interco. loan (Net)</v>
      </c>
      <c r="D20" t="str">
        <f>INDEX(COA!$C$2:$C$30,MATCH(A20,COA!$A$2:$A$30,0))</f>
        <v>Profit and Loss</v>
      </c>
      <c r="E20" s="17">
        <f>SUMIFS(Apr!$D:$D,Apr!$F:$F,$B20)</f>
        <v>0.2660000000000764</v>
      </c>
      <c r="F20" s="17">
        <f>SUMIFS(May!$D:$D,May!$F:$F,$B20)</f>
        <v>-5.1980000000003201</v>
      </c>
      <c r="G20" s="17">
        <f>SUMIFS(Jun!$D:$D,Jun!$F:$F,$B20)</f>
        <v>-29.226999999999862</v>
      </c>
      <c r="H20" s="17">
        <f>SUMIFS(Jul!$D:$D,Jul!$F:$F,$B20)</f>
        <v>-75.047999999999774</v>
      </c>
      <c r="I20" s="17">
        <f>SUMIFS(Aug!$D:$D,Aug!$F:$F,$B20)</f>
        <v>-129.44399999999951</v>
      </c>
      <c r="J20" s="17">
        <f>SUMIFS(Sep!$D:$D,Sep!$F:$F,$B20)</f>
        <v>-100.5059999999994</v>
      </c>
      <c r="K20" s="17">
        <f>SUMIFS(Oct!$D:$D,Oct!$F:$F,$B20)</f>
        <v>-69.43199999999888</v>
      </c>
    </row>
    <row r="21" spans="1:11" x14ac:dyDescent="0.3">
      <c r="A21" s="18">
        <v>710</v>
      </c>
      <c r="B21" t="s">
        <v>53</v>
      </c>
      <c r="C21" t="str">
        <f>INDEX(COA!$B$2:$B$30,MATCH(A21,COA!$A$2:$A$30,0))</f>
        <v>Salaries &amp; Wages</v>
      </c>
      <c r="D21" t="str">
        <f>INDEX(COA!$C$2:$C$30,MATCH(A21,COA!$A$2:$A$30,0))</f>
        <v>Profit and Loss</v>
      </c>
      <c r="E21" s="17">
        <f>SUMIFS(Apr!$D:$D,Apr!$F:$F,$B21)</f>
        <v>3396549.6500000008</v>
      </c>
      <c r="F21" s="17">
        <f>SUMIFS(May!$D:$D,May!$F:$F,$B21)</f>
        <v>7011396.3150000004</v>
      </c>
      <c r="G21" s="17">
        <f>SUMIFS(Jun!$D:$D,Jun!$F:$F,$B21)</f>
        <v>10187274.142000003</v>
      </c>
      <c r="H21" s="17">
        <f>SUMIFS(Jul!$D:$D,Jul!$F:$F,$B21)</f>
        <v>13780001.02500001</v>
      </c>
      <c r="I21" s="17">
        <f>SUMIFS(Aug!$D:$D,Aug!$F:$F,$B21)</f>
        <v>17573629.997999988</v>
      </c>
      <c r="J21" s="17">
        <f>SUMIFS(Sep!$D:$D,Sep!$F:$F,$B21)</f>
        <v>20933913.380000003</v>
      </c>
      <c r="K21" s="17">
        <f>SUMIFS(Oct!$D:$D,Oct!$F:$F,$B21)</f>
        <v>24794403.428000003</v>
      </c>
    </row>
    <row r="22" spans="1:11" x14ac:dyDescent="0.3">
      <c r="A22" s="18">
        <v>810</v>
      </c>
      <c r="B22" t="s">
        <v>67</v>
      </c>
      <c r="C22" t="str">
        <f>INDEX(COA!$B$2:$B$30,MATCH(A22,COA!$A$2:$A$30,0))</f>
        <v>Finance Costs</v>
      </c>
      <c r="D22" t="str">
        <f>INDEX(COA!$C$2:$C$30,MATCH(A22,COA!$A$2:$A$30,0))</f>
        <v>Profit and Loss</v>
      </c>
      <c r="E22" s="17">
        <f>SUMIFS(Apr!$D:$D,Apr!$F:$F,$B22)</f>
        <v>15169.963999999998</v>
      </c>
      <c r="F22" s="17">
        <f>SUMIFS(May!$D:$D,May!$F:$F,$B22)</f>
        <v>31390.474000000002</v>
      </c>
      <c r="G22" s="17">
        <f>SUMIFS(Jun!$D:$D,Jun!$F:$F,$B22)</f>
        <v>50424.767</v>
      </c>
      <c r="H22" s="17">
        <f>SUMIFS(Jul!$D:$D,Jul!$F:$F,$B22)</f>
        <v>70337.479000000007</v>
      </c>
      <c r="I22" s="17">
        <f>SUMIFS(Aug!$D:$D,Aug!$F:$F,$B22)</f>
        <v>103681.552</v>
      </c>
      <c r="J22" s="17">
        <f>SUMIFS(Sep!$D:$D,Sep!$F:$F,$B22)</f>
        <v>140404.73500000002</v>
      </c>
      <c r="K22" s="17">
        <f>SUMIFS(Oct!$D:$D,Oct!$F:$F,$B22)</f>
        <v>161010.65900000001</v>
      </c>
    </row>
    <row r="23" spans="1:11" x14ac:dyDescent="0.3">
      <c r="A23" s="18">
        <v>860</v>
      </c>
      <c r="B23" t="s">
        <v>66</v>
      </c>
      <c r="C23" t="str">
        <f>INDEX(COA!$B$2:$B$30,MATCH(A23,COA!$A$2:$A$30,0))</f>
        <v>Depreciation &amp; Amortization</v>
      </c>
      <c r="D23" t="str">
        <f>INDEX(COA!$C$2:$C$30,MATCH(A23,COA!$A$2:$A$30,0))</f>
        <v>Profit and Loss</v>
      </c>
      <c r="E23" s="17">
        <f>SUMIFS(Apr!$D:$D,Apr!$F:$F,$B23)</f>
        <v>104097.99800000001</v>
      </c>
      <c r="F23" s="17">
        <f>SUMIFS(May!$D:$D,May!$F:$F,$B23)</f>
        <v>211710.69299999997</v>
      </c>
      <c r="G23" s="17">
        <f>SUMIFS(Jun!$D:$D,Jun!$F:$F,$B23)</f>
        <v>315698.87399999995</v>
      </c>
      <c r="H23" s="17">
        <f>SUMIFS(Jul!$D:$D,Jul!$F:$F,$B23)</f>
        <v>422262.39600000007</v>
      </c>
      <c r="I23" s="17">
        <f>SUMIFS(Aug!$D:$D,Aug!$F:$F,$B23)</f>
        <v>536957.53200000001</v>
      </c>
      <c r="J23" s="17">
        <f>SUMIFS(Sep!$D:$D,Sep!$F:$F,$B23)</f>
        <v>647754.15700000001</v>
      </c>
      <c r="K23" s="17">
        <f>SUMIFS(Oct!$D:$D,Oct!$F:$F,$B23)</f>
        <v>762041.48099999991</v>
      </c>
    </row>
    <row r="24" spans="1:11" x14ac:dyDescent="0.3">
      <c r="A24" s="18">
        <v>920</v>
      </c>
      <c r="B24" t="s">
        <v>54</v>
      </c>
      <c r="C24" t="str">
        <f>INDEX(COA!$B$2:$B$30,MATCH(A24,COA!$A$2:$A$30,0))</f>
        <v>Cost of Services</v>
      </c>
      <c r="D24" t="str">
        <f>INDEX(COA!$C$2:$C$30,MATCH(A24,COA!$A$2:$A$30,0))</f>
        <v>Profit and Loss</v>
      </c>
      <c r="E24" s="17">
        <f>SUMIFS(Apr!$D:$D,Apr!$F:$F,$B24)</f>
        <v>222457.77699999997</v>
      </c>
      <c r="F24" s="17">
        <f>SUMIFS(May!$D:$D,May!$F:$F,$B24)</f>
        <v>494045.21099999989</v>
      </c>
      <c r="G24" s="17">
        <f>SUMIFS(Jun!$D:$D,Jun!$F:$F,$B24)</f>
        <v>685168.47100000002</v>
      </c>
      <c r="H24" s="17">
        <f>SUMIFS(Jul!$D:$D,Jul!$F:$F,$B24)</f>
        <v>872220.50199999998</v>
      </c>
      <c r="I24" s="17">
        <f>SUMIFS(Aug!$D:$D,Aug!$F:$F,$B24)</f>
        <v>1095692.3759999999</v>
      </c>
      <c r="J24" s="17">
        <f>SUMIFS(Sep!$D:$D,Sep!$F:$F,$B24)</f>
        <v>1279866.1240000001</v>
      </c>
      <c r="K24" s="17">
        <f>SUMIFS(Oct!$D:$D,Oct!$F:$F,$B24)</f>
        <v>1480908.618</v>
      </c>
    </row>
    <row r="25" spans="1:11" x14ac:dyDescent="0.3">
      <c r="A25" s="18">
        <v>930</v>
      </c>
      <c r="B25" t="s">
        <v>62</v>
      </c>
      <c r="C25" t="str">
        <f>INDEX(COA!$B$2:$B$30,MATCH(A25,COA!$A$2:$A$30,0))</f>
        <v>Cost of Goods Sold (COGS)</v>
      </c>
      <c r="D25" t="str">
        <f>INDEX(COA!$C$2:$C$30,MATCH(A25,COA!$A$2:$A$30,0))</f>
        <v>Profit and Loss</v>
      </c>
      <c r="E25" s="17">
        <f>SUMIFS(Apr!$D:$D,Apr!$F:$F,$B25)</f>
        <v>997173.87600000016</v>
      </c>
      <c r="F25" s="17">
        <f>SUMIFS(May!$D:$D,May!$F:$F,$B25)</f>
        <v>1898109.3959999999</v>
      </c>
      <c r="G25" s="17">
        <f>SUMIFS(Jun!$D:$D,Jun!$F:$F,$B25)</f>
        <v>2860267.49</v>
      </c>
      <c r="H25" s="17">
        <f>SUMIFS(Jul!$D:$D,Jul!$F:$F,$B25)</f>
        <v>3761764.574</v>
      </c>
      <c r="I25" s="17">
        <f>SUMIFS(Aug!$D:$D,Aug!$F:$F,$B25)</f>
        <v>4746624.1519999998</v>
      </c>
      <c r="J25" s="17">
        <f>SUMIFS(Sep!$D:$D,Sep!$F:$F,$B25)</f>
        <v>5721651.3230000008</v>
      </c>
      <c r="K25" s="17">
        <f>SUMIFS(Oct!$D:$D,Oct!$F:$F,$B25)</f>
        <v>6674582.6449999996</v>
      </c>
    </row>
    <row r="26" spans="1:11" x14ac:dyDescent="0.3">
      <c r="A26" s="18">
        <v>940</v>
      </c>
      <c r="B26" t="s">
        <v>63</v>
      </c>
      <c r="C26" t="str">
        <f>INDEX(COA!$B$2:$B$30,MATCH(A26,COA!$A$2:$A$30,0))</f>
        <v>Recruitment Expenses</v>
      </c>
      <c r="D26" t="str">
        <f>INDEX(COA!$C$2:$C$30,MATCH(A26,COA!$A$2:$A$30,0))</f>
        <v>Profit and Loss</v>
      </c>
      <c r="E26" s="17">
        <f>SUMIFS(Apr!$D:$D,Apr!$F:$F,$B26)</f>
        <v>103703.69099999999</v>
      </c>
      <c r="F26" s="17">
        <f>SUMIFS(May!$D:$D,May!$F:$F,$B26)</f>
        <v>173102.96799999996</v>
      </c>
      <c r="G26" s="17">
        <f>SUMIFS(Jun!$D:$D,Jun!$F:$F,$B26)</f>
        <v>271711.17699999997</v>
      </c>
      <c r="H26" s="17">
        <f>SUMIFS(Jul!$D:$D,Jul!$F:$F,$B26)</f>
        <v>356750.54000000004</v>
      </c>
      <c r="I26" s="17">
        <f>SUMIFS(Aug!$D:$D,Aug!$F:$F,$B26)</f>
        <v>412706.81800000009</v>
      </c>
      <c r="J26" s="17">
        <f>SUMIFS(Sep!$D:$D,Sep!$F:$F,$B26)</f>
        <v>492572.42899999989</v>
      </c>
      <c r="K26" s="17">
        <f>SUMIFS(Oct!$D:$D,Oct!$F:$F,$B26)</f>
        <v>593570.5689999999</v>
      </c>
    </row>
    <row r="27" spans="1:11" x14ac:dyDescent="0.3">
      <c r="A27" s="18">
        <v>950</v>
      </c>
      <c r="B27" t="s">
        <v>61</v>
      </c>
      <c r="C27" t="str">
        <f>INDEX(COA!$B$2:$B$30,MATCH(A27,COA!$A$2:$A$30,0))</f>
        <v>Travel</v>
      </c>
      <c r="D27" t="str">
        <f>INDEX(COA!$C$2:$C$30,MATCH(A27,COA!$A$2:$A$30,0))</f>
        <v>Profit and Loss</v>
      </c>
      <c r="E27" s="17">
        <f>SUMIFS(Apr!$D:$D,Apr!$F:$F,$B27)</f>
        <v>92769.057999999961</v>
      </c>
      <c r="F27" s="17">
        <f>SUMIFS(May!$D:$D,May!$F:$F,$B27)</f>
        <v>166877.06099999996</v>
      </c>
      <c r="G27" s="17">
        <f>SUMIFS(Jun!$D:$D,Jun!$F:$F,$B27)</f>
        <v>316628.30499999988</v>
      </c>
      <c r="H27" s="17">
        <f>SUMIFS(Jul!$D:$D,Jul!$F:$F,$B27)</f>
        <v>405079.02700000012</v>
      </c>
      <c r="I27" s="17">
        <f>SUMIFS(Aug!$D:$D,Aug!$F:$F,$B27)</f>
        <v>502168.32299999997</v>
      </c>
      <c r="J27" s="17">
        <f>SUMIFS(Sep!$D:$D,Sep!$F:$F,$B27)</f>
        <v>576094.19999999949</v>
      </c>
      <c r="K27" s="17">
        <f>SUMIFS(Oct!$D:$D,Oct!$F:$F,$B27)</f>
        <v>680763.22799999989</v>
      </c>
    </row>
    <row r="28" spans="1:11" x14ac:dyDescent="0.3">
      <c r="A28" s="18">
        <v>960</v>
      </c>
      <c r="B28" t="s">
        <v>55</v>
      </c>
      <c r="C28" t="str">
        <f>INDEX(COA!$B$2:$B$30,MATCH(A28,COA!$A$2:$A$30,0))</f>
        <v>Rent</v>
      </c>
      <c r="D28" t="str">
        <f>INDEX(COA!$C$2:$C$30,MATCH(A28,COA!$A$2:$A$30,0))</f>
        <v>Profit and Loss</v>
      </c>
      <c r="E28" s="17">
        <f>SUMIFS(Apr!$D:$D,Apr!$F:$F,$B28)</f>
        <v>114491.95500000002</v>
      </c>
      <c r="F28" s="17">
        <f>SUMIFS(May!$D:$D,May!$F:$F,$B28)</f>
        <v>269964.22399999993</v>
      </c>
      <c r="G28" s="17">
        <f>SUMIFS(Jun!$D:$D,Jun!$F:$F,$B28)</f>
        <v>419526.27299999987</v>
      </c>
      <c r="H28" s="17">
        <f>SUMIFS(Jul!$D:$D,Jul!$F:$F,$B28)</f>
        <v>602968.18499999994</v>
      </c>
      <c r="I28" s="17">
        <f>SUMIFS(Aug!$D:$D,Aug!$F:$F,$B28)</f>
        <v>756561.22499999963</v>
      </c>
      <c r="J28" s="17">
        <f>SUMIFS(Sep!$D:$D,Sep!$F:$F,$B28)</f>
        <v>895320.53499999992</v>
      </c>
      <c r="K28" s="17">
        <f>SUMIFS(Oct!$D:$D,Oct!$F:$F,$B28)</f>
        <v>1044335.7229999999</v>
      </c>
    </row>
    <row r="29" spans="1:11" x14ac:dyDescent="0.3">
      <c r="A29" s="18">
        <v>970</v>
      </c>
      <c r="B29" t="s">
        <v>56</v>
      </c>
      <c r="C29" t="str">
        <f>INDEX(COA!$B$2:$B$30,MATCH(A29,COA!$A$2:$A$30,0))</f>
        <v>Legal and Professional Fees</v>
      </c>
      <c r="D29" t="str">
        <f>INDEX(COA!$C$2:$C$30,MATCH(A29,COA!$A$2:$A$30,0))</f>
        <v>Profit and Loss</v>
      </c>
      <c r="E29" s="17">
        <f>SUMIFS(Apr!$D:$D,Apr!$F:$F,$B29)</f>
        <v>140924.45800000004</v>
      </c>
      <c r="F29" s="17">
        <f>SUMIFS(May!$D:$D,May!$F:$F,$B29)</f>
        <v>259611.25899999999</v>
      </c>
      <c r="G29" s="17">
        <f>SUMIFS(Jun!$D:$D,Jun!$F:$F,$B29)</f>
        <v>362204.32800000015</v>
      </c>
      <c r="H29" s="17">
        <f>SUMIFS(Jul!$D:$D,Jul!$F:$F,$B29)</f>
        <v>533648.24300000002</v>
      </c>
      <c r="I29" s="17">
        <f>SUMIFS(Aug!$D:$D,Aug!$F:$F,$B29)</f>
        <v>708445.34700000007</v>
      </c>
      <c r="J29" s="17">
        <f>SUMIFS(Sep!$D:$D,Sep!$F:$F,$B29)</f>
        <v>793022.68999999971</v>
      </c>
      <c r="K29" s="17">
        <f>SUMIFS(Oct!$D:$D,Oct!$F:$F,$B29)</f>
        <v>971713.61499999999</v>
      </c>
    </row>
    <row r="30" spans="1:11" x14ac:dyDescent="0.3">
      <c r="A30" s="18">
        <v>980</v>
      </c>
      <c r="B30" t="s">
        <v>57</v>
      </c>
      <c r="C30" t="str">
        <f>INDEX(COA!$B$2:$B$30,MATCH(A30,COA!$A$2:$A$30,0))</f>
        <v>Other Expenses</v>
      </c>
      <c r="D30" t="str">
        <f>INDEX(COA!$C$2:$C$30,MATCH(A30,COA!$A$2:$A$30,0))</f>
        <v>Profit and Loss</v>
      </c>
      <c r="E30" s="17">
        <f>SUMIFS(Apr!$D:$D,Apr!$F:$F,$B30)</f>
        <v>37172.470999999998</v>
      </c>
      <c r="F30" s="17">
        <f>SUMIFS(May!$D:$D,May!$F:$F,$B30)</f>
        <v>72987.190999999977</v>
      </c>
      <c r="G30" s="17">
        <f>SUMIFS(Jun!$D:$D,Jun!$F:$F,$B30)</f>
        <v>111853.02800000001</v>
      </c>
      <c r="H30" s="17">
        <f>SUMIFS(Jul!$D:$D,Jul!$F:$F,$B30)</f>
        <v>135962.58600000004</v>
      </c>
      <c r="I30" s="17">
        <f>SUMIFS(Aug!$D:$D,Aug!$F:$F,$B30)</f>
        <v>163050.46400000001</v>
      </c>
      <c r="J30" s="17">
        <f>SUMIFS(Sep!$D:$D,Sep!$F:$F,$B30)</f>
        <v>186704.85899999997</v>
      </c>
      <c r="K30" s="17">
        <f>SUMIFS(Oct!$D:$D,Oct!$F:$F,$B30)</f>
        <v>204015.15800000008</v>
      </c>
    </row>
    <row r="31" spans="1:11" x14ac:dyDescent="0.3">
      <c r="A31" s="18">
        <v>990</v>
      </c>
      <c r="B31" t="s">
        <v>69</v>
      </c>
      <c r="C31" t="str">
        <f>INDEX(COA!$B$2:$B$30,MATCH(A31,COA!$A$2:$A$30,0))</f>
        <v>CSR Expenses</v>
      </c>
      <c r="D31" t="str">
        <f>INDEX(COA!$C$2:$C$30,MATCH(A31,COA!$A$2:$A$30,0))</f>
        <v>Profit and Loss</v>
      </c>
      <c r="E31" s="17">
        <f>SUMIFS(Apr!$D:$D,Apr!$F:$F,$B31)</f>
        <v>7750</v>
      </c>
      <c r="F31" s="17">
        <f>SUMIFS(May!$D:$D,May!$F:$F,$B31)</f>
        <v>15500</v>
      </c>
      <c r="G31" s="17">
        <f>SUMIFS(Jun!$D:$D,Jun!$F:$F,$B31)</f>
        <v>23410.054</v>
      </c>
      <c r="H31" s="17">
        <f>SUMIFS(Jul!$D:$D,Jul!$F:$F,$B31)</f>
        <v>31213.404999999999</v>
      </c>
      <c r="I31" s="17">
        <f>SUMIFS(Aug!$D:$D,Aug!$F:$F,$B31)</f>
        <v>39016.756000000001</v>
      </c>
      <c r="J31" s="17">
        <f>SUMIFS(Sep!$D:$D,Sep!$F:$F,$B31)</f>
        <v>53177.496999999996</v>
      </c>
      <c r="K31" s="17">
        <f>SUMIFS(Oct!$D:$D,Oct!$F:$F,$B31)</f>
        <v>61848.781000000003</v>
      </c>
    </row>
    <row r="32" spans="1:11" x14ac:dyDescent="0.3">
      <c r="A32" s="18">
        <v>1000</v>
      </c>
      <c r="B32" t="s">
        <v>60</v>
      </c>
      <c r="C32" t="str">
        <f>INDEX(COA!$B$2:$B$30,MATCH(A32,COA!$A$2:$A$30,0))</f>
        <v>Employee Benefits</v>
      </c>
      <c r="D32" t="str">
        <f>INDEX(COA!$C$2:$C$30,MATCH(A32,COA!$A$2:$A$30,0))</f>
        <v>Profit and Loss</v>
      </c>
      <c r="E32" s="17">
        <f>SUMIFS(Apr!$D:$D,Apr!$F:$F,$B32)</f>
        <v>7254.831000000001</v>
      </c>
      <c r="F32" s="17">
        <f>SUMIFS(May!$D:$D,May!$F:$F,$B32)</f>
        <v>-6315.1549999999988</v>
      </c>
      <c r="G32" s="17">
        <f>SUMIFS(Jun!$D:$D,Jun!$F:$F,$B32)</f>
        <v>23114.458999999995</v>
      </c>
      <c r="H32" s="17">
        <f>SUMIFS(Jul!$D:$D,Jul!$F:$F,$B32)</f>
        <v>38979.142000000014</v>
      </c>
      <c r="I32" s="17">
        <f>SUMIFS(Aug!$D:$D,Aug!$F:$F,$B32)</f>
        <v>56801.324999999997</v>
      </c>
      <c r="J32" s="17">
        <f>SUMIFS(Sep!$D:$D,Sep!$F:$F,$B32)</f>
        <v>73020.118999999977</v>
      </c>
      <c r="K32" s="17">
        <f>SUMIFS(Oct!$D:$D,Oct!$F:$F,$B32)</f>
        <v>88854.108999999968</v>
      </c>
    </row>
    <row r="33" spans="1:11" x14ac:dyDescent="0.3">
      <c r="A33" s="18">
        <v>1010</v>
      </c>
      <c r="B33" t="s">
        <v>64</v>
      </c>
      <c r="C33" t="str">
        <f>INDEX(COA!$B$2:$B$30,MATCH(A33,COA!$A$2:$A$30,0))</f>
        <v>Taxes / Corporate Tax</v>
      </c>
      <c r="D33" t="str">
        <f>INDEX(COA!$C$2:$C$30,MATCH(A33,COA!$A$2:$A$30,0))</f>
        <v>Profit and Loss</v>
      </c>
      <c r="E33" s="17">
        <f>SUMIFS(Apr!$D:$D,Apr!$F:$F,$B33)</f>
        <v>11141.521999999999</v>
      </c>
      <c r="F33" s="17">
        <f>SUMIFS(May!$D:$D,May!$F:$F,$B33)</f>
        <v>8246.06</v>
      </c>
      <c r="G33" s="17">
        <f>SUMIFS(Jun!$D:$D,Jun!$F:$F,$B33)</f>
        <v>645602.58800000011</v>
      </c>
      <c r="H33" s="17">
        <f>SUMIFS(Jul!$D:$D,Jul!$F:$F,$B33)</f>
        <v>587310.55499999982</v>
      </c>
      <c r="I33" s="17">
        <f>SUMIFS(Aug!$D:$D,Aug!$F:$F,$B33)</f>
        <v>588209.62100000004</v>
      </c>
      <c r="J33" s="17">
        <f>SUMIFS(Sep!$D:$D,Sep!$F:$F,$B33)</f>
        <v>1143187.8490000004</v>
      </c>
      <c r="K33" s="17">
        <f>SUMIFS(Oct!$D:$D,Oct!$F:$F,$B33)</f>
        <v>1145444.9540000001</v>
      </c>
    </row>
    <row r="34" spans="1:11" x14ac:dyDescent="0.3">
      <c r="E34" s="17"/>
      <c r="F34" s="17"/>
      <c r="G34" s="17"/>
      <c r="H34" s="17"/>
      <c r="I34" s="17"/>
      <c r="J34" s="17"/>
      <c r="K34" s="17"/>
    </row>
    <row r="35" spans="1:11" x14ac:dyDescent="0.3">
      <c r="A35" s="20"/>
      <c r="B35" s="20" t="s">
        <v>168</v>
      </c>
      <c r="C35" s="20"/>
      <c r="D35" s="20"/>
      <c r="E35" s="21">
        <f>SUM(E5:E15)</f>
        <v>154839.60799997812</v>
      </c>
      <c r="F35" s="21">
        <f>SUM(F5:F15)</f>
        <v>621878.86900000903</v>
      </c>
      <c r="G35" s="21">
        <f>SUM(G5:G15)</f>
        <v>1846631.741999998</v>
      </c>
      <c r="H35" s="21">
        <f>SUM(H5:H15)</f>
        <v>1679039.3589999971</v>
      </c>
      <c r="I35" s="21">
        <f>SUM(I5:I15)</f>
        <v>2316036.2569999974</v>
      </c>
      <c r="J35" s="21">
        <f>SUM(J5:J15)</f>
        <v>3608847.9829999954</v>
      </c>
      <c r="K35" s="21">
        <f>SUM(K5:K15)</f>
        <v>3417018.6900000237</v>
      </c>
    </row>
    <row r="36" spans="1:11" x14ac:dyDescent="0.3">
      <c r="A36" s="9"/>
      <c r="B36" s="9" t="s">
        <v>169</v>
      </c>
      <c r="C36" s="9"/>
      <c r="D36" s="9"/>
      <c r="E36" s="19">
        <f>SUM(E16:E33)</f>
        <v>-154839.56999999777</v>
      </c>
      <c r="F36" s="19">
        <f>SUM(F16:F33)</f>
        <v>-621878.83799999673</v>
      </c>
      <c r="G36" s="19">
        <f>SUM(G16:G33)</f>
        <v>-1846631.689999999</v>
      </c>
      <c r="H36" s="19">
        <f>SUM(H16:H33)</f>
        <v>-1679039.3719999823</v>
      </c>
      <c r="I36" s="19">
        <f>SUM(I16:I33)</f>
        <v>-2316036.2750000153</v>
      </c>
      <c r="J36" s="19">
        <f>SUM(J16:J33)</f>
        <v>-3608847.9810000043</v>
      </c>
      <c r="K36" s="19">
        <f>SUM(K16:K33)</f>
        <v>-3417018.6739999903</v>
      </c>
    </row>
    <row r="37" spans="1:11" x14ac:dyDescent="0.3">
      <c r="A37" s="9"/>
      <c r="B37" s="9" t="s">
        <v>170</v>
      </c>
      <c r="C37" s="9"/>
      <c r="D37" s="9"/>
      <c r="E37" s="19">
        <f>ROUND(E35+E36,0)</f>
        <v>0</v>
      </c>
      <c r="F37" s="19">
        <f>ROUND(F35+F36,0)</f>
        <v>0</v>
      </c>
      <c r="G37" s="19">
        <f>ROUND(G35+G36,0)</f>
        <v>0</v>
      </c>
      <c r="H37" s="19">
        <f>ROUND(H35+H36,0)</f>
        <v>0</v>
      </c>
      <c r="I37" s="19">
        <f>ROUND(I35+I36,0)</f>
        <v>0</v>
      </c>
      <c r="J37" s="19">
        <f>ROUND(J35+J36,0)</f>
        <v>0</v>
      </c>
      <c r="K37" s="19">
        <f>ROUND(K35+K36,0)</f>
        <v>0</v>
      </c>
    </row>
    <row r="38" spans="1:11" x14ac:dyDescent="0.3">
      <c r="A38" s="9"/>
      <c r="B38" s="9"/>
      <c r="C38" s="9"/>
      <c r="D38" s="9"/>
      <c r="E38" s="19"/>
      <c r="F38" s="19"/>
      <c r="G38" s="19"/>
      <c r="H38" s="19"/>
      <c r="I38" s="19"/>
      <c r="J38" s="19"/>
      <c r="K38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A5FA-2BCE-4A55-ADC2-1B64BDB9C185}">
  <dimension ref="A1:D30"/>
  <sheetViews>
    <sheetView workbookViewId="0">
      <selection activeCell="G37" sqref="G37"/>
    </sheetView>
  </sheetViews>
  <sheetFormatPr defaultRowHeight="14.4" x14ac:dyDescent="0.3"/>
  <cols>
    <col min="1" max="1" width="12.44140625" bestFit="1" customWidth="1"/>
    <col min="2" max="2" width="29" bestFit="1" customWidth="1"/>
    <col min="3" max="3" width="12.6640625" bestFit="1" customWidth="1"/>
    <col min="4" max="4" width="19.21875" bestFit="1" customWidth="1"/>
  </cols>
  <sheetData>
    <row r="1" spans="1:4" x14ac:dyDescent="0.3">
      <c r="A1" t="s">
        <v>71</v>
      </c>
      <c r="B1" t="s">
        <v>72</v>
      </c>
      <c r="C1" t="s">
        <v>73</v>
      </c>
      <c r="D1" t="s">
        <v>74</v>
      </c>
    </row>
    <row r="2" spans="1:4" x14ac:dyDescent="0.3">
      <c r="A2">
        <v>220</v>
      </c>
      <c r="B2" t="s">
        <v>75</v>
      </c>
      <c r="C2" t="s">
        <v>76</v>
      </c>
      <c r="D2" t="s">
        <v>77</v>
      </c>
    </row>
    <row r="3" spans="1:4" x14ac:dyDescent="0.3">
      <c r="A3">
        <v>225</v>
      </c>
      <c r="B3" t="s">
        <v>78</v>
      </c>
      <c r="C3" t="s">
        <v>76</v>
      </c>
      <c r="D3" t="s">
        <v>77</v>
      </c>
    </row>
    <row r="4" spans="1:4" x14ac:dyDescent="0.3">
      <c r="A4">
        <v>230</v>
      </c>
      <c r="B4" t="s">
        <v>79</v>
      </c>
      <c r="C4" t="s">
        <v>76</v>
      </c>
      <c r="D4" t="s">
        <v>80</v>
      </c>
    </row>
    <row r="5" spans="1:4" x14ac:dyDescent="0.3">
      <c r="A5">
        <v>240</v>
      </c>
      <c r="B5" t="s">
        <v>81</v>
      </c>
      <c r="C5" t="s">
        <v>76</v>
      </c>
      <c r="D5" t="s">
        <v>77</v>
      </c>
    </row>
    <row r="6" spans="1:4" x14ac:dyDescent="0.3">
      <c r="A6">
        <v>245</v>
      </c>
      <c r="B6" t="s">
        <v>82</v>
      </c>
      <c r="C6" t="s">
        <v>76</v>
      </c>
      <c r="D6" t="s">
        <v>80</v>
      </c>
    </row>
    <row r="7" spans="1:4" x14ac:dyDescent="0.3">
      <c r="A7">
        <v>250</v>
      </c>
      <c r="B7" t="s">
        <v>83</v>
      </c>
      <c r="C7" t="s">
        <v>76</v>
      </c>
      <c r="D7" t="s">
        <v>80</v>
      </c>
    </row>
    <row r="8" spans="1:4" x14ac:dyDescent="0.3">
      <c r="A8">
        <v>255</v>
      </c>
      <c r="B8" t="s">
        <v>84</v>
      </c>
      <c r="C8" t="s">
        <v>76</v>
      </c>
      <c r="D8" t="s">
        <v>80</v>
      </c>
    </row>
    <row r="9" spans="1:4" x14ac:dyDescent="0.3">
      <c r="A9">
        <v>260</v>
      </c>
      <c r="B9" t="s">
        <v>85</v>
      </c>
      <c r="C9" t="s">
        <v>76</v>
      </c>
      <c r="D9" t="s">
        <v>86</v>
      </c>
    </row>
    <row r="10" spans="1:4" x14ac:dyDescent="0.3">
      <c r="A10">
        <v>270</v>
      </c>
      <c r="B10" t="s">
        <v>87</v>
      </c>
      <c r="C10" t="s">
        <v>76</v>
      </c>
      <c r="D10" t="s">
        <v>88</v>
      </c>
    </row>
    <row r="11" spans="1:4" x14ac:dyDescent="0.3">
      <c r="A11">
        <v>280</v>
      </c>
      <c r="B11" t="s">
        <v>89</v>
      </c>
      <c r="C11" t="s">
        <v>76</v>
      </c>
      <c r="D11" t="s">
        <v>90</v>
      </c>
    </row>
    <row r="12" spans="1:4" x14ac:dyDescent="0.3">
      <c r="A12">
        <v>290</v>
      </c>
      <c r="B12" t="s">
        <v>91</v>
      </c>
      <c r="C12" t="s">
        <v>76</v>
      </c>
      <c r="D12" t="s">
        <v>90</v>
      </c>
    </row>
    <row r="13" spans="1:4" x14ac:dyDescent="0.3">
      <c r="A13">
        <v>610</v>
      </c>
      <c r="B13" t="s">
        <v>92</v>
      </c>
      <c r="C13" t="s">
        <v>93</v>
      </c>
      <c r="D13" t="s">
        <v>92</v>
      </c>
    </row>
    <row r="14" spans="1:4" x14ac:dyDescent="0.3">
      <c r="A14">
        <v>620</v>
      </c>
      <c r="B14" t="s">
        <v>94</v>
      </c>
      <c r="C14" t="s">
        <v>93</v>
      </c>
      <c r="D14" t="s">
        <v>92</v>
      </c>
    </row>
    <row r="15" spans="1:4" x14ac:dyDescent="0.3">
      <c r="A15">
        <v>630</v>
      </c>
      <c r="B15" t="s">
        <v>95</v>
      </c>
      <c r="C15" t="s">
        <v>93</v>
      </c>
      <c r="D15" t="s">
        <v>96</v>
      </c>
    </row>
    <row r="16" spans="1:4" x14ac:dyDescent="0.3">
      <c r="A16">
        <v>640</v>
      </c>
      <c r="B16" t="s">
        <v>97</v>
      </c>
      <c r="C16" t="s">
        <v>93</v>
      </c>
      <c r="D16" t="s">
        <v>96</v>
      </c>
    </row>
    <row r="17" spans="1:4" x14ac:dyDescent="0.3">
      <c r="A17">
        <v>710</v>
      </c>
      <c r="B17" t="s">
        <v>98</v>
      </c>
      <c r="C17" t="s">
        <v>93</v>
      </c>
      <c r="D17" t="s">
        <v>99</v>
      </c>
    </row>
    <row r="18" spans="1:4" x14ac:dyDescent="0.3">
      <c r="A18">
        <v>810</v>
      </c>
      <c r="B18" t="s">
        <v>100</v>
      </c>
      <c r="C18" t="s">
        <v>93</v>
      </c>
      <c r="D18" t="s">
        <v>99</v>
      </c>
    </row>
    <row r="19" spans="1:4" x14ac:dyDescent="0.3">
      <c r="A19">
        <v>860</v>
      </c>
      <c r="B19" t="s">
        <v>101</v>
      </c>
      <c r="C19" t="s">
        <v>93</v>
      </c>
      <c r="D19" t="s">
        <v>99</v>
      </c>
    </row>
    <row r="20" spans="1:4" x14ac:dyDescent="0.3">
      <c r="A20">
        <v>920</v>
      </c>
      <c r="B20" t="s">
        <v>102</v>
      </c>
      <c r="C20" t="s">
        <v>93</v>
      </c>
      <c r="D20" t="s">
        <v>99</v>
      </c>
    </row>
    <row r="21" spans="1:4" x14ac:dyDescent="0.3">
      <c r="A21">
        <v>930</v>
      </c>
      <c r="B21" t="s">
        <v>103</v>
      </c>
      <c r="C21" t="s">
        <v>93</v>
      </c>
      <c r="D21" t="s">
        <v>99</v>
      </c>
    </row>
    <row r="22" spans="1:4" x14ac:dyDescent="0.3">
      <c r="A22">
        <v>940</v>
      </c>
      <c r="B22" t="s">
        <v>104</v>
      </c>
      <c r="C22" t="s">
        <v>93</v>
      </c>
      <c r="D22" t="s">
        <v>99</v>
      </c>
    </row>
    <row r="23" spans="1:4" x14ac:dyDescent="0.3">
      <c r="A23">
        <v>950</v>
      </c>
      <c r="B23" t="s">
        <v>105</v>
      </c>
      <c r="C23" t="s">
        <v>93</v>
      </c>
      <c r="D23" t="s">
        <v>99</v>
      </c>
    </row>
    <row r="24" spans="1:4" x14ac:dyDescent="0.3">
      <c r="A24">
        <v>960</v>
      </c>
      <c r="B24" t="s">
        <v>106</v>
      </c>
      <c r="C24" t="s">
        <v>93</v>
      </c>
      <c r="D24" t="s">
        <v>99</v>
      </c>
    </row>
    <row r="25" spans="1:4" x14ac:dyDescent="0.3">
      <c r="A25">
        <v>970</v>
      </c>
      <c r="B25" t="s">
        <v>107</v>
      </c>
      <c r="C25" t="s">
        <v>93</v>
      </c>
      <c r="D25" t="s">
        <v>99</v>
      </c>
    </row>
    <row r="26" spans="1:4" x14ac:dyDescent="0.3">
      <c r="A26">
        <v>980</v>
      </c>
      <c r="B26" t="s">
        <v>108</v>
      </c>
      <c r="C26" t="s">
        <v>93</v>
      </c>
      <c r="D26" t="s">
        <v>99</v>
      </c>
    </row>
    <row r="27" spans="1:4" x14ac:dyDescent="0.3">
      <c r="A27">
        <v>990</v>
      </c>
      <c r="B27" t="s">
        <v>109</v>
      </c>
      <c r="C27" t="s">
        <v>93</v>
      </c>
      <c r="D27" t="s">
        <v>99</v>
      </c>
    </row>
    <row r="28" spans="1:4" x14ac:dyDescent="0.3">
      <c r="A28">
        <v>1000</v>
      </c>
      <c r="B28" t="s">
        <v>110</v>
      </c>
      <c r="C28" t="s">
        <v>93</v>
      </c>
      <c r="D28" t="s">
        <v>99</v>
      </c>
    </row>
    <row r="29" spans="1:4" x14ac:dyDescent="0.3">
      <c r="A29">
        <v>1010</v>
      </c>
      <c r="B29" t="s">
        <v>111</v>
      </c>
      <c r="C29" t="s">
        <v>93</v>
      </c>
      <c r="D29" t="s">
        <v>112</v>
      </c>
    </row>
    <row r="30" spans="1:4" x14ac:dyDescent="0.3">
      <c r="A30">
        <v>635</v>
      </c>
      <c r="B30" t="s">
        <v>113</v>
      </c>
      <c r="C30" t="s">
        <v>93</v>
      </c>
      <c r="D30" t="s">
        <v>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2F09-3B13-4EFB-B787-0CDFAA40A125}">
  <dimension ref="A1:G2245"/>
  <sheetViews>
    <sheetView zoomScale="82" zoomScaleNormal="145" workbookViewId="0">
      <selection activeCell="C1" sqref="C1"/>
    </sheetView>
  </sheetViews>
  <sheetFormatPr defaultRowHeight="14.4" x14ac:dyDescent="0.3"/>
  <cols>
    <col min="1" max="1" width="20.77734375" bestFit="1" customWidth="1"/>
    <col min="2" max="2" width="8.33203125" style="1" bestFit="1" customWidth="1"/>
    <col min="3" max="3" width="10.109375" bestFit="1" customWidth="1"/>
    <col min="4" max="4" width="12.6640625" customWidth="1"/>
    <col min="5" max="5" width="10.88671875" bestFit="1" customWidth="1"/>
    <col min="6" max="6" width="52.21875" bestFit="1" customWidth="1"/>
    <col min="7" max="7" width="8.77734375" bestFit="1" customWidth="1"/>
  </cols>
  <sheetData>
    <row r="1" spans="1:7" x14ac:dyDescent="0.3">
      <c r="A1" s="6" t="s">
        <v>9</v>
      </c>
      <c r="B1" s="2" t="s">
        <v>0</v>
      </c>
      <c r="C1" s="3" t="s">
        <v>1</v>
      </c>
      <c r="D1" s="3" t="s">
        <v>40</v>
      </c>
      <c r="E1" s="3" t="s">
        <v>2</v>
      </c>
      <c r="F1" s="3" t="s">
        <v>41</v>
      </c>
      <c r="G1" s="3" t="s">
        <v>3</v>
      </c>
    </row>
    <row r="2" spans="1:7" x14ac:dyDescent="0.3">
      <c r="A2" t="s">
        <v>10</v>
      </c>
      <c r="B2" s="1">
        <v>45777</v>
      </c>
      <c r="C2">
        <v>220006</v>
      </c>
      <c r="D2">
        <v>75957.434999999998</v>
      </c>
      <c r="E2" t="s">
        <v>4</v>
      </c>
      <c r="F2" t="s">
        <v>42</v>
      </c>
      <c r="G2" t="s">
        <v>5</v>
      </c>
    </row>
    <row r="3" spans="1:7" x14ac:dyDescent="0.3">
      <c r="A3" t="s">
        <v>10</v>
      </c>
      <c r="B3" s="1">
        <v>45777</v>
      </c>
      <c r="C3">
        <v>240002</v>
      </c>
      <c r="D3">
        <v>-77.736000000000004</v>
      </c>
      <c r="E3" t="s">
        <v>4</v>
      </c>
      <c r="F3" t="s">
        <v>43</v>
      </c>
      <c r="G3" t="s">
        <v>5</v>
      </c>
    </row>
    <row r="4" spans="1:7" x14ac:dyDescent="0.3">
      <c r="A4" t="s">
        <v>10</v>
      </c>
      <c r="B4" s="1">
        <v>45777</v>
      </c>
      <c r="C4">
        <v>242003</v>
      </c>
      <c r="D4">
        <v>-355.54199999999997</v>
      </c>
      <c r="E4" t="s">
        <v>4</v>
      </c>
      <c r="F4" t="s">
        <v>43</v>
      </c>
      <c r="G4" t="s">
        <v>5</v>
      </c>
    </row>
    <row r="5" spans="1:7" x14ac:dyDescent="0.3">
      <c r="A5" t="s">
        <v>10</v>
      </c>
      <c r="B5" s="1">
        <v>45777</v>
      </c>
      <c r="C5">
        <v>242041</v>
      </c>
      <c r="D5">
        <v>-54.798000000000002</v>
      </c>
      <c r="E5" t="s">
        <v>4</v>
      </c>
      <c r="F5" t="s">
        <v>43</v>
      </c>
      <c r="G5" t="s">
        <v>5</v>
      </c>
    </row>
    <row r="6" spans="1:7" x14ac:dyDescent="0.3">
      <c r="A6" t="s">
        <v>10</v>
      </c>
      <c r="B6" s="1">
        <v>45777</v>
      </c>
      <c r="C6">
        <v>243002</v>
      </c>
      <c r="D6">
        <v>-1276.08</v>
      </c>
      <c r="E6" t="s">
        <v>4</v>
      </c>
      <c r="F6" t="s">
        <v>43</v>
      </c>
      <c r="G6" t="s">
        <v>5</v>
      </c>
    </row>
    <row r="7" spans="1:7" x14ac:dyDescent="0.3">
      <c r="A7" t="s">
        <v>10</v>
      </c>
      <c r="B7" s="1">
        <v>45777</v>
      </c>
      <c r="C7">
        <v>245010</v>
      </c>
      <c r="D7">
        <v>-571.01099999999997</v>
      </c>
      <c r="E7" t="s">
        <v>4</v>
      </c>
      <c r="F7" t="s">
        <v>44</v>
      </c>
      <c r="G7" t="s">
        <v>5</v>
      </c>
    </row>
    <row r="8" spans="1:7" x14ac:dyDescent="0.3">
      <c r="A8" t="s">
        <v>10</v>
      </c>
      <c r="B8" s="1">
        <v>45777</v>
      </c>
      <c r="C8">
        <v>245055</v>
      </c>
      <c r="D8">
        <v>-1243.8620000000001</v>
      </c>
      <c r="E8" t="s">
        <v>4</v>
      </c>
      <c r="F8" t="s">
        <v>43</v>
      </c>
      <c r="G8" t="s">
        <v>5</v>
      </c>
    </row>
    <row r="9" spans="1:7" x14ac:dyDescent="0.3">
      <c r="A9" t="s">
        <v>10</v>
      </c>
      <c r="B9" s="1">
        <v>45777</v>
      </c>
      <c r="C9">
        <v>245062</v>
      </c>
      <c r="D9">
        <v>-229.232</v>
      </c>
      <c r="E9" t="s">
        <v>4</v>
      </c>
      <c r="F9" t="s">
        <v>43</v>
      </c>
      <c r="G9" t="s">
        <v>5</v>
      </c>
    </row>
    <row r="10" spans="1:7" x14ac:dyDescent="0.3">
      <c r="A10" t="s">
        <v>10</v>
      </c>
      <c r="B10" s="1">
        <v>45777</v>
      </c>
      <c r="C10">
        <v>257010</v>
      </c>
      <c r="D10">
        <v>-889.81899999999996</v>
      </c>
      <c r="E10" t="s">
        <v>4</v>
      </c>
      <c r="F10" t="s">
        <v>45</v>
      </c>
      <c r="G10" t="s">
        <v>5</v>
      </c>
    </row>
    <row r="11" spans="1:7" x14ac:dyDescent="0.3">
      <c r="A11" t="s">
        <v>10</v>
      </c>
      <c r="B11" s="1">
        <v>45777</v>
      </c>
      <c r="C11">
        <v>257030</v>
      </c>
      <c r="D11">
        <v>-2036.5909999999999</v>
      </c>
      <c r="E11" t="s">
        <v>4</v>
      </c>
      <c r="F11" t="s">
        <v>45</v>
      </c>
      <c r="G11" t="s">
        <v>5</v>
      </c>
    </row>
    <row r="12" spans="1:7" x14ac:dyDescent="0.3">
      <c r="A12" t="s">
        <v>10</v>
      </c>
      <c r="B12" s="1">
        <v>45777</v>
      </c>
      <c r="C12">
        <v>260004</v>
      </c>
      <c r="D12">
        <v>-1345.88</v>
      </c>
      <c r="E12" t="s">
        <v>4</v>
      </c>
      <c r="F12" t="s">
        <v>45</v>
      </c>
      <c r="G12" t="s">
        <v>5</v>
      </c>
    </row>
    <row r="13" spans="1:7" x14ac:dyDescent="0.3">
      <c r="A13" t="s">
        <v>10</v>
      </c>
      <c r="B13" s="1">
        <v>45777</v>
      </c>
      <c r="C13">
        <v>320002</v>
      </c>
      <c r="D13">
        <v>6013.4229999999998</v>
      </c>
      <c r="E13" t="s">
        <v>4</v>
      </c>
      <c r="F13" t="s">
        <v>46</v>
      </c>
      <c r="G13" t="s">
        <v>5</v>
      </c>
    </row>
    <row r="14" spans="1:7" x14ac:dyDescent="0.3">
      <c r="A14" t="s">
        <v>10</v>
      </c>
      <c r="B14" s="1">
        <v>45777</v>
      </c>
      <c r="C14">
        <v>320003</v>
      </c>
      <c r="D14">
        <v>7268.2039999999997</v>
      </c>
      <c r="E14" t="s">
        <v>4</v>
      </c>
      <c r="F14" t="s">
        <v>46</v>
      </c>
      <c r="G14" t="s">
        <v>5</v>
      </c>
    </row>
    <row r="15" spans="1:7" x14ac:dyDescent="0.3">
      <c r="A15" t="s">
        <v>10</v>
      </c>
      <c r="B15" s="1">
        <v>45777</v>
      </c>
      <c r="C15">
        <v>320004</v>
      </c>
      <c r="D15">
        <v>365.53</v>
      </c>
      <c r="E15" t="s">
        <v>4</v>
      </c>
      <c r="F15" t="s">
        <v>46</v>
      </c>
      <c r="G15" t="s">
        <v>5</v>
      </c>
    </row>
    <row r="16" spans="1:7" x14ac:dyDescent="0.3">
      <c r="A16" t="s">
        <v>10</v>
      </c>
      <c r="B16" s="1">
        <v>45777</v>
      </c>
      <c r="C16">
        <v>320006</v>
      </c>
      <c r="D16">
        <v>332.09399999999999</v>
      </c>
      <c r="E16" t="s">
        <v>4</v>
      </c>
      <c r="F16" t="s">
        <v>46</v>
      </c>
      <c r="G16" t="s">
        <v>5</v>
      </c>
    </row>
    <row r="17" spans="1:7" x14ac:dyDescent="0.3">
      <c r="A17" t="s">
        <v>10</v>
      </c>
      <c r="B17" s="1">
        <v>45777</v>
      </c>
      <c r="C17">
        <v>320023</v>
      </c>
      <c r="D17">
        <v>-397.06799999999998</v>
      </c>
      <c r="E17" t="s">
        <v>4</v>
      </c>
      <c r="F17" t="s">
        <v>46</v>
      </c>
      <c r="G17" t="s">
        <v>5</v>
      </c>
    </row>
    <row r="18" spans="1:7" x14ac:dyDescent="0.3">
      <c r="A18" t="s">
        <v>10</v>
      </c>
      <c r="B18" s="1">
        <v>45777</v>
      </c>
      <c r="C18">
        <v>321002</v>
      </c>
      <c r="D18">
        <v>3952.9229999999998</v>
      </c>
      <c r="E18" t="s">
        <v>4</v>
      </c>
      <c r="F18" t="s">
        <v>46</v>
      </c>
      <c r="G18" t="s">
        <v>5</v>
      </c>
    </row>
    <row r="19" spans="1:7" x14ac:dyDescent="0.3">
      <c r="A19" t="s">
        <v>10</v>
      </c>
      <c r="B19" s="1">
        <v>45777</v>
      </c>
      <c r="C19">
        <v>321010</v>
      </c>
      <c r="D19">
        <v>-6081.3969999999999</v>
      </c>
      <c r="E19" t="s">
        <v>4</v>
      </c>
      <c r="F19" t="s">
        <v>46</v>
      </c>
      <c r="G19" t="s">
        <v>5</v>
      </c>
    </row>
    <row r="20" spans="1:7" x14ac:dyDescent="0.3">
      <c r="A20" t="s">
        <v>10</v>
      </c>
      <c r="B20" s="1">
        <v>45777</v>
      </c>
      <c r="C20">
        <v>321029</v>
      </c>
      <c r="D20">
        <v>11334.511</v>
      </c>
      <c r="E20" t="s">
        <v>4</v>
      </c>
      <c r="F20" t="s">
        <v>46</v>
      </c>
      <c r="G20" t="s">
        <v>5</v>
      </c>
    </row>
    <row r="21" spans="1:7" x14ac:dyDescent="0.3">
      <c r="A21" t="s">
        <v>10</v>
      </c>
      <c r="B21" s="1">
        <v>45777</v>
      </c>
      <c r="C21">
        <v>321042</v>
      </c>
      <c r="D21">
        <v>-1533.069</v>
      </c>
      <c r="E21" t="s">
        <v>4</v>
      </c>
      <c r="F21" t="s">
        <v>46</v>
      </c>
      <c r="G21" t="s">
        <v>5</v>
      </c>
    </row>
    <row r="22" spans="1:7" x14ac:dyDescent="0.3">
      <c r="A22" t="s">
        <v>10</v>
      </c>
      <c r="B22" s="1">
        <v>45777</v>
      </c>
      <c r="C22">
        <v>321045</v>
      </c>
      <c r="D22">
        <v>34353.659</v>
      </c>
      <c r="E22" t="s">
        <v>4</v>
      </c>
      <c r="F22" t="s">
        <v>46</v>
      </c>
      <c r="G22" t="s">
        <v>5</v>
      </c>
    </row>
    <row r="23" spans="1:7" x14ac:dyDescent="0.3">
      <c r="A23" t="s">
        <v>10</v>
      </c>
      <c r="B23" s="1">
        <v>45777</v>
      </c>
      <c r="C23">
        <v>330049</v>
      </c>
      <c r="D23">
        <v>-169417.02100000001</v>
      </c>
      <c r="E23" t="s">
        <v>4</v>
      </c>
      <c r="F23" t="s">
        <v>43</v>
      </c>
      <c r="G23" t="s">
        <v>5</v>
      </c>
    </row>
    <row r="24" spans="1:7" x14ac:dyDescent="0.3">
      <c r="A24" t="s">
        <v>10</v>
      </c>
      <c r="B24" s="1">
        <v>45777</v>
      </c>
      <c r="C24">
        <v>330055</v>
      </c>
      <c r="D24">
        <v>140.6</v>
      </c>
      <c r="E24" t="s">
        <v>4</v>
      </c>
      <c r="F24" t="s">
        <v>43</v>
      </c>
      <c r="G24" t="s">
        <v>5</v>
      </c>
    </row>
    <row r="25" spans="1:7" x14ac:dyDescent="0.3">
      <c r="A25" t="s">
        <v>10</v>
      </c>
      <c r="B25" s="1">
        <v>45777</v>
      </c>
      <c r="C25">
        <v>330112</v>
      </c>
      <c r="D25">
        <v>11429.228999999999</v>
      </c>
      <c r="E25" t="s">
        <v>4</v>
      </c>
      <c r="F25" t="s">
        <v>43</v>
      </c>
      <c r="G25" t="s">
        <v>5</v>
      </c>
    </row>
    <row r="26" spans="1:7" x14ac:dyDescent="0.3">
      <c r="A26" t="s">
        <v>10</v>
      </c>
      <c r="B26" s="1">
        <v>45777</v>
      </c>
      <c r="C26">
        <v>340041</v>
      </c>
      <c r="D26">
        <v>18264.087</v>
      </c>
      <c r="E26" t="s">
        <v>4</v>
      </c>
      <c r="F26" t="s">
        <v>47</v>
      </c>
      <c r="G26" t="s">
        <v>5</v>
      </c>
    </row>
    <row r="27" spans="1:7" x14ac:dyDescent="0.3">
      <c r="A27" t="s">
        <v>10</v>
      </c>
      <c r="B27" s="1">
        <v>45777</v>
      </c>
      <c r="C27">
        <v>352002</v>
      </c>
      <c r="D27">
        <v>18.462</v>
      </c>
      <c r="E27" t="s">
        <v>4</v>
      </c>
      <c r="F27" t="s">
        <v>48</v>
      </c>
      <c r="G27" t="s">
        <v>5</v>
      </c>
    </row>
    <row r="28" spans="1:7" x14ac:dyDescent="0.3">
      <c r="A28" t="s">
        <v>10</v>
      </c>
      <c r="B28" s="1">
        <v>45777</v>
      </c>
      <c r="C28">
        <v>354015</v>
      </c>
      <c r="D28">
        <v>2614.6619999999998</v>
      </c>
      <c r="E28" t="s">
        <v>4</v>
      </c>
      <c r="F28" t="s">
        <v>46</v>
      </c>
      <c r="G28" t="s">
        <v>5</v>
      </c>
    </row>
    <row r="29" spans="1:7" x14ac:dyDescent="0.3">
      <c r="A29" t="s">
        <v>10</v>
      </c>
      <c r="B29" s="1">
        <v>45777</v>
      </c>
      <c r="C29">
        <v>355002</v>
      </c>
      <c r="D29">
        <v>19.257000000000001</v>
      </c>
      <c r="E29" t="s">
        <v>4</v>
      </c>
      <c r="F29" t="s">
        <v>49</v>
      </c>
      <c r="G29" t="s">
        <v>5</v>
      </c>
    </row>
    <row r="30" spans="1:7" x14ac:dyDescent="0.3">
      <c r="A30" t="s">
        <v>10</v>
      </c>
      <c r="B30" s="1">
        <v>45777</v>
      </c>
      <c r="C30">
        <v>355013</v>
      </c>
      <c r="D30">
        <v>4970.5349999999999</v>
      </c>
      <c r="E30" t="s">
        <v>4</v>
      </c>
      <c r="F30" t="s">
        <v>49</v>
      </c>
      <c r="G30" t="s">
        <v>5</v>
      </c>
    </row>
    <row r="31" spans="1:7" x14ac:dyDescent="0.3">
      <c r="A31" t="s">
        <v>10</v>
      </c>
      <c r="B31" s="1">
        <v>45777</v>
      </c>
      <c r="C31">
        <v>372004</v>
      </c>
      <c r="D31">
        <v>48.338000000000001</v>
      </c>
      <c r="E31" t="s">
        <v>4</v>
      </c>
      <c r="F31" t="s">
        <v>45</v>
      </c>
      <c r="G31" t="s">
        <v>5</v>
      </c>
    </row>
    <row r="32" spans="1:7" x14ac:dyDescent="0.3">
      <c r="A32" t="s">
        <v>10</v>
      </c>
      <c r="B32" s="1">
        <v>45777</v>
      </c>
      <c r="C32">
        <v>400004</v>
      </c>
      <c r="D32">
        <v>-3649.627</v>
      </c>
      <c r="E32" t="s">
        <v>6</v>
      </c>
      <c r="F32" t="s">
        <v>50</v>
      </c>
      <c r="G32" t="s">
        <v>5</v>
      </c>
    </row>
    <row r="33" spans="1:7" x14ac:dyDescent="0.3">
      <c r="A33" t="s">
        <v>10</v>
      </c>
      <c r="B33" s="1">
        <v>45777</v>
      </c>
      <c r="C33">
        <v>410002</v>
      </c>
      <c r="D33">
        <v>-926.90599999999995</v>
      </c>
      <c r="E33" t="s">
        <v>6</v>
      </c>
      <c r="F33" t="s">
        <v>51</v>
      </c>
      <c r="G33" t="s">
        <v>5</v>
      </c>
    </row>
    <row r="34" spans="1:7" x14ac:dyDescent="0.3">
      <c r="A34" t="s">
        <v>10</v>
      </c>
      <c r="B34" s="1">
        <v>45777</v>
      </c>
      <c r="C34">
        <v>410037</v>
      </c>
      <c r="D34">
        <v>-1671.4090000000001</v>
      </c>
      <c r="E34" t="s">
        <v>6</v>
      </c>
      <c r="F34" t="s">
        <v>51</v>
      </c>
      <c r="G34" t="s">
        <v>5</v>
      </c>
    </row>
    <row r="35" spans="1:7" x14ac:dyDescent="0.3">
      <c r="A35" t="s">
        <v>10</v>
      </c>
      <c r="B35" s="1">
        <v>45777</v>
      </c>
      <c r="C35">
        <v>421002</v>
      </c>
      <c r="D35">
        <v>206.84700000000001</v>
      </c>
      <c r="E35" t="s">
        <v>6</v>
      </c>
      <c r="F35" t="s">
        <v>52</v>
      </c>
      <c r="G35" t="s">
        <v>5</v>
      </c>
    </row>
    <row r="36" spans="1:7" x14ac:dyDescent="0.3">
      <c r="A36" t="s">
        <v>10</v>
      </c>
      <c r="B36" s="1">
        <v>45777</v>
      </c>
      <c r="C36">
        <v>421003</v>
      </c>
      <c r="D36">
        <v>8447.9989999999998</v>
      </c>
      <c r="E36" t="s">
        <v>6</v>
      </c>
      <c r="F36" t="s">
        <v>52</v>
      </c>
      <c r="G36" t="s">
        <v>5</v>
      </c>
    </row>
    <row r="37" spans="1:7" x14ac:dyDescent="0.3">
      <c r="A37" t="s">
        <v>10</v>
      </c>
      <c r="B37" s="1">
        <v>45777</v>
      </c>
      <c r="C37">
        <v>421007</v>
      </c>
      <c r="D37">
        <v>-145.99100000000001</v>
      </c>
      <c r="E37" t="s">
        <v>6</v>
      </c>
      <c r="F37" t="s">
        <v>52</v>
      </c>
      <c r="G37" t="s">
        <v>5</v>
      </c>
    </row>
    <row r="38" spans="1:7" x14ac:dyDescent="0.3">
      <c r="A38" t="s">
        <v>10</v>
      </c>
      <c r="B38" s="1">
        <v>45777</v>
      </c>
      <c r="C38">
        <v>510002</v>
      </c>
      <c r="D38">
        <v>1980.13</v>
      </c>
      <c r="E38" t="s">
        <v>6</v>
      </c>
      <c r="F38" t="s">
        <v>53</v>
      </c>
      <c r="G38" t="s">
        <v>5</v>
      </c>
    </row>
    <row r="39" spans="1:7" x14ac:dyDescent="0.3">
      <c r="A39" t="s">
        <v>10</v>
      </c>
      <c r="B39" s="1">
        <v>45777</v>
      </c>
      <c r="C39">
        <v>510005</v>
      </c>
      <c r="D39">
        <v>-453.43</v>
      </c>
      <c r="E39" t="s">
        <v>6</v>
      </c>
      <c r="F39" t="s">
        <v>53</v>
      </c>
      <c r="G39" t="s">
        <v>5</v>
      </c>
    </row>
    <row r="40" spans="1:7" x14ac:dyDescent="0.3">
      <c r="A40" t="s">
        <v>10</v>
      </c>
      <c r="B40" s="1">
        <v>45777</v>
      </c>
      <c r="C40">
        <v>510007</v>
      </c>
      <c r="D40">
        <v>229.232</v>
      </c>
      <c r="E40" t="s">
        <v>6</v>
      </c>
      <c r="F40" t="s">
        <v>53</v>
      </c>
      <c r="G40" t="s">
        <v>5</v>
      </c>
    </row>
    <row r="41" spans="1:7" x14ac:dyDescent="0.3">
      <c r="A41" t="s">
        <v>10</v>
      </c>
      <c r="B41" s="1">
        <v>45777</v>
      </c>
      <c r="C41">
        <v>510015</v>
      </c>
      <c r="D41">
        <v>198.01400000000001</v>
      </c>
      <c r="E41" t="s">
        <v>6</v>
      </c>
      <c r="F41" t="s">
        <v>53</v>
      </c>
      <c r="G41" t="s">
        <v>5</v>
      </c>
    </row>
    <row r="42" spans="1:7" x14ac:dyDescent="0.3">
      <c r="A42" t="s">
        <v>10</v>
      </c>
      <c r="B42" s="1">
        <v>45777</v>
      </c>
      <c r="C42">
        <v>546002</v>
      </c>
      <c r="D42">
        <v>3211.6729999999998</v>
      </c>
      <c r="E42" t="s">
        <v>6</v>
      </c>
      <c r="F42" t="s">
        <v>51</v>
      </c>
      <c r="G42" t="s">
        <v>5</v>
      </c>
    </row>
    <row r="43" spans="1:7" x14ac:dyDescent="0.3">
      <c r="A43" t="s">
        <v>10</v>
      </c>
      <c r="B43" s="1">
        <v>45777</v>
      </c>
      <c r="C43">
        <v>547002</v>
      </c>
      <c r="D43">
        <v>564.55100000000004</v>
      </c>
      <c r="E43" t="s">
        <v>6</v>
      </c>
      <c r="F43" t="s">
        <v>54</v>
      </c>
      <c r="G43" t="s">
        <v>5</v>
      </c>
    </row>
    <row r="44" spans="1:7" x14ac:dyDescent="0.3">
      <c r="A44" t="s">
        <v>10</v>
      </c>
      <c r="B44" s="1">
        <v>45777</v>
      </c>
      <c r="C44">
        <v>547011</v>
      </c>
      <c r="D44">
        <v>120.245</v>
      </c>
      <c r="E44" t="s">
        <v>6</v>
      </c>
      <c r="F44" t="s">
        <v>54</v>
      </c>
      <c r="G44" t="s">
        <v>5</v>
      </c>
    </row>
    <row r="45" spans="1:7" x14ac:dyDescent="0.3">
      <c r="A45" t="s">
        <v>10</v>
      </c>
      <c r="B45" s="1">
        <v>45777</v>
      </c>
      <c r="C45">
        <v>552502</v>
      </c>
      <c r="D45">
        <v>19.257000000000001</v>
      </c>
      <c r="E45" t="s">
        <v>6</v>
      </c>
      <c r="F45" t="s">
        <v>55</v>
      </c>
      <c r="G45" t="s">
        <v>5</v>
      </c>
    </row>
    <row r="46" spans="1:7" x14ac:dyDescent="0.3">
      <c r="A46" t="s">
        <v>10</v>
      </c>
      <c r="B46" s="1">
        <v>45777</v>
      </c>
      <c r="C46">
        <v>557002</v>
      </c>
      <c r="D46">
        <v>289.21300000000002</v>
      </c>
      <c r="E46" t="s">
        <v>6</v>
      </c>
      <c r="F46" t="s">
        <v>56</v>
      </c>
      <c r="G46" t="s">
        <v>5</v>
      </c>
    </row>
    <row r="47" spans="1:7" x14ac:dyDescent="0.3">
      <c r="A47" t="s">
        <v>10</v>
      </c>
      <c r="B47" s="1">
        <v>45777</v>
      </c>
      <c r="C47">
        <v>564021</v>
      </c>
      <c r="D47">
        <v>6.36</v>
      </c>
      <c r="E47" t="s">
        <v>6</v>
      </c>
      <c r="F47" t="s">
        <v>57</v>
      </c>
      <c r="G47" t="s">
        <v>5</v>
      </c>
    </row>
    <row r="48" spans="1:7" x14ac:dyDescent="0.3">
      <c r="A48" t="s">
        <v>11</v>
      </c>
      <c r="B48" s="1">
        <v>45777</v>
      </c>
      <c r="C48">
        <v>210002</v>
      </c>
      <c r="D48">
        <v>-9.4E-2</v>
      </c>
      <c r="E48" t="s">
        <v>4</v>
      </c>
      <c r="F48" t="s">
        <v>42</v>
      </c>
      <c r="G48" t="s">
        <v>7</v>
      </c>
    </row>
    <row r="49" spans="1:7" x14ac:dyDescent="0.3">
      <c r="A49" t="s">
        <v>11</v>
      </c>
      <c r="B49" s="1">
        <v>45777</v>
      </c>
      <c r="C49">
        <v>220006</v>
      </c>
      <c r="D49">
        <v>-1737023.03</v>
      </c>
      <c r="E49" t="s">
        <v>4</v>
      </c>
      <c r="F49" t="s">
        <v>42</v>
      </c>
      <c r="G49" t="s">
        <v>7</v>
      </c>
    </row>
    <row r="50" spans="1:7" x14ac:dyDescent="0.3">
      <c r="A50" t="s">
        <v>11</v>
      </c>
      <c r="B50" s="1">
        <v>45777</v>
      </c>
      <c r="C50">
        <v>240002</v>
      </c>
      <c r="D50">
        <v>473.13099999999997</v>
      </c>
      <c r="E50" t="s">
        <v>4</v>
      </c>
      <c r="F50" t="s">
        <v>43</v>
      </c>
      <c r="G50" t="s">
        <v>7</v>
      </c>
    </row>
    <row r="51" spans="1:7" x14ac:dyDescent="0.3">
      <c r="A51" t="s">
        <v>11</v>
      </c>
      <c r="B51" s="1">
        <v>45777</v>
      </c>
      <c r="C51">
        <v>240003</v>
      </c>
      <c r="D51">
        <v>0.14199999999999999</v>
      </c>
      <c r="E51" t="s">
        <v>4</v>
      </c>
      <c r="F51" t="s">
        <v>43</v>
      </c>
      <c r="G51" t="s">
        <v>7</v>
      </c>
    </row>
    <row r="52" spans="1:7" x14ac:dyDescent="0.3">
      <c r="A52" t="s">
        <v>11</v>
      </c>
      <c r="B52" s="1">
        <v>45777</v>
      </c>
      <c r="C52">
        <v>240009</v>
      </c>
      <c r="D52">
        <v>-938.89099999999996</v>
      </c>
      <c r="E52" t="s">
        <v>4</v>
      </c>
      <c r="F52" t="s">
        <v>43</v>
      </c>
      <c r="G52" t="s">
        <v>7</v>
      </c>
    </row>
    <row r="53" spans="1:7" x14ac:dyDescent="0.3">
      <c r="A53" t="s">
        <v>11</v>
      </c>
      <c r="B53" s="1">
        <v>45777</v>
      </c>
      <c r="C53">
        <v>242003</v>
      </c>
      <c r="D53">
        <v>-78169.085999999996</v>
      </c>
      <c r="E53" t="s">
        <v>4</v>
      </c>
      <c r="F53" t="s">
        <v>43</v>
      </c>
      <c r="G53" t="s">
        <v>7</v>
      </c>
    </row>
    <row r="54" spans="1:7" x14ac:dyDescent="0.3">
      <c r="A54" t="s">
        <v>11</v>
      </c>
      <c r="B54" s="1">
        <v>45777</v>
      </c>
      <c r="C54">
        <v>242011</v>
      </c>
      <c r="D54">
        <v>-27288.769</v>
      </c>
      <c r="E54" t="s">
        <v>4</v>
      </c>
      <c r="F54" t="s">
        <v>43</v>
      </c>
      <c r="G54" t="s">
        <v>7</v>
      </c>
    </row>
    <row r="55" spans="1:7" x14ac:dyDescent="0.3">
      <c r="A55" t="s">
        <v>11</v>
      </c>
      <c r="B55" s="1">
        <v>45777</v>
      </c>
      <c r="C55">
        <v>242012</v>
      </c>
      <c r="D55">
        <v>-32936.805</v>
      </c>
      <c r="E55" t="s">
        <v>4</v>
      </c>
      <c r="F55" t="s">
        <v>43</v>
      </c>
      <c r="G55" t="s">
        <v>7</v>
      </c>
    </row>
    <row r="56" spans="1:7" x14ac:dyDescent="0.3">
      <c r="A56" t="s">
        <v>11</v>
      </c>
      <c r="B56" s="1">
        <v>45777</v>
      </c>
      <c r="C56">
        <v>242013</v>
      </c>
      <c r="D56">
        <v>-11590.594999999999</v>
      </c>
      <c r="E56" t="s">
        <v>4</v>
      </c>
      <c r="F56" t="s">
        <v>43</v>
      </c>
      <c r="G56" t="s">
        <v>7</v>
      </c>
    </row>
    <row r="57" spans="1:7" x14ac:dyDescent="0.3">
      <c r="A57" t="s">
        <v>11</v>
      </c>
      <c r="B57" s="1">
        <v>45777</v>
      </c>
      <c r="C57">
        <v>242018</v>
      </c>
      <c r="D57">
        <v>-7141.4049999999997</v>
      </c>
      <c r="E57" t="s">
        <v>4</v>
      </c>
      <c r="F57" t="s">
        <v>43</v>
      </c>
      <c r="G57" t="s">
        <v>7</v>
      </c>
    </row>
    <row r="58" spans="1:7" x14ac:dyDescent="0.3">
      <c r="A58" t="s">
        <v>11</v>
      </c>
      <c r="B58" s="1">
        <v>45777</v>
      </c>
      <c r="C58">
        <v>242027</v>
      </c>
      <c r="D58">
        <v>-57920.366000000002</v>
      </c>
      <c r="E58" t="s">
        <v>4</v>
      </c>
      <c r="F58" t="s">
        <v>43</v>
      </c>
      <c r="G58" t="s">
        <v>7</v>
      </c>
    </row>
    <row r="59" spans="1:7" x14ac:dyDescent="0.3">
      <c r="A59" t="s">
        <v>11</v>
      </c>
      <c r="B59" s="1">
        <v>45777</v>
      </c>
      <c r="C59">
        <v>242030</v>
      </c>
      <c r="D59">
        <v>-14759.629000000001</v>
      </c>
      <c r="E59" t="s">
        <v>4</v>
      </c>
      <c r="F59" t="s">
        <v>43</v>
      </c>
      <c r="G59" t="s">
        <v>7</v>
      </c>
    </row>
    <row r="60" spans="1:7" x14ac:dyDescent="0.3">
      <c r="A60" t="s">
        <v>11</v>
      </c>
      <c r="B60" s="1">
        <v>45777</v>
      </c>
      <c r="C60">
        <v>242038</v>
      </c>
      <c r="D60">
        <v>-2.5920000000000001</v>
      </c>
      <c r="E60" t="s">
        <v>4</v>
      </c>
      <c r="F60" t="s">
        <v>43</v>
      </c>
      <c r="G60" t="s">
        <v>7</v>
      </c>
    </row>
    <row r="61" spans="1:7" x14ac:dyDescent="0.3">
      <c r="A61" t="s">
        <v>11</v>
      </c>
      <c r="B61" s="1">
        <v>45777</v>
      </c>
      <c r="C61">
        <v>242041</v>
      </c>
      <c r="D61">
        <v>2704.8440000000001</v>
      </c>
      <c r="E61" t="s">
        <v>4</v>
      </c>
      <c r="F61" t="s">
        <v>43</v>
      </c>
      <c r="G61" t="s">
        <v>7</v>
      </c>
    </row>
    <row r="62" spans="1:7" x14ac:dyDescent="0.3">
      <c r="A62" t="s">
        <v>11</v>
      </c>
      <c r="B62" s="1">
        <v>45777</v>
      </c>
      <c r="C62">
        <v>243002</v>
      </c>
      <c r="D62">
        <v>-8564.5889999999999</v>
      </c>
      <c r="E62" t="s">
        <v>4</v>
      </c>
      <c r="F62" t="s">
        <v>43</v>
      </c>
      <c r="G62" t="s">
        <v>7</v>
      </c>
    </row>
    <row r="63" spans="1:7" x14ac:dyDescent="0.3">
      <c r="A63" t="s">
        <v>11</v>
      </c>
      <c r="B63" s="1">
        <v>45777</v>
      </c>
      <c r="C63">
        <v>243003</v>
      </c>
      <c r="D63">
        <v>-7341.6319999999996</v>
      </c>
      <c r="E63" t="s">
        <v>4</v>
      </c>
      <c r="F63" t="s">
        <v>43</v>
      </c>
      <c r="G63" t="s">
        <v>7</v>
      </c>
    </row>
    <row r="64" spans="1:7" x14ac:dyDescent="0.3">
      <c r="A64" t="s">
        <v>11</v>
      </c>
      <c r="B64" s="1">
        <v>45777</v>
      </c>
      <c r="C64">
        <v>245010</v>
      </c>
      <c r="D64">
        <v>-16422.725999999999</v>
      </c>
      <c r="E64" t="s">
        <v>4</v>
      </c>
      <c r="F64" t="s">
        <v>44</v>
      </c>
      <c r="G64" t="s">
        <v>7</v>
      </c>
    </row>
    <row r="65" spans="1:7" x14ac:dyDescent="0.3">
      <c r="A65" t="s">
        <v>11</v>
      </c>
      <c r="B65" s="1">
        <v>45777</v>
      </c>
      <c r="C65">
        <v>245018</v>
      </c>
      <c r="D65">
        <v>-2609.7109999999998</v>
      </c>
      <c r="E65" t="s">
        <v>4</v>
      </c>
      <c r="F65" t="s">
        <v>43</v>
      </c>
      <c r="G65" t="s">
        <v>7</v>
      </c>
    </row>
    <row r="66" spans="1:7" x14ac:dyDescent="0.3">
      <c r="A66" t="s">
        <v>11</v>
      </c>
      <c r="B66" s="1">
        <v>45777</v>
      </c>
      <c r="C66">
        <v>245055</v>
      </c>
      <c r="D66">
        <v>-24712.841</v>
      </c>
      <c r="E66" t="s">
        <v>4</v>
      </c>
      <c r="F66" t="s">
        <v>43</v>
      </c>
      <c r="G66" t="s">
        <v>7</v>
      </c>
    </row>
    <row r="67" spans="1:7" x14ac:dyDescent="0.3">
      <c r="A67" t="s">
        <v>11</v>
      </c>
      <c r="B67" s="1">
        <v>45777</v>
      </c>
      <c r="C67">
        <v>245056</v>
      </c>
      <c r="D67">
        <v>-1017.443</v>
      </c>
      <c r="E67" t="s">
        <v>4</v>
      </c>
      <c r="F67" t="s">
        <v>49</v>
      </c>
      <c r="G67" t="s">
        <v>7</v>
      </c>
    </row>
    <row r="68" spans="1:7" x14ac:dyDescent="0.3">
      <c r="A68" t="s">
        <v>11</v>
      </c>
      <c r="B68" s="1">
        <v>45777</v>
      </c>
      <c r="C68">
        <v>245062</v>
      </c>
      <c r="D68">
        <v>-5296.6019999999999</v>
      </c>
      <c r="E68" t="s">
        <v>4</v>
      </c>
      <c r="F68" t="s">
        <v>43</v>
      </c>
      <c r="G68" t="s">
        <v>7</v>
      </c>
    </row>
    <row r="69" spans="1:7" x14ac:dyDescent="0.3">
      <c r="A69" t="s">
        <v>11</v>
      </c>
      <c r="B69" s="1">
        <v>45777</v>
      </c>
      <c r="C69">
        <v>250003</v>
      </c>
      <c r="D69">
        <v>-53.529000000000003</v>
      </c>
      <c r="E69" t="s">
        <v>4</v>
      </c>
      <c r="F69" t="s">
        <v>45</v>
      </c>
      <c r="G69" t="s">
        <v>7</v>
      </c>
    </row>
    <row r="70" spans="1:7" x14ac:dyDescent="0.3">
      <c r="A70" t="s">
        <v>11</v>
      </c>
      <c r="B70" s="1">
        <v>45777</v>
      </c>
      <c r="C70">
        <v>251002</v>
      </c>
      <c r="D70">
        <v>-10134.055</v>
      </c>
      <c r="E70" t="s">
        <v>4</v>
      </c>
      <c r="F70" t="s">
        <v>45</v>
      </c>
      <c r="G70" t="s">
        <v>7</v>
      </c>
    </row>
    <row r="71" spans="1:7" x14ac:dyDescent="0.3">
      <c r="A71" t="s">
        <v>11</v>
      </c>
      <c r="B71" s="1">
        <v>45777</v>
      </c>
      <c r="C71">
        <v>256020</v>
      </c>
      <c r="D71">
        <v>3239.1210000000001</v>
      </c>
      <c r="E71" t="s">
        <v>4</v>
      </c>
      <c r="F71" t="s">
        <v>43</v>
      </c>
      <c r="G71" t="s">
        <v>7</v>
      </c>
    </row>
    <row r="72" spans="1:7" x14ac:dyDescent="0.3">
      <c r="A72" t="s">
        <v>11</v>
      </c>
      <c r="B72" s="1">
        <v>45777</v>
      </c>
      <c r="C72">
        <v>256040</v>
      </c>
      <c r="D72">
        <v>1056015.9950000001</v>
      </c>
      <c r="E72" t="s">
        <v>4</v>
      </c>
      <c r="F72" t="s">
        <v>43</v>
      </c>
      <c r="G72" t="s">
        <v>7</v>
      </c>
    </row>
    <row r="73" spans="1:7" x14ac:dyDescent="0.3">
      <c r="A73" t="s">
        <v>11</v>
      </c>
      <c r="B73" s="1">
        <v>45777</v>
      </c>
      <c r="C73">
        <v>263002</v>
      </c>
      <c r="D73">
        <v>-7680.625</v>
      </c>
      <c r="E73" t="s">
        <v>4</v>
      </c>
      <c r="F73" t="s">
        <v>45</v>
      </c>
      <c r="G73" t="s">
        <v>7</v>
      </c>
    </row>
    <row r="74" spans="1:7" x14ac:dyDescent="0.3">
      <c r="A74" t="s">
        <v>11</v>
      </c>
      <c r="B74" s="1">
        <v>45777</v>
      </c>
      <c r="C74">
        <v>263003</v>
      </c>
      <c r="D74">
        <v>-1E-3</v>
      </c>
      <c r="E74" t="s">
        <v>4</v>
      </c>
      <c r="F74" t="s">
        <v>45</v>
      </c>
      <c r="G74" t="s">
        <v>7</v>
      </c>
    </row>
    <row r="75" spans="1:7" x14ac:dyDescent="0.3">
      <c r="A75" t="s">
        <v>11</v>
      </c>
      <c r="B75" s="1">
        <v>45777</v>
      </c>
      <c r="C75">
        <v>263005</v>
      </c>
      <c r="D75">
        <v>395.464</v>
      </c>
      <c r="E75" t="s">
        <v>4</v>
      </c>
      <c r="F75" t="s">
        <v>45</v>
      </c>
      <c r="G75" t="s">
        <v>7</v>
      </c>
    </row>
    <row r="76" spans="1:7" x14ac:dyDescent="0.3">
      <c r="A76" t="s">
        <v>11</v>
      </c>
      <c r="B76" s="1">
        <v>45777</v>
      </c>
      <c r="C76">
        <v>270026</v>
      </c>
      <c r="D76">
        <v>-66205.375</v>
      </c>
      <c r="E76" t="s">
        <v>4</v>
      </c>
      <c r="F76" t="s">
        <v>58</v>
      </c>
      <c r="G76" t="s">
        <v>7</v>
      </c>
    </row>
    <row r="77" spans="1:7" x14ac:dyDescent="0.3">
      <c r="A77" t="s">
        <v>11</v>
      </c>
      <c r="B77" s="1">
        <v>45777</v>
      </c>
      <c r="C77">
        <v>320003</v>
      </c>
      <c r="D77">
        <v>247014.579</v>
      </c>
      <c r="E77" t="s">
        <v>4</v>
      </c>
      <c r="F77" t="s">
        <v>46</v>
      </c>
      <c r="G77" t="s">
        <v>7</v>
      </c>
    </row>
    <row r="78" spans="1:7" x14ac:dyDescent="0.3">
      <c r="A78" t="s">
        <v>11</v>
      </c>
      <c r="B78" s="1">
        <v>45777</v>
      </c>
      <c r="C78">
        <v>320004</v>
      </c>
      <c r="D78">
        <v>131.55099999999999</v>
      </c>
      <c r="E78" t="s">
        <v>4</v>
      </c>
      <c r="F78" t="s">
        <v>46</v>
      </c>
      <c r="G78" t="s">
        <v>7</v>
      </c>
    </row>
    <row r="79" spans="1:7" x14ac:dyDescent="0.3">
      <c r="A79" t="s">
        <v>11</v>
      </c>
      <c r="B79" s="1">
        <v>45777</v>
      </c>
      <c r="C79">
        <v>320023</v>
      </c>
      <c r="D79">
        <v>-12814.834999999999</v>
      </c>
      <c r="E79" t="s">
        <v>4</v>
      </c>
      <c r="F79" t="s">
        <v>46</v>
      </c>
      <c r="G79" t="s">
        <v>7</v>
      </c>
    </row>
    <row r="80" spans="1:7" x14ac:dyDescent="0.3">
      <c r="A80" t="s">
        <v>11</v>
      </c>
      <c r="B80" s="1">
        <v>45777</v>
      </c>
      <c r="C80">
        <v>321002</v>
      </c>
      <c r="D80">
        <v>188133.72</v>
      </c>
      <c r="E80" t="s">
        <v>4</v>
      </c>
      <c r="F80" t="s">
        <v>46</v>
      </c>
      <c r="G80" t="s">
        <v>7</v>
      </c>
    </row>
    <row r="81" spans="1:7" x14ac:dyDescent="0.3">
      <c r="A81" t="s">
        <v>11</v>
      </c>
      <c r="B81" s="1">
        <v>45777</v>
      </c>
      <c r="C81">
        <v>321012</v>
      </c>
      <c r="D81">
        <v>18542.093000000001</v>
      </c>
      <c r="E81" t="s">
        <v>4</v>
      </c>
      <c r="F81" t="s">
        <v>46</v>
      </c>
      <c r="G81" t="s">
        <v>7</v>
      </c>
    </row>
    <row r="82" spans="1:7" x14ac:dyDescent="0.3">
      <c r="A82" t="s">
        <v>11</v>
      </c>
      <c r="B82" s="1">
        <v>45777</v>
      </c>
      <c r="C82">
        <v>321013</v>
      </c>
      <c r="D82">
        <v>17826.906999999999</v>
      </c>
      <c r="E82" t="s">
        <v>4</v>
      </c>
      <c r="F82" t="s">
        <v>46</v>
      </c>
      <c r="G82" t="s">
        <v>7</v>
      </c>
    </row>
    <row r="83" spans="1:7" x14ac:dyDescent="0.3">
      <c r="A83" t="s">
        <v>11</v>
      </c>
      <c r="B83" s="1">
        <v>45777</v>
      </c>
      <c r="C83">
        <v>321021</v>
      </c>
      <c r="D83">
        <v>24411.191999999999</v>
      </c>
      <c r="E83" t="s">
        <v>4</v>
      </c>
      <c r="F83" t="s">
        <v>46</v>
      </c>
      <c r="G83" t="s">
        <v>7</v>
      </c>
    </row>
    <row r="84" spans="1:7" x14ac:dyDescent="0.3">
      <c r="A84" t="s">
        <v>11</v>
      </c>
      <c r="B84" s="1">
        <v>45777</v>
      </c>
      <c r="C84">
        <v>321025</v>
      </c>
      <c r="D84">
        <v>15947.834999999999</v>
      </c>
      <c r="E84" t="s">
        <v>4</v>
      </c>
      <c r="F84" t="s">
        <v>46</v>
      </c>
      <c r="G84" t="s">
        <v>7</v>
      </c>
    </row>
    <row r="85" spans="1:7" x14ac:dyDescent="0.3">
      <c r="A85" t="s">
        <v>11</v>
      </c>
      <c r="B85" s="1">
        <v>45777</v>
      </c>
      <c r="C85">
        <v>321029</v>
      </c>
      <c r="D85">
        <v>91765.861000000004</v>
      </c>
      <c r="E85" t="s">
        <v>4</v>
      </c>
      <c r="F85" t="s">
        <v>46</v>
      </c>
      <c r="G85" t="s">
        <v>7</v>
      </c>
    </row>
    <row r="86" spans="1:7" x14ac:dyDescent="0.3">
      <c r="A86" t="s">
        <v>11</v>
      </c>
      <c r="B86" s="1">
        <v>45777</v>
      </c>
      <c r="C86">
        <v>321041</v>
      </c>
      <c r="D86">
        <v>3234.8850000000002</v>
      </c>
      <c r="E86" t="s">
        <v>4</v>
      </c>
      <c r="F86" t="s">
        <v>46</v>
      </c>
      <c r="G86" t="s">
        <v>7</v>
      </c>
    </row>
    <row r="87" spans="1:7" x14ac:dyDescent="0.3">
      <c r="A87" t="s">
        <v>11</v>
      </c>
      <c r="B87" s="1">
        <v>45777</v>
      </c>
      <c r="C87">
        <v>321042</v>
      </c>
      <c r="D87">
        <v>-87.622</v>
      </c>
      <c r="E87" t="s">
        <v>4</v>
      </c>
      <c r="F87" t="s">
        <v>46</v>
      </c>
      <c r="G87" t="s">
        <v>7</v>
      </c>
    </row>
    <row r="88" spans="1:7" x14ac:dyDescent="0.3">
      <c r="A88" t="s">
        <v>11</v>
      </c>
      <c r="B88" s="1">
        <v>45777</v>
      </c>
      <c r="C88">
        <v>330033</v>
      </c>
      <c r="D88">
        <v>-32.262999999999998</v>
      </c>
      <c r="E88" t="s">
        <v>4</v>
      </c>
      <c r="F88" t="s">
        <v>43</v>
      </c>
      <c r="G88" t="s">
        <v>7</v>
      </c>
    </row>
    <row r="89" spans="1:7" x14ac:dyDescent="0.3">
      <c r="A89" t="s">
        <v>11</v>
      </c>
      <c r="B89" s="1">
        <v>45777</v>
      </c>
      <c r="C89">
        <v>330054</v>
      </c>
      <c r="D89">
        <v>609.79300000000001</v>
      </c>
      <c r="E89" t="s">
        <v>4</v>
      </c>
      <c r="F89" t="s">
        <v>43</v>
      </c>
      <c r="G89" t="s">
        <v>7</v>
      </c>
    </row>
    <row r="90" spans="1:7" x14ac:dyDescent="0.3">
      <c r="A90" t="s">
        <v>11</v>
      </c>
      <c r="B90" s="1">
        <v>45777</v>
      </c>
      <c r="C90">
        <v>340096</v>
      </c>
      <c r="D90">
        <v>483763.20699999999</v>
      </c>
      <c r="E90" t="s">
        <v>4</v>
      </c>
      <c r="F90" t="s">
        <v>47</v>
      </c>
      <c r="G90" t="s">
        <v>7</v>
      </c>
    </row>
    <row r="91" spans="1:7" x14ac:dyDescent="0.3">
      <c r="A91" t="s">
        <v>11</v>
      </c>
      <c r="B91" s="1">
        <v>45777</v>
      </c>
      <c r="C91">
        <v>340111</v>
      </c>
      <c r="D91">
        <v>152450.00099999999</v>
      </c>
      <c r="E91" t="s">
        <v>4</v>
      </c>
      <c r="F91" t="s">
        <v>47</v>
      </c>
      <c r="G91" t="s">
        <v>7</v>
      </c>
    </row>
    <row r="92" spans="1:7" x14ac:dyDescent="0.3">
      <c r="A92" t="s">
        <v>11</v>
      </c>
      <c r="B92" s="1">
        <v>45777</v>
      </c>
      <c r="C92">
        <v>340133</v>
      </c>
      <c r="D92">
        <v>6767090.0209999997</v>
      </c>
      <c r="E92" t="s">
        <v>4</v>
      </c>
      <c r="F92" t="s">
        <v>47</v>
      </c>
      <c r="G92" t="s">
        <v>7</v>
      </c>
    </row>
    <row r="93" spans="1:7" x14ac:dyDescent="0.3">
      <c r="A93" t="s">
        <v>11</v>
      </c>
      <c r="B93" s="1">
        <v>45777</v>
      </c>
      <c r="C93">
        <v>340134</v>
      </c>
      <c r="D93">
        <v>-7176624.9359999998</v>
      </c>
      <c r="E93" t="s">
        <v>4</v>
      </c>
      <c r="F93" t="s">
        <v>47</v>
      </c>
      <c r="G93" t="s">
        <v>7</v>
      </c>
    </row>
    <row r="94" spans="1:7" x14ac:dyDescent="0.3">
      <c r="A94" t="s">
        <v>11</v>
      </c>
      <c r="B94" s="1">
        <v>45777</v>
      </c>
      <c r="C94">
        <v>340143</v>
      </c>
      <c r="D94">
        <v>1130042.18</v>
      </c>
      <c r="E94" t="s">
        <v>4</v>
      </c>
      <c r="F94" t="s">
        <v>47</v>
      </c>
      <c r="G94" t="s">
        <v>7</v>
      </c>
    </row>
    <row r="95" spans="1:7" x14ac:dyDescent="0.3">
      <c r="A95" t="s">
        <v>11</v>
      </c>
      <c r="B95" s="1">
        <v>45777</v>
      </c>
      <c r="C95">
        <v>340144</v>
      </c>
      <c r="D95">
        <v>-1278272.094</v>
      </c>
      <c r="E95" t="s">
        <v>4</v>
      </c>
      <c r="F95" t="s">
        <v>47</v>
      </c>
      <c r="G95" t="s">
        <v>7</v>
      </c>
    </row>
    <row r="96" spans="1:7" x14ac:dyDescent="0.3">
      <c r="A96" t="s">
        <v>11</v>
      </c>
      <c r="B96" s="1">
        <v>45777</v>
      </c>
      <c r="C96">
        <v>340317</v>
      </c>
      <c r="D96">
        <v>613499.12800000003</v>
      </c>
      <c r="E96" t="s">
        <v>4</v>
      </c>
      <c r="F96" t="s">
        <v>47</v>
      </c>
      <c r="G96" t="s">
        <v>7</v>
      </c>
    </row>
    <row r="97" spans="1:7" x14ac:dyDescent="0.3">
      <c r="A97" t="s">
        <v>11</v>
      </c>
      <c r="B97" s="1">
        <v>45777</v>
      </c>
      <c r="C97">
        <v>340318</v>
      </c>
      <c r="D97">
        <v>-590252.451</v>
      </c>
      <c r="E97" t="s">
        <v>4</v>
      </c>
      <c r="F97" t="s">
        <v>47</v>
      </c>
      <c r="G97" t="s">
        <v>7</v>
      </c>
    </row>
    <row r="98" spans="1:7" x14ac:dyDescent="0.3">
      <c r="A98" t="s">
        <v>11</v>
      </c>
      <c r="B98" s="1">
        <v>45777</v>
      </c>
      <c r="C98">
        <v>340319</v>
      </c>
      <c r="D98">
        <v>1367565.929</v>
      </c>
      <c r="E98" t="s">
        <v>4</v>
      </c>
      <c r="F98" t="s">
        <v>47</v>
      </c>
      <c r="G98" t="s">
        <v>7</v>
      </c>
    </row>
    <row r="99" spans="1:7" x14ac:dyDescent="0.3">
      <c r="A99" t="s">
        <v>11</v>
      </c>
      <c r="B99" s="1">
        <v>45777</v>
      </c>
      <c r="C99">
        <v>340320</v>
      </c>
      <c r="D99">
        <v>-1348378.875</v>
      </c>
      <c r="E99" t="s">
        <v>4</v>
      </c>
      <c r="F99" t="s">
        <v>47</v>
      </c>
      <c r="G99" t="s">
        <v>7</v>
      </c>
    </row>
    <row r="100" spans="1:7" x14ac:dyDescent="0.3">
      <c r="A100" t="s">
        <v>11</v>
      </c>
      <c r="B100" s="1">
        <v>45777</v>
      </c>
      <c r="C100">
        <v>345023</v>
      </c>
      <c r="D100">
        <v>37500.22</v>
      </c>
      <c r="E100" t="s">
        <v>4</v>
      </c>
      <c r="F100" t="s">
        <v>47</v>
      </c>
      <c r="G100" t="s">
        <v>7</v>
      </c>
    </row>
    <row r="101" spans="1:7" x14ac:dyDescent="0.3">
      <c r="A101" t="s">
        <v>11</v>
      </c>
      <c r="B101" s="1">
        <v>45777</v>
      </c>
      <c r="C101">
        <v>350002</v>
      </c>
      <c r="D101">
        <v>834.36199999999997</v>
      </c>
      <c r="E101" t="s">
        <v>4</v>
      </c>
      <c r="F101" t="s">
        <v>49</v>
      </c>
      <c r="G101" t="s">
        <v>7</v>
      </c>
    </row>
    <row r="102" spans="1:7" x14ac:dyDescent="0.3">
      <c r="A102" t="s">
        <v>11</v>
      </c>
      <c r="B102" s="1">
        <v>45777</v>
      </c>
      <c r="C102">
        <v>350003</v>
      </c>
      <c r="D102">
        <v>569.173</v>
      </c>
      <c r="E102" t="s">
        <v>4</v>
      </c>
      <c r="F102" t="s">
        <v>49</v>
      </c>
      <c r="G102" t="s">
        <v>7</v>
      </c>
    </row>
    <row r="103" spans="1:7" x14ac:dyDescent="0.3">
      <c r="A103" t="s">
        <v>11</v>
      </c>
      <c r="B103" s="1">
        <v>45777</v>
      </c>
      <c r="C103">
        <v>350031</v>
      </c>
      <c r="D103">
        <v>938.89099999999996</v>
      </c>
      <c r="E103" t="s">
        <v>4</v>
      </c>
      <c r="F103" t="s">
        <v>43</v>
      </c>
      <c r="G103" t="s">
        <v>7</v>
      </c>
    </row>
    <row r="104" spans="1:7" x14ac:dyDescent="0.3">
      <c r="A104" t="s">
        <v>11</v>
      </c>
      <c r="B104" s="1">
        <v>45777</v>
      </c>
      <c r="C104">
        <v>350034</v>
      </c>
      <c r="D104">
        <v>1017.443</v>
      </c>
      <c r="E104" t="s">
        <v>4</v>
      </c>
      <c r="F104" t="s">
        <v>49</v>
      </c>
      <c r="G104" t="s">
        <v>7</v>
      </c>
    </row>
    <row r="105" spans="1:7" x14ac:dyDescent="0.3">
      <c r="A105" t="s">
        <v>11</v>
      </c>
      <c r="B105" s="1">
        <v>45777</v>
      </c>
      <c r="C105">
        <v>352002</v>
      </c>
      <c r="D105">
        <v>114.767</v>
      </c>
      <c r="E105" t="s">
        <v>4</v>
      </c>
      <c r="F105" t="s">
        <v>48</v>
      </c>
      <c r="G105" t="s">
        <v>7</v>
      </c>
    </row>
    <row r="106" spans="1:7" x14ac:dyDescent="0.3">
      <c r="A106" t="s">
        <v>11</v>
      </c>
      <c r="B106" s="1">
        <v>45777</v>
      </c>
      <c r="C106">
        <v>354012</v>
      </c>
      <c r="D106">
        <v>21276.307000000001</v>
      </c>
      <c r="E106" t="s">
        <v>4</v>
      </c>
      <c r="F106" t="s">
        <v>46</v>
      </c>
      <c r="G106" t="s">
        <v>7</v>
      </c>
    </row>
    <row r="107" spans="1:7" x14ac:dyDescent="0.3">
      <c r="A107" t="s">
        <v>11</v>
      </c>
      <c r="B107" s="1">
        <v>45777</v>
      </c>
      <c r="C107">
        <v>354014</v>
      </c>
      <c r="D107">
        <v>198972.15599999999</v>
      </c>
      <c r="E107" t="s">
        <v>4</v>
      </c>
      <c r="F107" t="s">
        <v>46</v>
      </c>
      <c r="G107" t="s">
        <v>7</v>
      </c>
    </row>
    <row r="108" spans="1:7" x14ac:dyDescent="0.3">
      <c r="A108" t="s">
        <v>11</v>
      </c>
      <c r="B108" s="1">
        <v>45777</v>
      </c>
      <c r="C108">
        <v>355002</v>
      </c>
      <c r="D108">
        <v>106.873</v>
      </c>
      <c r="E108" t="s">
        <v>4</v>
      </c>
      <c r="F108" t="s">
        <v>49</v>
      </c>
      <c r="G108" t="s">
        <v>7</v>
      </c>
    </row>
    <row r="109" spans="1:7" x14ac:dyDescent="0.3">
      <c r="A109" t="s">
        <v>11</v>
      </c>
      <c r="B109" s="1">
        <v>45777</v>
      </c>
      <c r="C109">
        <v>355014</v>
      </c>
      <c r="D109">
        <v>514.47699999999998</v>
      </c>
      <c r="E109" t="s">
        <v>4</v>
      </c>
      <c r="F109" t="s">
        <v>49</v>
      </c>
      <c r="G109" t="s">
        <v>7</v>
      </c>
    </row>
    <row r="110" spans="1:7" x14ac:dyDescent="0.3">
      <c r="A110" t="s">
        <v>11</v>
      </c>
      <c r="B110" s="1">
        <v>45777</v>
      </c>
      <c r="C110">
        <v>360022</v>
      </c>
      <c r="D110">
        <v>1.7000000000000001E-2</v>
      </c>
      <c r="E110" t="s">
        <v>4</v>
      </c>
      <c r="F110" t="s">
        <v>58</v>
      </c>
      <c r="G110" t="s">
        <v>7</v>
      </c>
    </row>
    <row r="111" spans="1:7" x14ac:dyDescent="0.3">
      <c r="A111" t="s">
        <v>11</v>
      </c>
      <c r="B111" s="1">
        <v>45777</v>
      </c>
      <c r="C111">
        <v>360026</v>
      </c>
      <c r="D111">
        <v>-104.623</v>
      </c>
      <c r="E111" t="s">
        <v>4</v>
      </c>
      <c r="F111" t="s">
        <v>58</v>
      </c>
      <c r="G111" t="s">
        <v>7</v>
      </c>
    </row>
    <row r="112" spans="1:7" x14ac:dyDescent="0.3">
      <c r="A112" t="s">
        <v>11</v>
      </c>
      <c r="B112" s="1">
        <v>45777</v>
      </c>
      <c r="C112">
        <v>360028</v>
      </c>
      <c r="D112">
        <v>8505.1419999999998</v>
      </c>
      <c r="E112" t="s">
        <v>4</v>
      </c>
      <c r="F112" t="s">
        <v>58</v>
      </c>
      <c r="G112" t="s">
        <v>7</v>
      </c>
    </row>
    <row r="113" spans="1:7" x14ac:dyDescent="0.3">
      <c r="A113" t="s">
        <v>11</v>
      </c>
      <c r="B113" s="1">
        <v>45777</v>
      </c>
      <c r="C113">
        <v>360030</v>
      </c>
      <c r="D113">
        <v>56918.898000000001</v>
      </c>
      <c r="E113" t="s">
        <v>4</v>
      </c>
      <c r="F113" t="s">
        <v>58</v>
      </c>
      <c r="G113" t="s">
        <v>7</v>
      </c>
    </row>
    <row r="114" spans="1:7" x14ac:dyDescent="0.3">
      <c r="A114" t="s">
        <v>11</v>
      </c>
      <c r="B114" s="1">
        <v>45777</v>
      </c>
      <c r="C114">
        <v>364502</v>
      </c>
      <c r="D114">
        <v>1275.8230000000001</v>
      </c>
      <c r="E114" t="s">
        <v>4</v>
      </c>
      <c r="F114" t="s">
        <v>58</v>
      </c>
      <c r="G114" t="s">
        <v>7</v>
      </c>
    </row>
    <row r="115" spans="1:7" x14ac:dyDescent="0.3">
      <c r="A115" t="s">
        <v>11</v>
      </c>
      <c r="B115" s="1">
        <v>45777</v>
      </c>
      <c r="C115">
        <v>372004</v>
      </c>
      <c r="D115">
        <v>1007.397</v>
      </c>
      <c r="E115" t="s">
        <v>4</v>
      </c>
      <c r="F115" t="s">
        <v>45</v>
      </c>
      <c r="G115" t="s">
        <v>7</v>
      </c>
    </row>
    <row r="116" spans="1:7" x14ac:dyDescent="0.3">
      <c r="A116" t="s">
        <v>11</v>
      </c>
      <c r="B116" s="1">
        <v>45777</v>
      </c>
      <c r="C116">
        <v>410002</v>
      </c>
      <c r="D116">
        <v>-20421.499</v>
      </c>
      <c r="E116" t="s">
        <v>6</v>
      </c>
      <c r="F116" t="s">
        <v>51</v>
      </c>
      <c r="G116" t="s">
        <v>7</v>
      </c>
    </row>
    <row r="117" spans="1:7" x14ac:dyDescent="0.3">
      <c r="A117" t="s">
        <v>11</v>
      </c>
      <c r="B117" s="1">
        <v>45777</v>
      </c>
      <c r="C117">
        <v>410006</v>
      </c>
      <c r="D117">
        <v>-574.21</v>
      </c>
      <c r="E117" t="s">
        <v>6</v>
      </c>
      <c r="F117" t="s">
        <v>51</v>
      </c>
      <c r="G117" t="s">
        <v>7</v>
      </c>
    </row>
    <row r="118" spans="1:7" x14ac:dyDescent="0.3">
      <c r="A118" t="s">
        <v>11</v>
      </c>
      <c r="B118" s="1">
        <v>45777</v>
      </c>
      <c r="C118">
        <v>410015</v>
      </c>
      <c r="D118">
        <v>-2260.0889999999999</v>
      </c>
      <c r="E118" t="s">
        <v>6</v>
      </c>
      <c r="F118" t="s">
        <v>51</v>
      </c>
      <c r="G118" t="s">
        <v>7</v>
      </c>
    </row>
    <row r="119" spans="1:7" x14ac:dyDescent="0.3">
      <c r="A119" t="s">
        <v>11</v>
      </c>
      <c r="B119" s="1">
        <v>45777</v>
      </c>
      <c r="C119">
        <v>410018</v>
      </c>
      <c r="D119">
        <v>-1073.193</v>
      </c>
      <c r="E119" t="s">
        <v>6</v>
      </c>
      <c r="F119" t="s">
        <v>51</v>
      </c>
      <c r="G119" t="s">
        <v>7</v>
      </c>
    </row>
    <row r="120" spans="1:7" x14ac:dyDescent="0.3">
      <c r="A120" t="s">
        <v>11</v>
      </c>
      <c r="B120" s="1">
        <v>45777</v>
      </c>
      <c r="C120">
        <v>410032</v>
      </c>
      <c r="D120">
        <v>-1628.4580000000001</v>
      </c>
      <c r="E120" t="s">
        <v>6</v>
      </c>
      <c r="F120" t="s">
        <v>51</v>
      </c>
      <c r="G120" t="s">
        <v>7</v>
      </c>
    </row>
    <row r="121" spans="1:7" x14ac:dyDescent="0.3">
      <c r="A121" t="s">
        <v>11</v>
      </c>
      <c r="B121" s="1">
        <v>45777</v>
      </c>
      <c r="C121">
        <v>410037</v>
      </c>
      <c r="D121">
        <v>-10072.138000000001</v>
      </c>
      <c r="E121" t="s">
        <v>6</v>
      </c>
      <c r="F121" t="s">
        <v>51</v>
      </c>
      <c r="G121" t="s">
        <v>7</v>
      </c>
    </row>
    <row r="122" spans="1:7" x14ac:dyDescent="0.3">
      <c r="A122" t="s">
        <v>11</v>
      </c>
      <c r="B122" s="1">
        <v>45777</v>
      </c>
      <c r="C122">
        <v>410046</v>
      </c>
      <c r="D122">
        <v>-574.21</v>
      </c>
      <c r="E122" t="s">
        <v>6</v>
      </c>
      <c r="F122" t="s">
        <v>51</v>
      </c>
      <c r="G122" t="s">
        <v>7</v>
      </c>
    </row>
    <row r="123" spans="1:7" x14ac:dyDescent="0.3">
      <c r="A123" t="s">
        <v>11</v>
      </c>
      <c r="B123" s="1">
        <v>45777</v>
      </c>
      <c r="C123">
        <v>415002</v>
      </c>
      <c r="D123">
        <v>-50107.417000000001</v>
      </c>
      <c r="E123" t="s">
        <v>6</v>
      </c>
      <c r="F123" t="s">
        <v>50</v>
      </c>
      <c r="G123" t="s">
        <v>7</v>
      </c>
    </row>
    <row r="124" spans="1:7" x14ac:dyDescent="0.3">
      <c r="A124" t="s">
        <v>11</v>
      </c>
      <c r="B124" s="1">
        <v>45777</v>
      </c>
      <c r="C124">
        <v>415004</v>
      </c>
      <c r="D124">
        <v>-77290.039000000004</v>
      </c>
      <c r="E124" t="s">
        <v>6</v>
      </c>
      <c r="F124" t="s">
        <v>50</v>
      </c>
      <c r="G124" t="s">
        <v>7</v>
      </c>
    </row>
    <row r="125" spans="1:7" x14ac:dyDescent="0.3">
      <c r="A125" t="s">
        <v>11</v>
      </c>
      <c r="B125" s="1">
        <v>45777</v>
      </c>
      <c r="C125">
        <v>420004</v>
      </c>
      <c r="D125">
        <v>-0.82199999999999995</v>
      </c>
      <c r="E125" t="s">
        <v>6</v>
      </c>
      <c r="F125" t="s">
        <v>52</v>
      </c>
      <c r="G125" t="s">
        <v>7</v>
      </c>
    </row>
    <row r="126" spans="1:7" x14ac:dyDescent="0.3">
      <c r="A126" t="s">
        <v>11</v>
      </c>
      <c r="B126" s="1">
        <v>45777</v>
      </c>
      <c r="C126">
        <v>420005</v>
      </c>
      <c r="D126">
        <v>-3357.69</v>
      </c>
      <c r="E126" t="s">
        <v>6</v>
      </c>
      <c r="F126" t="s">
        <v>59</v>
      </c>
      <c r="G126" t="s">
        <v>7</v>
      </c>
    </row>
    <row r="127" spans="1:7" x14ac:dyDescent="0.3">
      <c r="A127" t="s">
        <v>11</v>
      </c>
      <c r="B127" s="1">
        <v>45777</v>
      </c>
      <c r="C127">
        <v>421002</v>
      </c>
      <c r="D127">
        <v>44.844999999999999</v>
      </c>
      <c r="E127" t="s">
        <v>6</v>
      </c>
      <c r="F127" t="s">
        <v>52</v>
      </c>
      <c r="G127" t="s">
        <v>7</v>
      </c>
    </row>
    <row r="128" spans="1:7" x14ac:dyDescent="0.3">
      <c r="A128" t="s">
        <v>11</v>
      </c>
      <c r="B128" s="1">
        <v>45777</v>
      </c>
      <c r="C128">
        <v>421003</v>
      </c>
      <c r="D128">
        <v>738.30600000000004</v>
      </c>
      <c r="E128" t="s">
        <v>6</v>
      </c>
      <c r="F128" t="s">
        <v>52</v>
      </c>
      <c r="G128" t="s">
        <v>7</v>
      </c>
    </row>
    <row r="129" spans="1:7" x14ac:dyDescent="0.3">
      <c r="A129" t="s">
        <v>11</v>
      </c>
      <c r="B129" s="1">
        <v>45777</v>
      </c>
      <c r="C129">
        <v>421004</v>
      </c>
      <c r="D129">
        <v>18449.168000000001</v>
      </c>
      <c r="E129" t="s">
        <v>6</v>
      </c>
      <c r="F129" t="s">
        <v>52</v>
      </c>
      <c r="G129" t="s">
        <v>7</v>
      </c>
    </row>
    <row r="130" spans="1:7" x14ac:dyDescent="0.3">
      <c r="A130" t="s">
        <v>11</v>
      </c>
      <c r="B130" s="1">
        <v>45777</v>
      </c>
      <c r="C130">
        <v>421007</v>
      </c>
      <c r="D130">
        <v>-460.791</v>
      </c>
      <c r="E130" t="s">
        <v>6</v>
      </c>
      <c r="F130" t="s">
        <v>52</v>
      </c>
      <c r="G130" t="s">
        <v>7</v>
      </c>
    </row>
    <row r="131" spans="1:7" x14ac:dyDescent="0.3">
      <c r="A131" t="s">
        <v>11</v>
      </c>
      <c r="B131" s="1">
        <v>45777</v>
      </c>
      <c r="C131">
        <v>510002</v>
      </c>
      <c r="D131">
        <v>45910.355000000003</v>
      </c>
      <c r="E131" t="s">
        <v>6</v>
      </c>
      <c r="F131" t="s">
        <v>53</v>
      </c>
      <c r="G131" t="s">
        <v>7</v>
      </c>
    </row>
    <row r="132" spans="1:7" x14ac:dyDescent="0.3">
      <c r="A132" t="s">
        <v>11</v>
      </c>
      <c r="B132" s="1">
        <v>45777</v>
      </c>
      <c r="C132">
        <v>510005</v>
      </c>
      <c r="D132">
        <v>2640.7489999999998</v>
      </c>
      <c r="E132" t="s">
        <v>6</v>
      </c>
      <c r="F132" t="s">
        <v>53</v>
      </c>
      <c r="G132" t="s">
        <v>7</v>
      </c>
    </row>
    <row r="133" spans="1:7" x14ac:dyDescent="0.3">
      <c r="A133" t="s">
        <v>11</v>
      </c>
      <c r="B133" s="1">
        <v>45777</v>
      </c>
      <c r="C133">
        <v>510007</v>
      </c>
      <c r="D133">
        <v>5296.6019999999999</v>
      </c>
      <c r="E133" t="s">
        <v>6</v>
      </c>
      <c r="F133" t="s">
        <v>53</v>
      </c>
      <c r="G133" t="s">
        <v>7</v>
      </c>
    </row>
    <row r="134" spans="1:7" x14ac:dyDescent="0.3">
      <c r="A134" t="s">
        <v>11</v>
      </c>
      <c r="B134" s="1">
        <v>45777</v>
      </c>
      <c r="C134">
        <v>510012</v>
      </c>
      <c r="D134">
        <v>34.149000000000001</v>
      </c>
      <c r="E134" t="s">
        <v>6</v>
      </c>
      <c r="F134" t="s">
        <v>53</v>
      </c>
      <c r="G134" t="s">
        <v>7</v>
      </c>
    </row>
    <row r="135" spans="1:7" x14ac:dyDescent="0.3">
      <c r="A135" t="s">
        <v>11</v>
      </c>
      <c r="B135" s="1">
        <v>45777</v>
      </c>
      <c r="C135">
        <v>510015</v>
      </c>
      <c r="D135">
        <v>3125.355</v>
      </c>
      <c r="E135" t="s">
        <v>6</v>
      </c>
      <c r="F135" t="s">
        <v>53</v>
      </c>
      <c r="G135" t="s">
        <v>7</v>
      </c>
    </row>
    <row r="136" spans="1:7" x14ac:dyDescent="0.3">
      <c r="A136" t="s">
        <v>11</v>
      </c>
      <c r="B136" s="1">
        <v>45777</v>
      </c>
      <c r="C136">
        <v>510018</v>
      </c>
      <c r="D136">
        <v>1614.11</v>
      </c>
      <c r="E136" t="s">
        <v>6</v>
      </c>
      <c r="F136" t="s">
        <v>53</v>
      </c>
      <c r="G136" t="s">
        <v>7</v>
      </c>
    </row>
    <row r="137" spans="1:7" x14ac:dyDescent="0.3">
      <c r="A137" t="s">
        <v>11</v>
      </c>
      <c r="B137" s="1">
        <v>45777</v>
      </c>
      <c r="C137">
        <v>510059</v>
      </c>
      <c r="D137">
        <v>88.906999999999996</v>
      </c>
      <c r="E137" t="s">
        <v>6</v>
      </c>
      <c r="F137" t="s">
        <v>53</v>
      </c>
      <c r="G137" t="s">
        <v>7</v>
      </c>
    </row>
    <row r="138" spans="1:7" x14ac:dyDescent="0.3">
      <c r="A138" t="s">
        <v>11</v>
      </c>
      <c r="B138" s="1">
        <v>45777</v>
      </c>
      <c r="C138">
        <v>510062</v>
      </c>
      <c r="D138">
        <v>7.0309999999999997</v>
      </c>
      <c r="E138" t="s">
        <v>6</v>
      </c>
      <c r="F138" t="s">
        <v>53</v>
      </c>
      <c r="G138" t="s">
        <v>7</v>
      </c>
    </row>
    <row r="139" spans="1:7" x14ac:dyDescent="0.3">
      <c r="A139" t="s">
        <v>11</v>
      </c>
      <c r="B139" s="1">
        <v>45777</v>
      </c>
      <c r="C139">
        <v>510064</v>
      </c>
      <c r="D139">
        <v>66.733999999999995</v>
      </c>
      <c r="E139" t="s">
        <v>6</v>
      </c>
      <c r="F139" t="s">
        <v>53</v>
      </c>
      <c r="G139" t="s">
        <v>7</v>
      </c>
    </row>
    <row r="140" spans="1:7" x14ac:dyDescent="0.3">
      <c r="A140" t="s">
        <v>11</v>
      </c>
      <c r="B140" s="1">
        <v>45777</v>
      </c>
      <c r="C140">
        <v>510065</v>
      </c>
      <c r="D140">
        <v>29.564</v>
      </c>
      <c r="E140" t="s">
        <v>6</v>
      </c>
      <c r="F140" t="s">
        <v>53</v>
      </c>
      <c r="G140" t="s">
        <v>7</v>
      </c>
    </row>
    <row r="141" spans="1:7" x14ac:dyDescent="0.3">
      <c r="A141" t="s">
        <v>11</v>
      </c>
      <c r="B141" s="1">
        <v>45777</v>
      </c>
      <c r="C141">
        <v>520021</v>
      </c>
      <c r="D141">
        <v>18.376999999999999</v>
      </c>
      <c r="E141" t="s">
        <v>6</v>
      </c>
      <c r="F141" t="s">
        <v>60</v>
      </c>
      <c r="G141" t="s">
        <v>7</v>
      </c>
    </row>
    <row r="142" spans="1:7" x14ac:dyDescent="0.3">
      <c r="A142" t="s">
        <v>11</v>
      </c>
      <c r="B142" s="1">
        <v>45777</v>
      </c>
      <c r="C142">
        <v>541002</v>
      </c>
      <c r="D142">
        <v>686.52</v>
      </c>
      <c r="E142" t="s">
        <v>6</v>
      </c>
      <c r="F142" t="s">
        <v>61</v>
      </c>
      <c r="G142" t="s">
        <v>7</v>
      </c>
    </row>
    <row r="143" spans="1:7" x14ac:dyDescent="0.3">
      <c r="A143" t="s">
        <v>11</v>
      </c>
      <c r="B143" s="1">
        <v>45777</v>
      </c>
      <c r="C143">
        <v>541009</v>
      </c>
      <c r="D143">
        <v>839.98800000000006</v>
      </c>
      <c r="E143" t="s">
        <v>6</v>
      </c>
      <c r="F143" t="s">
        <v>61</v>
      </c>
      <c r="G143" t="s">
        <v>7</v>
      </c>
    </row>
    <row r="144" spans="1:7" x14ac:dyDescent="0.3">
      <c r="A144" t="s">
        <v>11</v>
      </c>
      <c r="B144" s="1">
        <v>45777</v>
      </c>
      <c r="C144">
        <v>541010</v>
      </c>
      <c r="D144">
        <v>110.262</v>
      </c>
      <c r="E144" t="s">
        <v>6</v>
      </c>
      <c r="F144" t="s">
        <v>61</v>
      </c>
      <c r="G144" t="s">
        <v>7</v>
      </c>
    </row>
    <row r="145" spans="1:7" x14ac:dyDescent="0.3">
      <c r="A145" t="s">
        <v>11</v>
      </c>
      <c r="B145" s="1">
        <v>45777</v>
      </c>
      <c r="C145">
        <v>541013</v>
      </c>
      <c r="D145">
        <v>87.171000000000006</v>
      </c>
      <c r="E145" t="s">
        <v>6</v>
      </c>
      <c r="F145" t="s">
        <v>61</v>
      </c>
      <c r="G145" t="s">
        <v>7</v>
      </c>
    </row>
    <row r="146" spans="1:7" x14ac:dyDescent="0.3">
      <c r="A146" t="s">
        <v>11</v>
      </c>
      <c r="B146" s="1">
        <v>45777</v>
      </c>
      <c r="C146">
        <v>546002</v>
      </c>
      <c r="D146">
        <v>73425.539000000004</v>
      </c>
      <c r="E146" t="s">
        <v>6</v>
      </c>
      <c r="F146" t="s">
        <v>51</v>
      </c>
      <c r="G146" t="s">
        <v>7</v>
      </c>
    </row>
    <row r="147" spans="1:7" x14ac:dyDescent="0.3">
      <c r="A147" t="s">
        <v>11</v>
      </c>
      <c r="B147" s="1">
        <v>45777</v>
      </c>
      <c r="C147">
        <v>546013</v>
      </c>
      <c r="D147">
        <v>1172.5619999999999</v>
      </c>
      <c r="E147" t="s">
        <v>6</v>
      </c>
      <c r="F147" t="s">
        <v>51</v>
      </c>
      <c r="G147" t="s">
        <v>7</v>
      </c>
    </row>
    <row r="148" spans="1:7" x14ac:dyDescent="0.3">
      <c r="A148" t="s">
        <v>11</v>
      </c>
      <c r="B148" s="1">
        <v>45777</v>
      </c>
      <c r="C148">
        <v>546015</v>
      </c>
      <c r="D148">
        <v>4344.1369999999997</v>
      </c>
      <c r="E148" t="s">
        <v>6</v>
      </c>
      <c r="F148" t="s">
        <v>51</v>
      </c>
      <c r="G148" t="s">
        <v>7</v>
      </c>
    </row>
    <row r="149" spans="1:7" x14ac:dyDescent="0.3">
      <c r="A149" t="s">
        <v>11</v>
      </c>
      <c r="B149" s="1">
        <v>45777</v>
      </c>
      <c r="C149">
        <v>546016</v>
      </c>
      <c r="D149">
        <v>1238.7049999999999</v>
      </c>
      <c r="E149" t="s">
        <v>6</v>
      </c>
      <c r="F149" t="s">
        <v>51</v>
      </c>
      <c r="G149" t="s">
        <v>7</v>
      </c>
    </row>
    <row r="150" spans="1:7" x14ac:dyDescent="0.3">
      <c r="A150" t="s">
        <v>11</v>
      </c>
      <c r="B150" s="1">
        <v>45777</v>
      </c>
      <c r="C150">
        <v>546019</v>
      </c>
      <c r="D150">
        <v>814.51499999999999</v>
      </c>
      <c r="E150" t="s">
        <v>6</v>
      </c>
      <c r="F150" t="s">
        <v>51</v>
      </c>
      <c r="G150" t="s">
        <v>7</v>
      </c>
    </row>
    <row r="151" spans="1:7" x14ac:dyDescent="0.3">
      <c r="A151" t="s">
        <v>11</v>
      </c>
      <c r="B151" s="1">
        <v>45777</v>
      </c>
      <c r="C151">
        <v>546024</v>
      </c>
      <c r="D151">
        <v>1052.1110000000001</v>
      </c>
      <c r="E151" t="s">
        <v>6</v>
      </c>
      <c r="F151" t="s">
        <v>51</v>
      </c>
      <c r="G151" t="s">
        <v>7</v>
      </c>
    </row>
    <row r="152" spans="1:7" x14ac:dyDescent="0.3">
      <c r="A152" t="s">
        <v>11</v>
      </c>
      <c r="B152" s="1">
        <v>45777</v>
      </c>
      <c r="C152">
        <v>546035</v>
      </c>
      <c r="D152">
        <v>7314.7030000000004</v>
      </c>
      <c r="E152" t="s">
        <v>6</v>
      </c>
      <c r="F152" t="s">
        <v>51</v>
      </c>
      <c r="G152" t="s">
        <v>7</v>
      </c>
    </row>
    <row r="153" spans="1:7" x14ac:dyDescent="0.3">
      <c r="A153" t="s">
        <v>11</v>
      </c>
      <c r="B153" s="1">
        <v>45777</v>
      </c>
      <c r="C153">
        <v>546040</v>
      </c>
      <c r="D153">
        <v>1488.6189999999999</v>
      </c>
      <c r="E153" t="s">
        <v>6</v>
      </c>
      <c r="F153" t="s">
        <v>51</v>
      </c>
      <c r="G153" t="s">
        <v>7</v>
      </c>
    </row>
    <row r="154" spans="1:7" x14ac:dyDescent="0.3">
      <c r="A154" t="s">
        <v>11</v>
      </c>
      <c r="B154" s="1">
        <v>45777</v>
      </c>
      <c r="C154">
        <v>547002</v>
      </c>
      <c r="D154">
        <v>1198.325</v>
      </c>
      <c r="E154" t="s">
        <v>6</v>
      </c>
      <c r="F154" t="s">
        <v>54</v>
      </c>
      <c r="G154" t="s">
        <v>7</v>
      </c>
    </row>
    <row r="155" spans="1:7" x14ac:dyDescent="0.3">
      <c r="A155" t="s">
        <v>11</v>
      </c>
      <c r="B155" s="1">
        <v>45777</v>
      </c>
      <c r="C155">
        <v>550003</v>
      </c>
      <c r="D155">
        <v>4552.4269999999997</v>
      </c>
      <c r="E155" t="s">
        <v>6</v>
      </c>
      <c r="F155" t="s">
        <v>62</v>
      </c>
      <c r="G155" t="s">
        <v>7</v>
      </c>
    </row>
    <row r="156" spans="1:7" x14ac:dyDescent="0.3">
      <c r="A156" t="s">
        <v>11</v>
      </c>
      <c r="B156" s="1">
        <v>45777</v>
      </c>
      <c r="C156">
        <v>551003</v>
      </c>
      <c r="D156">
        <v>1059.3579999999999</v>
      </c>
      <c r="E156" t="s">
        <v>6</v>
      </c>
      <c r="F156" t="s">
        <v>63</v>
      </c>
      <c r="G156" t="s">
        <v>7</v>
      </c>
    </row>
    <row r="157" spans="1:7" x14ac:dyDescent="0.3">
      <c r="A157" t="s">
        <v>11</v>
      </c>
      <c r="B157" s="1">
        <v>45777</v>
      </c>
      <c r="C157">
        <v>555007</v>
      </c>
      <c r="D157">
        <v>257.238</v>
      </c>
      <c r="E157" t="s">
        <v>6</v>
      </c>
      <c r="F157" t="s">
        <v>55</v>
      </c>
      <c r="G157" t="s">
        <v>7</v>
      </c>
    </row>
    <row r="158" spans="1:7" x14ac:dyDescent="0.3">
      <c r="A158" t="s">
        <v>11</v>
      </c>
      <c r="B158" s="1">
        <v>45777</v>
      </c>
      <c r="C158">
        <v>556002</v>
      </c>
      <c r="D158">
        <v>24.120999999999999</v>
      </c>
      <c r="E158" t="s">
        <v>6</v>
      </c>
      <c r="F158" t="s">
        <v>60</v>
      </c>
      <c r="G158" t="s">
        <v>7</v>
      </c>
    </row>
    <row r="159" spans="1:7" x14ac:dyDescent="0.3">
      <c r="A159" t="s">
        <v>11</v>
      </c>
      <c r="B159" s="1">
        <v>45777</v>
      </c>
      <c r="C159">
        <v>556004</v>
      </c>
      <c r="D159">
        <v>11.259</v>
      </c>
      <c r="E159" t="s">
        <v>6</v>
      </c>
      <c r="F159" t="s">
        <v>55</v>
      </c>
      <c r="G159" t="s">
        <v>7</v>
      </c>
    </row>
    <row r="160" spans="1:7" x14ac:dyDescent="0.3">
      <c r="A160" t="s">
        <v>11</v>
      </c>
      <c r="B160" s="1">
        <v>45777</v>
      </c>
      <c r="C160">
        <v>557002</v>
      </c>
      <c r="D160">
        <v>-90.712000000000003</v>
      </c>
      <c r="E160" t="s">
        <v>6</v>
      </c>
      <c r="F160" t="s">
        <v>56</v>
      </c>
      <c r="G160" t="s">
        <v>7</v>
      </c>
    </row>
    <row r="161" spans="1:7" x14ac:dyDescent="0.3">
      <c r="A161" t="s">
        <v>11</v>
      </c>
      <c r="B161" s="1">
        <v>45777</v>
      </c>
      <c r="C161">
        <v>564020</v>
      </c>
      <c r="D161">
        <v>96.090999999999994</v>
      </c>
      <c r="E161" t="s">
        <v>6</v>
      </c>
      <c r="F161" t="s">
        <v>57</v>
      </c>
      <c r="G161" t="s">
        <v>7</v>
      </c>
    </row>
    <row r="162" spans="1:7" x14ac:dyDescent="0.3">
      <c r="A162" t="s">
        <v>11</v>
      </c>
      <c r="B162" s="1">
        <v>45777</v>
      </c>
      <c r="C162">
        <v>564021</v>
      </c>
      <c r="D162">
        <v>1.641</v>
      </c>
      <c r="E162" t="s">
        <v>6</v>
      </c>
      <c r="F162" t="s">
        <v>57</v>
      </c>
      <c r="G162" t="s">
        <v>7</v>
      </c>
    </row>
    <row r="163" spans="1:7" x14ac:dyDescent="0.3">
      <c r="A163" t="s">
        <v>11</v>
      </c>
      <c r="B163" s="1">
        <v>45777</v>
      </c>
      <c r="C163">
        <v>580005</v>
      </c>
      <c r="D163">
        <v>40.290999999999997</v>
      </c>
      <c r="E163" t="s">
        <v>6</v>
      </c>
      <c r="F163" t="s">
        <v>64</v>
      </c>
      <c r="G163" t="s">
        <v>7</v>
      </c>
    </row>
    <row r="164" spans="1:7" x14ac:dyDescent="0.3">
      <c r="A164" t="s">
        <v>12</v>
      </c>
      <c r="B164" s="1">
        <v>45777</v>
      </c>
      <c r="C164">
        <v>220006</v>
      </c>
      <c r="D164">
        <v>4197.6840000000002</v>
      </c>
      <c r="E164" t="s">
        <v>4</v>
      </c>
      <c r="F164" t="s">
        <v>42</v>
      </c>
      <c r="G164" t="s">
        <v>8</v>
      </c>
    </row>
    <row r="165" spans="1:7" x14ac:dyDescent="0.3">
      <c r="A165" t="s">
        <v>12</v>
      </c>
      <c r="B165" s="1">
        <v>45777</v>
      </c>
      <c r="C165">
        <v>240002</v>
      </c>
      <c r="D165">
        <v>-62.143000000000001</v>
      </c>
      <c r="E165" t="s">
        <v>4</v>
      </c>
      <c r="F165" t="s">
        <v>43</v>
      </c>
      <c r="G165" t="s">
        <v>8</v>
      </c>
    </row>
    <row r="166" spans="1:7" x14ac:dyDescent="0.3">
      <c r="A166" t="s">
        <v>12</v>
      </c>
      <c r="B166" s="1">
        <v>45777</v>
      </c>
      <c r="C166">
        <v>243002</v>
      </c>
      <c r="D166">
        <v>-3831.2890000000002</v>
      </c>
      <c r="E166" t="s">
        <v>4</v>
      </c>
      <c r="F166" t="s">
        <v>43</v>
      </c>
      <c r="G166" t="s">
        <v>8</v>
      </c>
    </row>
    <row r="167" spans="1:7" x14ac:dyDescent="0.3">
      <c r="A167" t="s">
        <v>12</v>
      </c>
      <c r="B167" s="1">
        <v>45777</v>
      </c>
      <c r="C167">
        <v>330143</v>
      </c>
      <c r="D167">
        <v>-2040.249</v>
      </c>
      <c r="E167" t="s">
        <v>4</v>
      </c>
      <c r="F167" t="s">
        <v>43</v>
      </c>
      <c r="G167" t="s">
        <v>8</v>
      </c>
    </row>
    <row r="168" spans="1:7" x14ac:dyDescent="0.3">
      <c r="A168" t="s">
        <v>12</v>
      </c>
      <c r="B168" s="1">
        <v>45777</v>
      </c>
      <c r="C168">
        <v>372004</v>
      </c>
      <c r="D168">
        <v>354.47300000000001</v>
      </c>
      <c r="E168" t="s">
        <v>4</v>
      </c>
      <c r="F168" t="s">
        <v>45</v>
      </c>
      <c r="G168" t="s">
        <v>8</v>
      </c>
    </row>
    <row r="169" spans="1:7" x14ac:dyDescent="0.3">
      <c r="A169" t="s">
        <v>12</v>
      </c>
      <c r="B169" s="1">
        <v>45777</v>
      </c>
      <c r="C169">
        <v>557002</v>
      </c>
      <c r="D169">
        <v>1381.5239999999999</v>
      </c>
      <c r="E169" t="s">
        <v>6</v>
      </c>
      <c r="F169" t="s">
        <v>56</v>
      </c>
      <c r="G169" t="s">
        <v>8</v>
      </c>
    </row>
    <row r="170" spans="1:7" x14ac:dyDescent="0.3">
      <c r="A170" t="s">
        <v>13</v>
      </c>
      <c r="B170" s="1">
        <v>45777</v>
      </c>
      <c r="C170">
        <v>210002</v>
      </c>
      <c r="D170">
        <v>-12839.441000000001</v>
      </c>
      <c r="E170" t="s">
        <v>4</v>
      </c>
      <c r="F170" t="s">
        <v>42</v>
      </c>
      <c r="G170" t="s">
        <v>8</v>
      </c>
    </row>
    <row r="171" spans="1:7" x14ac:dyDescent="0.3">
      <c r="A171" t="s">
        <v>13</v>
      </c>
      <c r="B171" s="1">
        <v>45777</v>
      </c>
      <c r="C171">
        <v>220004</v>
      </c>
      <c r="D171">
        <v>-1924.288</v>
      </c>
      <c r="E171" t="s">
        <v>4</v>
      </c>
      <c r="F171" t="s">
        <v>42</v>
      </c>
      <c r="G171" t="s">
        <v>8</v>
      </c>
    </row>
    <row r="172" spans="1:7" x14ac:dyDescent="0.3">
      <c r="A172" t="s">
        <v>13</v>
      </c>
      <c r="B172" s="1">
        <v>45777</v>
      </c>
      <c r="C172">
        <v>220006</v>
      </c>
      <c r="D172">
        <v>-676326.14099999995</v>
      </c>
      <c r="E172" t="s">
        <v>4</v>
      </c>
      <c r="F172" t="s">
        <v>42</v>
      </c>
      <c r="G172" t="s">
        <v>8</v>
      </c>
    </row>
    <row r="173" spans="1:7" x14ac:dyDescent="0.3">
      <c r="A173" t="s">
        <v>13</v>
      </c>
      <c r="B173" s="1">
        <v>45777</v>
      </c>
      <c r="C173">
        <v>220011</v>
      </c>
      <c r="D173">
        <v>-6.8289999999999997</v>
      </c>
      <c r="E173" t="s">
        <v>4</v>
      </c>
      <c r="F173" t="s">
        <v>42</v>
      </c>
      <c r="G173" t="s">
        <v>8</v>
      </c>
    </row>
    <row r="174" spans="1:7" x14ac:dyDescent="0.3">
      <c r="A174" t="s">
        <v>13</v>
      </c>
      <c r="B174" s="1">
        <v>45777</v>
      </c>
      <c r="C174">
        <v>240002</v>
      </c>
      <c r="D174">
        <v>-169030.65400000001</v>
      </c>
      <c r="E174" t="s">
        <v>4</v>
      </c>
      <c r="F174" t="s">
        <v>43</v>
      </c>
      <c r="G174" t="s">
        <v>8</v>
      </c>
    </row>
    <row r="175" spans="1:7" x14ac:dyDescent="0.3">
      <c r="A175" t="s">
        <v>13</v>
      </c>
      <c r="B175" s="1">
        <v>45777</v>
      </c>
      <c r="C175">
        <v>240009</v>
      </c>
      <c r="D175">
        <v>-5254.99</v>
      </c>
      <c r="E175" t="s">
        <v>4</v>
      </c>
      <c r="F175" t="s">
        <v>43</v>
      </c>
      <c r="G175" t="s">
        <v>8</v>
      </c>
    </row>
    <row r="176" spans="1:7" x14ac:dyDescent="0.3">
      <c r="A176" t="s">
        <v>13</v>
      </c>
      <c r="B176" s="1">
        <v>45777</v>
      </c>
      <c r="C176">
        <v>242003</v>
      </c>
      <c r="D176">
        <v>-20994.036</v>
      </c>
      <c r="E176" t="s">
        <v>4</v>
      </c>
      <c r="F176" t="s">
        <v>43</v>
      </c>
      <c r="G176" t="s">
        <v>8</v>
      </c>
    </row>
    <row r="177" spans="1:7" x14ac:dyDescent="0.3">
      <c r="A177" t="s">
        <v>13</v>
      </c>
      <c r="B177" s="1">
        <v>45777</v>
      </c>
      <c r="C177">
        <v>242013</v>
      </c>
      <c r="D177">
        <v>-285.82600000000002</v>
      </c>
      <c r="E177" t="s">
        <v>4</v>
      </c>
      <c r="F177" t="s">
        <v>43</v>
      </c>
      <c r="G177" t="s">
        <v>8</v>
      </c>
    </row>
    <row r="178" spans="1:7" x14ac:dyDescent="0.3">
      <c r="A178" t="s">
        <v>13</v>
      </c>
      <c r="B178" s="1">
        <v>45777</v>
      </c>
      <c r="C178">
        <v>242023</v>
      </c>
      <c r="D178">
        <v>-1061.71</v>
      </c>
      <c r="E178" t="s">
        <v>4</v>
      </c>
      <c r="F178" t="s">
        <v>43</v>
      </c>
      <c r="G178" t="s">
        <v>8</v>
      </c>
    </row>
    <row r="179" spans="1:7" x14ac:dyDescent="0.3">
      <c r="A179" t="s">
        <v>13</v>
      </c>
      <c r="B179" s="1">
        <v>45777</v>
      </c>
      <c r="C179">
        <v>242027</v>
      </c>
      <c r="D179">
        <v>-25565.812999999998</v>
      </c>
      <c r="E179" t="s">
        <v>4</v>
      </c>
      <c r="F179" t="s">
        <v>43</v>
      </c>
      <c r="G179" t="s">
        <v>8</v>
      </c>
    </row>
    <row r="180" spans="1:7" x14ac:dyDescent="0.3">
      <c r="A180" t="s">
        <v>13</v>
      </c>
      <c r="B180" s="1">
        <v>45777</v>
      </c>
      <c r="C180">
        <v>242030</v>
      </c>
      <c r="D180">
        <v>-430.16500000000002</v>
      </c>
      <c r="E180" t="s">
        <v>4</v>
      </c>
      <c r="F180" t="s">
        <v>43</v>
      </c>
      <c r="G180" t="s">
        <v>8</v>
      </c>
    </row>
    <row r="181" spans="1:7" x14ac:dyDescent="0.3">
      <c r="A181" t="s">
        <v>13</v>
      </c>
      <c r="B181" s="1">
        <v>45777</v>
      </c>
      <c r="C181">
        <v>242036</v>
      </c>
      <c r="D181">
        <v>-77771.646999999997</v>
      </c>
      <c r="E181" t="s">
        <v>4</v>
      </c>
      <c r="F181" t="s">
        <v>43</v>
      </c>
      <c r="G181" t="s">
        <v>8</v>
      </c>
    </row>
    <row r="182" spans="1:7" x14ac:dyDescent="0.3">
      <c r="A182" t="s">
        <v>13</v>
      </c>
      <c r="B182" s="1">
        <v>45777</v>
      </c>
      <c r="C182">
        <v>242039</v>
      </c>
      <c r="D182">
        <v>-1769.22</v>
      </c>
      <c r="E182" t="s">
        <v>4</v>
      </c>
      <c r="F182" t="s">
        <v>43</v>
      </c>
      <c r="G182" t="s">
        <v>8</v>
      </c>
    </row>
    <row r="183" spans="1:7" x14ac:dyDescent="0.3">
      <c r="A183" t="s">
        <v>13</v>
      </c>
      <c r="B183" s="1">
        <v>45777</v>
      </c>
      <c r="C183">
        <v>242040</v>
      </c>
      <c r="D183">
        <v>-3477.067</v>
      </c>
      <c r="E183" t="s">
        <v>4</v>
      </c>
      <c r="F183" t="s">
        <v>43</v>
      </c>
      <c r="G183" t="s">
        <v>8</v>
      </c>
    </row>
    <row r="184" spans="1:7" x14ac:dyDescent="0.3">
      <c r="A184" t="s">
        <v>13</v>
      </c>
      <c r="B184" s="1">
        <v>45777</v>
      </c>
      <c r="C184">
        <v>242041</v>
      </c>
      <c r="D184">
        <v>5402.9979999999996</v>
      </c>
      <c r="E184" t="s">
        <v>4</v>
      </c>
      <c r="F184" t="s">
        <v>43</v>
      </c>
      <c r="G184" t="s">
        <v>8</v>
      </c>
    </row>
    <row r="185" spans="1:7" x14ac:dyDescent="0.3">
      <c r="A185" t="s">
        <v>13</v>
      </c>
      <c r="B185" s="1">
        <v>45777</v>
      </c>
      <c r="C185">
        <v>243002</v>
      </c>
      <c r="D185">
        <v>-16738.457999999999</v>
      </c>
      <c r="E185" t="s">
        <v>4</v>
      </c>
      <c r="F185" t="s">
        <v>43</v>
      </c>
      <c r="G185" t="s">
        <v>8</v>
      </c>
    </row>
    <row r="186" spans="1:7" x14ac:dyDescent="0.3">
      <c r="A186" t="s">
        <v>13</v>
      </c>
      <c r="B186" s="1">
        <v>45777</v>
      </c>
      <c r="C186">
        <v>243011</v>
      </c>
      <c r="D186">
        <v>-77049.225999999995</v>
      </c>
      <c r="E186" t="s">
        <v>4</v>
      </c>
      <c r="F186" t="s">
        <v>43</v>
      </c>
      <c r="G186" t="s">
        <v>8</v>
      </c>
    </row>
    <row r="187" spans="1:7" x14ac:dyDescent="0.3">
      <c r="A187" t="s">
        <v>13</v>
      </c>
      <c r="B187" s="1">
        <v>45777</v>
      </c>
      <c r="C187">
        <v>245010</v>
      </c>
      <c r="D187">
        <v>-11528.037</v>
      </c>
      <c r="E187" t="s">
        <v>4</v>
      </c>
      <c r="F187" t="s">
        <v>44</v>
      </c>
      <c r="G187" t="s">
        <v>8</v>
      </c>
    </row>
    <row r="188" spans="1:7" x14ac:dyDescent="0.3">
      <c r="A188" t="s">
        <v>13</v>
      </c>
      <c r="B188" s="1">
        <v>45777</v>
      </c>
      <c r="C188">
        <v>245049</v>
      </c>
      <c r="D188">
        <v>-227.25899999999999</v>
      </c>
      <c r="E188" t="s">
        <v>4</v>
      </c>
      <c r="F188" t="s">
        <v>43</v>
      </c>
      <c r="G188" t="s">
        <v>8</v>
      </c>
    </row>
    <row r="189" spans="1:7" x14ac:dyDescent="0.3">
      <c r="A189" t="s">
        <v>13</v>
      </c>
      <c r="B189" s="1">
        <v>45777</v>
      </c>
      <c r="C189">
        <v>245055</v>
      </c>
      <c r="D189">
        <v>-1870.5050000000001</v>
      </c>
      <c r="E189" t="s">
        <v>4</v>
      </c>
      <c r="F189" t="s">
        <v>43</v>
      </c>
      <c r="G189" t="s">
        <v>8</v>
      </c>
    </row>
    <row r="190" spans="1:7" x14ac:dyDescent="0.3">
      <c r="A190" t="s">
        <v>13</v>
      </c>
      <c r="B190" s="1">
        <v>45777</v>
      </c>
      <c r="C190">
        <v>245062</v>
      </c>
      <c r="D190">
        <v>-373.88499999999999</v>
      </c>
      <c r="E190" t="s">
        <v>4</v>
      </c>
      <c r="F190" t="s">
        <v>43</v>
      </c>
      <c r="G190" t="s">
        <v>8</v>
      </c>
    </row>
    <row r="191" spans="1:7" x14ac:dyDescent="0.3">
      <c r="A191" t="s">
        <v>13</v>
      </c>
      <c r="B191" s="1">
        <v>45777</v>
      </c>
      <c r="C191">
        <v>250003</v>
      </c>
      <c r="D191">
        <v>-9864.7489999999998</v>
      </c>
      <c r="E191" t="s">
        <v>4</v>
      </c>
      <c r="F191" t="s">
        <v>45</v>
      </c>
      <c r="G191" t="s">
        <v>8</v>
      </c>
    </row>
    <row r="192" spans="1:7" x14ac:dyDescent="0.3">
      <c r="A192" t="s">
        <v>13</v>
      </c>
      <c r="B192" s="1">
        <v>45777</v>
      </c>
      <c r="C192">
        <v>251002</v>
      </c>
      <c r="D192">
        <v>-268362.42700000003</v>
      </c>
      <c r="E192" t="s">
        <v>4</v>
      </c>
      <c r="F192" t="s">
        <v>45</v>
      </c>
      <c r="G192" t="s">
        <v>8</v>
      </c>
    </row>
    <row r="193" spans="1:7" x14ac:dyDescent="0.3">
      <c r="A193" t="s">
        <v>13</v>
      </c>
      <c r="B193" s="1">
        <v>45777</v>
      </c>
      <c r="C193">
        <v>257014</v>
      </c>
      <c r="D193">
        <v>2164.73</v>
      </c>
      <c r="E193" t="s">
        <v>4</v>
      </c>
      <c r="F193" t="s">
        <v>45</v>
      </c>
      <c r="G193" t="s">
        <v>8</v>
      </c>
    </row>
    <row r="194" spans="1:7" x14ac:dyDescent="0.3">
      <c r="A194" t="s">
        <v>13</v>
      </c>
      <c r="B194" s="1">
        <v>45777</v>
      </c>
      <c r="C194">
        <v>257027</v>
      </c>
      <c r="D194">
        <v>-14284.151</v>
      </c>
      <c r="E194" t="s">
        <v>4</v>
      </c>
      <c r="F194" t="s">
        <v>45</v>
      </c>
      <c r="G194" t="s">
        <v>8</v>
      </c>
    </row>
    <row r="195" spans="1:7" x14ac:dyDescent="0.3">
      <c r="A195" t="s">
        <v>13</v>
      </c>
      <c r="B195" s="1">
        <v>45777</v>
      </c>
      <c r="C195">
        <v>257030</v>
      </c>
      <c r="D195">
        <v>-20602.331999999999</v>
      </c>
      <c r="E195" t="s">
        <v>4</v>
      </c>
      <c r="F195" t="s">
        <v>45</v>
      </c>
      <c r="G195" t="s">
        <v>8</v>
      </c>
    </row>
    <row r="196" spans="1:7" x14ac:dyDescent="0.3">
      <c r="A196" t="s">
        <v>13</v>
      </c>
      <c r="B196" s="1">
        <v>45777</v>
      </c>
      <c r="C196">
        <v>260004</v>
      </c>
      <c r="D196">
        <v>-469501.83299999998</v>
      </c>
      <c r="E196" t="s">
        <v>4</v>
      </c>
      <c r="F196" t="s">
        <v>45</v>
      </c>
      <c r="G196" t="s">
        <v>8</v>
      </c>
    </row>
    <row r="197" spans="1:7" x14ac:dyDescent="0.3">
      <c r="A197" t="s">
        <v>13</v>
      </c>
      <c r="B197" s="1">
        <v>45777</v>
      </c>
      <c r="C197">
        <v>260051</v>
      </c>
      <c r="D197">
        <v>-21079.597000000002</v>
      </c>
      <c r="E197" t="s">
        <v>4</v>
      </c>
      <c r="F197" t="s">
        <v>45</v>
      </c>
      <c r="G197" t="s">
        <v>8</v>
      </c>
    </row>
    <row r="198" spans="1:7" x14ac:dyDescent="0.3">
      <c r="A198" t="s">
        <v>13</v>
      </c>
      <c r="B198" s="1">
        <v>45777</v>
      </c>
      <c r="C198">
        <v>300004</v>
      </c>
      <c r="D198">
        <v>2850.5430000000001</v>
      </c>
      <c r="E198" t="s">
        <v>4</v>
      </c>
      <c r="F198" t="s">
        <v>65</v>
      </c>
      <c r="G198" t="s">
        <v>8</v>
      </c>
    </row>
    <row r="199" spans="1:7" x14ac:dyDescent="0.3">
      <c r="A199" t="s">
        <v>13</v>
      </c>
      <c r="B199" s="1">
        <v>45777</v>
      </c>
      <c r="C199">
        <v>300005</v>
      </c>
      <c r="D199">
        <v>1524.4090000000001</v>
      </c>
      <c r="E199" t="s">
        <v>4</v>
      </c>
      <c r="F199" t="s">
        <v>65</v>
      </c>
      <c r="G199" t="s">
        <v>8</v>
      </c>
    </row>
    <row r="200" spans="1:7" x14ac:dyDescent="0.3">
      <c r="A200" t="s">
        <v>13</v>
      </c>
      <c r="B200" s="1">
        <v>45777</v>
      </c>
      <c r="C200">
        <v>300008</v>
      </c>
      <c r="D200">
        <v>1892.039</v>
      </c>
      <c r="E200" t="s">
        <v>4</v>
      </c>
      <c r="F200" t="s">
        <v>65</v>
      </c>
      <c r="G200" t="s">
        <v>8</v>
      </c>
    </row>
    <row r="201" spans="1:7" x14ac:dyDescent="0.3">
      <c r="A201" t="s">
        <v>13</v>
      </c>
      <c r="B201" s="1">
        <v>45777</v>
      </c>
      <c r="C201">
        <v>300011</v>
      </c>
      <c r="D201">
        <v>153.56</v>
      </c>
      <c r="E201" t="s">
        <v>4</v>
      </c>
      <c r="F201" t="s">
        <v>65</v>
      </c>
      <c r="G201" t="s">
        <v>8</v>
      </c>
    </row>
    <row r="202" spans="1:7" x14ac:dyDescent="0.3">
      <c r="A202" t="s">
        <v>13</v>
      </c>
      <c r="B202" s="1">
        <v>45777</v>
      </c>
      <c r="C202">
        <v>300012</v>
      </c>
      <c r="D202">
        <v>984.95600000000002</v>
      </c>
      <c r="E202" t="s">
        <v>4</v>
      </c>
      <c r="F202" t="s">
        <v>65</v>
      </c>
      <c r="G202" t="s">
        <v>8</v>
      </c>
    </row>
    <row r="203" spans="1:7" x14ac:dyDescent="0.3">
      <c r="A203" t="s">
        <v>13</v>
      </c>
      <c r="B203" s="1">
        <v>45777</v>
      </c>
      <c r="C203">
        <v>300504</v>
      </c>
      <c r="D203">
        <v>-2596.797</v>
      </c>
      <c r="E203" t="s">
        <v>4</v>
      </c>
      <c r="F203" t="s">
        <v>65</v>
      </c>
      <c r="G203" t="s">
        <v>8</v>
      </c>
    </row>
    <row r="204" spans="1:7" x14ac:dyDescent="0.3">
      <c r="A204" t="s">
        <v>13</v>
      </c>
      <c r="B204" s="1">
        <v>45777</v>
      </c>
      <c r="C204">
        <v>300505</v>
      </c>
      <c r="D204">
        <v>-1285.2090000000001</v>
      </c>
      <c r="E204" t="s">
        <v>4</v>
      </c>
      <c r="F204" t="s">
        <v>65</v>
      </c>
      <c r="G204" t="s">
        <v>8</v>
      </c>
    </row>
    <row r="205" spans="1:7" x14ac:dyDescent="0.3">
      <c r="A205" t="s">
        <v>13</v>
      </c>
      <c r="B205" s="1">
        <v>45777</v>
      </c>
      <c r="C205">
        <v>300508</v>
      </c>
      <c r="D205">
        <v>-1819.2919999999999</v>
      </c>
      <c r="E205" t="s">
        <v>4</v>
      </c>
      <c r="F205" t="s">
        <v>65</v>
      </c>
      <c r="G205" t="s">
        <v>8</v>
      </c>
    </row>
    <row r="206" spans="1:7" x14ac:dyDescent="0.3">
      <c r="A206" t="s">
        <v>13</v>
      </c>
      <c r="B206" s="1">
        <v>45777</v>
      </c>
      <c r="C206">
        <v>300511</v>
      </c>
      <c r="D206">
        <v>-153.56</v>
      </c>
      <c r="E206" t="s">
        <v>4</v>
      </c>
      <c r="F206" t="s">
        <v>65</v>
      </c>
      <c r="G206" t="s">
        <v>8</v>
      </c>
    </row>
    <row r="207" spans="1:7" x14ac:dyDescent="0.3">
      <c r="A207" t="s">
        <v>13</v>
      </c>
      <c r="B207" s="1">
        <v>45777</v>
      </c>
      <c r="C207">
        <v>300512</v>
      </c>
      <c r="D207">
        <v>-984.95600000000002</v>
      </c>
      <c r="E207" t="s">
        <v>4</v>
      </c>
      <c r="F207" t="s">
        <v>65</v>
      </c>
      <c r="G207" t="s">
        <v>8</v>
      </c>
    </row>
    <row r="208" spans="1:7" x14ac:dyDescent="0.3">
      <c r="A208" t="s">
        <v>13</v>
      </c>
      <c r="B208" s="1">
        <v>45777</v>
      </c>
      <c r="C208">
        <v>301004</v>
      </c>
      <c r="D208">
        <v>2953.0709999999999</v>
      </c>
      <c r="E208" t="s">
        <v>4</v>
      </c>
      <c r="F208" t="s">
        <v>65</v>
      </c>
      <c r="G208" t="s">
        <v>8</v>
      </c>
    </row>
    <row r="209" spans="1:7" x14ac:dyDescent="0.3">
      <c r="A209" t="s">
        <v>13</v>
      </c>
      <c r="B209" s="1">
        <v>45777</v>
      </c>
      <c r="C209">
        <v>301504</v>
      </c>
      <c r="D209">
        <v>-2953.0709999999999</v>
      </c>
      <c r="E209" t="s">
        <v>4</v>
      </c>
      <c r="F209" t="s">
        <v>65</v>
      </c>
      <c r="G209" t="s">
        <v>8</v>
      </c>
    </row>
    <row r="210" spans="1:7" x14ac:dyDescent="0.3">
      <c r="A210" t="s">
        <v>13</v>
      </c>
      <c r="B210" s="1">
        <v>45777</v>
      </c>
      <c r="C210">
        <v>320002</v>
      </c>
      <c r="D210">
        <v>44937.862000000001</v>
      </c>
      <c r="E210" t="s">
        <v>4</v>
      </c>
      <c r="F210" t="s">
        <v>46</v>
      </c>
      <c r="G210" t="s">
        <v>8</v>
      </c>
    </row>
    <row r="211" spans="1:7" x14ac:dyDescent="0.3">
      <c r="A211" t="s">
        <v>13</v>
      </c>
      <c r="B211" s="1">
        <v>45777</v>
      </c>
      <c r="C211">
        <v>320003</v>
      </c>
      <c r="D211">
        <v>224312.913</v>
      </c>
      <c r="E211" t="s">
        <v>4</v>
      </c>
      <c r="F211" t="s">
        <v>46</v>
      </c>
      <c r="G211" t="s">
        <v>8</v>
      </c>
    </row>
    <row r="212" spans="1:7" x14ac:dyDescent="0.3">
      <c r="A212" t="s">
        <v>13</v>
      </c>
      <c r="B212" s="1">
        <v>45777</v>
      </c>
      <c r="C212">
        <v>320004</v>
      </c>
      <c r="D212">
        <v>2567.7759999999998</v>
      </c>
      <c r="E212" t="s">
        <v>4</v>
      </c>
      <c r="F212" t="s">
        <v>46</v>
      </c>
      <c r="G212" t="s">
        <v>8</v>
      </c>
    </row>
    <row r="213" spans="1:7" x14ac:dyDescent="0.3">
      <c r="A213" t="s">
        <v>13</v>
      </c>
      <c r="B213" s="1">
        <v>45777</v>
      </c>
      <c r="C213">
        <v>320019</v>
      </c>
      <c r="D213">
        <v>22.244</v>
      </c>
      <c r="E213" t="s">
        <v>4</v>
      </c>
      <c r="F213" t="s">
        <v>46</v>
      </c>
      <c r="G213" t="s">
        <v>8</v>
      </c>
    </row>
    <row r="214" spans="1:7" x14ac:dyDescent="0.3">
      <c r="A214" t="s">
        <v>13</v>
      </c>
      <c r="B214" s="1">
        <v>45777</v>
      </c>
      <c r="C214">
        <v>320023</v>
      </c>
      <c r="D214">
        <v>-26.693000000000001</v>
      </c>
      <c r="E214" t="s">
        <v>4</v>
      </c>
      <c r="F214" t="s">
        <v>46</v>
      </c>
      <c r="G214" t="s">
        <v>8</v>
      </c>
    </row>
    <row r="215" spans="1:7" x14ac:dyDescent="0.3">
      <c r="A215" t="s">
        <v>13</v>
      </c>
      <c r="B215" s="1">
        <v>45777</v>
      </c>
      <c r="C215">
        <v>321002</v>
      </c>
      <c r="D215">
        <v>26485.312999999998</v>
      </c>
      <c r="E215" t="s">
        <v>4</v>
      </c>
      <c r="F215" t="s">
        <v>46</v>
      </c>
      <c r="G215" t="s">
        <v>8</v>
      </c>
    </row>
    <row r="216" spans="1:7" x14ac:dyDescent="0.3">
      <c r="A216" t="s">
        <v>13</v>
      </c>
      <c r="B216" s="1">
        <v>45777</v>
      </c>
      <c r="C216">
        <v>321012</v>
      </c>
      <c r="D216">
        <v>-260.35000000000002</v>
      </c>
      <c r="E216" t="s">
        <v>4</v>
      </c>
      <c r="F216" t="s">
        <v>46</v>
      </c>
      <c r="G216" t="s">
        <v>8</v>
      </c>
    </row>
    <row r="217" spans="1:7" x14ac:dyDescent="0.3">
      <c r="A217" t="s">
        <v>13</v>
      </c>
      <c r="B217" s="1">
        <v>45777</v>
      </c>
      <c r="C217">
        <v>321029</v>
      </c>
      <c r="D217">
        <v>9631.6440000000002</v>
      </c>
      <c r="E217" t="s">
        <v>4</v>
      </c>
      <c r="F217" t="s">
        <v>46</v>
      </c>
      <c r="G217" t="s">
        <v>8</v>
      </c>
    </row>
    <row r="218" spans="1:7" x14ac:dyDescent="0.3">
      <c r="A218" t="s">
        <v>13</v>
      </c>
      <c r="B218" s="1">
        <v>45777</v>
      </c>
      <c r="C218">
        <v>321042</v>
      </c>
      <c r="D218">
        <v>362.15699999999998</v>
      </c>
      <c r="E218" t="s">
        <v>4</v>
      </c>
      <c r="F218" t="s">
        <v>46</v>
      </c>
      <c r="G218" t="s">
        <v>8</v>
      </c>
    </row>
    <row r="219" spans="1:7" x14ac:dyDescent="0.3">
      <c r="A219" t="s">
        <v>13</v>
      </c>
      <c r="B219" s="1">
        <v>45777</v>
      </c>
      <c r="C219">
        <v>330017</v>
      </c>
      <c r="D219">
        <v>-556.33299999999997</v>
      </c>
      <c r="E219" t="s">
        <v>4</v>
      </c>
      <c r="F219" t="s">
        <v>43</v>
      </c>
      <c r="G219" t="s">
        <v>8</v>
      </c>
    </row>
    <row r="220" spans="1:7" x14ac:dyDescent="0.3">
      <c r="A220" t="s">
        <v>13</v>
      </c>
      <c r="B220" s="1">
        <v>45777</v>
      </c>
      <c r="C220">
        <v>330121</v>
      </c>
      <c r="D220">
        <v>-25978.453000000001</v>
      </c>
      <c r="E220" t="s">
        <v>4</v>
      </c>
      <c r="F220" t="s">
        <v>43</v>
      </c>
      <c r="G220" t="s">
        <v>8</v>
      </c>
    </row>
    <row r="221" spans="1:7" x14ac:dyDescent="0.3">
      <c r="A221" t="s">
        <v>13</v>
      </c>
      <c r="B221" s="1">
        <v>45777</v>
      </c>
      <c r="C221">
        <v>340112</v>
      </c>
      <c r="D221">
        <v>248625.14799999999</v>
      </c>
      <c r="E221" t="s">
        <v>4</v>
      </c>
      <c r="F221" t="s">
        <v>47</v>
      </c>
      <c r="G221" t="s">
        <v>8</v>
      </c>
    </row>
    <row r="222" spans="1:7" x14ac:dyDescent="0.3">
      <c r="A222" t="s">
        <v>13</v>
      </c>
      <c r="B222" s="1">
        <v>45777</v>
      </c>
      <c r="C222">
        <v>340113</v>
      </c>
      <c r="D222">
        <v>11492110.245999999</v>
      </c>
      <c r="E222" t="s">
        <v>4</v>
      </c>
      <c r="F222" t="s">
        <v>47</v>
      </c>
      <c r="G222" t="s">
        <v>8</v>
      </c>
    </row>
    <row r="223" spans="1:7" x14ac:dyDescent="0.3">
      <c r="A223" t="s">
        <v>13</v>
      </c>
      <c r="B223" s="1">
        <v>45777</v>
      </c>
      <c r="C223">
        <v>340114</v>
      </c>
      <c r="D223">
        <v>-11204427.714</v>
      </c>
      <c r="E223" t="s">
        <v>4</v>
      </c>
      <c r="F223" t="s">
        <v>47</v>
      </c>
      <c r="G223" t="s">
        <v>8</v>
      </c>
    </row>
    <row r="224" spans="1:7" x14ac:dyDescent="0.3">
      <c r="A224" t="s">
        <v>13</v>
      </c>
      <c r="B224" s="1">
        <v>45777</v>
      </c>
      <c r="C224">
        <v>340122</v>
      </c>
      <c r="D224">
        <v>1836.7819999999999</v>
      </c>
      <c r="E224" t="s">
        <v>4</v>
      </c>
      <c r="F224" t="s">
        <v>47</v>
      </c>
      <c r="G224" t="s">
        <v>8</v>
      </c>
    </row>
    <row r="225" spans="1:7" x14ac:dyDescent="0.3">
      <c r="A225" t="s">
        <v>13</v>
      </c>
      <c r="B225" s="1">
        <v>45777</v>
      </c>
      <c r="C225">
        <v>340123</v>
      </c>
      <c r="D225">
        <v>8482.8259999999991</v>
      </c>
      <c r="E225" t="s">
        <v>4</v>
      </c>
      <c r="F225" t="s">
        <v>47</v>
      </c>
      <c r="G225" t="s">
        <v>8</v>
      </c>
    </row>
    <row r="226" spans="1:7" x14ac:dyDescent="0.3">
      <c r="A226" t="s">
        <v>13</v>
      </c>
      <c r="B226" s="1">
        <v>45777</v>
      </c>
      <c r="C226">
        <v>340124</v>
      </c>
      <c r="D226">
        <v>-10319.608</v>
      </c>
      <c r="E226" t="s">
        <v>4</v>
      </c>
      <c r="F226" t="s">
        <v>47</v>
      </c>
      <c r="G226" t="s">
        <v>8</v>
      </c>
    </row>
    <row r="227" spans="1:7" x14ac:dyDescent="0.3">
      <c r="A227" t="s">
        <v>13</v>
      </c>
      <c r="B227" s="1">
        <v>45777</v>
      </c>
      <c r="C227">
        <v>350002</v>
      </c>
      <c r="D227">
        <v>556.33299999999997</v>
      </c>
      <c r="E227" t="s">
        <v>4</v>
      </c>
      <c r="F227" t="s">
        <v>49</v>
      </c>
      <c r="G227" t="s">
        <v>8</v>
      </c>
    </row>
    <row r="228" spans="1:7" x14ac:dyDescent="0.3">
      <c r="A228" t="s">
        <v>13</v>
      </c>
      <c r="B228" s="1">
        <v>45777</v>
      </c>
      <c r="C228">
        <v>350003</v>
      </c>
      <c r="D228">
        <v>-310.35899999999998</v>
      </c>
      <c r="E228" t="s">
        <v>4</v>
      </c>
      <c r="F228" t="s">
        <v>49</v>
      </c>
      <c r="G228" t="s">
        <v>8</v>
      </c>
    </row>
    <row r="229" spans="1:7" x14ac:dyDescent="0.3">
      <c r="A229" t="s">
        <v>13</v>
      </c>
      <c r="B229" s="1">
        <v>45777</v>
      </c>
      <c r="C229">
        <v>350031</v>
      </c>
      <c r="D229">
        <v>5254.99</v>
      </c>
      <c r="E229" t="s">
        <v>4</v>
      </c>
      <c r="F229" t="s">
        <v>43</v>
      </c>
      <c r="G229" t="s">
        <v>8</v>
      </c>
    </row>
    <row r="230" spans="1:7" x14ac:dyDescent="0.3">
      <c r="A230" t="s">
        <v>13</v>
      </c>
      <c r="B230" s="1">
        <v>45777</v>
      </c>
      <c r="C230">
        <v>352002</v>
      </c>
      <c r="D230">
        <v>184.73400000000001</v>
      </c>
      <c r="E230" t="s">
        <v>4</v>
      </c>
      <c r="F230" t="s">
        <v>48</v>
      </c>
      <c r="G230" t="s">
        <v>8</v>
      </c>
    </row>
    <row r="231" spans="1:7" x14ac:dyDescent="0.3">
      <c r="A231" t="s">
        <v>13</v>
      </c>
      <c r="B231" s="1">
        <v>45777</v>
      </c>
      <c r="C231">
        <v>354012</v>
      </c>
      <c r="D231">
        <v>241228.96900000001</v>
      </c>
      <c r="E231" t="s">
        <v>4</v>
      </c>
      <c r="F231" t="s">
        <v>46</v>
      </c>
      <c r="G231" t="s">
        <v>8</v>
      </c>
    </row>
    <row r="232" spans="1:7" x14ac:dyDescent="0.3">
      <c r="A232" t="s">
        <v>13</v>
      </c>
      <c r="B232" s="1">
        <v>45777</v>
      </c>
      <c r="C232">
        <v>354014</v>
      </c>
      <c r="D232">
        <v>10348.589</v>
      </c>
      <c r="E232" t="s">
        <v>4</v>
      </c>
      <c r="F232" t="s">
        <v>46</v>
      </c>
      <c r="G232" t="s">
        <v>8</v>
      </c>
    </row>
    <row r="233" spans="1:7" x14ac:dyDescent="0.3">
      <c r="A233" t="s">
        <v>13</v>
      </c>
      <c r="B233" s="1">
        <v>45777</v>
      </c>
      <c r="C233">
        <v>354015</v>
      </c>
      <c r="D233">
        <v>1204.8530000000001</v>
      </c>
      <c r="E233" t="s">
        <v>4</v>
      </c>
      <c r="F233" t="s">
        <v>46</v>
      </c>
      <c r="G233" t="s">
        <v>8</v>
      </c>
    </row>
    <row r="234" spans="1:7" x14ac:dyDescent="0.3">
      <c r="A234" t="s">
        <v>13</v>
      </c>
      <c r="B234" s="1">
        <v>45777</v>
      </c>
      <c r="C234">
        <v>355002</v>
      </c>
      <c r="D234">
        <v>-3.3000000000000002E-2</v>
      </c>
      <c r="E234" t="s">
        <v>4</v>
      </c>
      <c r="F234" t="s">
        <v>49</v>
      </c>
      <c r="G234" t="s">
        <v>8</v>
      </c>
    </row>
    <row r="235" spans="1:7" x14ac:dyDescent="0.3">
      <c r="A235" t="s">
        <v>13</v>
      </c>
      <c r="B235" s="1">
        <v>45777</v>
      </c>
      <c r="C235">
        <v>355013</v>
      </c>
      <c r="D235">
        <v>167913.75899999999</v>
      </c>
      <c r="E235" t="s">
        <v>4</v>
      </c>
      <c r="F235" t="s">
        <v>49</v>
      </c>
      <c r="G235" t="s">
        <v>8</v>
      </c>
    </row>
    <row r="236" spans="1:7" x14ac:dyDescent="0.3">
      <c r="A236" t="s">
        <v>13</v>
      </c>
      <c r="B236" s="1">
        <v>45777</v>
      </c>
      <c r="C236">
        <v>360030</v>
      </c>
      <c r="D236">
        <v>155264.27299999999</v>
      </c>
      <c r="E236" t="s">
        <v>4</v>
      </c>
      <c r="F236" t="s">
        <v>58</v>
      </c>
      <c r="G236" t="s">
        <v>8</v>
      </c>
    </row>
    <row r="237" spans="1:7" x14ac:dyDescent="0.3">
      <c r="A237" t="s">
        <v>13</v>
      </c>
      <c r="B237" s="1">
        <v>45777</v>
      </c>
      <c r="C237">
        <v>372004</v>
      </c>
      <c r="D237">
        <v>470992.076</v>
      </c>
      <c r="E237" t="s">
        <v>4</v>
      </c>
      <c r="F237" t="s">
        <v>45</v>
      </c>
      <c r="G237" t="s">
        <v>8</v>
      </c>
    </row>
    <row r="238" spans="1:7" x14ac:dyDescent="0.3">
      <c r="A238" t="s">
        <v>13</v>
      </c>
      <c r="B238" s="1">
        <v>45777</v>
      </c>
      <c r="C238">
        <v>400002</v>
      </c>
      <c r="D238">
        <v>-102.875</v>
      </c>
      <c r="E238" t="s">
        <v>6</v>
      </c>
      <c r="F238" t="s">
        <v>50</v>
      </c>
      <c r="G238" t="s">
        <v>8</v>
      </c>
    </row>
    <row r="239" spans="1:7" x14ac:dyDescent="0.3">
      <c r="A239" t="s">
        <v>13</v>
      </c>
      <c r="B239" s="1">
        <v>45777</v>
      </c>
      <c r="C239">
        <v>400004</v>
      </c>
      <c r="D239">
        <v>-16138.441000000001</v>
      </c>
      <c r="E239" t="s">
        <v>6</v>
      </c>
      <c r="F239" t="s">
        <v>50</v>
      </c>
      <c r="G239" t="s">
        <v>8</v>
      </c>
    </row>
    <row r="240" spans="1:7" x14ac:dyDescent="0.3">
      <c r="A240" t="s">
        <v>13</v>
      </c>
      <c r="B240" s="1">
        <v>45777</v>
      </c>
      <c r="C240">
        <v>410002</v>
      </c>
      <c r="D240">
        <v>-3692.5230000000001</v>
      </c>
      <c r="E240" t="s">
        <v>6</v>
      </c>
      <c r="F240" t="s">
        <v>51</v>
      </c>
      <c r="G240" t="s">
        <v>8</v>
      </c>
    </row>
    <row r="241" spans="1:7" x14ac:dyDescent="0.3">
      <c r="A241" t="s">
        <v>13</v>
      </c>
      <c r="B241" s="1">
        <v>45777</v>
      </c>
      <c r="C241">
        <v>410037</v>
      </c>
      <c r="D241">
        <v>-679.35</v>
      </c>
      <c r="E241" t="s">
        <v>6</v>
      </c>
      <c r="F241" t="s">
        <v>51</v>
      </c>
      <c r="G241" t="s">
        <v>8</v>
      </c>
    </row>
    <row r="242" spans="1:7" x14ac:dyDescent="0.3">
      <c r="A242" t="s">
        <v>13</v>
      </c>
      <c r="B242" s="1">
        <v>45777</v>
      </c>
      <c r="C242">
        <v>415002</v>
      </c>
      <c r="D242">
        <v>-32956.525000000001</v>
      </c>
      <c r="E242" t="s">
        <v>6</v>
      </c>
      <c r="F242" t="s">
        <v>50</v>
      </c>
      <c r="G242" t="s">
        <v>8</v>
      </c>
    </row>
    <row r="243" spans="1:7" x14ac:dyDescent="0.3">
      <c r="A243" t="s">
        <v>13</v>
      </c>
      <c r="B243" s="1">
        <v>45777</v>
      </c>
      <c r="C243">
        <v>415004</v>
      </c>
      <c r="D243">
        <v>-16160.073</v>
      </c>
      <c r="E243" t="s">
        <v>6</v>
      </c>
      <c r="F243" t="s">
        <v>50</v>
      </c>
      <c r="G243" t="s">
        <v>8</v>
      </c>
    </row>
    <row r="244" spans="1:7" x14ac:dyDescent="0.3">
      <c r="A244" t="s">
        <v>13</v>
      </c>
      <c r="B244" s="1">
        <v>45777</v>
      </c>
      <c r="C244">
        <v>421002</v>
      </c>
      <c r="D244">
        <v>-285.125</v>
      </c>
      <c r="E244" t="s">
        <v>6</v>
      </c>
      <c r="F244" t="s">
        <v>52</v>
      </c>
      <c r="G244" t="s">
        <v>8</v>
      </c>
    </row>
    <row r="245" spans="1:7" x14ac:dyDescent="0.3">
      <c r="A245" t="s">
        <v>13</v>
      </c>
      <c r="B245" s="1">
        <v>45777</v>
      </c>
      <c r="C245">
        <v>421003</v>
      </c>
      <c r="D245">
        <v>-326.35300000000001</v>
      </c>
      <c r="E245" t="s">
        <v>6</v>
      </c>
      <c r="F245" t="s">
        <v>52</v>
      </c>
      <c r="G245" t="s">
        <v>8</v>
      </c>
    </row>
    <row r="246" spans="1:7" x14ac:dyDescent="0.3">
      <c r="A246" t="s">
        <v>13</v>
      </c>
      <c r="B246" s="1">
        <v>45777</v>
      </c>
      <c r="C246">
        <v>421007</v>
      </c>
      <c r="D246">
        <v>-2153.1860000000001</v>
      </c>
      <c r="E246" t="s">
        <v>6</v>
      </c>
      <c r="F246" t="s">
        <v>52</v>
      </c>
      <c r="G246" t="s">
        <v>8</v>
      </c>
    </row>
    <row r="247" spans="1:7" x14ac:dyDescent="0.3">
      <c r="A247" t="s">
        <v>13</v>
      </c>
      <c r="B247" s="1">
        <v>45777</v>
      </c>
      <c r="C247">
        <v>510002</v>
      </c>
      <c r="D247">
        <v>8801.8870000000006</v>
      </c>
      <c r="E247" t="s">
        <v>6</v>
      </c>
      <c r="F247" t="s">
        <v>53</v>
      </c>
      <c r="G247" t="s">
        <v>8</v>
      </c>
    </row>
    <row r="248" spans="1:7" x14ac:dyDescent="0.3">
      <c r="A248" t="s">
        <v>13</v>
      </c>
      <c r="B248" s="1">
        <v>45777</v>
      </c>
      <c r="C248">
        <v>510005</v>
      </c>
      <c r="D248">
        <v>1167.2070000000001</v>
      </c>
      <c r="E248" t="s">
        <v>6</v>
      </c>
      <c r="F248" t="s">
        <v>53</v>
      </c>
      <c r="G248" t="s">
        <v>8</v>
      </c>
    </row>
    <row r="249" spans="1:7" x14ac:dyDescent="0.3">
      <c r="A249" t="s">
        <v>13</v>
      </c>
      <c r="B249" s="1">
        <v>45777</v>
      </c>
      <c r="C249">
        <v>510007</v>
      </c>
      <c r="D249">
        <v>373.88499999999999</v>
      </c>
      <c r="E249" t="s">
        <v>6</v>
      </c>
      <c r="F249" t="s">
        <v>53</v>
      </c>
      <c r="G249" t="s">
        <v>8</v>
      </c>
    </row>
    <row r="250" spans="1:7" x14ac:dyDescent="0.3">
      <c r="A250" t="s">
        <v>13</v>
      </c>
      <c r="B250" s="1">
        <v>45777</v>
      </c>
      <c r="C250">
        <v>510015</v>
      </c>
      <c r="D250">
        <v>4574.7489999999998</v>
      </c>
      <c r="E250" t="s">
        <v>6</v>
      </c>
      <c r="F250" t="s">
        <v>53</v>
      </c>
      <c r="G250" t="s">
        <v>8</v>
      </c>
    </row>
    <row r="251" spans="1:7" x14ac:dyDescent="0.3">
      <c r="A251" t="s">
        <v>13</v>
      </c>
      <c r="B251" s="1">
        <v>45777</v>
      </c>
      <c r="C251">
        <v>510062</v>
      </c>
      <c r="D251">
        <v>263.89400000000001</v>
      </c>
      <c r="E251" t="s">
        <v>6</v>
      </c>
      <c r="F251" t="s">
        <v>53</v>
      </c>
      <c r="G251" t="s">
        <v>8</v>
      </c>
    </row>
    <row r="252" spans="1:7" x14ac:dyDescent="0.3">
      <c r="A252" t="s">
        <v>13</v>
      </c>
      <c r="B252" s="1">
        <v>45777</v>
      </c>
      <c r="C252">
        <v>510065</v>
      </c>
      <c r="D252">
        <v>358.55200000000002</v>
      </c>
      <c r="E252" t="s">
        <v>6</v>
      </c>
      <c r="F252" t="s">
        <v>53</v>
      </c>
      <c r="G252" t="s">
        <v>8</v>
      </c>
    </row>
    <row r="253" spans="1:7" x14ac:dyDescent="0.3">
      <c r="A253" t="s">
        <v>13</v>
      </c>
      <c r="B253" s="1">
        <v>45777</v>
      </c>
      <c r="C253">
        <v>520020</v>
      </c>
      <c r="D253">
        <v>29.753</v>
      </c>
      <c r="E253" t="s">
        <v>6</v>
      </c>
      <c r="F253" t="s">
        <v>53</v>
      </c>
      <c r="G253" t="s">
        <v>8</v>
      </c>
    </row>
    <row r="254" spans="1:7" x14ac:dyDescent="0.3">
      <c r="A254" t="s">
        <v>13</v>
      </c>
      <c r="B254" s="1">
        <v>45777</v>
      </c>
      <c r="C254">
        <v>541003</v>
      </c>
      <c r="D254">
        <v>557.87199999999996</v>
      </c>
      <c r="E254" t="s">
        <v>6</v>
      </c>
      <c r="F254" t="s">
        <v>61</v>
      </c>
      <c r="G254" t="s">
        <v>8</v>
      </c>
    </row>
    <row r="255" spans="1:7" x14ac:dyDescent="0.3">
      <c r="A255" t="s">
        <v>13</v>
      </c>
      <c r="B255" s="1">
        <v>45777</v>
      </c>
      <c r="C255">
        <v>541004</v>
      </c>
      <c r="D255">
        <v>162.393</v>
      </c>
      <c r="E255" t="s">
        <v>6</v>
      </c>
      <c r="F255" t="s">
        <v>61</v>
      </c>
      <c r="G255" t="s">
        <v>8</v>
      </c>
    </row>
    <row r="256" spans="1:7" x14ac:dyDescent="0.3">
      <c r="A256" t="s">
        <v>13</v>
      </c>
      <c r="B256" s="1">
        <v>45777</v>
      </c>
      <c r="C256">
        <v>541010</v>
      </c>
      <c r="D256">
        <v>-96.384</v>
      </c>
      <c r="E256" t="s">
        <v>6</v>
      </c>
      <c r="F256" t="s">
        <v>61</v>
      </c>
      <c r="G256" t="s">
        <v>8</v>
      </c>
    </row>
    <row r="257" spans="1:7" x14ac:dyDescent="0.3">
      <c r="A257" t="s">
        <v>13</v>
      </c>
      <c r="B257" s="1">
        <v>45777</v>
      </c>
      <c r="C257">
        <v>544006</v>
      </c>
      <c r="D257">
        <v>546.57600000000002</v>
      </c>
      <c r="E257" t="s">
        <v>6</v>
      </c>
      <c r="F257" t="s">
        <v>61</v>
      </c>
      <c r="G257" t="s">
        <v>8</v>
      </c>
    </row>
    <row r="258" spans="1:7" x14ac:dyDescent="0.3">
      <c r="A258" t="s">
        <v>13</v>
      </c>
      <c r="B258" s="1">
        <v>45777</v>
      </c>
      <c r="C258">
        <v>546002</v>
      </c>
      <c r="D258">
        <v>20994.036</v>
      </c>
      <c r="E258" t="s">
        <v>6</v>
      </c>
      <c r="F258" t="s">
        <v>51</v>
      </c>
      <c r="G258" t="s">
        <v>8</v>
      </c>
    </row>
    <row r="259" spans="1:7" x14ac:dyDescent="0.3">
      <c r="A259" t="s">
        <v>13</v>
      </c>
      <c r="B259" s="1">
        <v>45777</v>
      </c>
      <c r="C259">
        <v>547002</v>
      </c>
      <c r="D259">
        <v>59809.097999999998</v>
      </c>
      <c r="E259" t="s">
        <v>6</v>
      </c>
      <c r="F259" t="s">
        <v>54</v>
      </c>
      <c r="G259" t="s">
        <v>8</v>
      </c>
    </row>
    <row r="260" spans="1:7" x14ac:dyDescent="0.3">
      <c r="A260" t="s">
        <v>13</v>
      </c>
      <c r="B260" s="1">
        <v>45777</v>
      </c>
      <c r="C260">
        <v>547011</v>
      </c>
      <c r="D260">
        <v>1564.3779999999999</v>
      </c>
      <c r="E260" t="s">
        <v>6</v>
      </c>
      <c r="F260" t="s">
        <v>54</v>
      </c>
      <c r="G260" t="s">
        <v>8</v>
      </c>
    </row>
    <row r="261" spans="1:7" x14ac:dyDescent="0.3">
      <c r="A261" t="s">
        <v>13</v>
      </c>
      <c r="B261" s="1">
        <v>45777</v>
      </c>
      <c r="C261">
        <v>552502</v>
      </c>
      <c r="D261">
        <v>139.94999999999999</v>
      </c>
      <c r="E261" t="s">
        <v>6</v>
      </c>
      <c r="F261" t="s">
        <v>55</v>
      </c>
      <c r="G261" t="s">
        <v>8</v>
      </c>
    </row>
    <row r="262" spans="1:7" x14ac:dyDescent="0.3">
      <c r="A262" t="s">
        <v>13</v>
      </c>
      <c r="B262" s="1">
        <v>45777</v>
      </c>
      <c r="C262">
        <v>555508</v>
      </c>
      <c r="D262">
        <v>554.79200000000003</v>
      </c>
      <c r="E262" t="s">
        <v>6</v>
      </c>
      <c r="F262" t="s">
        <v>55</v>
      </c>
      <c r="G262" t="s">
        <v>8</v>
      </c>
    </row>
    <row r="263" spans="1:7" x14ac:dyDescent="0.3">
      <c r="A263" t="s">
        <v>13</v>
      </c>
      <c r="B263" s="1">
        <v>45777</v>
      </c>
      <c r="C263">
        <v>557002</v>
      </c>
      <c r="D263">
        <v>2750.1</v>
      </c>
      <c r="E263" t="s">
        <v>6</v>
      </c>
      <c r="F263" t="s">
        <v>56</v>
      </c>
      <c r="G263" t="s">
        <v>8</v>
      </c>
    </row>
    <row r="264" spans="1:7" x14ac:dyDescent="0.3">
      <c r="A264" t="s">
        <v>13</v>
      </c>
      <c r="B264" s="1">
        <v>45777</v>
      </c>
      <c r="C264">
        <v>560008</v>
      </c>
      <c r="D264">
        <v>-962.95799999999997</v>
      </c>
      <c r="E264" t="s">
        <v>6</v>
      </c>
      <c r="F264" t="s">
        <v>56</v>
      </c>
      <c r="G264" t="s">
        <v>8</v>
      </c>
    </row>
    <row r="265" spans="1:7" x14ac:dyDescent="0.3">
      <c r="A265" t="s">
        <v>13</v>
      </c>
      <c r="B265" s="1">
        <v>45777</v>
      </c>
      <c r="C265">
        <v>564008</v>
      </c>
      <c r="D265">
        <v>15.162000000000001</v>
      </c>
      <c r="E265" t="s">
        <v>6</v>
      </c>
      <c r="F265" t="s">
        <v>55</v>
      </c>
      <c r="G265" t="s">
        <v>8</v>
      </c>
    </row>
    <row r="266" spans="1:7" x14ac:dyDescent="0.3">
      <c r="A266" t="s">
        <v>13</v>
      </c>
      <c r="B266" s="1">
        <v>45777</v>
      </c>
      <c r="C266">
        <v>564020</v>
      </c>
      <c r="D266">
        <v>487.42099999999999</v>
      </c>
      <c r="E266" t="s">
        <v>6</v>
      </c>
      <c r="F266" t="s">
        <v>57</v>
      </c>
      <c r="G266" t="s">
        <v>8</v>
      </c>
    </row>
    <row r="267" spans="1:7" x14ac:dyDescent="0.3">
      <c r="A267" t="s">
        <v>13</v>
      </c>
      <c r="B267" s="1">
        <v>45777</v>
      </c>
      <c r="C267">
        <v>564021</v>
      </c>
      <c r="D267">
        <v>19.001999999999999</v>
      </c>
      <c r="E267" t="s">
        <v>6</v>
      </c>
      <c r="F267" t="s">
        <v>57</v>
      </c>
      <c r="G267" t="s">
        <v>8</v>
      </c>
    </row>
    <row r="268" spans="1:7" x14ac:dyDescent="0.3">
      <c r="A268" t="s">
        <v>13</v>
      </c>
      <c r="B268" s="1">
        <v>45777</v>
      </c>
      <c r="C268">
        <v>570002</v>
      </c>
      <c r="D268">
        <v>26.006</v>
      </c>
      <c r="E268" t="s">
        <v>6</v>
      </c>
      <c r="F268" t="s">
        <v>66</v>
      </c>
      <c r="G268" t="s">
        <v>8</v>
      </c>
    </row>
    <row r="269" spans="1:7" x14ac:dyDescent="0.3">
      <c r="A269" t="s">
        <v>14</v>
      </c>
      <c r="B269" s="1">
        <v>45777</v>
      </c>
      <c r="C269">
        <v>210002</v>
      </c>
      <c r="D269">
        <v>-3209.86</v>
      </c>
      <c r="E269" t="s">
        <v>4</v>
      </c>
      <c r="F269" t="s">
        <v>42</v>
      </c>
      <c r="G269" t="s">
        <v>8</v>
      </c>
    </row>
    <row r="270" spans="1:7" x14ac:dyDescent="0.3">
      <c r="A270" t="s">
        <v>14</v>
      </c>
      <c r="B270" s="1">
        <v>45777</v>
      </c>
      <c r="C270">
        <v>220006</v>
      </c>
      <c r="D270">
        <v>68743.247000000003</v>
      </c>
      <c r="E270" t="s">
        <v>4</v>
      </c>
      <c r="F270" t="s">
        <v>42</v>
      </c>
      <c r="G270" t="s">
        <v>8</v>
      </c>
    </row>
    <row r="271" spans="1:7" x14ac:dyDescent="0.3">
      <c r="A271" t="s">
        <v>14</v>
      </c>
      <c r="B271" s="1">
        <v>45777</v>
      </c>
      <c r="C271">
        <v>220011</v>
      </c>
      <c r="D271">
        <v>-28054.306</v>
      </c>
      <c r="E271" t="s">
        <v>4</v>
      </c>
      <c r="F271" t="s">
        <v>42</v>
      </c>
      <c r="G271" t="s">
        <v>8</v>
      </c>
    </row>
    <row r="272" spans="1:7" x14ac:dyDescent="0.3">
      <c r="A272" t="s">
        <v>14</v>
      </c>
      <c r="B272" s="1">
        <v>45777</v>
      </c>
      <c r="C272">
        <v>240002</v>
      </c>
      <c r="D272">
        <v>717.404</v>
      </c>
      <c r="E272" t="s">
        <v>4</v>
      </c>
      <c r="F272" t="s">
        <v>43</v>
      </c>
      <c r="G272" t="s">
        <v>8</v>
      </c>
    </row>
    <row r="273" spans="1:7" x14ac:dyDescent="0.3">
      <c r="A273" t="s">
        <v>14</v>
      </c>
      <c r="B273" s="1">
        <v>45777</v>
      </c>
      <c r="C273">
        <v>240003</v>
      </c>
      <c r="D273">
        <v>-28.890999999999998</v>
      </c>
      <c r="E273" t="s">
        <v>4</v>
      </c>
      <c r="F273" t="s">
        <v>43</v>
      </c>
      <c r="G273" t="s">
        <v>8</v>
      </c>
    </row>
    <row r="274" spans="1:7" x14ac:dyDescent="0.3">
      <c r="A274" t="s">
        <v>14</v>
      </c>
      <c r="B274" s="1">
        <v>45777</v>
      </c>
      <c r="C274">
        <v>240009</v>
      </c>
      <c r="D274">
        <v>-4978.8459999999995</v>
      </c>
      <c r="E274" t="s">
        <v>4</v>
      </c>
      <c r="F274" t="s">
        <v>43</v>
      </c>
      <c r="G274" t="s">
        <v>8</v>
      </c>
    </row>
    <row r="275" spans="1:7" x14ac:dyDescent="0.3">
      <c r="A275" t="s">
        <v>14</v>
      </c>
      <c r="B275" s="1">
        <v>45777</v>
      </c>
      <c r="C275">
        <v>242003</v>
      </c>
      <c r="D275">
        <v>-261369.538</v>
      </c>
      <c r="E275" t="s">
        <v>4</v>
      </c>
      <c r="F275" t="s">
        <v>43</v>
      </c>
      <c r="G275" t="s">
        <v>8</v>
      </c>
    </row>
    <row r="276" spans="1:7" x14ac:dyDescent="0.3">
      <c r="A276" t="s">
        <v>14</v>
      </c>
      <c r="B276" s="1">
        <v>45777</v>
      </c>
      <c r="C276">
        <v>242011</v>
      </c>
      <c r="D276">
        <v>196.31200000000001</v>
      </c>
      <c r="E276" t="s">
        <v>4</v>
      </c>
      <c r="F276" t="s">
        <v>43</v>
      </c>
      <c r="G276" t="s">
        <v>8</v>
      </c>
    </row>
    <row r="277" spans="1:7" x14ac:dyDescent="0.3">
      <c r="A277" t="s">
        <v>14</v>
      </c>
      <c r="B277" s="1">
        <v>45777</v>
      </c>
      <c r="C277">
        <v>242012</v>
      </c>
      <c r="D277">
        <v>-12334.335999999999</v>
      </c>
      <c r="E277" t="s">
        <v>4</v>
      </c>
      <c r="F277" t="s">
        <v>43</v>
      </c>
      <c r="G277" t="s">
        <v>8</v>
      </c>
    </row>
    <row r="278" spans="1:7" x14ac:dyDescent="0.3">
      <c r="A278" t="s">
        <v>14</v>
      </c>
      <c r="B278" s="1">
        <v>45777</v>
      </c>
      <c r="C278">
        <v>242013</v>
      </c>
      <c r="D278">
        <v>-9813.4509999999991</v>
      </c>
      <c r="E278" t="s">
        <v>4</v>
      </c>
      <c r="F278" t="s">
        <v>43</v>
      </c>
      <c r="G278" t="s">
        <v>8</v>
      </c>
    </row>
    <row r="279" spans="1:7" x14ac:dyDescent="0.3">
      <c r="A279" t="s">
        <v>14</v>
      </c>
      <c r="B279" s="1">
        <v>45777</v>
      </c>
      <c r="C279">
        <v>242014</v>
      </c>
      <c r="D279">
        <v>-23265.531999999999</v>
      </c>
      <c r="E279" t="s">
        <v>4</v>
      </c>
      <c r="F279" t="s">
        <v>43</v>
      </c>
      <c r="G279" t="s">
        <v>8</v>
      </c>
    </row>
    <row r="280" spans="1:7" x14ac:dyDescent="0.3">
      <c r="A280" t="s">
        <v>14</v>
      </c>
      <c r="B280" s="1">
        <v>45777</v>
      </c>
      <c r="C280">
        <v>242027</v>
      </c>
      <c r="D280">
        <v>-12917.705</v>
      </c>
      <c r="E280" t="s">
        <v>4</v>
      </c>
      <c r="F280" t="s">
        <v>43</v>
      </c>
      <c r="G280" t="s">
        <v>8</v>
      </c>
    </row>
    <row r="281" spans="1:7" x14ac:dyDescent="0.3">
      <c r="A281" t="s">
        <v>14</v>
      </c>
      <c r="B281" s="1">
        <v>45777</v>
      </c>
      <c r="C281">
        <v>242041</v>
      </c>
      <c r="D281">
        <v>-3575.6840000000002</v>
      </c>
      <c r="E281" t="s">
        <v>4</v>
      </c>
      <c r="F281" t="s">
        <v>43</v>
      </c>
      <c r="G281" t="s">
        <v>8</v>
      </c>
    </row>
    <row r="282" spans="1:7" x14ac:dyDescent="0.3">
      <c r="A282" t="s">
        <v>14</v>
      </c>
      <c r="B282" s="1">
        <v>45777</v>
      </c>
      <c r="C282">
        <v>243002</v>
      </c>
      <c r="D282">
        <v>-9225.5190000000002</v>
      </c>
      <c r="E282" t="s">
        <v>4</v>
      </c>
      <c r="F282" t="s">
        <v>43</v>
      </c>
      <c r="G282" t="s">
        <v>8</v>
      </c>
    </row>
    <row r="283" spans="1:7" x14ac:dyDescent="0.3">
      <c r="A283" t="s">
        <v>14</v>
      </c>
      <c r="B283" s="1">
        <v>45777</v>
      </c>
      <c r="C283">
        <v>243007</v>
      </c>
      <c r="D283">
        <v>-10191.691000000001</v>
      </c>
      <c r="E283" t="s">
        <v>4</v>
      </c>
      <c r="F283" t="s">
        <v>43</v>
      </c>
      <c r="G283" t="s">
        <v>8</v>
      </c>
    </row>
    <row r="284" spans="1:7" x14ac:dyDescent="0.3">
      <c r="A284" t="s">
        <v>14</v>
      </c>
      <c r="B284" s="1">
        <v>45777</v>
      </c>
      <c r="C284">
        <v>243010</v>
      </c>
      <c r="D284">
        <v>-862.81</v>
      </c>
      <c r="E284" t="s">
        <v>4</v>
      </c>
      <c r="F284" t="s">
        <v>43</v>
      </c>
      <c r="G284" t="s">
        <v>8</v>
      </c>
    </row>
    <row r="285" spans="1:7" x14ac:dyDescent="0.3">
      <c r="A285" t="s">
        <v>14</v>
      </c>
      <c r="B285" s="1">
        <v>45777</v>
      </c>
      <c r="C285">
        <v>245010</v>
      </c>
      <c r="D285">
        <v>-4185.2690000000002</v>
      </c>
      <c r="E285" t="s">
        <v>4</v>
      </c>
      <c r="F285" t="s">
        <v>44</v>
      </c>
      <c r="G285" t="s">
        <v>8</v>
      </c>
    </row>
    <row r="286" spans="1:7" x14ac:dyDescent="0.3">
      <c r="A286" t="s">
        <v>14</v>
      </c>
      <c r="B286" s="1">
        <v>45777</v>
      </c>
      <c r="C286">
        <v>245055</v>
      </c>
      <c r="D286">
        <v>-4764.8230000000003</v>
      </c>
      <c r="E286" t="s">
        <v>4</v>
      </c>
      <c r="F286" t="s">
        <v>43</v>
      </c>
      <c r="G286" t="s">
        <v>8</v>
      </c>
    </row>
    <row r="287" spans="1:7" x14ac:dyDescent="0.3">
      <c r="A287" t="s">
        <v>14</v>
      </c>
      <c r="B287" s="1">
        <v>45777</v>
      </c>
      <c r="C287">
        <v>245062</v>
      </c>
      <c r="D287">
        <v>-347.94900000000001</v>
      </c>
      <c r="E287" t="s">
        <v>4</v>
      </c>
      <c r="F287" t="s">
        <v>43</v>
      </c>
      <c r="G287" t="s">
        <v>8</v>
      </c>
    </row>
    <row r="288" spans="1:7" x14ac:dyDescent="0.3">
      <c r="A288" t="s">
        <v>14</v>
      </c>
      <c r="B288" s="1">
        <v>45777</v>
      </c>
      <c r="C288">
        <v>250003</v>
      </c>
      <c r="D288">
        <v>-32975.177000000003</v>
      </c>
      <c r="E288" t="s">
        <v>4</v>
      </c>
      <c r="F288" t="s">
        <v>45</v>
      </c>
      <c r="G288" t="s">
        <v>8</v>
      </c>
    </row>
    <row r="289" spans="1:7" x14ac:dyDescent="0.3">
      <c r="A289" t="s">
        <v>14</v>
      </c>
      <c r="B289" s="1">
        <v>45777</v>
      </c>
      <c r="C289">
        <v>251002</v>
      </c>
      <c r="D289">
        <v>-4381.0410000000002</v>
      </c>
      <c r="E289" t="s">
        <v>4</v>
      </c>
      <c r="F289" t="s">
        <v>45</v>
      </c>
      <c r="G289" t="s">
        <v>8</v>
      </c>
    </row>
    <row r="290" spans="1:7" x14ac:dyDescent="0.3">
      <c r="A290" t="s">
        <v>14</v>
      </c>
      <c r="B290" s="1">
        <v>45777</v>
      </c>
      <c r="C290">
        <v>251005</v>
      </c>
      <c r="D290">
        <v>179.959</v>
      </c>
      <c r="E290" t="s">
        <v>4</v>
      </c>
      <c r="F290" t="s">
        <v>46</v>
      </c>
      <c r="G290" t="s">
        <v>8</v>
      </c>
    </row>
    <row r="291" spans="1:7" x14ac:dyDescent="0.3">
      <c r="A291" t="s">
        <v>14</v>
      </c>
      <c r="B291" s="1">
        <v>45777</v>
      </c>
      <c r="C291">
        <v>257005</v>
      </c>
      <c r="D291">
        <v>5687.3649999999998</v>
      </c>
      <c r="E291" t="s">
        <v>4</v>
      </c>
      <c r="F291" t="s">
        <v>45</v>
      </c>
      <c r="G291" t="s">
        <v>8</v>
      </c>
    </row>
    <row r="292" spans="1:7" x14ac:dyDescent="0.3">
      <c r="A292" t="s">
        <v>14</v>
      </c>
      <c r="B292" s="1">
        <v>45777</v>
      </c>
      <c r="C292">
        <v>257008</v>
      </c>
      <c r="D292">
        <v>-1034.8989999999999</v>
      </c>
      <c r="E292" t="s">
        <v>4</v>
      </c>
      <c r="F292" t="s">
        <v>45</v>
      </c>
      <c r="G292" t="s">
        <v>8</v>
      </c>
    </row>
    <row r="293" spans="1:7" x14ac:dyDescent="0.3">
      <c r="A293" t="s">
        <v>14</v>
      </c>
      <c r="B293" s="1">
        <v>45777</v>
      </c>
      <c r="C293">
        <v>257014</v>
      </c>
      <c r="D293">
        <v>1782.8230000000001</v>
      </c>
      <c r="E293" t="s">
        <v>4</v>
      </c>
      <c r="F293" t="s">
        <v>45</v>
      </c>
      <c r="G293" t="s">
        <v>8</v>
      </c>
    </row>
    <row r="294" spans="1:7" x14ac:dyDescent="0.3">
      <c r="A294" t="s">
        <v>14</v>
      </c>
      <c r="B294" s="1">
        <v>45777</v>
      </c>
      <c r="C294">
        <v>257030</v>
      </c>
      <c r="D294">
        <v>-12431.094999999999</v>
      </c>
      <c r="E294" t="s">
        <v>4</v>
      </c>
      <c r="F294" t="s">
        <v>45</v>
      </c>
      <c r="G294" t="s">
        <v>8</v>
      </c>
    </row>
    <row r="295" spans="1:7" x14ac:dyDescent="0.3">
      <c r="A295" t="s">
        <v>14</v>
      </c>
      <c r="B295" s="1">
        <v>45777</v>
      </c>
      <c r="C295">
        <v>260004</v>
      </c>
      <c r="D295">
        <v>2434.9059999999999</v>
      </c>
      <c r="E295" t="s">
        <v>4</v>
      </c>
      <c r="F295" t="s">
        <v>45</v>
      </c>
      <c r="G295" t="s">
        <v>8</v>
      </c>
    </row>
    <row r="296" spans="1:7" x14ac:dyDescent="0.3">
      <c r="A296" t="s">
        <v>14</v>
      </c>
      <c r="B296" s="1">
        <v>45777</v>
      </c>
      <c r="C296">
        <v>270026</v>
      </c>
      <c r="D296">
        <v>-11644.344999999999</v>
      </c>
      <c r="E296" t="s">
        <v>4</v>
      </c>
      <c r="F296" t="s">
        <v>58</v>
      </c>
      <c r="G296" t="s">
        <v>8</v>
      </c>
    </row>
    <row r="297" spans="1:7" x14ac:dyDescent="0.3">
      <c r="A297" t="s">
        <v>14</v>
      </c>
      <c r="B297" s="1">
        <v>45777</v>
      </c>
      <c r="C297">
        <v>300004</v>
      </c>
      <c r="D297">
        <v>2087.8359999999998</v>
      </c>
      <c r="E297" t="s">
        <v>4</v>
      </c>
      <c r="F297" t="s">
        <v>65</v>
      </c>
      <c r="G297" t="s">
        <v>8</v>
      </c>
    </row>
    <row r="298" spans="1:7" x14ac:dyDescent="0.3">
      <c r="A298" t="s">
        <v>14</v>
      </c>
      <c r="B298" s="1">
        <v>45777</v>
      </c>
      <c r="C298">
        <v>300013</v>
      </c>
      <c r="D298">
        <v>8359.4390000000003</v>
      </c>
      <c r="E298" t="s">
        <v>4</v>
      </c>
      <c r="F298" t="s">
        <v>65</v>
      </c>
      <c r="G298" t="s">
        <v>8</v>
      </c>
    </row>
    <row r="299" spans="1:7" x14ac:dyDescent="0.3">
      <c r="A299" t="s">
        <v>14</v>
      </c>
      <c r="B299" s="1">
        <v>45777</v>
      </c>
      <c r="C299">
        <v>300014</v>
      </c>
      <c r="D299">
        <v>947.024</v>
      </c>
      <c r="E299" t="s">
        <v>4</v>
      </c>
      <c r="F299" t="s">
        <v>65</v>
      </c>
      <c r="G299" t="s">
        <v>8</v>
      </c>
    </row>
    <row r="300" spans="1:7" x14ac:dyDescent="0.3">
      <c r="A300" t="s">
        <v>14</v>
      </c>
      <c r="B300" s="1">
        <v>45777</v>
      </c>
      <c r="C300">
        <v>300504</v>
      </c>
      <c r="D300">
        <v>-2087.8359999999998</v>
      </c>
      <c r="E300" t="s">
        <v>4</v>
      </c>
      <c r="F300" t="s">
        <v>65</v>
      </c>
      <c r="G300" t="s">
        <v>8</v>
      </c>
    </row>
    <row r="301" spans="1:7" x14ac:dyDescent="0.3">
      <c r="A301" t="s">
        <v>14</v>
      </c>
      <c r="B301" s="1">
        <v>45777</v>
      </c>
      <c r="C301">
        <v>300513</v>
      </c>
      <c r="D301">
        <v>-8206.9339999999993</v>
      </c>
      <c r="E301" t="s">
        <v>4</v>
      </c>
      <c r="F301" t="s">
        <v>65</v>
      </c>
      <c r="G301" t="s">
        <v>8</v>
      </c>
    </row>
    <row r="302" spans="1:7" x14ac:dyDescent="0.3">
      <c r="A302" t="s">
        <v>14</v>
      </c>
      <c r="B302" s="1">
        <v>45777</v>
      </c>
      <c r="C302">
        <v>300514</v>
      </c>
      <c r="D302">
        <v>-772.03800000000001</v>
      </c>
      <c r="E302" t="s">
        <v>4</v>
      </c>
      <c r="F302" t="s">
        <v>65</v>
      </c>
      <c r="G302" t="s">
        <v>8</v>
      </c>
    </row>
    <row r="303" spans="1:7" x14ac:dyDescent="0.3">
      <c r="A303" t="s">
        <v>14</v>
      </c>
      <c r="B303" s="1">
        <v>45777</v>
      </c>
      <c r="C303">
        <v>301004</v>
      </c>
      <c r="D303">
        <v>4183.3630000000003</v>
      </c>
      <c r="E303" t="s">
        <v>4</v>
      </c>
      <c r="F303" t="s">
        <v>65</v>
      </c>
      <c r="G303" t="s">
        <v>8</v>
      </c>
    </row>
    <row r="304" spans="1:7" x14ac:dyDescent="0.3">
      <c r="A304" t="s">
        <v>14</v>
      </c>
      <c r="B304" s="1">
        <v>45777</v>
      </c>
      <c r="C304">
        <v>301504</v>
      </c>
      <c r="D304">
        <v>-4069.7020000000002</v>
      </c>
      <c r="E304" t="s">
        <v>4</v>
      </c>
      <c r="F304" t="s">
        <v>65</v>
      </c>
      <c r="G304" t="s">
        <v>8</v>
      </c>
    </row>
    <row r="305" spans="1:7" x14ac:dyDescent="0.3">
      <c r="A305" t="s">
        <v>14</v>
      </c>
      <c r="B305" s="1">
        <v>45777</v>
      </c>
      <c r="C305">
        <v>320002</v>
      </c>
      <c r="D305">
        <v>94440.758000000002</v>
      </c>
      <c r="E305" t="s">
        <v>4</v>
      </c>
      <c r="F305" t="s">
        <v>46</v>
      </c>
      <c r="G305" t="s">
        <v>8</v>
      </c>
    </row>
    <row r="306" spans="1:7" x14ac:dyDescent="0.3">
      <c r="A306" t="s">
        <v>14</v>
      </c>
      <c r="B306" s="1">
        <v>45777</v>
      </c>
      <c r="C306">
        <v>320003</v>
      </c>
      <c r="D306">
        <v>92358.801000000007</v>
      </c>
      <c r="E306" t="s">
        <v>4</v>
      </c>
      <c r="F306" t="s">
        <v>46</v>
      </c>
      <c r="G306" t="s">
        <v>8</v>
      </c>
    </row>
    <row r="307" spans="1:7" x14ac:dyDescent="0.3">
      <c r="A307" t="s">
        <v>14</v>
      </c>
      <c r="B307" s="1">
        <v>45777</v>
      </c>
      <c r="C307">
        <v>320004</v>
      </c>
      <c r="D307">
        <v>1356.095</v>
      </c>
      <c r="E307" t="s">
        <v>4</v>
      </c>
      <c r="F307" t="s">
        <v>46</v>
      </c>
      <c r="G307" t="s">
        <v>8</v>
      </c>
    </row>
    <row r="308" spans="1:7" x14ac:dyDescent="0.3">
      <c r="A308" t="s">
        <v>14</v>
      </c>
      <c r="B308" s="1">
        <v>45777</v>
      </c>
      <c r="C308">
        <v>320023</v>
      </c>
      <c r="D308">
        <v>-61776.837</v>
      </c>
      <c r="E308" t="s">
        <v>4</v>
      </c>
      <c r="F308" t="s">
        <v>46</v>
      </c>
      <c r="G308" t="s">
        <v>8</v>
      </c>
    </row>
    <row r="309" spans="1:7" x14ac:dyDescent="0.3">
      <c r="A309" t="s">
        <v>14</v>
      </c>
      <c r="B309" s="1">
        <v>45777</v>
      </c>
      <c r="C309">
        <v>320025</v>
      </c>
      <c r="D309">
        <v>20672.742999999999</v>
      </c>
      <c r="E309" t="s">
        <v>4</v>
      </c>
      <c r="F309" t="s">
        <v>46</v>
      </c>
      <c r="G309" t="s">
        <v>8</v>
      </c>
    </row>
    <row r="310" spans="1:7" x14ac:dyDescent="0.3">
      <c r="A310" t="s">
        <v>14</v>
      </c>
      <c r="B310" s="1">
        <v>45777</v>
      </c>
      <c r="C310">
        <v>321002</v>
      </c>
      <c r="D310">
        <v>11.561999999999999</v>
      </c>
      <c r="E310" t="s">
        <v>4</v>
      </c>
      <c r="F310" t="s">
        <v>46</v>
      </c>
      <c r="G310" t="s">
        <v>8</v>
      </c>
    </row>
    <row r="311" spans="1:7" x14ac:dyDescent="0.3">
      <c r="A311" t="s">
        <v>14</v>
      </c>
      <c r="B311" s="1">
        <v>45777</v>
      </c>
      <c r="C311">
        <v>321012</v>
      </c>
      <c r="D311">
        <v>6243.2309999999998</v>
      </c>
      <c r="E311" t="s">
        <v>4</v>
      </c>
      <c r="F311" t="s">
        <v>46</v>
      </c>
      <c r="G311" t="s">
        <v>8</v>
      </c>
    </row>
    <row r="312" spans="1:7" x14ac:dyDescent="0.3">
      <c r="A312" t="s">
        <v>14</v>
      </c>
      <c r="B312" s="1">
        <v>45777</v>
      </c>
      <c r="C312">
        <v>321014</v>
      </c>
      <c r="D312">
        <v>3657.623</v>
      </c>
      <c r="E312" t="s">
        <v>4</v>
      </c>
      <c r="F312" t="s">
        <v>46</v>
      </c>
      <c r="G312" t="s">
        <v>8</v>
      </c>
    </row>
    <row r="313" spans="1:7" x14ac:dyDescent="0.3">
      <c r="A313" t="s">
        <v>14</v>
      </c>
      <c r="B313" s="1">
        <v>45777</v>
      </c>
      <c r="C313">
        <v>321025</v>
      </c>
      <c r="D313">
        <v>2736.1179999999999</v>
      </c>
      <c r="E313" t="s">
        <v>4</v>
      </c>
      <c r="F313" t="s">
        <v>46</v>
      </c>
      <c r="G313" t="s">
        <v>8</v>
      </c>
    </row>
    <row r="314" spans="1:7" x14ac:dyDescent="0.3">
      <c r="A314" t="s">
        <v>14</v>
      </c>
      <c r="B314" s="1">
        <v>45777</v>
      </c>
      <c r="C314">
        <v>321028</v>
      </c>
      <c r="D314">
        <v>6214.5829999999996</v>
      </c>
      <c r="E314" t="s">
        <v>4</v>
      </c>
      <c r="F314" t="s">
        <v>46</v>
      </c>
      <c r="G314" t="s">
        <v>8</v>
      </c>
    </row>
    <row r="315" spans="1:7" x14ac:dyDescent="0.3">
      <c r="A315" t="s">
        <v>14</v>
      </c>
      <c r="B315" s="1">
        <v>45777</v>
      </c>
      <c r="C315">
        <v>321029</v>
      </c>
      <c r="D315">
        <v>5041.6180000000004</v>
      </c>
      <c r="E315" t="s">
        <v>4</v>
      </c>
      <c r="F315" t="s">
        <v>46</v>
      </c>
      <c r="G315" t="s">
        <v>8</v>
      </c>
    </row>
    <row r="316" spans="1:7" x14ac:dyDescent="0.3">
      <c r="A316" t="s">
        <v>14</v>
      </c>
      <c r="B316" s="1">
        <v>45777</v>
      </c>
      <c r="C316">
        <v>340057</v>
      </c>
      <c r="D316">
        <v>179691.94</v>
      </c>
      <c r="E316" t="s">
        <v>4</v>
      </c>
      <c r="F316" t="s">
        <v>47</v>
      </c>
      <c r="G316" t="s">
        <v>8</v>
      </c>
    </row>
    <row r="317" spans="1:7" x14ac:dyDescent="0.3">
      <c r="A317" t="s">
        <v>14</v>
      </c>
      <c r="B317" s="1">
        <v>45777</v>
      </c>
      <c r="C317">
        <v>350003</v>
      </c>
      <c r="D317">
        <v>732.78499999999997</v>
      </c>
      <c r="E317" t="s">
        <v>4</v>
      </c>
      <c r="F317" t="s">
        <v>49</v>
      </c>
      <c r="G317" t="s">
        <v>8</v>
      </c>
    </row>
    <row r="318" spans="1:7" x14ac:dyDescent="0.3">
      <c r="A318" t="s">
        <v>14</v>
      </c>
      <c r="B318" s="1">
        <v>45777</v>
      </c>
      <c r="C318">
        <v>350031</v>
      </c>
      <c r="D318">
        <v>4978.8459999999995</v>
      </c>
      <c r="E318" t="s">
        <v>4</v>
      </c>
      <c r="F318" t="s">
        <v>43</v>
      </c>
      <c r="G318" t="s">
        <v>8</v>
      </c>
    </row>
    <row r="319" spans="1:7" x14ac:dyDescent="0.3">
      <c r="A319" t="s">
        <v>14</v>
      </c>
      <c r="B319" s="1">
        <v>45777</v>
      </c>
      <c r="C319">
        <v>352002</v>
      </c>
      <c r="D319">
        <v>1350.74</v>
      </c>
      <c r="E319" t="s">
        <v>4</v>
      </c>
      <c r="F319" t="s">
        <v>48</v>
      </c>
      <c r="G319" t="s">
        <v>8</v>
      </c>
    </row>
    <row r="320" spans="1:7" x14ac:dyDescent="0.3">
      <c r="A320" t="s">
        <v>14</v>
      </c>
      <c r="B320" s="1">
        <v>45777</v>
      </c>
      <c r="C320">
        <v>354012</v>
      </c>
      <c r="D320">
        <v>138.47</v>
      </c>
      <c r="E320" t="s">
        <v>4</v>
      </c>
      <c r="F320" t="s">
        <v>46</v>
      </c>
      <c r="G320" t="s">
        <v>8</v>
      </c>
    </row>
    <row r="321" spans="1:7" x14ac:dyDescent="0.3">
      <c r="A321" t="s">
        <v>14</v>
      </c>
      <c r="B321" s="1">
        <v>45777</v>
      </c>
      <c r="C321">
        <v>354014</v>
      </c>
      <c r="D321">
        <v>3844.5140000000001</v>
      </c>
      <c r="E321" t="s">
        <v>4</v>
      </c>
      <c r="F321" t="s">
        <v>46</v>
      </c>
      <c r="G321" t="s">
        <v>8</v>
      </c>
    </row>
    <row r="322" spans="1:7" x14ac:dyDescent="0.3">
      <c r="A322" t="s">
        <v>14</v>
      </c>
      <c r="B322" s="1">
        <v>45777</v>
      </c>
      <c r="C322">
        <v>354015</v>
      </c>
      <c r="D322">
        <v>12365.607</v>
      </c>
      <c r="E322" t="s">
        <v>4</v>
      </c>
      <c r="F322" t="s">
        <v>46</v>
      </c>
      <c r="G322" t="s">
        <v>8</v>
      </c>
    </row>
    <row r="323" spans="1:7" x14ac:dyDescent="0.3">
      <c r="A323" t="s">
        <v>14</v>
      </c>
      <c r="B323" s="1">
        <v>45777</v>
      </c>
      <c r="C323">
        <v>355002</v>
      </c>
      <c r="D323">
        <v>208.643</v>
      </c>
      <c r="E323" t="s">
        <v>4</v>
      </c>
      <c r="F323" t="s">
        <v>49</v>
      </c>
      <c r="G323" t="s">
        <v>8</v>
      </c>
    </row>
    <row r="324" spans="1:7" x14ac:dyDescent="0.3">
      <c r="A324" t="s">
        <v>14</v>
      </c>
      <c r="B324" s="1">
        <v>45777</v>
      </c>
      <c r="C324">
        <v>360022</v>
      </c>
      <c r="D324">
        <v>3747.0619999999999</v>
      </c>
      <c r="E324" t="s">
        <v>4</v>
      </c>
      <c r="F324" t="s">
        <v>58</v>
      </c>
      <c r="G324" t="s">
        <v>8</v>
      </c>
    </row>
    <row r="325" spans="1:7" x14ac:dyDescent="0.3">
      <c r="A325" t="s">
        <v>14</v>
      </c>
      <c r="B325" s="1">
        <v>45777</v>
      </c>
      <c r="C325">
        <v>360026</v>
      </c>
      <c r="D325">
        <v>3747.0619999999999</v>
      </c>
      <c r="E325" t="s">
        <v>4</v>
      </c>
      <c r="F325" t="s">
        <v>58</v>
      </c>
      <c r="G325" t="s">
        <v>8</v>
      </c>
    </row>
    <row r="326" spans="1:7" x14ac:dyDescent="0.3">
      <c r="A326" t="s">
        <v>14</v>
      </c>
      <c r="B326" s="1">
        <v>45777</v>
      </c>
      <c r="C326">
        <v>360028</v>
      </c>
      <c r="D326">
        <v>2810.1109999999999</v>
      </c>
      <c r="E326" t="s">
        <v>4</v>
      </c>
      <c r="F326" t="s">
        <v>58</v>
      </c>
      <c r="G326" t="s">
        <v>8</v>
      </c>
    </row>
    <row r="327" spans="1:7" x14ac:dyDescent="0.3">
      <c r="A327" t="s">
        <v>14</v>
      </c>
      <c r="B327" s="1">
        <v>45777</v>
      </c>
      <c r="C327">
        <v>372004</v>
      </c>
      <c r="D327">
        <v>236.536</v>
      </c>
      <c r="E327" t="s">
        <v>4</v>
      </c>
      <c r="F327" t="s">
        <v>45</v>
      </c>
      <c r="G327" t="s">
        <v>8</v>
      </c>
    </row>
    <row r="328" spans="1:7" x14ac:dyDescent="0.3">
      <c r="A328" t="s">
        <v>14</v>
      </c>
      <c r="B328" s="1">
        <v>45777</v>
      </c>
      <c r="C328">
        <v>400004</v>
      </c>
      <c r="D328">
        <v>-24057.596000000001</v>
      </c>
      <c r="E328" t="s">
        <v>6</v>
      </c>
      <c r="F328" t="s">
        <v>50</v>
      </c>
      <c r="G328" t="s">
        <v>8</v>
      </c>
    </row>
    <row r="329" spans="1:7" x14ac:dyDescent="0.3">
      <c r="A329" t="s">
        <v>14</v>
      </c>
      <c r="B329" s="1">
        <v>45777</v>
      </c>
      <c r="C329">
        <v>400008</v>
      </c>
      <c r="D329">
        <v>-56.494</v>
      </c>
      <c r="E329" t="s">
        <v>6</v>
      </c>
      <c r="F329" t="s">
        <v>50</v>
      </c>
      <c r="G329" t="s">
        <v>8</v>
      </c>
    </row>
    <row r="330" spans="1:7" x14ac:dyDescent="0.3">
      <c r="A330" t="s">
        <v>14</v>
      </c>
      <c r="B330" s="1">
        <v>45777</v>
      </c>
      <c r="C330">
        <v>410009</v>
      </c>
      <c r="D330">
        <v>-1051.7750000000001</v>
      </c>
      <c r="E330" t="s">
        <v>6</v>
      </c>
      <c r="F330" t="s">
        <v>51</v>
      </c>
      <c r="G330" t="s">
        <v>8</v>
      </c>
    </row>
    <row r="331" spans="1:7" x14ac:dyDescent="0.3">
      <c r="A331" t="s">
        <v>14</v>
      </c>
      <c r="B331" s="1">
        <v>45777</v>
      </c>
      <c r="C331">
        <v>410032</v>
      </c>
      <c r="D331">
        <v>-1300.1279999999999</v>
      </c>
      <c r="E331" t="s">
        <v>6</v>
      </c>
      <c r="F331" t="s">
        <v>51</v>
      </c>
      <c r="G331" t="s">
        <v>8</v>
      </c>
    </row>
    <row r="332" spans="1:7" x14ac:dyDescent="0.3">
      <c r="A332" t="s">
        <v>14</v>
      </c>
      <c r="B332" s="1">
        <v>45777</v>
      </c>
      <c r="C332">
        <v>410036</v>
      </c>
      <c r="D332">
        <v>-835.84799999999996</v>
      </c>
      <c r="E332" t="s">
        <v>6</v>
      </c>
      <c r="F332" t="s">
        <v>51</v>
      </c>
      <c r="G332" t="s">
        <v>8</v>
      </c>
    </row>
    <row r="333" spans="1:7" x14ac:dyDescent="0.3">
      <c r="A333" t="s">
        <v>14</v>
      </c>
      <c r="B333" s="1">
        <v>45777</v>
      </c>
      <c r="C333">
        <v>410037</v>
      </c>
      <c r="D333">
        <v>-780.03700000000003</v>
      </c>
      <c r="E333" t="s">
        <v>6</v>
      </c>
      <c r="F333" t="s">
        <v>51</v>
      </c>
      <c r="G333" t="s">
        <v>8</v>
      </c>
    </row>
    <row r="334" spans="1:7" x14ac:dyDescent="0.3">
      <c r="A334" t="s">
        <v>14</v>
      </c>
      <c r="B334" s="1">
        <v>45777</v>
      </c>
      <c r="C334">
        <v>415002</v>
      </c>
      <c r="D334">
        <v>-516.78899999999999</v>
      </c>
      <c r="E334" t="s">
        <v>6</v>
      </c>
      <c r="F334" t="s">
        <v>50</v>
      </c>
      <c r="G334" t="s">
        <v>8</v>
      </c>
    </row>
    <row r="335" spans="1:7" x14ac:dyDescent="0.3">
      <c r="A335" t="s">
        <v>14</v>
      </c>
      <c r="B335" s="1">
        <v>45777</v>
      </c>
      <c r="C335">
        <v>415004</v>
      </c>
      <c r="D335">
        <v>7838.0950000000003</v>
      </c>
      <c r="E335" t="s">
        <v>6</v>
      </c>
      <c r="F335" t="s">
        <v>50</v>
      </c>
      <c r="G335" t="s">
        <v>8</v>
      </c>
    </row>
    <row r="336" spans="1:7" x14ac:dyDescent="0.3">
      <c r="A336" t="s">
        <v>14</v>
      </c>
      <c r="B336" s="1">
        <v>45777</v>
      </c>
      <c r="C336">
        <v>418003</v>
      </c>
      <c r="D336">
        <v>-154.07300000000001</v>
      </c>
      <c r="E336" t="s">
        <v>6</v>
      </c>
      <c r="F336" t="s">
        <v>51</v>
      </c>
      <c r="G336" t="s">
        <v>8</v>
      </c>
    </row>
    <row r="337" spans="1:7" x14ac:dyDescent="0.3">
      <c r="A337" t="s">
        <v>14</v>
      </c>
      <c r="B337" s="1">
        <v>45777</v>
      </c>
      <c r="C337">
        <v>421002</v>
      </c>
      <c r="D337">
        <v>-29.207000000000001</v>
      </c>
      <c r="E337" t="s">
        <v>6</v>
      </c>
      <c r="F337" t="s">
        <v>52</v>
      </c>
      <c r="G337" t="s">
        <v>8</v>
      </c>
    </row>
    <row r="338" spans="1:7" x14ac:dyDescent="0.3">
      <c r="A338" t="s">
        <v>14</v>
      </c>
      <c r="B338" s="1">
        <v>45777</v>
      </c>
      <c r="C338">
        <v>421003</v>
      </c>
      <c r="D338">
        <v>-11477.147999999999</v>
      </c>
      <c r="E338" t="s">
        <v>6</v>
      </c>
      <c r="F338" t="s">
        <v>52</v>
      </c>
      <c r="G338" t="s">
        <v>8</v>
      </c>
    </row>
    <row r="339" spans="1:7" x14ac:dyDescent="0.3">
      <c r="A339" t="s">
        <v>14</v>
      </c>
      <c r="B339" s="1">
        <v>45777</v>
      </c>
      <c r="C339">
        <v>421007</v>
      </c>
      <c r="D339">
        <v>-1783.691</v>
      </c>
      <c r="E339" t="s">
        <v>6</v>
      </c>
      <c r="F339" t="s">
        <v>52</v>
      </c>
      <c r="G339" t="s">
        <v>8</v>
      </c>
    </row>
    <row r="340" spans="1:7" x14ac:dyDescent="0.3">
      <c r="A340" t="s">
        <v>14</v>
      </c>
      <c r="B340" s="1">
        <v>45777</v>
      </c>
      <c r="C340">
        <v>510002</v>
      </c>
      <c r="D340">
        <v>7736.0429999999997</v>
      </c>
      <c r="E340" t="s">
        <v>6</v>
      </c>
      <c r="F340" t="s">
        <v>53</v>
      </c>
      <c r="G340" t="s">
        <v>8</v>
      </c>
    </row>
    <row r="341" spans="1:7" x14ac:dyDescent="0.3">
      <c r="A341" t="s">
        <v>14</v>
      </c>
      <c r="B341" s="1">
        <v>45777</v>
      </c>
      <c r="C341">
        <v>510007</v>
      </c>
      <c r="D341">
        <v>347.94900000000001</v>
      </c>
      <c r="E341" t="s">
        <v>6</v>
      </c>
      <c r="F341" t="s">
        <v>53</v>
      </c>
      <c r="G341" t="s">
        <v>8</v>
      </c>
    </row>
    <row r="342" spans="1:7" x14ac:dyDescent="0.3">
      <c r="A342" t="s">
        <v>14</v>
      </c>
      <c r="B342" s="1">
        <v>45777</v>
      </c>
      <c r="C342">
        <v>510015</v>
      </c>
      <c r="D342">
        <v>1488.8720000000001</v>
      </c>
      <c r="E342" t="s">
        <v>6</v>
      </c>
      <c r="F342" t="s">
        <v>53</v>
      </c>
      <c r="G342" t="s">
        <v>8</v>
      </c>
    </row>
    <row r="343" spans="1:7" x14ac:dyDescent="0.3">
      <c r="A343" t="s">
        <v>14</v>
      </c>
      <c r="B343" s="1">
        <v>45777</v>
      </c>
      <c r="C343">
        <v>510062</v>
      </c>
      <c r="D343">
        <v>316.49200000000002</v>
      </c>
      <c r="E343" t="s">
        <v>6</v>
      </c>
      <c r="F343" t="s">
        <v>53</v>
      </c>
      <c r="G343" t="s">
        <v>8</v>
      </c>
    </row>
    <row r="344" spans="1:7" x14ac:dyDescent="0.3">
      <c r="A344" t="s">
        <v>14</v>
      </c>
      <c r="B344" s="1">
        <v>45777</v>
      </c>
      <c r="C344">
        <v>520020</v>
      </c>
      <c r="D344">
        <v>4.7469999999999999</v>
      </c>
      <c r="E344" t="s">
        <v>6</v>
      </c>
      <c r="F344" t="s">
        <v>53</v>
      </c>
      <c r="G344" t="s">
        <v>8</v>
      </c>
    </row>
    <row r="345" spans="1:7" x14ac:dyDescent="0.3">
      <c r="A345" t="s">
        <v>14</v>
      </c>
      <c r="B345" s="1">
        <v>45777</v>
      </c>
      <c r="C345">
        <v>541010</v>
      </c>
      <c r="D345">
        <v>45.625</v>
      </c>
      <c r="E345" t="s">
        <v>6</v>
      </c>
      <c r="F345" t="s">
        <v>61</v>
      </c>
      <c r="G345" t="s">
        <v>8</v>
      </c>
    </row>
    <row r="346" spans="1:7" x14ac:dyDescent="0.3">
      <c r="A346" t="s">
        <v>14</v>
      </c>
      <c r="B346" s="1">
        <v>45777</v>
      </c>
      <c r="C346">
        <v>544006</v>
      </c>
      <c r="D346">
        <v>-5854.3969999999999</v>
      </c>
      <c r="E346" t="s">
        <v>6</v>
      </c>
      <c r="F346" t="s">
        <v>61</v>
      </c>
      <c r="G346" t="s">
        <v>8</v>
      </c>
    </row>
    <row r="347" spans="1:7" x14ac:dyDescent="0.3">
      <c r="A347" t="s">
        <v>14</v>
      </c>
      <c r="B347" s="1">
        <v>45777</v>
      </c>
      <c r="C347">
        <v>546002</v>
      </c>
      <c r="D347">
        <v>14273.164000000001</v>
      </c>
      <c r="E347" t="s">
        <v>6</v>
      </c>
      <c r="F347" t="s">
        <v>51</v>
      </c>
      <c r="G347" t="s">
        <v>8</v>
      </c>
    </row>
    <row r="348" spans="1:7" x14ac:dyDescent="0.3">
      <c r="A348" t="s">
        <v>14</v>
      </c>
      <c r="B348" s="1">
        <v>45777</v>
      </c>
      <c r="C348">
        <v>546008</v>
      </c>
      <c r="D348">
        <v>1072.223</v>
      </c>
      <c r="E348" t="s">
        <v>6</v>
      </c>
      <c r="F348" t="s">
        <v>51</v>
      </c>
      <c r="G348" t="s">
        <v>8</v>
      </c>
    </row>
    <row r="349" spans="1:7" x14ac:dyDescent="0.3">
      <c r="A349" t="s">
        <v>14</v>
      </c>
      <c r="B349" s="1">
        <v>45777</v>
      </c>
      <c r="C349">
        <v>546035</v>
      </c>
      <c r="D349">
        <v>784.29899999999998</v>
      </c>
      <c r="E349" t="s">
        <v>6</v>
      </c>
      <c r="F349" t="s">
        <v>51</v>
      </c>
      <c r="G349" t="s">
        <v>8</v>
      </c>
    </row>
    <row r="350" spans="1:7" x14ac:dyDescent="0.3">
      <c r="A350" t="s">
        <v>14</v>
      </c>
      <c r="B350" s="1">
        <v>45777</v>
      </c>
      <c r="C350">
        <v>550003</v>
      </c>
      <c r="D350">
        <v>-746.947</v>
      </c>
      <c r="E350" t="s">
        <v>6</v>
      </c>
      <c r="F350" t="s">
        <v>62</v>
      </c>
      <c r="G350" t="s">
        <v>8</v>
      </c>
    </row>
    <row r="351" spans="1:7" x14ac:dyDescent="0.3">
      <c r="A351" t="s">
        <v>14</v>
      </c>
      <c r="B351" s="1">
        <v>45777</v>
      </c>
      <c r="C351">
        <v>551003</v>
      </c>
      <c r="D351">
        <v>1502.2149999999999</v>
      </c>
      <c r="E351" t="s">
        <v>6</v>
      </c>
      <c r="F351" t="s">
        <v>63</v>
      </c>
      <c r="G351" t="s">
        <v>8</v>
      </c>
    </row>
    <row r="352" spans="1:7" x14ac:dyDescent="0.3">
      <c r="A352" t="s">
        <v>14</v>
      </c>
      <c r="B352" s="1">
        <v>45777</v>
      </c>
      <c r="C352">
        <v>554005</v>
      </c>
      <c r="D352">
        <v>228.60499999999999</v>
      </c>
      <c r="E352" t="s">
        <v>6</v>
      </c>
      <c r="F352" t="s">
        <v>55</v>
      </c>
      <c r="G352" t="s">
        <v>8</v>
      </c>
    </row>
    <row r="353" spans="1:7" x14ac:dyDescent="0.3">
      <c r="A353" t="s">
        <v>14</v>
      </c>
      <c r="B353" s="1">
        <v>45777</v>
      </c>
      <c r="C353">
        <v>554008</v>
      </c>
      <c r="D353">
        <v>16.099</v>
      </c>
      <c r="E353" t="s">
        <v>6</v>
      </c>
      <c r="F353" t="s">
        <v>55</v>
      </c>
      <c r="G353" t="s">
        <v>8</v>
      </c>
    </row>
    <row r="354" spans="1:7" x14ac:dyDescent="0.3">
      <c r="A354" t="s">
        <v>14</v>
      </c>
      <c r="B354" s="1">
        <v>45777</v>
      </c>
      <c r="C354">
        <v>555007</v>
      </c>
      <c r="D354">
        <v>234.23099999999999</v>
      </c>
      <c r="E354" t="s">
        <v>6</v>
      </c>
      <c r="F354" t="s">
        <v>55</v>
      </c>
      <c r="G354" t="s">
        <v>8</v>
      </c>
    </row>
    <row r="355" spans="1:7" x14ac:dyDescent="0.3">
      <c r="A355" t="s">
        <v>14</v>
      </c>
      <c r="B355" s="1">
        <v>45777</v>
      </c>
      <c r="C355">
        <v>555508</v>
      </c>
      <c r="D355">
        <v>8.0990000000000002</v>
      </c>
      <c r="E355" t="s">
        <v>6</v>
      </c>
      <c r="F355" t="s">
        <v>55</v>
      </c>
      <c r="G355" t="s">
        <v>8</v>
      </c>
    </row>
    <row r="356" spans="1:7" x14ac:dyDescent="0.3">
      <c r="A356" t="s">
        <v>14</v>
      </c>
      <c r="B356" s="1">
        <v>45777</v>
      </c>
      <c r="C356">
        <v>556002</v>
      </c>
      <c r="D356">
        <v>53.76</v>
      </c>
      <c r="E356" t="s">
        <v>6</v>
      </c>
      <c r="F356" t="s">
        <v>60</v>
      </c>
      <c r="G356" t="s">
        <v>8</v>
      </c>
    </row>
    <row r="357" spans="1:7" x14ac:dyDescent="0.3">
      <c r="A357" t="s">
        <v>14</v>
      </c>
      <c r="B357" s="1">
        <v>45777</v>
      </c>
      <c r="C357">
        <v>557002</v>
      </c>
      <c r="D357">
        <v>-974.27499999999998</v>
      </c>
      <c r="E357" t="s">
        <v>6</v>
      </c>
      <c r="F357" t="s">
        <v>56</v>
      </c>
      <c r="G357" t="s">
        <v>8</v>
      </c>
    </row>
    <row r="358" spans="1:7" x14ac:dyDescent="0.3">
      <c r="A358" t="s">
        <v>14</v>
      </c>
      <c r="B358" s="1">
        <v>45777</v>
      </c>
      <c r="C358">
        <v>557003</v>
      </c>
      <c r="D358">
        <v>153.11699999999999</v>
      </c>
      <c r="E358" t="s">
        <v>6</v>
      </c>
      <c r="F358" t="s">
        <v>56</v>
      </c>
      <c r="G358" t="s">
        <v>8</v>
      </c>
    </row>
    <row r="359" spans="1:7" x14ac:dyDescent="0.3">
      <c r="A359" t="s">
        <v>14</v>
      </c>
      <c r="B359" s="1">
        <v>45777</v>
      </c>
      <c r="C359">
        <v>564008</v>
      </c>
      <c r="D359">
        <v>3.3</v>
      </c>
      <c r="E359" t="s">
        <v>6</v>
      </c>
      <c r="F359" t="s">
        <v>55</v>
      </c>
      <c r="G359" t="s">
        <v>8</v>
      </c>
    </row>
    <row r="360" spans="1:7" x14ac:dyDescent="0.3">
      <c r="A360" t="s">
        <v>14</v>
      </c>
      <c r="B360" s="1">
        <v>45777</v>
      </c>
      <c r="C360">
        <v>564020</v>
      </c>
      <c r="D360">
        <v>85.295000000000002</v>
      </c>
      <c r="E360" t="s">
        <v>6</v>
      </c>
      <c r="F360" t="s">
        <v>57</v>
      </c>
      <c r="G360" t="s">
        <v>8</v>
      </c>
    </row>
    <row r="361" spans="1:7" x14ac:dyDescent="0.3">
      <c r="A361" t="s">
        <v>14</v>
      </c>
      <c r="B361" s="1">
        <v>45777</v>
      </c>
      <c r="C361">
        <v>564023</v>
      </c>
      <c r="D361">
        <v>-4.7649999999999997</v>
      </c>
      <c r="E361" t="s">
        <v>6</v>
      </c>
      <c r="F361" t="s">
        <v>67</v>
      </c>
      <c r="G361" t="s">
        <v>8</v>
      </c>
    </row>
    <row r="362" spans="1:7" x14ac:dyDescent="0.3">
      <c r="A362" t="s">
        <v>14</v>
      </c>
      <c r="B362" s="1">
        <v>45777</v>
      </c>
      <c r="C362">
        <v>570002</v>
      </c>
      <c r="D362">
        <v>31.742999999999999</v>
      </c>
      <c r="E362" t="s">
        <v>6</v>
      </c>
      <c r="F362" t="s">
        <v>66</v>
      </c>
      <c r="G362" t="s">
        <v>8</v>
      </c>
    </row>
    <row r="363" spans="1:7" x14ac:dyDescent="0.3">
      <c r="A363" t="s">
        <v>15</v>
      </c>
      <c r="B363" s="1">
        <v>45777</v>
      </c>
      <c r="C363">
        <v>210002</v>
      </c>
      <c r="D363">
        <v>-866437.85400000005</v>
      </c>
      <c r="E363" t="s">
        <v>4</v>
      </c>
      <c r="F363" t="s">
        <v>42</v>
      </c>
      <c r="G363" t="s">
        <v>5</v>
      </c>
    </row>
    <row r="364" spans="1:7" x14ac:dyDescent="0.3">
      <c r="A364" t="s">
        <v>15</v>
      </c>
      <c r="B364" s="1">
        <v>45777</v>
      </c>
      <c r="C364">
        <v>220002</v>
      </c>
      <c r="D364">
        <v>-2928.6860000000001</v>
      </c>
      <c r="E364" t="s">
        <v>4</v>
      </c>
      <c r="F364" t="s">
        <v>42</v>
      </c>
      <c r="G364" t="s">
        <v>5</v>
      </c>
    </row>
    <row r="365" spans="1:7" x14ac:dyDescent="0.3">
      <c r="A365" t="s">
        <v>15</v>
      </c>
      <c r="B365" s="1">
        <v>45777</v>
      </c>
      <c r="C365">
        <v>220005</v>
      </c>
      <c r="D365">
        <v>-6911460.7529999996</v>
      </c>
      <c r="E365" t="s">
        <v>4</v>
      </c>
      <c r="F365" t="s">
        <v>42</v>
      </c>
      <c r="G365" t="s">
        <v>5</v>
      </c>
    </row>
    <row r="366" spans="1:7" x14ac:dyDescent="0.3">
      <c r="A366" t="s">
        <v>15</v>
      </c>
      <c r="B366" s="1">
        <v>45777</v>
      </c>
      <c r="C366">
        <v>220006</v>
      </c>
      <c r="D366">
        <v>-15323196.128</v>
      </c>
      <c r="E366" t="s">
        <v>4</v>
      </c>
      <c r="F366" t="s">
        <v>42</v>
      </c>
      <c r="G366" t="s">
        <v>5</v>
      </c>
    </row>
    <row r="367" spans="1:7" x14ac:dyDescent="0.3">
      <c r="A367" t="s">
        <v>15</v>
      </c>
      <c r="B367" s="1">
        <v>45777</v>
      </c>
      <c r="C367">
        <v>220008</v>
      </c>
      <c r="D367">
        <v>-79666.899999999994</v>
      </c>
      <c r="E367" t="s">
        <v>4</v>
      </c>
      <c r="F367" t="s">
        <v>42</v>
      </c>
      <c r="G367" t="s">
        <v>5</v>
      </c>
    </row>
    <row r="368" spans="1:7" x14ac:dyDescent="0.3">
      <c r="A368" t="s">
        <v>15</v>
      </c>
      <c r="B368" s="1">
        <v>45777</v>
      </c>
      <c r="C368">
        <v>220010</v>
      </c>
      <c r="D368">
        <v>-16768.261999999999</v>
      </c>
      <c r="E368" t="s">
        <v>4</v>
      </c>
      <c r="F368" t="s">
        <v>42</v>
      </c>
      <c r="G368" t="s">
        <v>5</v>
      </c>
    </row>
    <row r="369" spans="1:7" x14ac:dyDescent="0.3">
      <c r="A369" t="s">
        <v>15</v>
      </c>
      <c r="B369" s="1">
        <v>45777</v>
      </c>
      <c r="C369">
        <v>220012</v>
      </c>
      <c r="D369">
        <v>-62000</v>
      </c>
      <c r="E369" t="s">
        <v>4</v>
      </c>
      <c r="F369" t="s">
        <v>42</v>
      </c>
      <c r="G369" t="s">
        <v>5</v>
      </c>
    </row>
    <row r="370" spans="1:7" x14ac:dyDescent="0.3">
      <c r="A370" t="s">
        <v>15</v>
      </c>
      <c r="B370" s="1">
        <v>45777</v>
      </c>
      <c r="C370">
        <v>220013</v>
      </c>
      <c r="D370">
        <v>-372337.217</v>
      </c>
      <c r="E370" t="s">
        <v>4</v>
      </c>
      <c r="F370" t="s">
        <v>42</v>
      </c>
      <c r="G370" t="s">
        <v>5</v>
      </c>
    </row>
    <row r="371" spans="1:7" x14ac:dyDescent="0.3">
      <c r="A371" t="s">
        <v>15</v>
      </c>
      <c r="B371" s="1">
        <v>45777</v>
      </c>
      <c r="C371">
        <v>220014</v>
      </c>
      <c r="D371">
        <v>212514.27600000001</v>
      </c>
      <c r="E371" t="s">
        <v>4</v>
      </c>
      <c r="F371" t="s">
        <v>42</v>
      </c>
      <c r="G371" t="s">
        <v>5</v>
      </c>
    </row>
    <row r="372" spans="1:7" x14ac:dyDescent="0.3">
      <c r="A372" t="s">
        <v>15</v>
      </c>
      <c r="B372" s="1">
        <v>45777</v>
      </c>
      <c r="C372">
        <v>220015</v>
      </c>
      <c r="D372">
        <v>-63000.502999999997</v>
      </c>
      <c r="E372" t="s">
        <v>4</v>
      </c>
      <c r="F372" t="s">
        <v>42</v>
      </c>
      <c r="G372" t="s">
        <v>5</v>
      </c>
    </row>
    <row r="373" spans="1:7" x14ac:dyDescent="0.3">
      <c r="A373" t="s">
        <v>15</v>
      </c>
      <c r="B373" s="1">
        <v>45777</v>
      </c>
      <c r="C373">
        <v>234003</v>
      </c>
      <c r="D373">
        <v>-1630444.466</v>
      </c>
      <c r="E373" t="s">
        <v>4</v>
      </c>
      <c r="F373" t="s">
        <v>43</v>
      </c>
      <c r="G373" t="s">
        <v>5</v>
      </c>
    </row>
    <row r="374" spans="1:7" x14ac:dyDescent="0.3">
      <c r="A374" t="s">
        <v>15</v>
      </c>
      <c r="B374" s="1">
        <v>45777</v>
      </c>
      <c r="C374">
        <v>234004</v>
      </c>
      <c r="D374">
        <v>-6068.9650000000001</v>
      </c>
      <c r="E374" t="s">
        <v>4</v>
      </c>
      <c r="F374" t="s">
        <v>43</v>
      </c>
      <c r="G374" t="s">
        <v>5</v>
      </c>
    </row>
    <row r="375" spans="1:7" x14ac:dyDescent="0.3">
      <c r="A375" t="s">
        <v>15</v>
      </c>
      <c r="B375" s="1">
        <v>45777</v>
      </c>
      <c r="C375">
        <v>240002</v>
      </c>
      <c r="D375">
        <v>-14025.808999999999</v>
      </c>
      <c r="E375" t="s">
        <v>4</v>
      </c>
      <c r="F375" t="s">
        <v>43</v>
      </c>
      <c r="G375" t="s">
        <v>5</v>
      </c>
    </row>
    <row r="376" spans="1:7" x14ac:dyDescent="0.3">
      <c r="A376" t="s">
        <v>15</v>
      </c>
      <c r="B376" s="1">
        <v>45777</v>
      </c>
      <c r="C376">
        <v>240003</v>
      </c>
      <c r="D376">
        <v>-3358.002</v>
      </c>
      <c r="E376" t="s">
        <v>4</v>
      </c>
      <c r="F376" t="s">
        <v>43</v>
      </c>
      <c r="G376" t="s">
        <v>5</v>
      </c>
    </row>
    <row r="377" spans="1:7" x14ac:dyDescent="0.3">
      <c r="A377" t="s">
        <v>15</v>
      </c>
      <c r="B377" s="1">
        <v>45777</v>
      </c>
      <c r="C377">
        <v>240009</v>
      </c>
      <c r="D377">
        <v>-24398.173999999999</v>
      </c>
      <c r="E377" t="s">
        <v>4</v>
      </c>
      <c r="F377" t="s">
        <v>43</v>
      </c>
      <c r="G377" t="s">
        <v>5</v>
      </c>
    </row>
    <row r="378" spans="1:7" x14ac:dyDescent="0.3">
      <c r="A378" t="s">
        <v>15</v>
      </c>
      <c r="B378" s="1">
        <v>45777</v>
      </c>
      <c r="C378">
        <v>240010</v>
      </c>
      <c r="D378">
        <v>-3027.029</v>
      </c>
      <c r="E378" t="s">
        <v>4</v>
      </c>
      <c r="F378" t="s">
        <v>43</v>
      </c>
      <c r="G378" t="s">
        <v>5</v>
      </c>
    </row>
    <row r="379" spans="1:7" x14ac:dyDescent="0.3">
      <c r="A379" t="s">
        <v>15</v>
      </c>
      <c r="B379" s="1">
        <v>45777</v>
      </c>
      <c r="C379">
        <v>240011</v>
      </c>
      <c r="D379">
        <v>-1450.28</v>
      </c>
      <c r="E379" t="s">
        <v>4</v>
      </c>
      <c r="F379" t="s">
        <v>43</v>
      </c>
      <c r="G379" t="s">
        <v>5</v>
      </c>
    </row>
    <row r="380" spans="1:7" x14ac:dyDescent="0.3">
      <c r="A380" t="s">
        <v>15</v>
      </c>
      <c r="B380" s="1">
        <v>45777</v>
      </c>
      <c r="C380">
        <v>242018</v>
      </c>
      <c r="D380">
        <v>-20503.05</v>
      </c>
      <c r="E380" t="s">
        <v>4</v>
      </c>
      <c r="F380" t="s">
        <v>43</v>
      </c>
      <c r="G380" t="s">
        <v>5</v>
      </c>
    </row>
    <row r="381" spans="1:7" x14ac:dyDescent="0.3">
      <c r="A381" t="s">
        <v>15</v>
      </c>
      <c r="B381" s="1">
        <v>45777</v>
      </c>
      <c r="C381">
        <v>242021</v>
      </c>
      <c r="D381">
        <v>-18154.650000000001</v>
      </c>
      <c r="E381" t="s">
        <v>4</v>
      </c>
      <c r="F381" t="s">
        <v>43</v>
      </c>
      <c r="G381" t="s">
        <v>5</v>
      </c>
    </row>
    <row r="382" spans="1:7" x14ac:dyDescent="0.3">
      <c r="A382" t="s">
        <v>15</v>
      </c>
      <c r="B382" s="1">
        <v>45777</v>
      </c>
      <c r="C382">
        <v>242041</v>
      </c>
      <c r="D382">
        <v>-222.285</v>
      </c>
      <c r="E382" t="s">
        <v>4</v>
      </c>
      <c r="F382" t="s">
        <v>43</v>
      </c>
      <c r="G382" t="s">
        <v>5</v>
      </c>
    </row>
    <row r="383" spans="1:7" x14ac:dyDescent="0.3">
      <c r="A383" t="s">
        <v>15</v>
      </c>
      <c r="B383" s="1">
        <v>45777</v>
      </c>
      <c r="C383">
        <v>243002</v>
      </c>
      <c r="D383">
        <v>-750979.72400000005</v>
      </c>
      <c r="E383" t="s">
        <v>4</v>
      </c>
      <c r="F383" t="s">
        <v>43</v>
      </c>
      <c r="G383" t="s">
        <v>5</v>
      </c>
    </row>
    <row r="384" spans="1:7" x14ac:dyDescent="0.3">
      <c r="A384" t="s">
        <v>15</v>
      </c>
      <c r="B384" s="1">
        <v>45777</v>
      </c>
      <c r="C384">
        <v>243003</v>
      </c>
      <c r="D384">
        <v>-73260.918000000005</v>
      </c>
      <c r="E384" t="s">
        <v>4</v>
      </c>
      <c r="F384" t="s">
        <v>43</v>
      </c>
      <c r="G384" t="s">
        <v>5</v>
      </c>
    </row>
    <row r="385" spans="1:7" x14ac:dyDescent="0.3">
      <c r="A385" t="s">
        <v>15</v>
      </c>
      <c r="B385" s="1">
        <v>45777</v>
      </c>
      <c r="C385">
        <v>243004</v>
      </c>
      <c r="D385">
        <v>-147423.41800000001</v>
      </c>
      <c r="E385" t="s">
        <v>4</v>
      </c>
      <c r="F385" t="s">
        <v>43</v>
      </c>
      <c r="G385" t="s">
        <v>5</v>
      </c>
    </row>
    <row r="386" spans="1:7" x14ac:dyDescent="0.3">
      <c r="A386" t="s">
        <v>15</v>
      </c>
      <c r="B386" s="1">
        <v>45777</v>
      </c>
      <c r="C386">
        <v>243005</v>
      </c>
      <c r="D386">
        <v>-27707.8</v>
      </c>
      <c r="E386" t="s">
        <v>4</v>
      </c>
      <c r="F386" t="s">
        <v>43</v>
      </c>
      <c r="G386" t="s">
        <v>5</v>
      </c>
    </row>
    <row r="387" spans="1:7" x14ac:dyDescent="0.3">
      <c r="A387" t="s">
        <v>15</v>
      </c>
      <c r="B387" s="1">
        <v>45777</v>
      </c>
      <c r="C387">
        <v>243009</v>
      </c>
      <c r="D387">
        <v>-22215.107</v>
      </c>
      <c r="E387" t="s">
        <v>4</v>
      </c>
      <c r="F387" t="s">
        <v>43</v>
      </c>
      <c r="G387" t="s">
        <v>5</v>
      </c>
    </row>
    <row r="388" spans="1:7" x14ac:dyDescent="0.3">
      <c r="A388" t="s">
        <v>15</v>
      </c>
      <c r="B388" s="1">
        <v>45777</v>
      </c>
      <c r="C388">
        <v>243010</v>
      </c>
      <c r="D388">
        <v>-46785.438000000002</v>
      </c>
      <c r="E388" t="s">
        <v>4</v>
      </c>
      <c r="F388" t="s">
        <v>43</v>
      </c>
      <c r="G388" t="s">
        <v>5</v>
      </c>
    </row>
    <row r="389" spans="1:7" x14ac:dyDescent="0.3">
      <c r="A389" t="s">
        <v>15</v>
      </c>
      <c r="B389" s="1">
        <v>45777</v>
      </c>
      <c r="C389">
        <v>245002</v>
      </c>
      <c r="D389">
        <v>-227.45400000000001</v>
      </c>
      <c r="E389" t="s">
        <v>4</v>
      </c>
      <c r="F389" t="s">
        <v>43</v>
      </c>
      <c r="G389" t="s">
        <v>5</v>
      </c>
    </row>
    <row r="390" spans="1:7" x14ac:dyDescent="0.3">
      <c r="A390" t="s">
        <v>15</v>
      </c>
      <c r="B390" s="1">
        <v>45777</v>
      </c>
      <c r="C390">
        <v>245004</v>
      </c>
      <c r="D390">
        <v>86.346999999999994</v>
      </c>
      <c r="E390" t="s">
        <v>4</v>
      </c>
      <c r="F390" t="s">
        <v>43</v>
      </c>
      <c r="G390" t="s">
        <v>5</v>
      </c>
    </row>
    <row r="391" spans="1:7" x14ac:dyDescent="0.3">
      <c r="A391" t="s">
        <v>15</v>
      </c>
      <c r="B391" s="1">
        <v>45777</v>
      </c>
      <c r="C391">
        <v>245006</v>
      </c>
      <c r="D391">
        <v>67.298000000000002</v>
      </c>
      <c r="E391" t="s">
        <v>4</v>
      </c>
      <c r="F391" t="s">
        <v>43</v>
      </c>
      <c r="G391" t="s">
        <v>5</v>
      </c>
    </row>
    <row r="392" spans="1:7" x14ac:dyDescent="0.3">
      <c r="A392" t="s">
        <v>15</v>
      </c>
      <c r="B392" s="1">
        <v>45777</v>
      </c>
      <c r="C392">
        <v>245010</v>
      </c>
      <c r="D392">
        <v>-324570.60800000001</v>
      </c>
      <c r="E392" t="s">
        <v>4</v>
      </c>
      <c r="F392" t="s">
        <v>44</v>
      </c>
      <c r="G392" t="s">
        <v>5</v>
      </c>
    </row>
    <row r="393" spans="1:7" x14ac:dyDescent="0.3">
      <c r="A393" t="s">
        <v>15</v>
      </c>
      <c r="B393" s="1">
        <v>45777</v>
      </c>
      <c r="C393">
        <v>245015</v>
      </c>
      <c r="D393">
        <v>-15858.067999999999</v>
      </c>
      <c r="E393" t="s">
        <v>4</v>
      </c>
      <c r="F393" t="s">
        <v>43</v>
      </c>
      <c r="G393" t="s">
        <v>5</v>
      </c>
    </row>
    <row r="394" spans="1:7" x14ac:dyDescent="0.3">
      <c r="A394" t="s">
        <v>15</v>
      </c>
      <c r="B394" s="1">
        <v>45777</v>
      </c>
      <c r="C394">
        <v>245017</v>
      </c>
      <c r="D394">
        <v>-5535.0370000000003</v>
      </c>
      <c r="E394" t="s">
        <v>4</v>
      </c>
      <c r="F394" t="s">
        <v>43</v>
      </c>
      <c r="G394" t="s">
        <v>5</v>
      </c>
    </row>
    <row r="395" spans="1:7" x14ac:dyDescent="0.3">
      <c r="A395" t="s">
        <v>15</v>
      </c>
      <c r="B395" s="1">
        <v>45777</v>
      </c>
      <c r="C395">
        <v>245018</v>
      </c>
      <c r="D395">
        <v>-95333.653000000006</v>
      </c>
      <c r="E395" t="s">
        <v>4</v>
      </c>
      <c r="F395" t="s">
        <v>43</v>
      </c>
      <c r="G395" t="s">
        <v>5</v>
      </c>
    </row>
    <row r="396" spans="1:7" x14ac:dyDescent="0.3">
      <c r="A396" t="s">
        <v>15</v>
      </c>
      <c r="B396" s="1">
        <v>45777</v>
      </c>
      <c r="C396">
        <v>245020</v>
      </c>
      <c r="D396">
        <v>-3447.355</v>
      </c>
      <c r="E396" t="s">
        <v>4</v>
      </c>
      <c r="F396" t="s">
        <v>44</v>
      </c>
      <c r="G396" t="s">
        <v>5</v>
      </c>
    </row>
    <row r="397" spans="1:7" x14ac:dyDescent="0.3">
      <c r="A397" t="s">
        <v>15</v>
      </c>
      <c r="B397" s="1">
        <v>45777</v>
      </c>
      <c r="C397">
        <v>245038</v>
      </c>
      <c r="D397">
        <v>-5767.9669999999996</v>
      </c>
      <c r="E397" t="s">
        <v>4</v>
      </c>
      <c r="F397" t="s">
        <v>45</v>
      </c>
      <c r="G397" t="s">
        <v>5</v>
      </c>
    </row>
    <row r="398" spans="1:7" x14ac:dyDescent="0.3">
      <c r="A398" t="s">
        <v>15</v>
      </c>
      <c r="B398" s="1">
        <v>45777</v>
      </c>
      <c r="C398">
        <v>245041</v>
      </c>
      <c r="D398">
        <v>-14800.066000000001</v>
      </c>
      <c r="E398" t="s">
        <v>4</v>
      </c>
      <c r="F398" t="s">
        <v>43</v>
      </c>
      <c r="G398" t="s">
        <v>5</v>
      </c>
    </row>
    <row r="399" spans="1:7" x14ac:dyDescent="0.3">
      <c r="A399" t="s">
        <v>15</v>
      </c>
      <c r="B399" s="1">
        <v>45777</v>
      </c>
      <c r="C399">
        <v>245044</v>
      </c>
      <c r="D399">
        <v>-76276.573999999993</v>
      </c>
      <c r="E399" t="s">
        <v>4</v>
      </c>
      <c r="F399" t="s">
        <v>43</v>
      </c>
      <c r="G399" t="s">
        <v>5</v>
      </c>
    </row>
    <row r="400" spans="1:7" x14ac:dyDescent="0.3">
      <c r="A400" t="s">
        <v>15</v>
      </c>
      <c r="B400" s="1">
        <v>45777</v>
      </c>
      <c r="C400">
        <v>245046</v>
      </c>
      <c r="D400">
        <v>-2019.9169999999999</v>
      </c>
      <c r="E400" t="s">
        <v>4</v>
      </c>
      <c r="F400" t="s">
        <v>43</v>
      </c>
      <c r="G400" t="s">
        <v>5</v>
      </c>
    </row>
    <row r="401" spans="1:7" x14ac:dyDescent="0.3">
      <c r="A401" t="s">
        <v>15</v>
      </c>
      <c r="B401" s="1">
        <v>45777</v>
      </c>
      <c r="C401">
        <v>245048</v>
      </c>
      <c r="D401">
        <v>-21295.652999999998</v>
      </c>
      <c r="E401" t="s">
        <v>4</v>
      </c>
      <c r="F401" t="s">
        <v>43</v>
      </c>
      <c r="G401" t="s">
        <v>5</v>
      </c>
    </row>
    <row r="402" spans="1:7" x14ac:dyDescent="0.3">
      <c r="A402" t="s">
        <v>15</v>
      </c>
      <c r="B402" s="1">
        <v>45777</v>
      </c>
      <c r="C402">
        <v>245049</v>
      </c>
      <c r="D402">
        <v>-161025.37</v>
      </c>
      <c r="E402" t="s">
        <v>4</v>
      </c>
      <c r="F402" t="s">
        <v>43</v>
      </c>
      <c r="G402" t="s">
        <v>5</v>
      </c>
    </row>
    <row r="403" spans="1:7" x14ac:dyDescent="0.3">
      <c r="A403" t="s">
        <v>15</v>
      </c>
      <c r="B403" s="1">
        <v>45777</v>
      </c>
      <c r="C403">
        <v>245050</v>
      </c>
      <c r="D403">
        <v>-9007.4279999999999</v>
      </c>
      <c r="E403" t="s">
        <v>4</v>
      </c>
      <c r="F403" t="s">
        <v>43</v>
      </c>
      <c r="G403" t="s">
        <v>5</v>
      </c>
    </row>
    <row r="404" spans="1:7" x14ac:dyDescent="0.3">
      <c r="A404" t="s">
        <v>15</v>
      </c>
      <c r="B404" s="1">
        <v>45777</v>
      </c>
      <c r="C404">
        <v>245055</v>
      </c>
      <c r="D404">
        <v>-1149293.44</v>
      </c>
      <c r="E404" t="s">
        <v>4</v>
      </c>
      <c r="F404" t="s">
        <v>43</v>
      </c>
      <c r="G404" t="s">
        <v>5</v>
      </c>
    </row>
    <row r="405" spans="1:7" x14ac:dyDescent="0.3">
      <c r="A405" t="s">
        <v>15</v>
      </c>
      <c r="B405" s="1">
        <v>45777</v>
      </c>
      <c r="C405">
        <v>245057</v>
      </c>
      <c r="D405">
        <v>-51856.553999999996</v>
      </c>
      <c r="E405" t="s">
        <v>4</v>
      </c>
      <c r="F405" t="s">
        <v>43</v>
      </c>
      <c r="G405" t="s">
        <v>5</v>
      </c>
    </row>
    <row r="406" spans="1:7" x14ac:dyDescent="0.3">
      <c r="A406" t="s">
        <v>15</v>
      </c>
      <c r="B406" s="1">
        <v>45777</v>
      </c>
      <c r="C406">
        <v>245059</v>
      </c>
      <c r="D406">
        <v>1073.096</v>
      </c>
      <c r="E406" t="s">
        <v>4</v>
      </c>
      <c r="F406" t="s">
        <v>43</v>
      </c>
      <c r="G406" t="s">
        <v>5</v>
      </c>
    </row>
    <row r="407" spans="1:7" x14ac:dyDescent="0.3">
      <c r="A407" t="s">
        <v>15</v>
      </c>
      <c r="B407" s="1">
        <v>45777</v>
      </c>
      <c r="C407">
        <v>245062</v>
      </c>
      <c r="D407">
        <v>-113588.092</v>
      </c>
      <c r="E407" t="s">
        <v>4</v>
      </c>
      <c r="F407" t="s">
        <v>43</v>
      </c>
      <c r="G407" t="s">
        <v>5</v>
      </c>
    </row>
    <row r="408" spans="1:7" x14ac:dyDescent="0.3">
      <c r="A408" t="s">
        <v>15</v>
      </c>
      <c r="B408" s="1">
        <v>45777</v>
      </c>
      <c r="C408">
        <v>249002</v>
      </c>
      <c r="D408">
        <v>-965426.68799999997</v>
      </c>
      <c r="E408" t="s">
        <v>4</v>
      </c>
      <c r="F408" t="s">
        <v>44</v>
      </c>
      <c r="G408" t="s">
        <v>5</v>
      </c>
    </row>
    <row r="409" spans="1:7" x14ac:dyDescent="0.3">
      <c r="A409" t="s">
        <v>15</v>
      </c>
      <c r="B409" s="1">
        <v>45777</v>
      </c>
      <c r="C409">
        <v>249003</v>
      </c>
      <c r="D409">
        <v>-58782.203999999998</v>
      </c>
      <c r="E409" t="s">
        <v>4</v>
      </c>
      <c r="F409" t="s">
        <v>44</v>
      </c>
      <c r="G409" t="s">
        <v>5</v>
      </c>
    </row>
    <row r="410" spans="1:7" x14ac:dyDescent="0.3">
      <c r="A410" t="s">
        <v>15</v>
      </c>
      <c r="B410" s="1">
        <v>45777</v>
      </c>
      <c r="C410">
        <v>249004</v>
      </c>
      <c r="D410">
        <v>27175.766</v>
      </c>
      <c r="E410" t="s">
        <v>4</v>
      </c>
      <c r="F410" t="s">
        <v>44</v>
      </c>
      <c r="G410" t="s">
        <v>5</v>
      </c>
    </row>
    <row r="411" spans="1:7" x14ac:dyDescent="0.3">
      <c r="A411" t="s">
        <v>15</v>
      </c>
      <c r="B411" s="1">
        <v>45777</v>
      </c>
      <c r="C411">
        <v>250003</v>
      </c>
      <c r="D411">
        <v>-42300.398000000001</v>
      </c>
      <c r="E411" t="s">
        <v>4</v>
      </c>
      <c r="F411" t="s">
        <v>45</v>
      </c>
      <c r="G411" t="s">
        <v>5</v>
      </c>
    </row>
    <row r="412" spans="1:7" x14ac:dyDescent="0.3">
      <c r="A412" t="s">
        <v>15</v>
      </c>
      <c r="B412" s="1">
        <v>45777</v>
      </c>
      <c r="C412">
        <v>250009</v>
      </c>
      <c r="D412">
        <v>-669.6</v>
      </c>
      <c r="E412" t="s">
        <v>4</v>
      </c>
      <c r="F412" t="s">
        <v>43</v>
      </c>
      <c r="G412" t="s">
        <v>5</v>
      </c>
    </row>
    <row r="413" spans="1:7" x14ac:dyDescent="0.3">
      <c r="A413" t="s">
        <v>15</v>
      </c>
      <c r="B413" s="1">
        <v>45777</v>
      </c>
      <c r="C413">
        <v>250017</v>
      </c>
      <c r="D413">
        <v>397638.66</v>
      </c>
      <c r="E413" t="s">
        <v>4</v>
      </c>
      <c r="F413" t="s">
        <v>44</v>
      </c>
      <c r="G413" t="s">
        <v>5</v>
      </c>
    </row>
    <row r="414" spans="1:7" x14ac:dyDescent="0.3">
      <c r="A414" t="s">
        <v>15</v>
      </c>
      <c r="B414" s="1">
        <v>45777</v>
      </c>
      <c r="C414">
        <v>250019</v>
      </c>
      <c r="D414">
        <v>-3100</v>
      </c>
      <c r="E414" t="s">
        <v>4</v>
      </c>
      <c r="F414" t="s">
        <v>45</v>
      </c>
      <c r="G414" t="s">
        <v>5</v>
      </c>
    </row>
    <row r="415" spans="1:7" x14ac:dyDescent="0.3">
      <c r="A415" t="s">
        <v>15</v>
      </c>
      <c r="B415" s="1">
        <v>45777</v>
      </c>
      <c r="C415">
        <v>250020</v>
      </c>
      <c r="D415">
        <v>-7265.7709999999997</v>
      </c>
      <c r="E415" t="s">
        <v>4</v>
      </c>
      <c r="F415" t="s">
        <v>45</v>
      </c>
      <c r="G415" t="s">
        <v>5</v>
      </c>
    </row>
    <row r="416" spans="1:7" x14ac:dyDescent="0.3">
      <c r="A416" t="s">
        <v>15</v>
      </c>
      <c r="B416" s="1">
        <v>45777</v>
      </c>
      <c r="C416">
        <v>250021</v>
      </c>
      <c r="D416">
        <v>-15441.422</v>
      </c>
      <c r="E416" t="s">
        <v>4</v>
      </c>
      <c r="F416" t="s">
        <v>45</v>
      </c>
      <c r="G416" t="s">
        <v>5</v>
      </c>
    </row>
    <row r="417" spans="1:7" x14ac:dyDescent="0.3">
      <c r="A417" t="s">
        <v>15</v>
      </c>
      <c r="B417" s="1">
        <v>45777</v>
      </c>
      <c r="C417">
        <v>250022</v>
      </c>
      <c r="D417">
        <v>13232.517</v>
      </c>
      <c r="E417" t="s">
        <v>4</v>
      </c>
      <c r="F417" t="s">
        <v>45</v>
      </c>
      <c r="G417" t="s">
        <v>5</v>
      </c>
    </row>
    <row r="418" spans="1:7" x14ac:dyDescent="0.3">
      <c r="A418" t="s">
        <v>15</v>
      </c>
      <c r="B418" s="1">
        <v>45777</v>
      </c>
      <c r="C418">
        <v>251002</v>
      </c>
      <c r="D418">
        <v>-8255.82</v>
      </c>
      <c r="E418" t="s">
        <v>4</v>
      </c>
      <c r="F418" t="s">
        <v>45</v>
      </c>
      <c r="G418" t="s">
        <v>5</v>
      </c>
    </row>
    <row r="419" spans="1:7" x14ac:dyDescent="0.3">
      <c r="A419" t="s">
        <v>15</v>
      </c>
      <c r="B419" s="1">
        <v>45777</v>
      </c>
      <c r="C419">
        <v>251005</v>
      </c>
      <c r="D419">
        <v>0</v>
      </c>
      <c r="E419" t="s">
        <v>4</v>
      </c>
      <c r="F419" t="s">
        <v>46</v>
      </c>
      <c r="G419" t="s">
        <v>5</v>
      </c>
    </row>
    <row r="420" spans="1:7" x14ac:dyDescent="0.3">
      <c r="A420" t="s">
        <v>15</v>
      </c>
      <c r="B420" s="1">
        <v>45777</v>
      </c>
      <c r="C420">
        <v>255008</v>
      </c>
      <c r="D420">
        <v>-2747.308</v>
      </c>
      <c r="E420" t="s">
        <v>4</v>
      </c>
      <c r="F420" t="s">
        <v>43</v>
      </c>
      <c r="G420" t="s">
        <v>5</v>
      </c>
    </row>
    <row r="421" spans="1:7" x14ac:dyDescent="0.3">
      <c r="A421" t="s">
        <v>15</v>
      </c>
      <c r="B421" s="1">
        <v>45777</v>
      </c>
      <c r="C421">
        <v>255009</v>
      </c>
      <c r="D421">
        <v>-1052.415</v>
      </c>
      <c r="E421" t="s">
        <v>4</v>
      </c>
      <c r="F421" t="s">
        <v>43</v>
      </c>
      <c r="G421" t="s">
        <v>5</v>
      </c>
    </row>
    <row r="422" spans="1:7" x14ac:dyDescent="0.3">
      <c r="A422" t="s">
        <v>15</v>
      </c>
      <c r="B422" s="1">
        <v>45777</v>
      </c>
      <c r="C422">
        <v>255010</v>
      </c>
      <c r="D422">
        <v>-960.99099999999999</v>
      </c>
      <c r="E422" t="s">
        <v>4</v>
      </c>
      <c r="F422" t="s">
        <v>43</v>
      </c>
      <c r="G422" t="s">
        <v>5</v>
      </c>
    </row>
    <row r="423" spans="1:7" x14ac:dyDescent="0.3">
      <c r="A423" t="s">
        <v>15</v>
      </c>
      <c r="B423" s="1">
        <v>45777</v>
      </c>
      <c r="C423">
        <v>255011</v>
      </c>
      <c r="D423">
        <v>-1831.722</v>
      </c>
      <c r="E423" t="s">
        <v>4</v>
      </c>
      <c r="F423" t="s">
        <v>43</v>
      </c>
      <c r="G423" t="s">
        <v>5</v>
      </c>
    </row>
    <row r="424" spans="1:7" x14ac:dyDescent="0.3">
      <c r="A424" t="s">
        <v>15</v>
      </c>
      <c r="B424" s="1">
        <v>45777</v>
      </c>
      <c r="C424">
        <v>255012</v>
      </c>
      <c r="D424">
        <v>-1143.0150000000001</v>
      </c>
      <c r="E424" t="s">
        <v>4</v>
      </c>
      <c r="F424" t="s">
        <v>43</v>
      </c>
      <c r="G424" t="s">
        <v>5</v>
      </c>
    </row>
    <row r="425" spans="1:7" x14ac:dyDescent="0.3">
      <c r="A425" t="s">
        <v>15</v>
      </c>
      <c r="B425" s="1">
        <v>45777</v>
      </c>
      <c r="C425">
        <v>255015</v>
      </c>
      <c r="D425">
        <v>-1016.847</v>
      </c>
      <c r="E425" t="s">
        <v>4</v>
      </c>
      <c r="F425" t="s">
        <v>43</v>
      </c>
      <c r="G425" t="s">
        <v>5</v>
      </c>
    </row>
    <row r="426" spans="1:7" x14ac:dyDescent="0.3">
      <c r="A426" t="s">
        <v>15</v>
      </c>
      <c r="B426" s="1">
        <v>45777</v>
      </c>
      <c r="C426">
        <v>255016</v>
      </c>
      <c r="D426">
        <v>-612.62800000000004</v>
      </c>
      <c r="E426" t="s">
        <v>4</v>
      </c>
      <c r="F426" t="s">
        <v>43</v>
      </c>
      <c r="G426" t="s">
        <v>5</v>
      </c>
    </row>
    <row r="427" spans="1:7" x14ac:dyDescent="0.3">
      <c r="A427" t="s">
        <v>15</v>
      </c>
      <c r="B427" s="1">
        <v>45777</v>
      </c>
      <c r="C427">
        <v>255017</v>
      </c>
      <c r="D427">
        <v>-583.01099999999997</v>
      </c>
      <c r="E427" t="s">
        <v>4</v>
      </c>
      <c r="F427" t="s">
        <v>43</v>
      </c>
      <c r="G427" t="s">
        <v>5</v>
      </c>
    </row>
    <row r="428" spans="1:7" x14ac:dyDescent="0.3">
      <c r="A428" t="s">
        <v>15</v>
      </c>
      <c r="B428" s="1">
        <v>45777</v>
      </c>
      <c r="C428">
        <v>255018</v>
      </c>
      <c r="D428">
        <v>-582.48500000000001</v>
      </c>
      <c r="E428" t="s">
        <v>4</v>
      </c>
      <c r="F428" t="s">
        <v>43</v>
      </c>
      <c r="G428" t="s">
        <v>5</v>
      </c>
    </row>
    <row r="429" spans="1:7" x14ac:dyDescent="0.3">
      <c r="A429" t="s">
        <v>15</v>
      </c>
      <c r="B429" s="1">
        <v>45777</v>
      </c>
      <c r="C429">
        <v>255019</v>
      </c>
      <c r="D429">
        <v>-1218.345</v>
      </c>
      <c r="E429" t="s">
        <v>4</v>
      </c>
      <c r="F429" t="s">
        <v>43</v>
      </c>
      <c r="G429" t="s">
        <v>5</v>
      </c>
    </row>
    <row r="430" spans="1:7" x14ac:dyDescent="0.3">
      <c r="A430" t="s">
        <v>15</v>
      </c>
      <c r="B430" s="1">
        <v>45777</v>
      </c>
      <c r="C430">
        <v>255020</v>
      </c>
      <c r="D430">
        <v>-867.76400000000001</v>
      </c>
      <c r="E430" t="s">
        <v>4</v>
      </c>
      <c r="F430" t="s">
        <v>43</v>
      </c>
      <c r="G430" t="s">
        <v>5</v>
      </c>
    </row>
    <row r="431" spans="1:7" x14ac:dyDescent="0.3">
      <c r="A431" t="s">
        <v>15</v>
      </c>
      <c r="B431" s="1">
        <v>45777</v>
      </c>
      <c r="C431">
        <v>257002</v>
      </c>
      <c r="D431">
        <v>-100.182</v>
      </c>
      <c r="E431" t="s">
        <v>4</v>
      </c>
      <c r="F431" t="s">
        <v>45</v>
      </c>
      <c r="G431" t="s">
        <v>5</v>
      </c>
    </row>
    <row r="432" spans="1:7" x14ac:dyDescent="0.3">
      <c r="A432" t="s">
        <v>15</v>
      </c>
      <c r="B432" s="1">
        <v>45777</v>
      </c>
      <c r="C432">
        <v>257003</v>
      </c>
      <c r="D432">
        <v>-4091.1619999999998</v>
      </c>
      <c r="E432" t="s">
        <v>4</v>
      </c>
      <c r="F432" t="s">
        <v>45</v>
      </c>
      <c r="G432" t="s">
        <v>5</v>
      </c>
    </row>
    <row r="433" spans="1:7" x14ac:dyDescent="0.3">
      <c r="A433" t="s">
        <v>15</v>
      </c>
      <c r="B433" s="1">
        <v>45777</v>
      </c>
      <c r="C433">
        <v>257005</v>
      </c>
      <c r="D433">
        <v>-141701.48699999999</v>
      </c>
      <c r="E433" t="s">
        <v>4</v>
      </c>
      <c r="F433" t="s">
        <v>45</v>
      </c>
      <c r="G433" t="s">
        <v>5</v>
      </c>
    </row>
    <row r="434" spans="1:7" x14ac:dyDescent="0.3">
      <c r="A434" t="s">
        <v>15</v>
      </c>
      <c r="B434" s="1">
        <v>45777</v>
      </c>
      <c r="C434">
        <v>257014</v>
      </c>
      <c r="D434">
        <v>-213817.011</v>
      </c>
      <c r="E434" t="s">
        <v>4</v>
      </c>
      <c r="F434" t="s">
        <v>45</v>
      </c>
      <c r="G434" t="s">
        <v>5</v>
      </c>
    </row>
    <row r="435" spans="1:7" x14ac:dyDescent="0.3">
      <c r="A435" t="s">
        <v>15</v>
      </c>
      <c r="B435" s="1">
        <v>45777</v>
      </c>
      <c r="C435">
        <v>257015</v>
      </c>
      <c r="D435">
        <v>-2430.8820000000001</v>
      </c>
      <c r="E435" t="s">
        <v>4</v>
      </c>
      <c r="F435" t="s">
        <v>45</v>
      </c>
      <c r="G435" t="s">
        <v>5</v>
      </c>
    </row>
    <row r="436" spans="1:7" x14ac:dyDescent="0.3">
      <c r="A436" t="s">
        <v>15</v>
      </c>
      <c r="B436" s="1">
        <v>45777</v>
      </c>
      <c r="C436">
        <v>257016</v>
      </c>
      <c r="D436">
        <v>-152.54300000000001</v>
      </c>
      <c r="E436" t="s">
        <v>4</v>
      </c>
      <c r="F436" t="s">
        <v>45</v>
      </c>
      <c r="G436" t="s">
        <v>5</v>
      </c>
    </row>
    <row r="437" spans="1:7" x14ac:dyDescent="0.3">
      <c r="A437" t="s">
        <v>15</v>
      </c>
      <c r="B437" s="1">
        <v>45777</v>
      </c>
      <c r="C437">
        <v>257018</v>
      </c>
      <c r="D437">
        <v>-4423.915</v>
      </c>
      <c r="E437" t="s">
        <v>4</v>
      </c>
      <c r="F437" t="s">
        <v>45</v>
      </c>
      <c r="G437" t="s">
        <v>5</v>
      </c>
    </row>
    <row r="438" spans="1:7" x14ac:dyDescent="0.3">
      <c r="A438" t="s">
        <v>15</v>
      </c>
      <c r="B438" s="1">
        <v>45777</v>
      </c>
      <c r="C438">
        <v>257020</v>
      </c>
      <c r="D438">
        <v>-0.50700000000000001</v>
      </c>
      <c r="E438" t="s">
        <v>4</v>
      </c>
      <c r="F438" t="s">
        <v>45</v>
      </c>
      <c r="G438" t="s">
        <v>5</v>
      </c>
    </row>
    <row r="439" spans="1:7" x14ac:dyDescent="0.3">
      <c r="A439" t="s">
        <v>15</v>
      </c>
      <c r="B439" s="1">
        <v>45777</v>
      </c>
      <c r="C439">
        <v>257028</v>
      </c>
      <c r="D439">
        <v>-105.277</v>
      </c>
      <c r="E439" t="s">
        <v>4</v>
      </c>
      <c r="F439" t="s">
        <v>45</v>
      </c>
      <c r="G439" t="s">
        <v>5</v>
      </c>
    </row>
    <row r="440" spans="1:7" x14ac:dyDescent="0.3">
      <c r="A440" t="s">
        <v>15</v>
      </c>
      <c r="B440" s="1">
        <v>45777</v>
      </c>
      <c r="C440">
        <v>257030</v>
      </c>
      <c r="D440">
        <v>-606.89800000000002</v>
      </c>
      <c r="E440" t="s">
        <v>4</v>
      </c>
      <c r="F440" t="s">
        <v>45</v>
      </c>
      <c r="G440" t="s">
        <v>5</v>
      </c>
    </row>
    <row r="441" spans="1:7" x14ac:dyDescent="0.3">
      <c r="A441" t="s">
        <v>15</v>
      </c>
      <c r="B441" s="1">
        <v>45777</v>
      </c>
      <c r="C441">
        <v>257035</v>
      </c>
      <c r="D441">
        <v>-244.06399999999999</v>
      </c>
      <c r="E441" t="s">
        <v>4</v>
      </c>
      <c r="F441" t="s">
        <v>45</v>
      </c>
      <c r="G441" t="s">
        <v>5</v>
      </c>
    </row>
    <row r="442" spans="1:7" x14ac:dyDescent="0.3">
      <c r="A442" t="s">
        <v>15</v>
      </c>
      <c r="B442" s="1">
        <v>45777</v>
      </c>
      <c r="C442">
        <v>257036</v>
      </c>
      <c r="D442">
        <v>-0.192</v>
      </c>
      <c r="E442" t="s">
        <v>4</v>
      </c>
      <c r="F442" t="s">
        <v>45</v>
      </c>
      <c r="G442" t="s">
        <v>5</v>
      </c>
    </row>
    <row r="443" spans="1:7" x14ac:dyDescent="0.3">
      <c r="A443" t="s">
        <v>15</v>
      </c>
      <c r="B443" s="1">
        <v>45777</v>
      </c>
      <c r="C443">
        <v>257038</v>
      </c>
      <c r="D443">
        <v>-5.0000000000000001E-3</v>
      </c>
      <c r="E443" t="s">
        <v>4</v>
      </c>
      <c r="F443" t="s">
        <v>45</v>
      </c>
      <c r="G443" t="s">
        <v>5</v>
      </c>
    </row>
    <row r="444" spans="1:7" x14ac:dyDescent="0.3">
      <c r="A444" t="s">
        <v>15</v>
      </c>
      <c r="B444" s="1">
        <v>45777</v>
      </c>
      <c r="C444">
        <v>261014</v>
      </c>
      <c r="D444">
        <v>3165.6129999999998</v>
      </c>
      <c r="E444" t="s">
        <v>4</v>
      </c>
      <c r="F444" t="s">
        <v>45</v>
      </c>
      <c r="G444" t="s">
        <v>5</v>
      </c>
    </row>
    <row r="445" spans="1:7" x14ac:dyDescent="0.3">
      <c r="A445" t="s">
        <v>15</v>
      </c>
      <c r="B445" s="1">
        <v>45777</v>
      </c>
      <c r="C445">
        <v>261015</v>
      </c>
      <c r="D445">
        <v>0.70099999999999996</v>
      </c>
      <c r="E445" t="s">
        <v>4</v>
      </c>
      <c r="F445" t="s">
        <v>45</v>
      </c>
      <c r="G445" t="s">
        <v>5</v>
      </c>
    </row>
    <row r="446" spans="1:7" x14ac:dyDescent="0.3">
      <c r="A446" t="s">
        <v>15</v>
      </c>
      <c r="B446" s="1">
        <v>45777</v>
      </c>
      <c r="C446">
        <v>261016</v>
      </c>
      <c r="D446">
        <v>0.35</v>
      </c>
      <c r="E446" t="s">
        <v>4</v>
      </c>
      <c r="F446" t="s">
        <v>45</v>
      </c>
      <c r="G446" t="s">
        <v>5</v>
      </c>
    </row>
    <row r="447" spans="1:7" x14ac:dyDescent="0.3">
      <c r="A447" t="s">
        <v>15</v>
      </c>
      <c r="B447" s="1">
        <v>45777</v>
      </c>
      <c r="C447">
        <v>261017</v>
      </c>
      <c r="D447">
        <v>2.3809999999999998</v>
      </c>
      <c r="E447" t="s">
        <v>4</v>
      </c>
      <c r="F447" t="s">
        <v>45</v>
      </c>
      <c r="G447" t="s">
        <v>5</v>
      </c>
    </row>
    <row r="448" spans="1:7" x14ac:dyDescent="0.3">
      <c r="A448" t="s">
        <v>15</v>
      </c>
      <c r="B448" s="1">
        <v>45777</v>
      </c>
      <c r="C448">
        <v>261019</v>
      </c>
      <c r="D448">
        <v>628.71199999999999</v>
      </c>
      <c r="E448" t="s">
        <v>4</v>
      </c>
      <c r="F448" t="s">
        <v>45</v>
      </c>
      <c r="G448" t="s">
        <v>5</v>
      </c>
    </row>
    <row r="449" spans="1:7" x14ac:dyDescent="0.3">
      <c r="A449" t="s">
        <v>15</v>
      </c>
      <c r="B449" s="1">
        <v>45777</v>
      </c>
      <c r="C449">
        <v>261023</v>
      </c>
      <c r="D449">
        <v>17603.915000000001</v>
      </c>
      <c r="E449" t="s">
        <v>4</v>
      </c>
      <c r="F449" t="s">
        <v>45</v>
      </c>
      <c r="G449" t="s">
        <v>5</v>
      </c>
    </row>
    <row r="450" spans="1:7" x14ac:dyDescent="0.3">
      <c r="A450" t="s">
        <v>15</v>
      </c>
      <c r="B450" s="1">
        <v>45777</v>
      </c>
      <c r="C450">
        <v>261024</v>
      </c>
      <c r="D450">
        <v>628.71199999999999</v>
      </c>
      <c r="E450" t="s">
        <v>4</v>
      </c>
      <c r="F450" t="s">
        <v>45</v>
      </c>
      <c r="G450" t="s">
        <v>5</v>
      </c>
    </row>
    <row r="451" spans="1:7" x14ac:dyDescent="0.3">
      <c r="A451" t="s">
        <v>15</v>
      </c>
      <c r="B451" s="1">
        <v>45777</v>
      </c>
      <c r="C451">
        <v>262015</v>
      </c>
      <c r="D451">
        <v>477.661</v>
      </c>
      <c r="E451" t="s">
        <v>4</v>
      </c>
      <c r="F451" t="s">
        <v>45</v>
      </c>
      <c r="G451" t="s">
        <v>5</v>
      </c>
    </row>
    <row r="452" spans="1:7" x14ac:dyDescent="0.3">
      <c r="A452" t="s">
        <v>15</v>
      </c>
      <c r="B452" s="1">
        <v>45777</v>
      </c>
      <c r="C452">
        <v>263006</v>
      </c>
      <c r="D452">
        <v>-84997.384999999995</v>
      </c>
      <c r="E452" t="s">
        <v>4</v>
      </c>
      <c r="F452" t="s">
        <v>45</v>
      </c>
      <c r="G452" t="s">
        <v>5</v>
      </c>
    </row>
    <row r="453" spans="1:7" x14ac:dyDescent="0.3">
      <c r="A453" t="s">
        <v>15</v>
      </c>
      <c r="B453" s="1">
        <v>45777</v>
      </c>
      <c r="C453">
        <v>263007</v>
      </c>
      <c r="D453">
        <v>-68654.678</v>
      </c>
      <c r="E453" t="s">
        <v>4</v>
      </c>
      <c r="F453" t="s">
        <v>45</v>
      </c>
      <c r="G453" t="s">
        <v>5</v>
      </c>
    </row>
    <row r="454" spans="1:7" x14ac:dyDescent="0.3">
      <c r="A454" t="s">
        <v>15</v>
      </c>
      <c r="B454" s="1">
        <v>45777</v>
      </c>
      <c r="C454">
        <v>263008</v>
      </c>
      <c r="D454">
        <v>-152192.49299999999</v>
      </c>
      <c r="E454" t="s">
        <v>4</v>
      </c>
      <c r="F454" t="s">
        <v>45</v>
      </c>
      <c r="G454" t="s">
        <v>5</v>
      </c>
    </row>
    <row r="455" spans="1:7" x14ac:dyDescent="0.3">
      <c r="A455" t="s">
        <v>15</v>
      </c>
      <c r="B455" s="1">
        <v>45777</v>
      </c>
      <c r="C455">
        <v>263010</v>
      </c>
      <c r="D455">
        <v>-1022.831</v>
      </c>
      <c r="E455" t="s">
        <v>4</v>
      </c>
      <c r="F455" t="s">
        <v>45</v>
      </c>
      <c r="G455" t="s">
        <v>5</v>
      </c>
    </row>
    <row r="456" spans="1:7" x14ac:dyDescent="0.3">
      <c r="A456" t="s">
        <v>15</v>
      </c>
      <c r="B456" s="1">
        <v>45777</v>
      </c>
      <c r="C456">
        <v>263012</v>
      </c>
      <c r="D456">
        <v>-69.340999999999994</v>
      </c>
      <c r="E456" t="s">
        <v>4</v>
      </c>
      <c r="F456" t="s">
        <v>45</v>
      </c>
      <c r="G456" t="s">
        <v>5</v>
      </c>
    </row>
    <row r="457" spans="1:7" x14ac:dyDescent="0.3">
      <c r="A457" t="s">
        <v>15</v>
      </c>
      <c r="B457" s="1">
        <v>45777</v>
      </c>
      <c r="C457">
        <v>263013</v>
      </c>
      <c r="D457">
        <v>-69.340999999999994</v>
      </c>
      <c r="E457" t="s">
        <v>4</v>
      </c>
      <c r="F457" t="s">
        <v>45</v>
      </c>
      <c r="G457" t="s">
        <v>5</v>
      </c>
    </row>
    <row r="458" spans="1:7" x14ac:dyDescent="0.3">
      <c r="A458" t="s">
        <v>15</v>
      </c>
      <c r="B458" s="1">
        <v>45777</v>
      </c>
      <c r="C458">
        <v>263014</v>
      </c>
      <c r="D458">
        <v>-2064.9920000000002</v>
      </c>
      <c r="E458" t="s">
        <v>4</v>
      </c>
      <c r="F458" t="s">
        <v>45</v>
      </c>
      <c r="G458" t="s">
        <v>5</v>
      </c>
    </row>
    <row r="459" spans="1:7" x14ac:dyDescent="0.3">
      <c r="A459" t="s">
        <v>15</v>
      </c>
      <c r="B459" s="1">
        <v>45777</v>
      </c>
      <c r="C459">
        <v>270003</v>
      </c>
      <c r="D459">
        <v>-1887.15</v>
      </c>
      <c r="E459" t="s">
        <v>4</v>
      </c>
      <c r="F459" t="s">
        <v>58</v>
      </c>
      <c r="G459" t="s">
        <v>5</v>
      </c>
    </row>
    <row r="460" spans="1:7" x14ac:dyDescent="0.3">
      <c r="A460" t="s">
        <v>15</v>
      </c>
      <c r="B460" s="1">
        <v>45777</v>
      </c>
      <c r="C460">
        <v>270005</v>
      </c>
      <c r="D460">
        <v>0</v>
      </c>
      <c r="E460" t="s">
        <v>4</v>
      </c>
      <c r="F460" t="s">
        <v>58</v>
      </c>
      <c r="G460" t="s">
        <v>5</v>
      </c>
    </row>
    <row r="461" spans="1:7" x14ac:dyDescent="0.3">
      <c r="A461" t="s">
        <v>15</v>
      </c>
      <c r="B461" s="1">
        <v>45777</v>
      </c>
      <c r="C461">
        <v>270007</v>
      </c>
      <c r="D461">
        <v>-32285.670999999998</v>
      </c>
      <c r="E461" t="s">
        <v>4</v>
      </c>
      <c r="F461" t="s">
        <v>58</v>
      </c>
      <c r="G461" t="s">
        <v>5</v>
      </c>
    </row>
    <row r="462" spans="1:7" x14ac:dyDescent="0.3">
      <c r="A462" t="s">
        <v>15</v>
      </c>
      <c r="B462" s="1">
        <v>45777</v>
      </c>
      <c r="C462">
        <v>270009</v>
      </c>
      <c r="D462">
        <v>1E-3</v>
      </c>
      <c r="E462" t="s">
        <v>4</v>
      </c>
      <c r="F462" t="s">
        <v>58</v>
      </c>
      <c r="G462" t="s">
        <v>5</v>
      </c>
    </row>
    <row r="463" spans="1:7" x14ac:dyDescent="0.3">
      <c r="A463" t="s">
        <v>15</v>
      </c>
      <c r="B463" s="1">
        <v>45777</v>
      </c>
      <c r="C463">
        <v>270012</v>
      </c>
      <c r="D463">
        <v>-666.05399999999997</v>
      </c>
      <c r="E463" t="s">
        <v>4</v>
      </c>
      <c r="F463" t="s">
        <v>58</v>
      </c>
      <c r="G463" t="s">
        <v>5</v>
      </c>
    </row>
    <row r="464" spans="1:7" x14ac:dyDescent="0.3">
      <c r="A464" t="s">
        <v>15</v>
      </c>
      <c r="B464" s="1">
        <v>45777</v>
      </c>
      <c r="C464">
        <v>270014</v>
      </c>
      <c r="D464">
        <v>-2417.2849999999999</v>
      </c>
      <c r="E464" t="s">
        <v>4</v>
      </c>
      <c r="F464" t="s">
        <v>58</v>
      </c>
      <c r="G464" t="s">
        <v>5</v>
      </c>
    </row>
    <row r="465" spans="1:7" x14ac:dyDescent="0.3">
      <c r="A465" t="s">
        <v>15</v>
      </c>
      <c r="B465" s="1">
        <v>45777</v>
      </c>
      <c r="C465">
        <v>270015</v>
      </c>
      <c r="D465">
        <v>-1244.0550000000001</v>
      </c>
      <c r="E465" t="s">
        <v>4</v>
      </c>
      <c r="F465" t="s">
        <v>58</v>
      </c>
      <c r="G465" t="s">
        <v>5</v>
      </c>
    </row>
    <row r="466" spans="1:7" x14ac:dyDescent="0.3">
      <c r="A466" t="s">
        <v>15</v>
      </c>
      <c r="B466" s="1">
        <v>45777</v>
      </c>
      <c r="C466">
        <v>270016</v>
      </c>
      <c r="D466">
        <v>0</v>
      </c>
      <c r="E466" t="s">
        <v>4</v>
      </c>
      <c r="F466" t="s">
        <v>58</v>
      </c>
      <c r="G466" t="s">
        <v>5</v>
      </c>
    </row>
    <row r="467" spans="1:7" x14ac:dyDescent="0.3">
      <c r="A467" t="s">
        <v>15</v>
      </c>
      <c r="B467" s="1">
        <v>45777</v>
      </c>
      <c r="C467">
        <v>270018</v>
      </c>
      <c r="D467">
        <v>-5723.9769999999999</v>
      </c>
      <c r="E467" t="s">
        <v>4</v>
      </c>
      <c r="F467" t="s">
        <v>58</v>
      </c>
      <c r="G467" t="s">
        <v>5</v>
      </c>
    </row>
    <row r="468" spans="1:7" x14ac:dyDescent="0.3">
      <c r="A468" t="s">
        <v>15</v>
      </c>
      <c r="B468" s="1">
        <v>45777</v>
      </c>
      <c r="C468">
        <v>270020</v>
      </c>
      <c r="D468">
        <v>-619855.63600000006</v>
      </c>
      <c r="E468" t="s">
        <v>4</v>
      </c>
      <c r="F468" t="s">
        <v>58</v>
      </c>
      <c r="G468" t="s">
        <v>5</v>
      </c>
    </row>
    <row r="469" spans="1:7" x14ac:dyDescent="0.3">
      <c r="A469" t="s">
        <v>15</v>
      </c>
      <c r="B469" s="1">
        <v>45777</v>
      </c>
      <c r="C469">
        <v>270021</v>
      </c>
      <c r="D469">
        <v>-4424.2290000000003</v>
      </c>
      <c r="E469" t="s">
        <v>4</v>
      </c>
      <c r="F469" t="s">
        <v>58</v>
      </c>
      <c r="G469" t="s">
        <v>5</v>
      </c>
    </row>
    <row r="470" spans="1:7" x14ac:dyDescent="0.3">
      <c r="A470" t="s">
        <v>15</v>
      </c>
      <c r="B470" s="1">
        <v>45777</v>
      </c>
      <c r="C470">
        <v>270024</v>
      </c>
      <c r="D470">
        <v>-378953.07500000001</v>
      </c>
      <c r="E470" t="s">
        <v>4</v>
      </c>
      <c r="F470" t="s">
        <v>58</v>
      </c>
      <c r="G470" t="s">
        <v>5</v>
      </c>
    </row>
    <row r="471" spans="1:7" x14ac:dyDescent="0.3">
      <c r="A471" t="s">
        <v>15</v>
      </c>
      <c r="B471" s="1">
        <v>45777</v>
      </c>
      <c r="C471">
        <v>270025</v>
      </c>
      <c r="D471">
        <v>-319374.87599999999</v>
      </c>
      <c r="E471" t="s">
        <v>4</v>
      </c>
      <c r="F471" t="s">
        <v>58</v>
      </c>
      <c r="G471" t="s">
        <v>5</v>
      </c>
    </row>
    <row r="472" spans="1:7" x14ac:dyDescent="0.3">
      <c r="A472" t="s">
        <v>15</v>
      </c>
      <c r="B472" s="1">
        <v>45777</v>
      </c>
      <c r="C472">
        <v>270026</v>
      </c>
      <c r="D472">
        <v>-1445042.3529999999</v>
      </c>
      <c r="E472" t="s">
        <v>4</v>
      </c>
      <c r="F472" t="s">
        <v>58</v>
      </c>
      <c r="G472" t="s">
        <v>5</v>
      </c>
    </row>
    <row r="473" spans="1:7" x14ac:dyDescent="0.3">
      <c r="A473" t="s">
        <v>15</v>
      </c>
      <c r="B473" s="1">
        <v>45777</v>
      </c>
      <c r="C473">
        <v>275002</v>
      </c>
      <c r="D473">
        <v>-26813.679</v>
      </c>
      <c r="E473" t="s">
        <v>4</v>
      </c>
      <c r="F473" t="s">
        <v>58</v>
      </c>
      <c r="G473" t="s">
        <v>5</v>
      </c>
    </row>
    <row r="474" spans="1:7" x14ac:dyDescent="0.3">
      <c r="A474" t="s">
        <v>15</v>
      </c>
      <c r="B474" s="1">
        <v>45777</v>
      </c>
      <c r="C474">
        <v>300002</v>
      </c>
      <c r="D474">
        <v>123858.61500000001</v>
      </c>
      <c r="E474" t="s">
        <v>4</v>
      </c>
      <c r="F474" t="s">
        <v>65</v>
      </c>
      <c r="G474" t="s">
        <v>5</v>
      </c>
    </row>
    <row r="475" spans="1:7" x14ac:dyDescent="0.3">
      <c r="A475" t="s">
        <v>15</v>
      </c>
      <c r="B475" s="1">
        <v>45777</v>
      </c>
      <c r="C475">
        <v>300003</v>
      </c>
      <c r="D475">
        <v>1127652.318</v>
      </c>
      <c r="E475" t="s">
        <v>4</v>
      </c>
      <c r="F475" t="s">
        <v>65</v>
      </c>
      <c r="G475" t="s">
        <v>5</v>
      </c>
    </row>
    <row r="476" spans="1:7" x14ac:dyDescent="0.3">
      <c r="A476" t="s">
        <v>15</v>
      </c>
      <c r="B476" s="1">
        <v>45777</v>
      </c>
      <c r="C476">
        <v>300004</v>
      </c>
      <c r="D476">
        <v>1041324.939</v>
      </c>
      <c r="E476" t="s">
        <v>4</v>
      </c>
      <c r="F476" t="s">
        <v>65</v>
      </c>
      <c r="G476" t="s">
        <v>5</v>
      </c>
    </row>
    <row r="477" spans="1:7" x14ac:dyDescent="0.3">
      <c r="A477" t="s">
        <v>15</v>
      </c>
      <c r="B477" s="1">
        <v>45777</v>
      </c>
      <c r="C477">
        <v>300005</v>
      </c>
      <c r="D477">
        <v>465536.6</v>
      </c>
      <c r="E477" t="s">
        <v>4</v>
      </c>
      <c r="F477" t="s">
        <v>65</v>
      </c>
      <c r="G477" t="s">
        <v>5</v>
      </c>
    </row>
    <row r="478" spans="1:7" x14ac:dyDescent="0.3">
      <c r="A478" t="s">
        <v>15</v>
      </c>
      <c r="B478" s="1">
        <v>45777</v>
      </c>
      <c r="C478">
        <v>300006</v>
      </c>
      <c r="D478">
        <v>7066.4669999999996</v>
      </c>
      <c r="E478" t="s">
        <v>4</v>
      </c>
      <c r="F478" t="s">
        <v>65</v>
      </c>
      <c r="G478" t="s">
        <v>5</v>
      </c>
    </row>
    <row r="479" spans="1:7" x14ac:dyDescent="0.3">
      <c r="A479" t="s">
        <v>15</v>
      </c>
      <c r="B479" s="1">
        <v>45777</v>
      </c>
      <c r="C479">
        <v>300008</v>
      </c>
      <c r="D479">
        <v>1324304.415</v>
      </c>
      <c r="E479" t="s">
        <v>4</v>
      </c>
      <c r="F479" t="s">
        <v>65</v>
      </c>
      <c r="G479" t="s">
        <v>5</v>
      </c>
    </row>
    <row r="480" spans="1:7" x14ac:dyDescent="0.3">
      <c r="A480" t="s">
        <v>15</v>
      </c>
      <c r="B480" s="1">
        <v>45777</v>
      </c>
      <c r="C480">
        <v>300009</v>
      </c>
      <c r="D480">
        <v>307695.03399999999</v>
      </c>
      <c r="E480" t="s">
        <v>4</v>
      </c>
      <c r="F480" t="s">
        <v>65</v>
      </c>
      <c r="G480" t="s">
        <v>5</v>
      </c>
    </row>
    <row r="481" spans="1:7" x14ac:dyDescent="0.3">
      <c r="A481" t="s">
        <v>15</v>
      </c>
      <c r="B481" s="1">
        <v>45777</v>
      </c>
      <c r="C481">
        <v>300010</v>
      </c>
      <c r="D481">
        <v>17407.902999999998</v>
      </c>
      <c r="E481" t="s">
        <v>4</v>
      </c>
      <c r="F481" t="s">
        <v>65</v>
      </c>
      <c r="G481" t="s">
        <v>5</v>
      </c>
    </row>
    <row r="482" spans="1:7" x14ac:dyDescent="0.3">
      <c r="A482" t="s">
        <v>15</v>
      </c>
      <c r="B482" s="1">
        <v>45777</v>
      </c>
      <c r="C482">
        <v>300011</v>
      </c>
      <c r="D482">
        <v>22948.892</v>
      </c>
      <c r="E482" t="s">
        <v>4</v>
      </c>
      <c r="F482" t="s">
        <v>65</v>
      </c>
      <c r="G482" t="s">
        <v>5</v>
      </c>
    </row>
    <row r="483" spans="1:7" x14ac:dyDescent="0.3">
      <c r="A483" t="s">
        <v>15</v>
      </c>
      <c r="B483" s="1">
        <v>45777</v>
      </c>
      <c r="C483">
        <v>300012</v>
      </c>
      <c r="D483">
        <v>1775696.6410000001</v>
      </c>
      <c r="E483" t="s">
        <v>4</v>
      </c>
      <c r="F483" t="s">
        <v>65</v>
      </c>
      <c r="G483" t="s">
        <v>5</v>
      </c>
    </row>
    <row r="484" spans="1:7" x14ac:dyDescent="0.3">
      <c r="A484" t="s">
        <v>15</v>
      </c>
      <c r="B484" s="1">
        <v>45777</v>
      </c>
      <c r="C484">
        <v>300014</v>
      </c>
      <c r="D484">
        <v>1482029.45</v>
      </c>
      <c r="E484" t="s">
        <v>4</v>
      </c>
      <c r="F484" t="s">
        <v>65</v>
      </c>
      <c r="G484" t="s">
        <v>5</v>
      </c>
    </row>
    <row r="485" spans="1:7" x14ac:dyDescent="0.3">
      <c r="A485" t="s">
        <v>15</v>
      </c>
      <c r="B485" s="1">
        <v>45777</v>
      </c>
      <c r="C485">
        <v>300502</v>
      </c>
      <c r="D485">
        <v>-33765.273999999998</v>
      </c>
      <c r="E485" t="s">
        <v>4</v>
      </c>
      <c r="F485" t="s">
        <v>65</v>
      </c>
      <c r="G485" t="s">
        <v>5</v>
      </c>
    </row>
    <row r="486" spans="1:7" x14ac:dyDescent="0.3">
      <c r="A486" t="s">
        <v>15</v>
      </c>
      <c r="B486" s="1">
        <v>45777</v>
      </c>
      <c r="C486">
        <v>300503</v>
      </c>
      <c r="D486">
        <v>-754954.78599999996</v>
      </c>
      <c r="E486" t="s">
        <v>4</v>
      </c>
      <c r="F486" t="s">
        <v>65</v>
      </c>
      <c r="G486" t="s">
        <v>5</v>
      </c>
    </row>
    <row r="487" spans="1:7" x14ac:dyDescent="0.3">
      <c r="A487" t="s">
        <v>15</v>
      </c>
      <c r="B487" s="1">
        <v>45777</v>
      </c>
      <c r="C487">
        <v>300504</v>
      </c>
      <c r="D487">
        <v>-777940.28899999999</v>
      </c>
      <c r="E487" t="s">
        <v>4</v>
      </c>
      <c r="F487" t="s">
        <v>65</v>
      </c>
      <c r="G487" t="s">
        <v>5</v>
      </c>
    </row>
    <row r="488" spans="1:7" x14ac:dyDescent="0.3">
      <c r="A488" t="s">
        <v>15</v>
      </c>
      <c r="B488" s="1">
        <v>45777</v>
      </c>
      <c r="C488">
        <v>300505</v>
      </c>
      <c r="D488">
        <v>-433314.96899999998</v>
      </c>
      <c r="E488" t="s">
        <v>4</v>
      </c>
      <c r="F488" t="s">
        <v>65</v>
      </c>
      <c r="G488" t="s">
        <v>5</v>
      </c>
    </row>
    <row r="489" spans="1:7" x14ac:dyDescent="0.3">
      <c r="A489" t="s">
        <v>15</v>
      </c>
      <c r="B489" s="1">
        <v>45777</v>
      </c>
      <c r="C489">
        <v>300506</v>
      </c>
      <c r="D489">
        <v>-2800.654</v>
      </c>
      <c r="E489" t="s">
        <v>4</v>
      </c>
      <c r="F489" t="s">
        <v>65</v>
      </c>
      <c r="G489" t="s">
        <v>5</v>
      </c>
    </row>
    <row r="490" spans="1:7" x14ac:dyDescent="0.3">
      <c r="A490" t="s">
        <v>15</v>
      </c>
      <c r="B490" s="1">
        <v>45777</v>
      </c>
      <c r="C490">
        <v>300508</v>
      </c>
      <c r="D490">
        <v>-663755.90599999996</v>
      </c>
      <c r="E490" t="s">
        <v>4</v>
      </c>
      <c r="F490" t="s">
        <v>65</v>
      </c>
      <c r="G490" t="s">
        <v>5</v>
      </c>
    </row>
    <row r="491" spans="1:7" x14ac:dyDescent="0.3">
      <c r="A491" t="s">
        <v>15</v>
      </c>
      <c r="B491" s="1">
        <v>45777</v>
      </c>
      <c r="C491">
        <v>300509</v>
      </c>
      <c r="D491">
        <v>-278973.52100000001</v>
      </c>
      <c r="E491" t="s">
        <v>4</v>
      </c>
      <c r="F491" t="s">
        <v>65</v>
      </c>
      <c r="G491" t="s">
        <v>5</v>
      </c>
    </row>
    <row r="492" spans="1:7" x14ac:dyDescent="0.3">
      <c r="A492" t="s">
        <v>15</v>
      </c>
      <c r="B492" s="1">
        <v>45777</v>
      </c>
      <c r="C492">
        <v>300510</v>
      </c>
      <c r="D492">
        <v>-17079.523000000001</v>
      </c>
      <c r="E492" t="s">
        <v>4</v>
      </c>
      <c r="F492" t="s">
        <v>65</v>
      </c>
      <c r="G492" t="s">
        <v>5</v>
      </c>
    </row>
    <row r="493" spans="1:7" x14ac:dyDescent="0.3">
      <c r="A493" t="s">
        <v>15</v>
      </c>
      <c r="B493" s="1">
        <v>45777</v>
      </c>
      <c r="C493">
        <v>300511</v>
      </c>
      <c r="D493">
        <v>-22226.161</v>
      </c>
      <c r="E493" t="s">
        <v>4</v>
      </c>
      <c r="F493" t="s">
        <v>65</v>
      </c>
      <c r="G493" t="s">
        <v>5</v>
      </c>
    </row>
    <row r="494" spans="1:7" x14ac:dyDescent="0.3">
      <c r="A494" t="s">
        <v>15</v>
      </c>
      <c r="B494" s="1">
        <v>45777</v>
      </c>
      <c r="C494">
        <v>300512</v>
      </c>
      <c r="D494">
        <v>-1533133.017</v>
      </c>
      <c r="E494" t="s">
        <v>4</v>
      </c>
      <c r="F494" t="s">
        <v>65</v>
      </c>
      <c r="G494" t="s">
        <v>5</v>
      </c>
    </row>
    <row r="495" spans="1:7" x14ac:dyDescent="0.3">
      <c r="A495" t="s">
        <v>15</v>
      </c>
      <c r="B495" s="1">
        <v>45777</v>
      </c>
      <c r="C495">
        <v>300514</v>
      </c>
      <c r="D495">
        <v>-941379.24800000002</v>
      </c>
      <c r="E495" t="s">
        <v>4</v>
      </c>
      <c r="F495" t="s">
        <v>65</v>
      </c>
      <c r="G495" t="s">
        <v>5</v>
      </c>
    </row>
    <row r="496" spans="1:7" x14ac:dyDescent="0.3">
      <c r="A496" t="s">
        <v>15</v>
      </c>
      <c r="B496" s="1">
        <v>45777</v>
      </c>
      <c r="C496">
        <v>301002</v>
      </c>
      <c r="D496">
        <v>126927.077</v>
      </c>
      <c r="E496" t="s">
        <v>4</v>
      </c>
      <c r="F496" t="s">
        <v>68</v>
      </c>
      <c r="G496" t="s">
        <v>5</v>
      </c>
    </row>
    <row r="497" spans="1:7" x14ac:dyDescent="0.3">
      <c r="A497" t="s">
        <v>15</v>
      </c>
      <c r="B497" s="1">
        <v>45777</v>
      </c>
      <c r="C497">
        <v>301004</v>
      </c>
      <c r="D497">
        <v>1963564.527</v>
      </c>
      <c r="E497" t="s">
        <v>4</v>
      </c>
      <c r="F497" t="s">
        <v>65</v>
      </c>
      <c r="G497" t="s">
        <v>5</v>
      </c>
    </row>
    <row r="498" spans="1:7" x14ac:dyDescent="0.3">
      <c r="A498" t="s">
        <v>15</v>
      </c>
      <c r="B498" s="1">
        <v>45777</v>
      </c>
      <c r="C498">
        <v>301005</v>
      </c>
      <c r="D498">
        <v>292417.38400000002</v>
      </c>
      <c r="E498" t="s">
        <v>4</v>
      </c>
      <c r="F498" t="s">
        <v>65</v>
      </c>
      <c r="G498" t="s">
        <v>5</v>
      </c>
    </row>
    <row r="499" spans="1:7" x14ac:dyDescent="0.3">
      <c r="A499" t="s">
        <v>15</v>
      </c>
      <c r="B499" s="1">
        <v>45777</v>
      </c>
      <c r="C499">
        <v>301502</v>
      </c>
      <c r="D499">
        <v>-126927.07399999999</v>
      </c>
      <c r="E499" t="s">
        <v>4</v>
      </c>
      <c r="F499" t="s">
        <v>68</v>
      </c>
      <c r="G499" t="s">
        <v>5</v>
      </c>
    </row>
    <row r="500" spans="1:7" x14ac:dyDescent="0.3">
      <c r="A500" t="s">
        <v>15</v>
      </c>
      <c r="B500" s="1">
        <v>45777</v>
      </c>
      <c r="C500">
        <v>301504</v>
      </c>
      <c r="D500">
        <v>-1822661.804</v>
      </c>
      <c r="E500" t="s">
        <v>4</v>
      </c>
      <c r="F500" t="s">
        <v>65</v>
      </c>
      <c r="G500" t="s">
        <v>5</v>
      </c>
    </row>
    <row r="501" spans="1:7" x14ac:dyDescent="0.3">
      <c r="A501" t="s">
        <v>15</v>
      </c>
      <c r="B501" s="1">
        <v>45777</v>
      </c>
      <c r="C501">
        <v>301505</v>
      </c>
      <c r="D501">
        <v>-292417.37800000003</v>
      </c>
      <c r="E501" t="s">
        <v>4</v>
      </c>
      <c r="F501" t="s">
        <v>65</v>
      </c>
      <c r="G501" t="s">
        <v>5</v>
      </c>
    </row>
    <row r="502" spans="1:7" x14ac:dyDescent="0.3">
      <c r="A502" t="s">
        <v>15</v>
      </c>
      <c r="B502" s="1">
        <v>45777</v>
      </c>
      <c r="C502">
        <v>303002</v>
      </c>
      <c r="D502">
        <v>32238.38</v>
      </c>
      <c r="E502" t="s">
        <v>4</v>
      </c>
      <c r="F502" t="s">
        <v>65</v>
      </c>
      <c r="G502" t="s">
        <v>5</v>
      </c>
    </row>
    <row r="503" spans="1:7" x14ac:dyDescent="0.3">
      <c r="A503" t="s">
        <v>15</v>
      </c>
      <c r="B503" s="1">
        <v>45777</v>
      </c>
      <c r="C503">
        <v>303003</v>
      </c>
      <c r="D503">
        <v>7781.4650000000001</v>
      </c>
      <c r="E503" t="s">
        <v>4</v>
      </c>
      <c r="F503" t="s">
        <v>65</v>
      </c>
      <c r="G503" t="s">
        <v>5</v>
      </c>
    </row>
    <row r="504" spans="1:7" x14ac:dyDescent="0.3">
      <c r="A504" t="s">
        <v>15</v>
      </c>
      <c r="B504" s="1">
        <v>45777</v>
      </c>
      <c r="C504">
        <v>304002</v>
      </c>
      <c r="D504">
        <v>2401156.9040000001</v>
      </c>
      <c r="E504" t="s">
        <v>4</v>
      </c>
      <c r="F504" t="s">
        <v>65</v>
      </c>
      <c r="G504" t="s">
        <v>5</v>
      </c>
    </row>
    <row r="505" spans="1:7" x14ac:dyDescent="0.3">
      <c r="A505" t="s">
        <v>15</v>
      </c>
      <c r="B505" s="1">
        <v>45777</v>
      </c>
      <c r="C505">
        <v>304502</v>
      </c>
      <c r="D505">
        <v>-1015031.027</v>
      </c>
      <c r="E505" t="s">
        <v>4</v>
      </c>
      <c r="F505" t="s">
        <v>65</v>
      </c>
      <c r="G505" t="s">
        <v>5</v>
      </c>
    </row>
    <row r="506" spans="1:7" x14ac:dyDescent="0.3">
      <c r="A506" t="s">
        <v>15</v>
      </c>
      <c r="B506" s="1">
        <v>45777</v>
      </c>
      <c r="C506">
        <v>310002</v>
      </c>
      <c r="D506">
        <v>4196708.7220000001</v>
      </c>
      <c r="E506" t="s">
        <v>4</v>
      </c>
      <c r="F506" t="s">
        <v>42</v>
      </c>
      <c r="G506" t="s">
        <v>5</v>
      </c>
    </row>
    <row r="507" spans="1:7" x14ac:dyDescent="0.3">
      <c r="A507" t="s">
        <v>15</v>
      </c>
      <c r="B507" s="1">
        <v>45777</v>
      </c>
      <c r="C507">
        <v>310004</v>
      </c>
      <c r="D507">
        <v>127099.955</v>
      </c>
      <c r="E507" t="s">
        <v>4</v>
      </c>
      <c r="F507" t="s">
        <v>42</v>
      </c>
      <c r="G507" t="s">
        <v>5</v>
      </c>
    </row>
    <row r="508" spans="1:7" x14ac:dyDescent="0.3">
      <c r="A508" t="s">
        <v>15</v>
      </c>
      <c r="B508" s="1">
        <v>45777</v>
      </c>
      <c r="C508">
        <v>310005</v>
      </c>
      <c r="D508">
        <v>138903.25</v>
      </c>
      <c r="E508" t="s">
        <v>4</v>
      </c>
      <c r="F508" t="s">
        <v>42</v>
      </c>
      <c r="G508" t="s">
        <v>5</v>
      </c>
    </row>
    <row r="509" spans="1:7" x14ac:dyDescent="0.3">
      <c r="A509" t="s">
        <v>15</v>
      </c>
      <c r="B509" s="1">
        <v>45777</v>
      </c>
      <c r="C509">
        <v>310007</v>
      </c>
      <c r="D509">
        <v>334751.18699999998</v>
      </c>
      <c r="E509" t="s">
        <v>4</v>
      </c>
      <c r="F509" t="s">
        <v>42</v>
      </c>
      <c r="G509" t="s">
        <v>5</v>
      </c>
    </row>
    <row r="510" spans="1:7" x14ac:dyDescent="0.3">
      <c r="A510" t="s">
        <v>15</v>
      </c>
      <c r="B510" s="1">
        <v>45777</v>
      </c>
      <c r="C510">
        <v>310016</v>
      </c>
      <c r="D510">
        <v>727512.65</v>
      </c>
      <c r="E510" t="s">
        <v>4</v>
      </c>
      <c r="F510" t="s">
        <v>42</v>
      </c>
      <c r="G510" t="s">
        <v>5</v>
      </c>
    </row>
    <row r="511" spans="1:7" x14ac:dyDescent="0.3">
      <c r="A511" t="s">
        <v>15</v>
      </c>
      <c r="B511" s="1">
        <v>45777</v>
      </c>
      <c r="C511">
        <v>310017</v>
      </c>
      <c r="D511">
        <v>39387.707000000002</v>
      </c>
      <c r="E511" t="s">
        <v>4</v>
      </c>
      <c r="F511" t="s">
        <v>42</v>
      </c>
      <c r="G511" t="s">
        <v>5</v>
      </c>
    </row>
    <row r="512" spans="1:7" x14ac:dyDescent="0.3">
      <c r="A512" t="s">
        <v>15</v>
      </c>
      <c r="B512" s="1">
        <v>45777</v>
      </c>
      <c r="C512">
        <v>310021</v>
      </c>
      <c r="D512">
        <v>63.031999999999996</v>
      </c>
      <c r="E512" t="s">
        <v>4</v>
      </c>
      <c r="F512" t="s">
        <v>42</v>
      </c>
      <c r="G512" t="s">
        <v>5</v>
      </c>
    </row>
    <row r="513" spans="1:7" x14ac:dyDescent="0.3">
      <c r="A513" t="s">
        <v>15</v>
      </c>
      <c r="B513" s="1">
        <v>45777</v>
      </c>
      <c r="C513">
        <v>310031</v>
      </c>
      <c r="D513">
        <v>73609.5</v>
      </c>
      <c r="E513" t="s">
        <v>4</v>
      </c>
      <c r="F513" t="s">
        <v>42</v>
      </c>
      <c r="G513" t="s">
        <v>5</v>
      </c>
    </row>
    <row r="514" spans="1:7" x14ac:dyDescent="0.3">
      <c r="A514" t="s">
        <v>15</v>
      </c>
      <c r="B514" s="1">
        <v>45777</v>
      </c>
      <c r="C514">
        <v>310034</v>
      </c>
      <c r="D514">
        <v>3.9E-2</v>
      </c>
      <c r="E514" t="s">
        <v>4</v>
      </c>
      <c r="F514" t="s">
        <v>42</v>
      </c>
      <c r="G514" t="s">
        <v>5</v>
      </c>
    </row>
    <row r="515" spans="1:7" x14ac:dyDescent="0.3">
      <c r="A515" t="s">
        <v>15</v>
      </c>
      <c r="B515" s="1">
        <v>45777</v>
      </c>
      <c r="C515">
        <v>310036</v>
      </c>
      <c r="D515">
        <v>40145.775000000001</v>
      </c>
      <c r="E515" t="s">
        <v>4</v>
      </c>
      <c r="F515" t="s">
        <v>42</v>
      </c>
      <c r="G515" t="s">
        <v>5</v>
      </c>
    </row>
    <row r="516" spans="1:7" x14ac:dyDescent="0.3">
      <c r="A516" t="s">
        <v>15</v>
      </c>
      <c r="B516" s="1">
        <v>45777</v>
      </c>
      <c r="C516">
        <v>315003</v>
      </c>
      <c r="D516">
        <v>499779.375</v>
      </c>
      <c r="E516" t="s">
        <v>4</v>
      </c>
      <c r="F516" t="s">
        <v>47</v>
      </c>
      <c r="G516" t="s">
        <v>5</v>
      </c>
    </row>
    <row r="517" spans="1:7" x14ac:dyDescent="0.3">
      <c r="A517" t="s">
        <v>15</v>
      </c>
      <c r="B517" s="1">
        <v>45777</v>
      </c>
      <c r="C517">
        <v>315004</v>
      </c>
      <c r="D517">
        <v>566574.701</v>
      </c>
      <c r="E517" t="s">
        <v>4</v>
      </c>
      <c r="F517" t="s">
        <v>47</v>
      </c>
      <c r="G517" t="s">
        <v>5</v>
      </c>
    </row>
    <row r="518" spans="1:7" x14ac:dyDescent="0.3">
      <c r="A518" t="s">
        <v>15</v>
      </c>
      <c r="B518" s="1">
        <v>45777</v>
      </c>
      <c r="C518">
        <v>315011</v>
      </c>
      <c r="D518">
        <v>62137.362999999998</v>
      </c>
      <c r="E518" t="s">
        <v>4</v>
      </c>
      <c r="F518" t="s">
        <v>47</v>
      </c>
      <c r="G518" t="s">
        <v>5</v>
      </c>
    </row>
    <row r="519" spans="1:7" x14ac:dyDescent="0.3">
      <c r="A519" t="s">
        <v>15</v>
      </c>
      <c r="B519" s="1">
        <v>45777</v>
      </c>
      <c r="C519">
        <v>315013</v>
      </c>
      <c r="D519">
        <v>373724.80200000003</v>
      </c>
      <c r="E519" t="s">
        <v>4</v>
      </c>
      <c r="F519" t="s">
        <v>47</v>
      </c>
      <c r="G519" t="s">
        <v>5</v>
      </c>
    </row>
    <row r="520" spans="1:7" x14ac:dyDescent="0.3">
      <c r="A520" t="s">
        <v>15</v>
      </c>
      <c r="B520" s="1">
        <v>45777</v>
      </c>
      <c r="C520">
        <v>315016</v>
      </c>
      <c r="D520">
        <v>108512.785</v>
      </c>
      <c r="E520" t="s">
        <v>4</v>
      </c>
      <c r="F520" t="s">
        <v>47</v>
      </c>
      <c r="G520" t="s">
        <v>5</v>
      </c>
    </row>
    <row r="521" spans="1:7" x14ac:dyDescent="0.3">
      <c r="A521" t="s">
        <v>15</v>
      </c>
      <c r="B521" s="1">
        <v>45777</v>
      </c>
      <c r="C521">
        <v>315017</v>
      </c>
      <c r="D521">
        <v>61996.9</v>
      </c>
      <c r="E521" t="s">
        <v>4</v>
      </c>
      <c r="F521" t="s">
        <v>47</v>
      </c>
      <c r="G521" t="s">
        <v>5</v>
      </c>
    </row>
    <row r="522" spans="1:7" x14ac:dyDescent="0.3">
      <c r="A522" t="s">
        <v>15</v>
      </c>
      <c r="B522" s="1">
        <v>45777</v>
      </c>
      <c r="C522">
        <v>316002</v>
      </c>
      <c r="D522">
        <v>155259.005</v>
      </c>
      <c r="E522" t="s">
        <v>4</v>
      </c>
      <c r="F522" t="s">
        <v>47</v>
      </c>
      <c r="G522" t="s">
        <v>5</v>
      </c>
    </row>
    <row r="523" spans="1:7" x14ac:dyDescent="0.3">
      <c r="A523" t="s">
        <v>15</v>
      </c>
      <c r="B523" s="1">
        <v>45777</v>
      </c>
      <c r="C523">
        <v>316003</v>
      </c>
      <c r="D523">
        <v>308953.74800000002</v>
      </c>
      <c r="E523" t="s">
        <v>4</v>
      </c>
      <c r="F523" t="s">
        <v>47</v>
      </c>
      <c r="G523" t="s">
        <v>5</v>
      </c>
    </row>
    <row r="524" spans="1:7" x14ac:dyDescent="0.3">
      <c r="A524" t="s">
        <v>15</v>
      </c>
      <c r="B524" s="1">
        <v>45777</v>
      </c>
      <c r="C524">
        <v>316004</v>
      </c>
      <c r="D524">
        <v>155000.155</v>
      </c>
      <c r="E524" t="s">
        <v>4</v>
      </c>
      <c r="F524" t="s">
        <v>47</v>
      </c>
      <c r="G524" t="s">
        <v>5</v>
      </c>
    </row>
    <row r="525" spans="1:7" x14ac:dyDescent="0.3">
      <c r="A525" t="s">
        <v>15</v>
      </c>
      <c r="B525" s="1">
        <v>45777</v>
      </c>
      <c r="C525">
        <v>316005</v>
      </c>
      <c r="D525">
        <v>312774.511</v>
      </c>
      <c r="E525" t="s">
        <v>4</v>
      </c>
      <c r="F525" t="s">
        <v>47</v>
      </c>
      <c r="G525" t="s">
        <v>5</v>
      </c>
    </row>
    <row r="526" spans="1:7" x14ac:dyDescent="0.3">
      <c r="A526" t="s">
        <v>15</v>
      </c>
      <c r="B526" s="1">
        <v>45777</v>
      </c>
      <c r="C526">
        <v>320002</v>
      </c>
      <c r="D526">
        <v>121043.19100000001</v>
      </c>
      <c r="E526" t="s">
        <v>4</v>
      </c>
      <c r="F526" t="s">
        <v>46</v>
      </c>
      <c r="G526" t="s">
        <v>5</v>
      </c>
    </row>
    <row r="527" spans="1:7" x14ac:dyDescent="0.3">
      <c r="A527" t="s">
        <v>15</v>
      </c>
      <c r="B527" s="1">
        <v>45777</v>
      </c>
      <c r="C527">
        <v>320003</v>
      </c>
      <c r="D527">
        <v>1194829.2439999999</v>
      </c>
      <c r="E527" t="s">
        <v>4</v>
      </c>
      <c r="F527" t="s">
        <v>46</v>
      </c>
      <c r="G527" t="s">
        <v>5</v>
      </c>
    </row>
    <row r="528" spans="1:7" x14ac:dyDescent="0.3">
      <c r="A528" t="s">
        <v>15</v>
      </c>
      <c r="B528" s="1">
        <v>45777</v>
      </c>
      <c r="C528">
        <v>320004</v>
      </c>
      <c r="D528">
        <v>2152.0419999999999</v>
      </c>
      <c r="E528" t="s">
        <v>4</v>
      </c>
      <c r="F528" t="s">
        <v>46</v>
      </c>
      <c r="G528" t="s">
        <v>5</v>
      </c>
    </row>
    <row r="529" spans="1:7" x14ac:dyDescent="0.3">
      <c r="A529" t="s">
        <v>15</v>
      </c>
      <c r="B529" s="1">
        <v>45777</v>
      </c>
      <c r="C529">
        <v>320006</v>
      </c>
      <c r="D529">
        <v>-314.57799999999997</v>
      </c>
      <c r="E529" t="s">
        <v>4</v>
      </c>
      <c r="F529" t="s">
        <v>46</v>
      </c>
      <c r="G529" t="s">
        <v>5</v>
      </c>
    </row>
    <row r="530" spans="1:7" x14ac:dyDescent="0.3">
      <c r="A530" t="s">
        <v>15</v>
      </c>
      <c r="B530" s="1">
        <v>45777</v>
      </c>
      <c r="C530">
        <v>320008</v>
      </c>
      <c r="D530">
        <v>-358.38400000000001</v>
      </c>
      <c r="E530" t="s">
        <v>4</v>
      </c>
      <c r="F530" t="s">
        <v>46</v>
      </c>
      <c r="G530" t="s">
        <v>5</v>
      </c>
    </row>
    <row r="531" spans="1:7" x14ac:dyDescent="0.3">
      <c r="A531" t="s">
        <v>15</v>
      </c>
      <c r="B531" s="1">
        <v>45777</v>
      </c>
      <c r="C531">
        <v>320010</v>
      </c>
      <c r="D531">
        <v>-80233.498000000007</v>
      </c>
      <c r="E531" t="s">
        <v>4</v>
      </c>
      <c r="F531" t="s">
        <v>46</v>
      </c>
      <c r="G531" t="s">
        <v>5</v>
      </c>
    </row>
    <row r="532" spans="1:7" x14ac:dyDescent="0.3">
      <c r="A532" t="s">
        <v>15</v>
      </c>
      <c r="B532" s="1">
        <v>45777</v>
      </c>
      <c r="C532">
        <v>320013</v>
      </c>
      <c r="D532">
        <v>-33199.542000000001</v>
      </c>
      <c r="E532" t="s">
        <v>4</v>
      </c>
      <c r="F532" t="s">
        <v>46</v>
      </c>
      <c r="G532" t="s">
        <v>5</v>
      </c>
    </row>
    <row r="533" spans="1:7" x14ac:dyDescent="0.3">
      <c r="A533" t="s">
        <v>15</v>
      </c>
      <c r="B533" s="1">
        <v>45777</v>
      </c>
      <c r="C533">
        <v>320016</v>
      </c>
      <c r="D533">
        <v>-13423.741</v>
      </c>
      <c r="E533" t="s">
        <v>4</v>
      </c>
      <c r="F533" t="s">
        <v>46</v>
      </c>
      <c r="G533" t="s">
        <v>5</v>
      </c>
    </row>
    <row r="534" spans="1:7" x14ac:dyDescent="0.3">
      <c r="A534" t="s">
        <v>15</v>
      </c>
      <c r="B534" s="1">
        <v>45777</v>
      </c>
      <c r="C534">
        <v>320017</v>
      </c>
      <c r="D534">
        <v>1531.7660000000001</v>
      </c>
      <c r="E534" t="s">
        <v>4</v>
      </c>
      <c r="F534" t="s">
        <v>46</v>
      </c>
      <c r="G534" t="s">
        <v>5</v>
      </c>
    </row>
    <row r="535" spans="1:7" x14ac:dyDescent="0.3">
      <c r="A535" t="s">
        <v>15</v>
      </c>
      <c r="B535" s="1">
        <v>45777</v>
      </c>
      <c r="C535">
        <v>320018</v>
      </c>
      <c r="D535">
        <v>-2081.9169999999999</v>
      </c>
      <c r="E535" t="s">
        <v>4</v>
      </c>
      <c r="F535" t="s">
        <v>46</v>
      </c>
      <c r="G535" t="s">
        <v>5</v>
      </c>
    </row>
    <row r="536" spans="1:7" x14ac:dyDescent="0.3">
      <c r="A536" t="s">
        <v>15</v>
      </c>
      <c r="B536" s="1">
        <v>45777</v>
      </c>
      <c r="C536">
        <v>320019</v>
      </c>
      <c r="D536">
        <v>-21.649000000000001</v>
      </c>
      <c r="E536" t="s">
        <v>4</v>
      </c>
      <c r="F536" t="s">
        <v>46</v>
      </c>
      <c r="G536" t="s">
        <v>5</v>
      </c>
    </row>
    <row r="537" spans="1:7" x14ac:dyDescent="0.3">
      <c r="A537" t="s">
        <v>15</v>
      </c>
      <c r="B537" s="1">
        <v>45777</v>
      </c>
      <c r="C537">
        <v>320020</v>
      </c>
      <c r="D537">
        <v>-2310.5419999999999</v>
      </c>
      <c r="E537" t="s">
        <v>4</v>
      </c>
      <c r="F537" t="s">
        <v>46</v>
      </c>
      <c r="G537" t="s">
        <v>5</v>
      </c>
    </row>
    <row r="538" spans="1:7" x14ac:dyDescent="0.3">
      <c r="A538" t="s">
        <v>15</v>
      </c>
      <c r="B538" s="1">
        <v>45777</v>
      </c>
      <c r="C538">
        <v>320023</v>
      </c>
      <c r="D538">
        <v>-170185.041</v>
      </c>
      <c r="E538" t="s">
        <v>4</v>
      </c>
      <c r="F538" t="s">
        <v>46</v>
      </c>
      <c r="G538" t="s">
        <v>5</v>
      </c>
    </row>
    <row r="539" spans="1:7" x14ac:dyDescent="0.3">
      <c r="A539" t="s">
        <v>15</v>
      </c>
      <c r="B539" s="1">
        <v>45777</v>
      </c>
      <c r="C539">
        <v>320024</v>
      </c>
      <c r="D539">
        <v>39308.652999999998</v>
      </c>
      <c r="E539" t="s">
        <v>4</v>
      </c>
      <c r="F539" t="s">
        <v>46</v>
      </c>
      <c r="G539" t="s">
        <v>5</v>
      </c>
    </row>
    <row r="540" spans="1:7" x14ac:dyDescent="0.3">
      <c r="A540" t="s">
        <v>15</v>
      </c>
      <c r="B540" s="1">
        <v>45777</v>
      </c>
      <c r="C540">
        <v>320025</v>
      </c>
      <c r="D540">
        <v>-20128.191999999999</v>
      </c>
      <c r="E540" t="s">
        <v>4</v>
      </c>
      <c r="F540" t="s">
        <v>46</v>
      </c>
      <c r="G540" t="s">
        <v>5</v>
      </c>
    </row>
    <row r="541" spans="1:7" x14ac:dyDescent="0.3">
      <c r="A541" t="s">
        <v>15</v>
      </c>
      <c r="B541" s="1">
        <v>45777</v>
      </c>
      <c r="C541">
        <v>321002</v>
      </c>
      <c r="D541">
        <v>827409.59499999997</v>
      </c>
      <c r="E541" t="s">
        <v>4</v>
      </c>
      <c r="F541" t="s">
        <v>46</v>
      </c>
      <c r="G541" t="s">
        <v>5</v>
      </c>
    </row>
    <row r="542" spans="1:7" x14ac:dyDescent="0.3">
      <c r="A542" t="s">
        <v>15</v>
      </c>
      <c r="B542" s="1">
        <v>45777</v>
      </c>
      <c r="C542">
        <v>321004</v>
      </c>
      <c r="D542">
        <v>20994.036</v>
      </c>
      <c r="E542" t="s">
        <v>4</v>
      </c>
      <c r="F542" t="s">
        <v>46</v>
      </c>
      <c r="G542" t="s">
        <v>5</v>
      </c>
    </row>
    <row r="543" spans="1:7" x14ac:dyDescent="0.3">
      <c r="A543" t="s">
        <v>15</v>
      </c>
      <c r="B543" s="1">
        <v>45777</v>
      </c>
      <c r="C543">
        <v>321010</v>
      </c>
      <c r="D543">
        <v>-161451.46299999999</v>
      </c>
      <c r="E543" t="s">
        <v>4</v>
      </c>
      <c r="F543" t="s">
        <v>46</v>
      </c>
      <c r="G543" t="s">
        <v>5</v>
      </c>
    </row>
    <row r="544" spans="1:7" x14ac:dyDescent="0.3">
      <c r="A544" t="s">
        <v>15</v>
      </c>
      <c r="B544" s="1">
        <v>45777</v>
      </c>
      <c r="C544">
        <v>321012</v>
      </c>
      <c r="D544">
        <v>215318.622</v>
      </c>
      <c r="E544" t="s">
        <v>4</v>
      </c>
      <c r="F544" t="s">
        <v>46</v>
      </c>
      <c r="G544" t="s">
        <v>5</v>
      </c>
    </row>
    <row r="545" spans="1:7" x14ac:dyDescent="0.3">
      <c r="A545" t="s">
        <v>15</v>
      </c>
      <c r="B545" s="1">
        <v>45777</v>
      </c>
      <c r="C545">
        <v>321013</v>
      </c>
      <c r="D545">
        <v>679616.51100000006</v>
      </c>
      <c r="E545" t="s">
        <v>4</v>
      </c>
      <c r="F545" t="s">
        <v>46</v>
      </c>
      <c r="G545" t="s">
        <v>5</v>
      </c>
    </row>
    <row r="546" spans="1:7" x14ac:dyDescent="0.3">
      <c r="A546" t="s">
        <v>15</v>
      </c>
      <c r="B546" s="1">
        <v>45777</v>
      </c>
      <c r="C546">
        <v>321014</v>
      </c>
      <c r="D546">
        <v>73425.539000000004</v>
      </c>
      <c r="E546" t="s">
        <v>4</v>
      </c>
      <c r="F546" t="s">
        <v>46</v>
      </c>
      <c r="G546" t="s">
        <v>5</v>
      </c>
    </row>
    <row r="547" spans="1:7" x14ac:dyDescent="0.3">
      <c r="A547" t="s">
        <v>15</v>
      </c>
      <c r="B547" s="1">
        <v>45777</v>
      </c>
      <c r="C547">
        <v>321017</v>
      </c>
      <c r="D547">
        <v>-11607.721</v>
      </c>
      <c r="E547" t="s">
        <v>4</v>
      </c>
      <c r="F547" t="s">
        <v>46</v>
      </c>
      <c r="G547" t="s">
        <v>5</v>
      </c>
    </row>
    <row r="548" spans="1:7" x14ac:dyDescent="0.3">
      <c r="A548" t="s">
        <v>15</v>
      </c>
      <c r="B548" s="1">
        <v>45777</v>
      </c>
      <c r="C548">
        <v>321018</v>
      </c>
      <c r="D548">
        <v>815.15</v>
      </c>
      <c r="E548" t="s">
        <v>4</v>
      </c>
      <c r="F548" t="s">
        <v>46</v>
      </c>
      <c r="G548" t="s">
        <v>5</v>
      </c>
    </row>
    <row r="549" spans="1:7" x14ac:dyDescent="0.3">
      <c r="A549" t="s">
        <v>15</v>
      </c>
      <c r="B549" s="1">
        <v>45777</v>
      </c>
      <c r="C549">
        <v>321021</v>
      </c>
      <c r="D549">
        <v>269290.09000000003</v>
      </c>
      <c r="E549" t="s">
        <v>4</v>
      </c>
      <c r="F549" t="s">
        <v>46</v>
      </c>
      <c r="G549" t="s">
        <v>5</v>
      </c>
    </row>
    <row r="550" spans="1:7" x14ac:dyDescent="0.3">
      <c r="A550" t="s">
        <v>15</v>
      </c>
      <c r="B550" s="1">
        <v>45777</v>
      </c>
      <c r="C550">
        <v>321025</v>
      </c>
      <c r="D550">
        <v>720652.25899999996</v>
      </c>
      <c r="E550" t="s">
        <v>4</v>
      </c>
      <c r="F550" t="s">
        <v>46</v>
      </c>
      <c r="G550" t="s">
        <v>5</v>
      </c>
    </row>
    <row r="551" spans="1:7" x14ac:dyDescent="0.3">
      <c r="A551" t="s">
        <v>15</v>
      </c>
      <c r="B551" s="1">
        <v>45777</v>
      </c>
      <c r="C551">
        <v>321027</v>
      </c>
      <c r="D551">
        <v>8954.0720000000001</v>
      </c>
      <c r="E551" t="s">
        <v>4</v>
      </c>
      <c r="F551" t="s">
        <v>46</v>
      </c>
      <c r="G551" t="s">
        <v>5</v>
      </c>
    </row>
    <row r="552" spans="1:7" x14ac:dyDescent="0.3">
      <c r="A552" t="s">
        <v>15</v>
      </c>
      <c r="B552" s="1">
        <v>45777</v>
      </c>
      <c r="C552">
        <v>321028</v>
      </c>
      <c r="D552">
        <v>-30443.221000000001</v>
      </c>
      <c r="E552" t="s">
        <v>4</v>
      </c>
      <c r="F552" t="s">
        <v>46</v>
      </c>
      <c r="G552" t="s">
        <v>5</v>
      </c>
    </row>
    <row r="553" spans="1:7" x14ac:dyDescent="0.3">
      <c r="A553" t="s">
        <v>15</v>
      </c>
      <c r="B553" s="1">
        <v>45777</v>
      </c>
      <c r="C553">
        <v>321029</v>
      </c>
      <c r="D553">
        <v>22688.901999999998</v>
      </c>
      <c r="E553" t="s">
        <v>4</v>
      </c>
      <c r="F553" t="s">
        <v>46</v>
      </c>
      <c r="G553" t="s">
        <v>5</v>
      </c>
    </row>
    <row r="554" spans="1:7" x14ac:dyDescent="0.3">
      <c r="A554" t="s">
        <v>15</v>
      </c>
      <c r="B554" s="1">
        <v>45777</v>
      </c>
      <c r="C554">
        <v>321030</v>
      </c>
      <c r="D554">
        <v>91081.831999999995</v>
      </c>
      <c r="E554" t="s">
        <v>4</v>
      </c>
      <c r="F554" t="s">
        <v>46</v>
      </c>
      <c r="G554" t="s">
        <v>5</v>
      </c>
    </row>
    <row r="555" spans="1:7" x14ac:dyDescent="0.3">
      <c r="A555" t="s">
        <v>15</v>
      </c>
      <c r="B555" s="1">
        <v>45777</v>
      </c>
      <c r="C555">
        <v>321031</v>
      </c>
      <c r="D555">
        <v>153265.33900000001</v>
      </c>
      <c r="E555" t="s">
        <v>4</v>
      </c>
      <c r="F555" t="s">
        <v>46</v>
      </c>
      <c r="G555" t="s">
        <v>5</v>
      </c>
    </row>
    <row r="556" spans="1:7" x14ac:dyDescent="0.3">
      <c r="A556" t="s">
        <v>15</v>
      </c>
      <c r="B556" s="1">
        <v>45777</v>
      </c>
      <c r="C556">
        <v>321038</v>
      </c>
      <c r="D556">
        <v>568.01700000000005</v>
      </c>
      <c r="E556" t="s">
        <v>4</v>
      </c>
      <c r="F556" t="s">
        <v>46</v>
      </c>
      <c r="G556" t="s">
        <v>5</v>
      </c>
    </row>
    <row r="557" spans="1:7" x14ac:dyDescent="0.3">
      <c r="A557" t="s">
        <v>15</v>
      </c>
      <c r="B557" s="1">
        <v>45777</v>
      </c>
      <c r="C557">
        <v>321041</v>
      </c>
      <c r="D557">
        <v>16300.567999999999</v>
      </c>
      <c r="E557" t="s">
        <v>4</v>
      </c>
      <c r="F557" t="s">
        <v>46</v>
      </c>
      <c r="G557" t="s">
        <v>5</v>
      </c>
    </row>
    <row r="558" spans="1:7" x14ac:dyDescent="0.3">
      <c r="A558" t="s">
        <v>15</v>
      </c>
      <c r="B558" s="1">
        <v>45777</v>
      </c>
      <c r="C558">
        <v>321042</v>
      </c>
      <c r="D558">
        <v>-35113.313000000002</v>
      </c>
      <c r="E558" t="s">
        <v>4</v>
      </c>
      <c r="F558" t="s">
        <v>46</v>
      </c>
      <c r="G558" t="s">
        <v>5</v>
      </c>
    </row>
    <row r="559" spans="1:7" x14ac:dyDescent="0.3">
      <c r="A559" t="s">
        <v>15</v>
      </c>
      <c r="B559" s="1">
        <v>45777</v>
      </c>
      <c r="C559">
        <v>321045</v>
      </c>
      <c r="D559">
        <v>18658.374</v>
      </c>
      <c r="E559" t="s">
        <v>4</v>
      </c>
      <c r="F559" t="s">
        <v>46</v>
      </c>
      <c r="G559" t="s">
        <v>5</v>
      </c>
    </row>
    <row r="560" spans="1:7" x14ac:dyDescent="0.3">
      <c r="A560" t="s">
        <v>15</v>
      </c>
      <c r="B560" s="1">
        <v>45777</v>
      </c>
      <c r="C560">
        <v>330002</v>
      </c>
      <c r="D560">
        <v>3914.2170000000001</v>
      </c>
      <c r="E560" t="s">
        <v>4</v>
      </c>
      <c r="F560" t="s">
        <v>43</v>
      </c>
      <c r="G560" t="s">
        <v>5</v>
      </c>
    </row>
    <row r="561" spans="1:7" x14ac:dyDescent="0.3">
      <c r="A561" t="s">
        <v>15</v>
      </c>
      <c r="B561" s="1">
        <v>45777</v>
      </c>
      <c r="C561">
        <v>330017</v>
      </c>
      <c r="D561">
        <v>541.44899999999996</v>
      </c>
      <c r="E561" t="s">
        <v>4</v>
      </c>
      <c r="F561" t="s">
        <v>43</v>
      </c>
      <c r="G561" t="s">
        <v>5</v>
      </c>
    </row>
    <row r="562" spans="1:7" x14ac:dyDescent="0.3">
      <c r="A562" t="s">
        <v>15</v>
      </c>
      <c r="B562" s="1">
        <v>45777</v>
      </c>
      <c r="C562">
        <v>330020</v>
      </c>
      <c r="D562">
        <v>41.485999999999997</v>
      </c>
      <c r="E562" t="s">
        <v>4</v>
      </c>
      <c r="F562" t="s">
        <v>43</v>
      </c>
      <c r="G562" t="s">
        <v>5</v>
      </c>
    </row>
    <row r="563" spans="1:7" x14ac:dyDescent="0.3">
      <c r="A563" t="s">
        <v>15</v>
      </c>
      <c r="B563" s="1">
        <v>45777</v>
      </c>
      <c r="C563">
        <v>330033</v>
      </c>
      <c r="D563">
        <v>31.72</v>
      </c>
      <c r="E563" t="s">
        <v>4</v>
      </c>
      <c r="F563" t="s">
        <v>43</v>
      </c>
      <c r="G563" t="s">
        <v>5</v>
      </c>
    </row>
    <row r="564" spans="1:7" x14ac:dyDescent="0.3">
      <c r="A564" t="s">
        <v>15</v>
      </c>
      <c r="B564" s="1">
        <v>45777</v>
      </c>
      <c r="C564">
        <v>330044</v>
      </c>
      <c r="D564">
        <v>-2051.221</v>
      </c>
      <c r="E564" t="s">
        <v>4</v>
      </c>
      <c r="F564" t="s">
        <v>43</v>
      </c>
      <c r="G564" t="s">
        <v>5</v>
      </c>
    </row>
    <row r="565" spans="1:7" x14ac:dyDescent="0.3">
      <c r="A565" t="s">
        <v>15</v>
      </c>
      <c r="B565" s="1">
        <v>45777</v>
      </c>
      <c r="C565">
        <v>330051</v>
      </c>
      <c r="D565">
        <v>2095.5210000000002</v>
      </c>
      <c r="E565" t="s">
        <v>4</v>
      </c>
      <c r="F565" t="s">
        <v>43</v>
      </c>
      <c r="G565" t="s">
        <v>5</v>
      </c>
    </row>
    <row r="566" spans="1:7" x14ac:dyDescent="0.3">
      <c r="A566" t="s">
        <v>15</v>
      </c>
      <c r="B566" s="1">
        <v>45777</v>
      </c>
      <c r="C566">
        <v>330052</v>
      </c>
      <c r="D566">
        <v>86.203999999999994</v>
      </c>
      <c r="E566" t="s">
        <v>4</v>
      </c>
      <c r="F566" t="s">
        <v>43</v>
      </c>
      <c r="G566" t="s">
        <v>5</v>
      </c>
    </row>
    <row r="567" spans="1:7" x14ac:dyDescent="0.3">
      <c r="A567" t="s">
        <v>15</v>
      </c>
      <c r="B567" s="1">
        <v>45777</v>
      </c>
      <c r="C567">
        <v>330054</v>
      </c>
      <c r="D567">
        <v>-556.39200000000005</v>
      </c>
      <c r="E567" t="s">
        <v>4</v>
      </c>
      <c r="F567" t="s">
        <v>43</v>
      </c>
      <c r="G567" t="s">
        <v>5</v>
      </c>
    </row>
    <row r="568" spans="1:7" x14ac:dyDescent="0.3">
      <c r="A568" t="s">
        <v>15</v>
      </c>
      <c r="B568" s="1">
        <v>45777</v>
      </c>
      <c r="C568">
        <v>330055</v>
      </c>
      <c r="D568">
        <v>-134.07900000000001</v>
      </c>
      <c r="E568" t="s">
        <v>4</v>
      </c>
      <c r="F568" t="s">
        <v>43</v>
      </c>
      <c r="G568" t="s">
        <v>5</v>
      </c>
    </row>
    <row r="569" spans="1:7" x14ac:dyDescent="0.3">
      <c r="A569" t="s">
        <v>15</v>
      </c>
      <c r="B569" s="1">
        <v>45777</v>
      </c>
      <c r="C569">
        <v>330091</v>
      </c>
      <c r="D569">
        <v>3963.913</v>
      </c>
      <c r="E569" t="s">
        <v>4</v>
      </c>
      <c r="F569" t="s">
        <v>43</v>
      </c>
      <c r="G569" t="s">
        <v>5</v>
      </c>
    </row>
    <row r="570" spans="1:7" x14ac:dyDescent="0.3">
      <c r="A570" t="s">
        <v>15</v>
      </c>
      <c r="B570" s="1">
        <v>45777</v>
      </c>
      <c r="C570">
        <v>330107</v>
      </c>
      <c r="D570">
        <v>958.43100000000004</v>
      </c>
      <c r="E570" t="s">
        <v>4</v>
      </c>
      <c r="F570" t="s">
        <v>43</v>
      </c>
      <c r="G570" t="s">
        <v>5</v>
      </c>
    </row>
    <row r="571" spans="1:7" x14ac:dyDescent="0.3">
      <c r="A571" t="s">
        <v>15</v>
      </c>
      <c r="B571" s="1">
        <v>45777</v>
      </c>
      <c r="C571">
        <v>330126</v>
      </c>
      <c r="D571">
        <v>842.47500000000002</v>
      </c>
      <c r="E571" t="s">
        <v>4</v>
      </c>
      <c r="F571" t="s">
        <v>43</v>
      </c>
      <c r="G571" t="s">
        <v>5</v>
      </c>
    </row>
    <row r="572" spans="1:7" x14ac:dyDescent="0.3">
      <c r="A572" t="s">
        <v>15</v>
      </c>
      <c r="B572" s="1">
        <v>45777</v>
      </c>
      <c r="C572">
        <v>330129</v>
      </c>
      <c r="D572">
        <v>7399.0529999999999</v>
      </c>
      <c r="E572" t="s">
        <v>4</v>
      </c>
      <c r="F572" t="s">
        <v>43</v>
      </c>
      <c r="G572" t="s">
        <v>5</v>
      </c>
    </row>
    <row r="573" spans="1:7" x14ac:dyDescent="0.3">
      <c r="A573" t="s">
        <v>15</v>
      </c>
      <c r="B573" s="1">
        <v>45777</v>
      </c>
      <c r="C573">
        <v>330130</v>
      </c>
      <c r="D573">
        <v>39785.582000000002</v>
      </c>
      <c r="E573" t="s">
        <v>4</v>
      </c>
      <c r="F573" t="s">
        <v>43</v>
      </c>
      <c r="G573" t="s">
        <v>5</v>
      </c>
    </row>
    <row r="574" spans="1:7" x14ac:dyDescent="0.3">
      <c r="A574" t="s">
        <v>15</v>
      </c>
      <c r="B574" s="1">
        <v>45777</v>
      </c>
      <c r="C574">
        <v>330131</v>
      </c>
      <c r="D574">
        <v>-47501.728999999999</v>
      </c>
      <c r="E574" t="s">
        <v>4</v>
      </c>
      <c r="F574" t="s">
        <v>43</v>
      </c>
      <c r="G574" t="s">
        <v>5</v>
      </c>
    </row>
    <row r="575" spans="1:7" x14ac:dyDescent="0.3">
      <c r="A575" t="s">
        <v>15</v>
      </c>
      <c r="B575" s="1">
        <v>45777</v>
      </c>
      <c r="C575">
        <v>330132</v>
      </c>
      <c r="D575">
        <v>9484.8449999999993</v>
      </c>
      <c r="E575" t="s">
        <v>4</v>
      </c>
      <c r="F575" t="s">
        <v>43</v>
      </c>
      <c r="G575" t="s">
        <v>5</v>
      </c>
    </row>
    <row r="576" spans="1:7" x14ac:dyDescent="0.3">
      <c r="A576" t="s">
        <v>15</v>
      </c>
      <c r="B576" s="1">
        <v>45777</v>
      </c>
      <c r="C576">
        <v>330146</v>
      </c>
      <c r="D576">
        <v>51.220999999999997</v>
      </c>
      <c r="E576" t="s">
        <v>4</v>
      </c>
      <c r="F576" t="s">
        <v>43</v>
      </c>
      <c r="G576" t="s">
        <v>5</v>
      </c>
    </row>
    <row r="577" spans="1:7" x14ac:dyDescent="0.3">
      <c r="A577" t="s">
        <v>15</v>
      </c>
      <c r="B577" s="1">
        <v>45777</v>
      </c>
      <c r="C577">
        <v>340003</v>
      </c>
      <c r="D577">
        <v>27.684000000000001</v>
      </c>
      <c r="E577" t="s">
        <v>4</v>
      </c>
      <c r="F577" t="s">
        <v>47</v>
      </c>
      <c r="G577" t="s">
        <v>5</v>
      </c>
    </row>
    <row r="578" spans="1:7" x14ac:dyDescent="0.3">
      <c r="A578" t="s">
        <v>15</v>
      </c>
      <c r="B578" s="1">
        <v>45777</v>
      </c>
      <c r="C578">
        <v>340004</v>
      </c>
      <c r="D578">
        <v>3905.19</v>
      </c>
      <c r="E578" t="s">
        <v>4</v>
      </c>
      <c r="F578" t="s">
        <v>47</v>
      </c>
      <c r="G578" t="s">
        <v>5</v>
      </c>
    </row>
    <row r="579" spans="1:7" x14ac:dyDescent="0.3">
      <c r="A579" t="s">
        <v>15</v>
      </c>
      <c r="B579" s="1">
        <v>45777</v>
      </c>
      <c r="C579">
        <v>340006</v>
      </c>
      <c r="D579">
        <v>4334411.9670000002</v>
      </c>
      <c r="E579" t="s">
        <v>4</v>
      </c>
      <c r="F579" t="s">
        <v>47</v>
      </c>
      <c r="G579" t="s">
        <v>5</v>
      </c>
    </row>
    <row r="580" spans="1:7" x14ac:dyDescent="0.3">
      <c r="A580" t="s">
        <v>15</v>
      </c>
      <c r="B580" s="1">
        <v>45777</v>
      </c>
      <c r="C580">
        <v>340012</v>
      </c>
      <c r="D580">
        <v>909100.72100000002</v>
      </c>
      <c r="E580" t="s">
        <v>4</v>
      </c>
      <c r="F580" t="s">
        <v>47</v>
      </c>
      <c r="G580" t="s">
        <v>5</v>
      </c>
    </row>
    <row r="581" spans="1:7" x14ac:dyDescent="0.3">
      <c r="A581" t="s">
        <v>15</v>
      </c>
      <c r="B581" s="1">
        <v>45777</v>
      </c>
      <c r="C581">
        <v>340013</v>
      </c>
      <c r="D581">
        <v>89721183.505999997</v>
      </c>
      <c r="E581" t="s">
        <v>4</v>
      </c>
      <c r="F581" t="s">
        <v>47</v>
      </c>
      <c r="G581" t="s">
        <v>5</v>
      </c>
    </row>
    <row r="582" spans="1:7" x14ac:dyDescent="0.3">
      <c r="A582" t="s">
        <v>15</v>
      </c>
      <c r="B582" s="1">
        <v>45777</v>
      </c>
      <c r="C582">
        <v>340014</v>
      </c>
      <c r="D582">
        <v>-90593471.386000007</v>
      </c>
      <c r="E582" t="s">
        <v>4</v>
      </c>
      <c r="F582" t="s">
        <v>47</v>
      </c>
      <c r="G582" t="s">
        <v>5</v>
      </c>
    </row>
    <row r="583" spans="1:7" x14ac:dyDescent="0.3">
      <c r="A583" t="s">
        <v>15</v>
      </c>
      <c r="B583" s="1">
        <v>45777</v>
      </c>
      <c r="C583">
        <v>340022</v>
      </c>
      <c r="D583">
        <v>817727.701</v>
      </c>
      <c r="E583" t="s">
        <v>4</v>
      </c>
      <c r="F583" t="s">
        <v>47</v>
      </c>
      <c r="G583" t="s">
        <v>5</v>
      </c>
    </row>
    <row r="584" spans="1:7" x14ac:dyDescent="0.3">
      <c r="A584" t="s">
        <v>15</v>
      </c>
      <c r="B584" s="1">
        <v>45777</v>
      </c>
      <c r="C584">
        <v>340023</v>
      </c>
      <c r="D584">
        <v>33452.457000000002</v>
      </c>
      <c r="E584" t="s">
        <v>4</v>
      </c>
      <c r="F584" t="s">
        <v>47</v>
      </c>
      <c r="G584" t="s">
        <v>5</v>
      </c>
    </row>
    <row r="585" spans="1:7" x14ac:dyDescent="0.3">
      <c r="A585" t="s">
        <v>15</v>
      </c>
      <c r="B585" s="1">
        <v>45777</v>
      </c>
      <c r="C585">
        <v>340024</v>
      </c>
      <c r="D585">
        <v>-851180.15800000005</v>
      </c>
      <c r="E585" t="s">
        <v>4</v>
      </c>
      <c r="F585" t="s">
        <v>47</v>
      </c>
      <c r="G585" t="s">
        <v>5</v>
      </c>
    </row>
    <row r="586" spans="1:7" x14ac:dyDescent="0.3">
      <c r="A586" t="s">
        <v>15</v>
      </c>
      <c r="B586" s="1">
        <v>45777</v>
      </c>
      <c r="C586">
        <v>340029</v>
      </c>
      <c r="D586">
        <v>187.33699999999999</v>
      </c>
      <c r="E586" t="s">
        <v>4</v>
      </c>
      <c r="F586" t="s">
        <v>47</v>
      </c>
      <c r="G586" t="s">
        <v>5</v>
      </c>
    </row>
    <row r="587" spans="1:7" x14ac:dyDescent="0.3">
      <c r="A587" t="s">
        <v>15</v>
      </c>
      <c r="B587" s="1">
        <v>45777</v>
      </c>
      <c r="C587">
        <v>340033</v>
      </c>
      <c r="D587">
        <v>164.06</v>
      </c>
      <c r="E587" t="s">
        <v>4</v>
      </c>
      <c r="F587" t="s">
        <v>47</v>
      </c>
      <c r="G587" t="s">
        <v>5</v>
      </c>
    </row>
    <row r="588" spans="1:7" x14ac:dyDescent="0.3">
      <c r="A588" t="s">
        <v>15</v>
      </c>
      <c r="B588" s="1">
        <v>45777</v>
      </c>
      <c r="C588">
        <v>340038</v>
      </c>
      <c r="D588">
        <v>1757.0360000000001</v>
      </c>
      <c r="E588" t="s">
        <v>4</v>
      </c>
      <c r="F588" t="s">
        <v>47</v>
      </c>
      <c r="G588" t="s">
        <v>5</v>
      </c>
    </row>
    <row r="589" spans="1:7" x14ac:dyDescent="0.3">
      <c r="A589" t="s">
        <v>15</v>
      </c>
      <c r="B589" s="1">
        <v>45777</v>
      </c>
      <c r="C589">
        <v>340055</v>
      </c>
      <c r="D589">
        <v>63.481999999999999</v>
      </c>
      <c r="E589" t="s">
        <v>4</v>
      </c>
      <c r="F589" t="s">
        <v>47</v>
      </c>
      <c r="G589" t="s">
        <v>5</v>
      </c>
    </row>
    <row r="590" spans="1:7" x14ac:dyDescent="0.3">
      <c r="A590" t="s">
        <v>15</v>
      </c>
      <c r="B590" s="1">
        <v>45777</v>
      </c>
      <c r="C590">
        <v>340056</v>
      </c>
      <c r="D590">
        <v>1200.933</v>
      </c>
      <c r="E590" t="s">
        <v>4</v>
      </c>
      <c r="F590" t="s">
        <v>47</v>
      </c>
      <c r="G590" t="s">
        <v>5</v>
      </c>
    </row>
    <row r="591" spans="1:7" x14ac:dyDescent="0.3">
      <c r="A591" t="s">
        <v>15</v>
      </c>
      <c r="B591" s="1">
        <v>45777</v>
      </c>
      <c r="C591">
        <v>340058</v>
      </c>
      <c r="D591">
        <v>114170.952</v>
      </c>
      <c r="E591" t="s">
        <v>4</v>
      </c>
      <c r="F591" t="s">
        <v>47</v>
      </c>
      <c r="G591" t="s">
        <v>5</v>
      </c>
    </row>
    <row r="592" spans="1:7" x14ac:dyDescent="0.3">
      <c r="A592" t="s">
        <v>15</v>
      </c>
      <c r="B592" s="1">
        <v>45777</v>
      </c>
      <c r="C592">
        <v>340060</v>
      </c>
      <c r="D592">
        <v>1603.6379999999999</v>
      </c>
      <c r="E592" t="s">
        <v>4</v>
      </c>
      <c r="F592" t="s">
        <v>47</v>
      </c>
      <c r="G592" t="s">
        <v>5</v>
      </c>
    </row>
    <row r="593" spans="1:7" x14ac:dyDescent="0.3">
      <c r="A593" t="s">
        <v>15</v>
      </c>
      <c r="B593" s="1">
        <v>45777</v>
      </c>
      <c r="C593">
        <v>340070</v>
      </c>
      <c r="D593">
        <v>12567.616</v>
      </c>
      <c r="E593" t="s">
        <v>4</v>
      </c>
      <c r="F593" t="s">
        <v>47</v>
      </c>
      <c r="G593" t="s">
        <v>5</v>
      </c>
    </row>
    <row r="594" spans="1:7" x14ac:dyDescent="0.3">
      <c r="A594" t="s">
        <v>15</v>
      </c>
      <c r="B594" s="1">
        <v>45777</v>
      </c>
      <c r="C594">
        <v>340076</v>
      </c>
      <c r="D594">
        <v>6.3E-2</v>
      </c>
      <c r="E594" t="s">
        <v>4</v>
      </c>
      <c r="F594" t="s">
        <v>47</v>
      </c>
      <c r="G594" t="s">
        <v>5</v>
      </c>
    </row>
    <row r="595" spans="1:7" x14ac:dyDescent="0.3">
      <c r="A595" t="s">
        <v>15</v>
      </c>
      <c r="B595" s="1">
        <v>45777</v>
      </c>
      <c r="C595">
        <v>340089</v>
      </c>
      <c r="D595">
        <v>2.7919999999999998</v>
      </c>
      <c r="E595" t="s">
        <v>4</v>
      </c>
      <c r="F595" t="s">
        <v>47</v>
      </c>
      <c r="G595" t="s">
        <v>5</v>
      </c>
    </row>
    <row r="596" spans="1:7" x14ac:dyDescent="0.3">
      <c r="A596" t="s">
        <v>15</v>
      </c>
      <c r="B596" s="1">
        <v>45777</v>
      </c>
      <c r="C596">
        <v>340135</v>
      </c>
      <c r="D596">
        <v>6105288.7450000001</v>
      </c>
      <c r="E596" t="s">
        <v>4</v>
      </c>
      <c r="F596" t="s">
        <v>47</v>
      </c>
      <c r="G596" t="s">
        <v>5</v>
      </c>
    </row>
    <row r="597" spans="1:7" x14ac:dyDescent="0.3">
      <c r="A597" t="s">
        <v>15</v>
      </c>
      <c r="B597" s="1">
        <v>45777</v>
      </c>
      <c r="C597">
        <v>340136</v>
      </c>
      <c r="D597">
        <v>-6081464.5470000003</v>
      </c>
      <c r="E597" t="s">
        <v>4</v>
      </c>
      <c r="F597" t="s">
        <v>47</v>
      </c>
      <c r="G597" t="s">
        <v>5</v>
      </c>
    </row>
    <row r="598" spans="1:7" x14ac:dyDescent="0.3">
      <c r="A598" t="s">
        <v>15</v>
      </c>
      <c r="B598" s="1">
        <v>45777</v>
      </c>
      <c r="C598">
        <v>340138</v>
      </c>
      <c r="D598">
        <v>-4838052.1069999998</v>
      </c>
      <c r="E598" t="s">
        <v>4</v>
      </c>
      <c r="F598" t="s">
        <v>47</v>
      </c>
      <c r="G598" t="s">
        <v>5</v>
      </c>
    </row>
    <row r="599" spans="1:7" x14ac:dyDescent="0.3">
      <c r="A599" t="s">
        <v>15</v>
      </c>
      <c r="B599" s="1">
        <v>45777</v>
      </c>
      <c r="C599">
        <v>340268</v>
      </c>
      <c r="D599">
        <v>706386.11399999994</v>
      </c>
      <c r="E599" t="s">
        <v>4</v>
      </c>
      <c r="F599" t="s">
        <v>47</v>
      </c>
      <c r="G599" t="s">
        <v>5</v>
      </c>
    </row>
    <row r="600" spans="1:7" x14ac:dyDescent="0.3">
      <c r="A600" t="s">
        <v>15</v>
      </c>
      <c r="B600" s="1">
        <v>45777</v>
      </c>
      <c r="C600">
        <v>340269</v>
      </c>
      <c r="D600">
        <v>3110807.2429999998</v>
      </c>
      <c r="E600" t="s">
        <v>4</v>
      </c>
      <c r="F600" t="s">
        <v>47</v>
      </c>
      <c r="G600" t="s">
        <v>5</v>
      </c>
    </row>
    <row r="601" spans="1:7" x14ac:dyDescent="0.3">
      <c r="A601" t="s">
        <v>15</v>
      </c>
      <c r="B601" s="1">
        <v>45777</v>
      </c>
      <c r="C601">
        <v>340270</v>
      </c>
      <c r="D601">
        <v>-3806862.6719999998</v>
      </c>
      <c r="E601" t="s">
        <v>4</v>
      </c>
      <c r="F601" t="s">
        <v>47</v>
      </c>
      <c r="G601" t="s">
        <v>5</v>
      </c>
    </row>
    <row r="602" spans="1:7" x14ac:dyDescent="0.3">
      <c r="A602" t="s">
        <v>15</v>
      </c>
      <c r="B602" s="1">
        <v>45777</v>
      </c>
      <c r="C602">
        <v>340274</v>
      </c>
      <c r="D602">
        <v>304949.625</v>
      </c>
      <c r="E602" t="s">
        <v>4</v>
      </c>
      <c r="F602" t="s">
        <v>47</v>
      </c>
      <c r="G602" t="s">
        <v>5</v>
      </c>
    </row>
    <row r="603" spans="1:7" x14ac:dyDescent="0.3">
      <c r="A603" t="s">
        <v>15</v>
      </c>
      <c r="B603" s="1">
        <v>45777</v>
      </c>
      <c r="C603">
        <v>340275</v>
      </c>
      <c r="D603">
        <v>29171441.076000001</v>
      </c>
      <c r="E603" t="s">
        <v>4</v>
      </c>
      <c r="F603" t="s">
        <v>47</v>
      </c>
      <c r="G603" t="s">
        <v>5</v>
      </c>
    </row>
    <row r="604" spans="1:7" x14ac:dyDescent="0.3">
      <c r="A604" t="s">
        <v>15</v>
      </c>
      <c r="B604" s="1">
        <v>45777</v>
      </c>
      <c r="C604">
        <v>340276</v>
      </c>
      <c r="D604">
        <v>-29471669.074000001</v>
      </c>
      <c r="E604" t="s">
        <v>4</v>
      </c>
      <c r="F604" t="s">
        <v>47</v>
      </c>
      <c r="G604" t="s">
        <v>5</v>
      </c>
    </row>
    <row r="605" spans="1:7" x14ac:dyDescent="0.3">
      <c r="A605" t="s">
        <v>15</v>
      </c>
      <c r="B605" s="1">
        <v>45777</v>
      </c>
      <c r="C605">
        <v>340286</v>
      </c>
      <c r="D605">
        <v>1081.5419999999999</v>
      </c>
      <c r="E605" t="s">
        <v>4</v>
      </c>
      <c r="F605" t="s">
        <v>47</v>
      </c>
      <c r="G605" t="s">
        <v>5</v>
      </c>
    </row>
    <row r="606" spans="1:7" x14ac:dyDescent="0.3">
      <c r="A606" t="s">
        <v>15</v>
      </c>
      <c r="B606" s="1">
        <v>45777</v>
      </c>
      <c r="C606">
        <v>340289</v>
      </c>
      <c r="D606">
        <v>6465.8440000000001</v>
      </c>
      <c r="E606" t="s">
        <v>4</v>
      </c>
      <c r="F606" t="s">
        <v>47</v>
      </c>
      <c r="G606" t="s">
        <v>5</v>
      </c>
    </row>
    <row r="607" spans="1:7" x14ac:dyDescent="0.3">
      <c r="A607" t="s">
        <v>15</v>
      </c>
      <c r="B607" s="1">
        <v>45777</v>
      </c>
      <c r="C607">
        <v>340299</v>
      </c>
      <c r="D607">
        <v>5860550.358</v>
      </c>
      <c r="E607" t="s">
        <v>4</v>
      </c>
      <c r="F607" t="s">
        <v>47</v>
      </c>
      <c r="G607" t="s">
        <v>5</v>
      </c>
    </row>
    <row r="608" spans="1:7" x14ac:dyDescent="0.3">
      <c r="A608" t="s">
        <v>15</v>
      </c>
      <c r="B608" s="1">
        <v>45777</v>
      </c>
      <c r="C608">
        <v>340300</v>
      </c>
      <c r="D608">
        <v>-5354306.602</v>
      </c>
      <c r="E608" t="s">
        <v>4</v>
      </c>
      <c r="F608" t="s">
        <v>47</v>
      </c>
      <c r="G608" t="s">
        <v>5</v>
      </c>
    </row>
    <row r="609" spans="1:7" x14ac:dyDescent="0.3">
      <c r="A609" t="s">
        <v>15</v>
      </c>
      <c r="B609" s="1">
        <v>45777</v>
      </c>
      <c r="C609">
        <v>340301</v>
      </c>
      <c r="D609">
        <v>129863.55499999999</v>
      </c>
      <c r="E609" t="s">
        <v>4</v>
      </c>
      <c r="F609" t="s">
        <v>47</v>
      </c>
      <c r="G609" t="s">
        <v>5</v>
      </c>
    </row>
    <row r="610" spans="1:7" x14ac:dyDescent="0.3">
      <c r="A610" t="s">
        <v>15</v>
      </c>
      <c r="B610" s="1">
        <v>45777</v>
      </c>
      <c r="C610">
        <v>340302</v>
      </c>
      <c r="D610">
        <v>-127678.337</v>
      </c>
      <c r="E610" t="s">
        <v>4</v>
      </c>
      <c r="F610" t="s">
        <v>47</v>
      </c>
      <c r="G610" t="s">
        <v>5</v>
      </c>
    </row>
    <row r="611" spans="1:7" x14ac:dyDescent="0.3">
      <c r="A611" t="s">
        <v>15</v>
      </c>
      <c r="B611" s="1">
        <v>45777</v>
      </c>
      <c r="C611">
        <v>340303</v>
      </c>
      <c r="D611">
        <v>142881.78200000001</v>
      </c>
      <c r="E611" t="s">
        <v>4</v>
      </c>
      <c r="F611" t="s">
        <v>47</v>
      </c>
      <c r="G611" t="s">
        <v>5</v>
      </c>
    </row>
    <row r="612" spans="1:7" x14ac:dyDescent="0.3">
      <c r="A612" t="s">
        <v>15</v>
      </c>
      <c r="B612" s="1">
        <v>45777</v>
      </c>
      <c r="C612">
        <v>340304</v>
      </c>
      <c r="D612">
        <v>-136777.97</v>
      </c>
      <c r="E612" t="s">
        <v>4</v>
      </c>
      <c r="F612" t="s">
        <v>47</v>
      </c>
      <c r="G612" t="s">
        <v>5</v>
      </c>
    </row>
    <row r="613" spans="1:7" x14ac:dyDescent="0.3">
      <c r="A613" t="s">
        <v>15</v>
      </c>
      <c r="B613" s="1">
        <v>45777</v>
      </c>
      <c r="C613">
        <v>340305</v>
      </c>
      <c r="D613">
        <v>34402.794999999998</v>
      </c>
      <c r="E613" t="s">
        <v>4</v>
      </c>
      <c r="F613" t="s">
        <v>47</v>
      </c>
      <c r="G613" t="s">
        <v>5</v>
      </c>
    </row>
    <row r="614" spans="1:7" x14ac:dyDescent="0.3">
      <c r="A614" t="s">
        <v>15</v>
      </c>
      <c r="B614" s="1">
        <v>45777</v>
      </c>
      <c r="C614">
        <v>340306</v>
      </c>
      <c r="D614">
        <v>-35244.678999999996</v>
      </c>
      <c r="E614" t="s">
        <v>4</v>
      </c>
      <c r="F614" t="s">
        <v>47</v>
      </c>
      <c r="G614" t="s">
        <v>5</v>
      </c>
    </row>
    <row r="615" spans="1:7" x14ac:dyDescent="0.3">
      <c r="A615" t="s">
        <v>15</v>
      </c>
      <c r="B615" s="1">
        <v>45777</v>
      </c>
      <c r="C615">
        <v>340307</v>
      </c>
      <c r="D615">
        <v>1292990.655</v>
      </c>
      <c r="E615" t="s">
        <v>4</v>
      </c>
      <c r="F615" t="s">
        <v>47</v>
      </c>
      <c r="G615" t="s">
        <v>5</v>
      </c>
    </row>
    <row r="616" spans="1:7" x14ac:dyDescent="0.3">
      <c r="A616" t="s">
        <v>15</v>
      </c>
      <c r="B616" s="1">
        <v>45777</v>
      </c>
      <c r="C616">
        <v>340308</v>
      </c>
      <c r="D616">
        <v>-1343301.37</v>
      </c>
      <c r="E616" t="s">
        <v>4</v>
      </c>
      <c r="F616" t="s">
        <v>47</v>
      </c>
      <c r="G616" t="s">
        <v>5</v>
      </c>
    </row>
    <row r="617" spans="1:7" x14ac:dyDescent="0.3">
      <c r="A617" t="s">
        <v>15</v>
      </c>
      <c r="B617" s="1">
        <v>45777</v>
      </c>
      <c r="C617">
        <v>340309</v>
      </c>
      <c r="D617">
        <v>1.141</v>
      </c>
      <c r="E617" t="s">
        <v>4</v>
      </c>
      <c r="F617" t="s">
        <v>47</v>
      </c>
      <c r="G617" t="s">
        <v>5</v>
      </c>
    </row>
    <row r="618" spans="1:7" x14ac:dyDescent="0.3">
      <c r="A618" t="s">
        <v>15</v>
      </c>
      <c r="B618" s="1">
        <v>45777</v>
      </c>
      <c r="C618">
        <v>340310</v>
      </c>
      <c r="D618">
        <v>-13.73</v>
      </c>
      <c r="E618" t="s">
        <v>4</v>
      </c>
      <c r="F618" t="s">
        <v>47</v>
      </c>
      <c r="G618" t="s">
        <v>5</v>
      </c>
    </row>
    <row r="619" spans="1:7" x14ac:dyDescent="0.3">
      <c r="A619" t="s">
        <v>15</v>
      </c>
      <c r="B619" s="1">
        <v>45777</v>
      </c>
      <c r="C619">
        <v>340311</v>
      </c>
      <c r="D619">
        <v>913725.63800000004</v>
      </c>
      <c r="E619" t="s">
        <v>4</v>
      </c>
      <c r="F619" t="s">
        <v>47</v>
      </c>
      <c r="G619" t="s">
        <v>5</v>
      </c>
    </row>
    <row r="620" spans="1:7" x14ac:dyDescent="0.3">
      <c r="A620" t="s">
        <v>15</v>
      </c>
      <c r="B620" s="1">
        <v>45777</v>
      </c>
      <c r="C620">
        <v>340312</v>
      </c>
      <c r="D620">
        <v>-911867.94400000002</v>
      </c>
      <c r="E620" t="s">
        <v>4</v>
      </c>
      <c r="F620" t="s">
        <v>47</v>
      </c>
      <c r="G620" t="s">
        <v>5</v>
      </c>
    </row>
    <row r="621" spans="1:7" x14ac:dyDescent="0.3">
      <c r="A621" t="s">
        <v>15</v>
      </c>
      <c r="B621" s="1">
        <v>45777</v>
      </c>
      <c r="C621">
        <v>340321</v>
      </c>
      <c r="D621">
        <v>155</v>
      </c>
      <c r="E621" t="s">
        <v>4</v>
      </c>
      <c r="F621" t="s">
        <v>47</v>
      </c>
      <c r="G621" t="s">
        <v>5</v>
      </c>
    </row>
    <row r="622" spans="1:7" x14ac:dyDescent="0.3">
      <c r="A622" t="s">
        <v>15</v>
      </c>
      <c r="B622" s="1">
        <v>45777</v>
      </c>
      <c r="C622">
        <v>345004</v>
      </c>
      <c r="D622">
        <v>3382.7910000000002</v>
      </c>
      <c r="E622" t="s">
        <v>4</v>
      </c>
      <c r="F622" t="s">
        <v>47</v>
      </c>
      <c r="G622" t="s">
        <v>5</v>
      </c>
    </row>
    <row r="623" spans="1:7" x14ac:dyDescent="0.3">
      <c r="A623" t="s">
        <v>15</v>
      </c>
      <c r="B623" s="1">
        <v>45777</v>
      </c>
      <c r="C623">
        <v>345005</v>
      </c>
      <c r="D623">
        <v>131973.49299999999</v>
      </c>
      <c r="E623" t="s">
        <v>4</v>
      </c>
      <c r="F623" t="s">
        <v>47</v>
      </c>
      <c r="G623" t="s">
        <v>5</v>
      </c>
    </row>
    <row r="624" spans="1:7" x14ac:dyDescent="0.3">
      <c r="A624" t="s">
        <v>15</v>
      </c>
      <c r="B624" s="1">
        <v>45777</v>
      </c>
      <c r="C624">
        <v>345006</v>
      </c>
      <c r="D624">
        <v>754774.64300000004</v>
      </c>
      <c r="E624" t="s">
        <v>4</v>
      </c>
      <c r="F624" t="s">
        <v>47</v>
      </c>
      <c r="G624" t="s">
        <v>5</v>
      </c>
    </row>
    <row r="625" spans="1:7" x14ac:dyDescent="0.3">
      <c r="A625" t="s">
        <v>15</v>
      </c>
      <c r="B625" s="1">
        <v>45777</v>
      </c>
      <c r="C625">
        <v>345011</v>
      </c>
      <c r="D625">
        <v>560805.84299999999</v>
      </c>
      <c r="E625" t="s">
        <v>4</v>
      </c>
      <c r="F625" t="s">
        <v>47</v>
      </c>
      <c r="G625" t="s">
        <v>5</v>
      </c>
    </row>
    <row r="626" spans="1:7" x14ac:dyDescent="0.3">
      <c r="A626" t="s">
        <v>15</v>
      </c>
      <c r="B626" s="1">
        <v>45777</v>
      </c>
      <c r="C626">
        <v>345015</v>
      </c>
      <c r="D626">
        <v>6048919.4460000005</v>
      </c>
      <c r="E626" t="s">
        <v>4</v>
      </c>
      <c r="F626" t="s">
        <v>47</v>
      </c>
      <c r="G626" t="s">
        <v>5</v>
      </c>
    </row>
    <row r="627" spans="1:7" x14ac:dyDescent="0.3">
      <c r="A627" t="s">
        <v>15</v>
      </c>
      <c r="B627" s="1">
        <v>45777</v>
      </c>
      <c r="C627">
        <v>345016</v>
      </c>
      <c r="D627">
        <v>1860000</v>
      </c>
      <c r="E627" t="s">
        <v>4</v>
      </c>
      <c r="F627" t="s">
        <v>47</v>
      </c>
      <c r="G627" t="s">
        <v>5</v>
      </c>
    </row>
    <row r="628" spans="1:7" x14ac:dyDescent="0.3">
      <c r="A628" t="s">
        <v>15</v>
      </c>
      <c r="B628" s="1">
        <v>45777</v>
      </c>
      <c r="C628">
        <v>345017</v>
      </c>
      <c r="D628">
        <v>1007500</v>
      </c>
      <c r="E628" t="s">
        <v>4</v>
      </c>
      <c r="F628" t="s">
        <v>47</v>
      </c>
      <c r="G628" t="s">
        <v>5</v>
      </c>
    </row>
    <row r="629" spans="1:7" x14ac:dyDescent="0.3">
      <c r="A629" t="s">
        <v>15</v>
      </c>
      <c r="B629" s="1">
        <v>45777</v>
      </c>
      <c r="C629">
        <v>345018</v>
      </c>
      <c r="D629">
        <v>232500</v>
      </c>
      <c r="E629" t="s">
        <v>4</v>
      </c>
      <c r="F629" t="s">
        <v>47</v>
      </c>
      <c r="G629" t="s">
        <v>5</v>
      </c>
    </row>
    <row r="630" spans="1:7" x14ac:dyDescent="0.3">
      <c r="A630" t="s">
        <v>15</v>
      </c>
      <c r="B630" s="1">
        <v>45777</v>
      </c>
      <c r="C630">
        <v>348007</v>
      </c>
      <c r="D630">
        <v>2747.308</v>
      </c>
      <c r="E630" t="s">
        <v>4</v>
      </c>
      <c r="F630" t="s">
        <v>47</v>
      </c>
      <c r="G630" t="s">
        <v>5</v>
      </c>
    </row>
    <row r="631" spans="1:7" x14ac:dyDescent="0.3">
      <c r="A631" t="s">
        <v>15</v>
      </c>
      <c r="B631" s="1">
        <v>45777</v>
      </c>
      <c r="C631">
        <v>348008</v>
      </c>
      <c r="D631">
        <v>1052.415</v>
      </c>
      <c r="E631" t="s">
        <v>4</v>
      </c>
      <c r="F631" t="s">
        <v>47</v>
      </c>
      <c r="G631" t="s">
        <v>5</v>
      </c>
    </row>
    <row r="632" spans="1:7" x14ac:dyDescent="0.3">
      <c r="A632" t="s">
        <v>15</v>
      </c>
      <c r="B632" s="1">
        <v>45777</v>
      </c>
      <c r="C632">
        <v>348009</v>
      </c>
      <c r="D632">
        <v>960.99099999999999</v>
      </c>
      <c r="E632" t="s">
        <v>4</v>
      </c>
      <c r="F632" t="s">
        <v>47</v>
      </c>
      <c r="G632" t="s">
        <v>5</v>
      </c>
    </row>
    <row r="633" spans="1:7" x14ac:dyDescent="0.3">
      <c r="A633" t="s">
        <v>15</v>
      </c>
      <c r="B633" s="1">
        <v>45777</v>
      </c>
      <c r="C633">
        <v>348010</v>
      </c>
      <c r="D633">
        <v>1831.722</v>
      </c>
      <c r="E633" t="s">
        <v>4</v>
      </c>
      <c r="F633" t="s">
        <v>47</v>
      </c>
      <c r="G633" t="s">
        <v>5</v>
      </c>
    </row>
    <row r="634" spans="1:7" x14ac:dyDescent="0.3">
      <c r="A634" t="s">
        <v>15</v>
      </c>
      <c r="B634" s="1">
        <v>45777</v>
      </c>
      <c r="C634">
        <v>348011</v>
      </c>
      <c r="D634">
        <v>1143.0150000000001</v>
      </c>
      <c r="E634" t="s">
        <v>4</v>
      </c>
      <c r="F634" t="s">
        <v>47</v>
      </c>
      <c r="G634" t="s">
        <v>5</v>
      </c>
    </row>
    <row r="635" spans="1:7" x14ac:dyDescent="0.3">
      <c r="A635" t="s">
        <v>15</v>
      </c>
      <c r="B635" s="1">
        <v>45777</v>
      </c>
      <c r="C635">
        <v>348014</v>
      </c>
      <c r="D635">
        <v>1016.847</v>
      </c>
      <c r="E635" t="s">
        <v>4</v>
      </c>
      <c r="F635" t="s">
        <v>47</v>
      </c>
      <c r="G635" t="s">
        <v>5</v>
      </c>
    </row>
    <row r="636" spans="1:7" x14ac:dyDescent="0.3">
      <c r="A636" t="s">
        <v>15</v>
      </c>
      <c r="B636" s="1">
        <v>45777</v>
      </c>
      <c r="C636">
        <v>348015</v>
      </c>
      <c r="D636">
        <v>612.62800000000004</v>
      </c>
      <c r="E636" t="s">
        <v>4</v>
      </c>
      <c r="F636" t="s">
        <v>47</v>
      </c>
      <c r="G636" t="s">
        <v>5</v>
      </c>
    </row>
    <row r="637" spans="1:7" x14ac:dyDescent="0.3">
      <c r="A637" t="s">
        <v>15</v>
      </c>
      <c r="B637" s="1">
        <v>45777</v>
      </c>
      <c r="C637">
        <v>348016</v>
      </c>
      <c r="D637">
        <v>583.01099999999997</v>
      </c>
      <c r="E637" t="s">
        <v>4</v>
      </c>
      <c r="F637" t="s">
        <v>47</v>
      </c>
      <c r="G637" t="s">
        <v>5</v>
      </c>
    </row>
    <row r="638" spans="1:7" x14ac:dyDescent="0.3">
      <c r="A638" t="s">
        <v>15</v>
      </c>
      <c r="B638" s="1">
        <v>45777</v>
      </c>
      <c r="C638">
        <v>348017</v>
      </c>
      <c r="D638">
        <v>582.48500000000001</v>
      </c>
      <c r="E638" t="s">
        <v>4</v>
      </c>
      <c r="F638" t="s">
        <v>47</v>
      </c>
      <c r="G638" t="s">
        <v>5</v>
      </c>
    </row>
    <row r="639" spans="1:7" x14ac:dyDescent="0.3">
      <c r="A639" t="s">
        <v>15</v>
      </c>
      <c r="B639" s="1">
        <v>45777</v>
      </c>
      <c r="C639">
        <v>348018</v>
      </c>
      <c r="D639">
        <v>1218.345</v>
      </c>
      <c r="E639" t="s">
        <v>4</v>
      </c>
      <c r="F639" t="s">
        <v>47</v>
      </c>
      <c r="G639" t="s">
        <v>5</v>
      </c>
    </row>
    <row r="640" spans="1:7" x14ac:dyDescent="0.3">
      <c r="A640" t="s">
        <v>15</v>
      </c>
      <c r="B640" s="1">
        <v>45777</v>
      </c>
      <c r="C640">
        <v>348019</v>
      </c>
      <c r="D640">
        <v>867.76499999999999</v>
      </c>
      <c r="E640" t="s">
        <v>4</v>
      </c>
      <c r="F640" t="s">
        <v>47</v>
      </c>
      <c r="G640" t="s">
        <v>5</v>
      </c>
    </row>
    <row r="641" spans="1:7" x14ac:dyDescent="0.3">
      <c r="A641" t="s">
        <v>15</v>
      </c>
      <c r="B641" s="1">
        <v>45777</v>
      </c>
      <c r="C641">
        <v>348020</v>
      </c>
      <c r="D641">
        <v>23250</v>
      </c>
      <c r="E641" t="s">
        <v>4</v>
      </c>
      <c r="F641" t="s">
        <v>47</v>
      </c>
      <c r="G641" t="s">
        <v>5</v>
      </c>
    </row>
    <row r="642" spans="1:7" x14ac:dyDescent="0.3">
      <c r="A642" t="s">
        <v>15</v>
      </c>
      <c r="B642" s="1">
        <v>45777</v>
      </c>
      <c r="C642">
        <v>350002</v>
      </c>
      <c r="D642">
        <v>12227.552</v>
      </c>
      <c r="E642" t="s">
        <v>4</v>
      </c>
      <c r="F642" t="s">
        <v>49</v>
      </c>
      <c r="G642" t="s">
        <v>5</v>
      </c>
    </row>
    <row r="643" spans="1:7" x14ac:dyDescent="0.3">
      <c r="A643" t="s">
        <v>15</v>
      </c>
      <c r="B643" s="1">
        <v>45777</v>
      </c>
      <c r="C643">
        <v>350003</v>
      </c>
      <c r="D643">
        <v>28886.758000000002</v>
      </c>
      <c r="E643" t="s">
        <v>4</v>
      </c>
      <c r="F643" t="s">
        <v>49</v>
      </c>
      <c r="G643" t="s">
        <v>5</v>
      </c>
    </row>
    <row r="644" spans="1:7" x14ac:dyDescent="0.3">
      <c r="A644" t="s">
        <v>15</v>
      </c>
      <c r="B644" s="1">
        <v>45777</v>
      </c>
      <c r="C644">
        <v>350006</v>
      </c>
      <c r="D644">
        <v>20568.636999999999</v>
      </c>
      <c r="E644" t="s">
        <v>4</v>
      </c>
      <c r="F644" t="s">
        <v>43</v>
      </c>
      <c r="G644" t="s">
        <v>5</v>
      </c>
    </row>
    <row r="645" spans="1:7" x14ac:dyDescent="0.3">
      <c r="A645" t="s">
        <v>15</v>
      </c>
      <c r="B645" s="1">
        <v>45777</v>
      </c>
      <c r="C645">
        <v>350007</v>
      </c>
      <c r="D645">
        <v>15.677</v>
      </c>
      <c r="E645" t="s">
        <v>4</v>
      </c>
      <c r="F645" t="s">
        <v>49</v>
      </c>
      <c r="G645" t="s">
        <v>5</v>
      </c>
    </row>
    <row r="646" spans="1:7" x14ac:dyDescent="0.3">
      <c r="A646" t="s">
        <v>15</v>
      </c>
      <c r="B646" s="1">
        <v>45777</v>
      </c>
      <c r="C646">
        <v>350012</v>
      </c>
      <c r="D646">
        <v>-36630.498</v>
      </c>
      <c r="E646" t="s">
        <v>4</v>
      </c>
      <c r="F646" t="s">
        <v>49</v>
      </c>
      <c r="G646" t="s">
        <v>5</v>
      </c>
    </row>
    <row r="647" spans="1:7" x14ac:dyDescent="0.3">
      <c r="A647" t="s">
        <v>15</v>
      </c>
      <c r="B647" s="1">
        <v>45777</v>
      </c>
      <c r="C647">
        <v>350031</v>
      </c>
      <c r="D647">
        <v>14944.905000000001</v>
      </c>
      <c r="E647" t="s">
        <v>4</v>
      </c>
      <c r="F647" t="s">
        <v>43</v>
      </c>
      <c r="G647" t="s">
        <v>5</v>
      </c>
    </row>
    <row r="648" spans="1:7" x14ac:dyDescent="0.3">
      <c r="A648" t="s">
        <v>15</v>
      </c>
      <c r="B648" s="1">
        <v>45777</v>
      </c>
      <c r="C648">
        <v>350035</v>
      </c>
      <c r="D648">
        <v>34966.800999999999</v>
      </c>
      <c r="E648" t="s">
        <v>4</v>
      </c>
      <c r="F648" t="s">
        <v>49</v>
      </c>
      <c r="G648" t="s">
        <v>5</v>
      </c>
    </row>
    <row r="649" spans="1:7" x14ac:dyDescent="0.3">
      <c r="A649" t="s">
        <v>15</v>
      </c>
      <c r="B649" s="1">
        <v>45777</v>
      </c>
      <c r="C649">
        <v>352002</v>
      </c>
      <c r="D649">
        <v>269010.09399999998</v>
      </c>
      <c r="E649" t="s">
        <v>4</v>
      </c>
      <c r="F649" t="s">
        <v>48</v>
      </c>
      <c r="G649" t="s">
        <v>5</v>
      </c>
    </row>
    <row r="650" spans="1:7" x14ac:dyDescent="0.3">
      <c r="A650" t="s">
        <v>15</v>
      </c>
      <c r="B650" s="1">
        <v>45777</v>
      </c>
      <c r="C650">
        <v>352003</v>
      </c>
      <c r="D650">
        <v>17770.118999999999</v>
      </c>
      <c r="E650" t="s">
        <v>4</v>
      </c>
      <c r="F650" t="s">
        <v>48</v>
      </c>
      <c r="G650" t="s">
        <v>5</v>
      </c>
    </row>
    <row r="651" spans="1:7" x14ac:dyDescent="0.3">
      <c r="A651" t="s">
        <v>15</v>
      </c>
      <c r="B651" s="1">
        <v>45777</v>
      </c>
      <c r="C651">
        <v>352005</v>
      </c>
      <c r="D651">
        <v>-14228.74</v>
      </c>
      <c r="E651" t="s">
        <v>4</v>
      </c>
      <c r="F651" t="s">
        <v>48</v>
      </c>
      <c r="G651" t="s">
        <v>5</v>
      </c>
    </row>
    <row r="652" spans="1:7" x14ac:dyDescent="0.3">
      <c r="A652" t="s">
        <v>15</v>
      </c>
      <c r="B652" s="1">
        <v>45777</v>
      </c>
      <c r="C652">
        <v>352006</v>
      </c>
      <c r="D652">
        <v>-38818.337</v>
      </c>
      <c r="E652" t="s">
        <v>4</v>
      </c>
      <c r="F652" t="s">
        <v>48</v>
      </c>
      <c r="G652" t="s">
        <v>5</v>
      </c>
    </row>
    <row r="653" spans="1:7" x14ac:dyDescent="0.3">
      <c r="A653" t="s">
        <v>15</v>
      </c>
      <c r="B653" s="1">
        <v>45777</v>
      </c>
      <c r="C653">
        <v>354008</v>
      </c>
      <c r="D653">
        <v>-6168.13</v>
      </c>
      <c r="E653" t="s">
        <v>4</v>
      </c>
      <c r="F653" t="s">
        <v>46</v>
      </c>
      <c r="G653" t="s">
        <v>5</v>
      </c>
    </row>
    <row r="654" spans="1:7" x14ac:dyDescent="0.3">
      <c r="A654" t="s">
        <v>15</v>
      </c>
      <c r="B654" s="1">
        <v>45777</v>
      </c>
      <c r="C654">
        <v>354011</v>
      </c>
      <c r="D654">
        <v>-32042.882000000001</v>
      </c>
      <c r="E654" t="s">
        <v>4</v>
      </c>
      <c r="F654" t="s">
        <v>46</v>
      </c>
      <c r="G654" t="s">
        <v>5</v>
      </c>
    </row>
    <row r="655" spans="1:7" x14ac:dyDescent="0.3">
      <c r="A655" t="s">
        <v>15</v>
      </c>
      <c r="B655" s="1">
        <v>45777</v>
      </c>
      <c r="C655">
        <v>354012</v>
      </c>
      <c r="D655">
        <v>17836.124</v>
      </c>
      <c r="E655" t="s">
        <v>4</v>
      </c>
      <c r="F655" t="s">
        <v>46</v>
      </c>
      <c r="G655" t="s">
        <v>5</v>
      </c>
    </row>
    <row r="656" spans="1:7" x14ac:dyDescent="0.3">
      <c r="A656" t="s">
        <v>15</v>
      </c>
      <c r="B656" s="1">
        <v>45777</v>
      </c>
      <c r="C656">
        <v>354013</v>
      </c>
      <c r="D656">
        <v>48766.122000000003</v>
      </c>
      <c r="E656" t="s">
        <v>4</v>
      </c>
      <c r="F656" t="s">
        <v>46</v>
      </c>
      <c r="G656" t="s">
        <v>5</v>
      </c>
    </row>
    <row r="657" spans="1:7" x14ac:dyDescent="0.3">
      <c r="A657" t="s">
        <v>15</v>
      </c>
      <c r="B657" s="1">
        <v>45777</v>
      </c>
      <c r="C657">
        <v>354014</v>
      </c>
      <c r="D657">
        <v>285822.57699999999</v>
      </c>
      <c r="E657" t="s">
        <v>4</v>
      </c>
      <c r="F657" t="s">
        <v>46</v>
      </c>
      <c r="G657" t="s">
        <v>5</v>
      </c>
    </row>
    <row r="658" spans="1:7" x14ac:dyDescent="0.3">
      <c r="A658" t="s">
        <v>15</v>
      </c>
      <c r="B658" s="1">
        <v>45777</v>
      </c>
      <c r="C658">
        <v>354015</v>
      </c>
      <c r="D658">
        <v>7755.19</v>
      </c>
      <c r="E658" t="s">
        <v>4</v>
      </c>
      <c r="F658" t="s">
        <v>46</v>
      </c>
      <c r="G658" t="s">
        <v>5</v>
      </c>
    </row>
    <row r="659" spans="1:7" x14ac:dyDescent="0.3">
      <c r="A659" t="s">
        <v>15</v>
      </c>
      <c r="B659" s="1">
        <v>45777</v>
      </c>
      <c r="C659">
        <v>355002</v>
      </c>
      <c r="D659">
        <v>303495.14199999999</v>
      </c>
      <c r="E659" t="s">
        <v>4</v>
      </c>
      <c r="F659" t="s">
        <v>49</v>
      </c>
      <c r="G659" t="s">
        <v>5</v>
      </c>
    </row>
    <row r="660" spans="1:7" x14ac:dyDescent="0.3">
      <c r="A660" t="s">
        <v>15</v>
      </c>
      <c r="B660" s="1">
        <v>45777</v>
      </c>
      <c r="C660">
        <v>355009</v>
      </c>
      <c r="D660">
        <v>381.41199999999998</v>
      </c>
      <c r="E660" t="s">
        <v>4</v>
      </c>
      <c r="F660" t="s">
        <v>49</v>
      </c>
      <c r="G660" t="s">
        <v>5</v>
      </c>
    </row>
    <row r="661" spans="1:7" x14ac:dyDescent="0.3">
      <c r="A661" t="s">
        <v>15</v>
      </c>
      <c r="B661" s="1">
        <v>45777</v>
      </c>
      <c r="C661">
        <v>355013</v>
      </c>
      <c r="D661">
        <v>47500.771000000001</v>
      </c>
      <c r="E661" t="s">
        <v>4</v>
      </c>
      <c r="F661" t="s">
        <v>49</v>
      </c>
      <c r="G661" t="s">
        <v>5</v>
      </c>
    </row>
    <row r="662" spans="1:7" x14ac:dyDescent="0.3">
      <c r="A662" t="s">
        <v>15</v>
      </c>
      <c r="B662" s="1">
        <v>45777</v>
      </c>
      <c r="C662">
        <v>355014</v>
      </c>
      <c r="D662">
        <v>79173.388999999996</v>
      </c>
      <c r="E662" t="s">
        <v>4</v>
      </c>
      <c r="F662" t="s">
        <v>49</v>
      </c>
      <c r="G662" t="s">
        <v>5</v>
      </c>
    </row>
    <row r="663" spans="1:7" x14ac:dyDescent="0.3">
      <c r="A663" t="s">
        <v>15</v>
      </c>
      <c r="B663" s="1">
        <v>45777</v>
      </c>
      <c r="C663">
        <v>355015</v>
      </c>
      <c r="D663">
        <v>206810.255</v>
      </c>
      <c r="E663" t="s">
        <v>4</v>
      </c>
      <c r="F663" t="s">
        <v>49</v>
      </c>
      <c r="G663" t="s">
        <v>5</v>
      </c>
    </row>
    <row r="664" spans="1:7" x14ac:dyDescent="0.3">
      <c r="A664" t="s">
        <v>15</v>
      </c>
      <c r="B664" s="1">
        <v>45777</v>
      </c>
      <c r="C664">
        <v>356002</v>
      </c>
      <c r="D664">
        <v>174517.533</v>
      </c>
      <c r="E664" t="s">
        <v>4</v>
      </c>
      <c r="F664" t="s">
        <v>48</v>
      </c>
      <c r="G664" t="s">
        <v>5</v>
      </c>
    </row>
    <row r="665" spans="1:7" x14ac:dyDescent="0.3">
      <c r="A665" t="s">
        <v>15</v>
      </c>
      <c r="B665" s="1">
        <v>45777</v>
      </c>
      <c r="C665">
        <v>356003</v>
      </c>
      <c r="D665">
        <v>43577.548999999999</v>
      </c>
      <c r="E665" t="s">
        <v>4</v>
      </c>
      <c r="F665" t="s">
        <v>48</v>
      </c>
      <c r="G665" t="s">
        <v>5</v>
      </c>
    </row>
    <row r="666" spans="1:7" x14ac:dyDescent="0.3">
      <c r="A666" t="s">
        <v>15</v>
      </c>
      <c r="B666" s="1">
        <v>45777</v>
      </c>
      <c r="C666">
        <v>356004</v>
      </c>
      <c r="D666">
        <v>10991.709000000001</v>
      </c>
      <c r="E666" t="s">
        <v>4</v>
      </c>
      <c r="F666" t="s">
        <v>48</v>
      </c>
      <c r="G666" t="s">
        <v>5</v>
      </c>
    </row>
    <row r="667" spans="1:7" x14ac:dyDescent="0.3">
      <c r="A667" t="s">
        <v>15</v>
      </c>
      <c r="B667" s="1">
        <v>45777</v>
      </c>
      <c r="C667">
        <v>356005</v>
      </c>
      <c r="D667">
        <v>329.94200000000001</v>
      </c>
      <c r="E667" t="s">
        <v>4</v>
      </c>
      <c r="F667" t="s">
        <v>48</v>
      </c>
      <c r="G667" t="s">
        <v>5</v>
      </c>
    </row>
    <row r="668" spans="1:7" x14ac:dyDescent="0.3">
      <c r="A668" t="s">
        <v>15</v>
      </c>
      <c r="B668" s="1">
        <v>45777</v>
      </c>
      <c r="C668">
        <v>360005</v>
      </c>
      <c r="D668">
        <v>2384.9380000000001</v>
      </c>
      <c r="E668" t="s">
        <v>4</v>
      </c>
      <c r="F668" t="s">
        <v>58</v>
      </c>
      <c r="G668" t="s">
        <v>5</v>
      </c>
    </row>
    <row r="669" spans="1:7" x14ac:dyDescent="0.3">
      <c r="A669" t="s">
        <v>15</v>
      </c>
      <c r="B669" s="1">
        <v>45777</v>
      </c>
      <c r="C669">
        <v>360009</v>
      </c>
      <c r="D669">
        <v>38341.661999999997</v>
      </c>
      <c r="E669" t="s">
        <v>4</v>
      </c>
      <c r="F669" t="s">
        <v>58</v>
      </c>
      <c r="G669" t="s">
        <v>5</v>
      </c>
    </row>
    <row r="670" spans="1:7" x14ac:dyDescent="0.3">
      <c r="A670" t="s">
        <v>15</v>
      </c>
      <c r="B670" s="1">
        <v>45777</v>
      </c>
      <c r="C670">
        <v>360013</v>
      </c>
      <c r="D670">
        <v>59455.959000000003</v>
      </c>
      <c r="E670" t="s">
        <v>4</v>
      </c>
      <c r="F670" t="s">
        <v>58</v>
      </c>
      <c r="G670" t="s">
        <v>5</v>
      </c>
    </row>
    <row r="671" spans="1:7" x14ac:dyDescent="0.3">
      <c r="A671" t="s">
        <v>15</v>
      </c>
      <c r="B671" s="1">
        <v>45777</v>
      </c>
      <c r="C671">
        <v>360016</v>
      </c>
      <c r="D671">
        <v>9551.7540000000008</v>
      </c>
      <c r="E671" t="s">
        <v>4</v>
      </c>
      <c r="F671" t="s">
        <v>58</v>
      </c>
      <c r="G671" t="s">
        <v>5</v>
      </c>
    </row>
    <row r="672" spans="1:7" x14ac:dyDescent="0.3">
      <c r="A672" t="s">
        <v>15</v>
      </c>
      <c r="B672" s="1">
        <v>45777</v>
      </c>
      <c r="C672">
        <v>360017</v>
      </c>
      <c r="D672">
        <v>71672.911999999997</v>
      </c>
      <c r="E672" t="s">
        <v>4</v>
      </c>
      <c r="F672" t="s">
        <v>58</v>
      </c>
      <c r="G672" t="s">
        <v>5</v>
      </c>
    </row>
    <row r="673" spans="1:7" x14ac:dyDescent="0.3">
      <c r="A673" t="s">
        <v>15</v>
      </c>
      <c r="B673" s="1">
        <v>45777</v>
      </c>
      <c r="C673">
        <v>360019</v>
      </c>
      <c r="D673">
        <v>1147</v>
      </c>
      <c r="E673" t="s">
        <v>4</v>
      </c>
      <c r="F673" t="s">
        <v>58</v>
      </c>
      <c r="G673" t="s">
        <v>5</v>
      </c>
    </row>
    <row r="674" spans="1:7" x14ac:dyDescent="0.3">
      <c r="A674" t="s">
        <v>15</v>
      </c>
      <c r="B674" s="1">
        <v>45777</v>
      </c>
      <c r="C674">
        <v>360030</v>
      </c>
      <c r="D674">
        <v>1061750</v>
      </c>
      <c r="E674" t="s">
        <v>4</v>
      </c>
      <c r="F674" t="s">
        <v>58</v>
      </c>
      <c r="G674" t="s">
        <v>5</v>
      </c>
    </row>
    <row r="675" spans="1:7" x14ac:dyDescent="0.3">
      <c r="A675" t="s">
        <v>15</v>
      </c>
      <c r="B675" s="1">
        <v>45777</v>
      </c>
      <c r="C675">
        <v>360031</v>
      </c>
      <c r="D675">
        <v>673.58500000000004</v>
      </c>
      <c r="E675" t="s">
        <v>4</v>
      </c>
      <c r="F675" t="s">
        <v>58</v>
      </c>
      <c r="G675" t="s">
        <v>5</v>
      </c>
    </row>
    <row r="676" spans="1:7" x14ac:dyDescent="0.3">
      <c r="A676" t="s">
        <v>15</v>
      </c>
      <c r="B676" s="1">
        <v>45777</v>
      </c>
      <c r="C676">
        <v>362006</v>
      </c>
      <c r="D676">
        <v>-1E-3</v>
      </c>
      <c r="E676" t="s">
        <v>4</v>
      </c>
      <c r="F676" t="s">
        <v>58</v>
      </c>
      <c r="G676" t="s">
        <v>5</v>
      </c>
    </row>
    <row r="677" spans="1:7" x14ac:dyDescent="0.3">
      <c r="A677" t="s">
        <v>15</v>
      </c>
      <c r="B677" s="1">
        <v>45777</v>
      </c>
      <c r="C677">
        <v>362007</v>
      </c>
      <c r="D677">
        <v>17569.404999999999</v>
      </c>
      <c r="E677" t="s">
        <v>4</v>
      </c>
      <c r="F677" t="s">
        <v>58</v>
      </c>
      <c r="G677" t="s">
        <v>5</v>
      </c>
    </row>
    <row r="678" spans="1:7" x14ac:dyDescent="0.3">
      <c r="A678" t="s">
        <v>15</v>
      </c>
      <c r="B678" s="1">
        <v>45777</v>
      </c>
      <c r="C678">
        <v>362012</v>
      </c>
      <c r="D678">
        <v>-1E-3</v>
      </c>
      <c r="E678" t="s">
        <v>4</v>
      </c>
      <c r="F678" t="s">
        <v>58</v>
      </c>
      <c r="G678" t="s">
        <v>5</v>
      </c>
    </row>
    <row r="679" spans="1:7" x14ac:dyDescent="0.3">
      <c r="A679" t="s">
        <v>15</v>
      </c>
      <c r="B679" s="1">
        <v>45777</v>
      </c>
      <c r="C679">
        <v>362015</v>
      </c>
      <c r="D679">
        <v>499986.266</v>
      </c>
      <c r="E679" t="s">
        <v>4</v>
      </c>
      <c r="F679" t="s">
        <v>58</v>
      </c>
      <c r="G679" t="s">
        <v>5</v>
      </c>
    </row>
    <row r="680" spans="1:7" x14ac:dyDescent="0.3">
      <c r="A680" t="s">
        <v>15</v>
      </c>
      <c r="B680" s="1">
        <v>45777</v>
      </c>
      <c r="C680">
        <v>362016</v>
      </c>
      <c r="D680">
        <v>381425.09600000002</v>
      </c>
      <c r="E680" t="s">
        <v>4</v>
      </c>
      <c r="F680" t="s">
        <v>58</v>
      </c>
      <c r="G680" t="s">
        <v>5</v>
      </c>
    </row>
    <row r="681" spans="1:7" x14ac:dyDescent="0.3">
      <c r="A681" t="s">
        <v>15</v>
      </c>
      <c r="B681" s="1">
        <v>45777</v>
      </c>
      <c r="C681">
        <v>362017</v>
      </c>
      <c r="D681">
        <v>332388.52399999998</v>
      </c>
      <c r="E681" t="s">
        <v>4</v>
      </c>
      <c r="F681" t="s">
        <v>58</v>
      </c>
      <c r="G681" t="s">
        <v>5</v>
      </c>
    </row>
    <row r="682" spans="1:7" x14ac:dyDescent="0.3">
      <c r="A682" t="s">
        <v>15</v>
      </c>
      <c r="B682" s="1">
        <v>45777</v>
      </c>
      <c r="C682">
        <v>362018</v>
      </c>
      <c r="D682">
        <v>245148.07399999999</v>
      </c>
      <c r="E682" t="s">
        <v>4</v>
      </c>
      <c r="F682" t="s">
        <v>58</v>
      </c>
      <c r="G682" t="s">
        <v>5</v>
      </c>
    </row>
    <row r="683" spans="1:7" x14ac:dyDescent="0.3">
      <c r="A683" t="s">
        <v>15</v>
      </c>
      <c r="B683" s="1">
        <v>45777</v>
      </c>
      <c r="C683">
        <v>362019</v>
      </c>
      <c r="D683">
        <v>122.94499999999999</v>
      </c>
      <c r="E683" t="s">
        <v>4</v>
      </c>
      <c r="F683" t="s">
        <v>58</v>
      </c>
      <c r="G683" t="s">
        <v>5</v>
      </c>
    </row>
    <row r="684" spans="1:7" x14ac:dyDescent="0.3">
      <c r="A684" t="s">
        <v>15</v>
      </c>
      <c r="B684" s="1">
        <v>45777</v>
      </c>
      <c r="C684">
        <v>364502</v>
      </c>
      <c r="D684">
        <v>623120.01699999999</v>
      </c>
      <c r="E684" t="s">
        <v>4</v>
      </c>
      <c r="F684" t="s">
        <v>58</v>
      </c>
      <c r="G684" t="s">
        <v>5</v>
      </c>
    </row>
    <row r="685" spans="1:7" x14ac:dyDescent="0.3">
      <c r="A685" t="s">
        <v>15</v>
      </c>
      <c r="B685" s="1">
        <v>45777</v>
      </c>
      <c r="C685">
        <v>365002</v>
      </c>
      <c r="D685">
        <v>3.63</v>
      </c>
      <c r="E685" t="s">
        <v>4</v>
      </c>
      <c r="F685" t="s">
        <v>45</v>
      </c>
      <c r="G685" t="s">
        <v>5</v>
      </c>
    </row>
    <row r="686" spans="1:7" x14ac:dyDescent="0.3">
      <c r="A686" t="s">
        <v>15</v>
      </c>
      <c r="B686" s="1">
        <v>45777</v>
      </c>
      <c r="C686">
        <v>365003</v>
      </c>
      <c r="D686">
        <v>22284.411</v>
      </c>
      <c r="E686" t="s">
        <v>4</v>
      </c>
      <c r="F686" t="s">
        <v>45</v>
      </c>
      <c r="G686" t="s">
        <v>5</v>
      </c>
    </row>
    <row r="687" spans="1:7" x14ac:dyDescent="0.3">
      <c r="A687" t="s">
        <v>15</v>
      </c>
      <c r="B687" s="1">
        <v>45777</v>
      </c>
      <c r="C687">
        <v>365004</v>
      </c>
      <c r="D687">
        <v>136941.117</v>
      </c>
      <c r="E687" t="s">
        <v>4</v>
      </c>
      <c r="F687" t="s">
        <v>45</v>
      </c>
      <c r="G687" t="s">
        <v>5</v>
      </c>
    </row>
    <row r="688" spans="1:7" x14ac:dyDescent="0.3">
      <c r="A688" t="s">
        <v>15</v>
      </c>
      <c r="B688" s="1">
        <v>45777</v>
      </c>
      <c r="C688">
        <v>365005</v>
      </c>
      <c r="D688">
        <v>3.63</v>
      </c>
      <c r="E688" t="s">
        <v>4</v>
      </c>
      <c r="F688" t="s">
        <v>45</v>
      </c>
      <c r="G688" t="s">
        <v>5</v>
      </c>
    </row>
    <row r="689" spans="1:7" x14ac:dyDescent="0.3">
      <c r="A689" t="s">
        <v>15</v>
      </c>
      <c r="B689" s="1">
        <v>45777</v>
      </c>
      <c r="C689">
        <v>365006</v>
      </c>
      <c r="D689">
        <v>22128.973000000002</v>
      </c>
      <c r="E689" t="s">
        <v>4</v>
      </c>
      <c r="F689" t="s">
        <v>45</v>
      </c>
      <c r="G689" t="s">
        <v>5</v>
      </c>
    </row>
    <row r="690" spans="1:7" x14ac:dyDescent="0.3">
      <c r="A690" t="s">
        <v>15</v>
      </c>
      <c r="B690" s="1">
        <v>45777</v>
      </c>
      <c r="C690">
        <v>365007</v>
      </c>
      <c r="D690">
        <v>107790.52</v>
      </c>
      <c r="E690" t="s">
        <v>4</v>
      </c>
      <c r="F690" t="s">
        <v>45</v>
      </c>
      <c r="G690" t="s">
        <v>5</v>
      </c>
    </row>
    <row r="691" spans="1:7" x14ac:dyDescent="0.3">
      <c r="A691" t="s">
        <v>15</v>
      </c>
      <c r="B691" s="1">
        <v>45777</v>
      </c>
      <c r="C691">
        <v>365008</v>
      </c>
      <c r="D691">
        <v>6683.0789999999997</v>
      </c>
      <c r="E691" t="s">
        <v>4</v>
      </c>
      <c r="F691" t="s">
        <v>45</v>
      </c>
      <c r="G691" t="s">
        <v>5</v>
      </c>
    </row>
    <row r="692" spans="1:7" x14ac:dyDescent="0.3">
      <c r="A692" t="s">
        <v>15</v>
      </c>
      <c r="B692" s="1">
        <v>45777</v>
      </c>
      <c r="C692">
        <v>365009</v>
      </c>
      <c r="D692">
        <v>187547.76800000001</v>
      </c>
      <c r="E692" t="s">
        <v>4</v>
      </c>
      <c r="F692" t="s">
        <v>45</v>
      </c>
      <c r="G692" t="s">
        <v>5</v>
      </c>
    </row>
    <row r="693" spans="1:7" x14ac:dyDescent="0.3">
      <c r="A693" t="s">
        <v>15</v>
      </c>
      <c r="B693" s="1">
        <v>45777</v>
      </c>
      <c r="C693">
        <v>365010</v>
      </c>
      <c r="D693">
        <v>336742.18099999998</v>
      </c>
      <c r="E693" t="s">
        <v>4</v>
      </c>
      <c r="F693" t="s">
        <v>45</v>
      </c>
      <c r="G693" t="s">
        <v>5</v>
      </c>
    </row>
    <row r="694" spans="1:7" x14ac:dyDescent="0.3">
      <c r="A694" t="s">
        <v>15</v>
      </c>
      <c r="B694" s="1">
        <v>45777</v>
      </c>
      <c r="C694">
        <v>365020</v>
      </c>
      <c r="D694">
        <v>772.14300000000003</v>
      </c>
      <c r="E694" t="s">
        <v>4</v>
      </c>
      <c r="F694" t="s">
        <v>45</v>
      </c>
      <c r="G694" t="s">
        <v>5</v>
      </c>
    </row>
    <row r="695" spans="1:7" x14ac:dyDescent="0.3">
      <c r="A695" t="s">
        <v>15</v>
      </c>
      <c r="B695" s="1">
        <v>45777</v>
      </c>
      <c r="C695">
        <v>365021</v>
      </c>
      <c r="D695">
        <v>86851.501000000004</v>
      </c>
      <c r="E695" t="s">
        <v>4</v>
      </c>
      <c r="F695" t="s">
        <v>45</v>
      </c>
      <c r="G695" t="s">
        <v>5</v>
      </c>
    </row>
    <row r="696" spans="1:7" x14ac:dyDescent="0.3">
      <c r="A696" t="s">
        <v>15</v>
      </c>
      <c r="B696" s="1">
        <v>45777</v>
      </c>
      <c r="C696">
        <v>370002</v>
      </c>
      <c r="D696">
        <v>54408.339</v>
      </c>
      <c r="E696" t="s">
        <v>4</v>
      </c>
      <c r="F696" t="s">
        <v>45</v>
      </c>
      <c r="G696" t="s">
        <v>5</v>
      </c>
    </row>
    <row r="697" spans="1:7" x14ac:dyDescent="0.3">
      <c r="A697" t="s">
        <v>15</v>
      </c>
      <c r="B697" s="1">
        <v>45777</v>
      </c>
      <c r="C697">
        <v>372008</v>
      </c>
      <c r="D697">
        <v>1162.0940000000001</v>
      </c>
      <c r="E697" t="s">
        <v>4</v>
      </c>
      <c r="F697" t="s">
        <v>45</v>
      </c>
      <c r="G697" t="s">
        <v>5</v>
      </c>
    </row>
    <row r="698" spans="1:7" x14ac:dyDescent="0.3">
      <c r="A698" t="s">
        <v>15</v>
      </c>
      <c r="B698" s="1">
        <v>45777</v>
      </c>
      <c r="C698">
        <v>400002</v>
      </c>
      <c r="D698">
        <v>-24796.572</v>
      </c>
      <c r="E698" t="s">
        <v>6</v>
      </c>
      <c r="F698" t="s">
        <v>50</v>
      </c>
      <c r="G698" t="s">
        <v>5</v>
      </c>
    </row>
    <row r="699" spans="1:7" x14ac:dyDescent="0.3">
      <c r="A699" t="s">
        <v>15</v>
      </c>
      <c r="B699" s="1">
        <v>45777</v>
      </c>
      <c r="C699">
        <v>410002</v>
      </c>
      <c r="D699">
        <v>-827409.59499999997</v>
      </c>
      <c r="E699" t="s">
        <v>6</v>
      </c>
      <c r="F699" t="s">
        <v>51</v>
      </c>
      <c r="G699" t="s">
        <v>5</v>
      </c>
    </row>
    <row r="700" spans="1:7" x14ac:dyDescent="0.3">
      <c r="A700" t="s">
        <v>15</v>
      </c>
      <c r="B700" s="1">
        <v>45777</v>
      </c>
      <c r="C700">
        <v>410005</v>
      </c>
      <c r="D700">
        <v>-20994.036</v>
      </c>
      <c r="E700" t="s">
        <v>6</v>
      </c>
      <c r="F700" t="s">
        <v>51</v>
      </c>
      <c r="G700" t="s">
        <v>5</v>
      </c>
    </row>
    <row r="701" spans="1:7" x14ac:dyDescent="0.3">
      <c r="A701" t="s">
        <v>15</v>
      </c>
      <c r="B701" s="1">
        <v>45777</v>
      </c>
      <c r="C701">
        <v>410006</v>
      </c>
      <c r="D701">
        <v>-215318.622</v>
      </c>
      <c r="E701" t="s">
        <v>6</v>
      </c>
      <c r="F701" t="s">
        <v>51</v>
      </c>
      <c r="G701" t="s">
        <v>5</v>
      </c>
    </row>
    <row r="702" spans="1:7" x14ac:dyDescent="0.3">
      <c r="A702" t="s">
        <v>15</v>
      </c>
      <c r="B702" s="1">
        <v>45777</v>
      </c>
      <c r="C702">
        <v>410009</v>
      </c>
      <c r="D702">
        <v>-73425.539000000004</v>
      </c>
      <c r="E702" t="s">
        <v>6</v>
      </c>
      <c r="F702" t="s">
        <v>51</v>
      </c>
      <c r="G702" t="s">
        <v>5</v>
      </c>
    </row>
    <row r="703" spans="1:7" x14ac:dyDescent="0.3">
      <c r="A703" t="s">
        <v>15</v>
      </c>
      <c r="B703" s="1">
        <v>45777</v>
      </c>
      <c r="C703">
        <v>410015</v>
      </c>
      <c r="D703">
        <v>-59001.385000000002</v>
      </c>
      <c r="E703" t="s">
        <v>6</v>
      </c>
      <c r="F703" t="s">
        <v>51</v>
      </c>
      <c r="G703" t="s">
        <v>5</v>
      </c>
    </row>
    <row r="704" spans="1:7" x14ac:dyDescent="0.3">
      <c r="A704" t="s">
        <v>15</v>
      </c>
      <c r="B704" s="1">
        <v>45777</v>
      </c>
      <c r="C704">
        <v>410016</v>
      </c>
      <c r="D704">
        <v>-3211.6729999999998</v>
      </c>
      <c r="E704" t="s">
        <v>6</v>
      </c>
      <c r="F704" t="s">
        <v>51</v>
      </c>
      <c r="G704" t="s">
        <v>5</v>
      </c>
    </row>
    <row r="705" spans="1:7" x14ac:dyDescent="0.3">
      <c r="A705" t="s">
        <v>15</v>
      </c>
      <c r="B705" s="1">
        <v>45777</v>
      </c>
      <c r="C705">
        <v>410018</v>
      </c>
      <c r="D705">
        <v>-14273.164000000001</v>
      </c>
      <c r="E705" t="s">
        <v>6</v>
      </c>
      <c r="F705" t="s">
        <v>51</v>
      </c>
      <c r="G705" t="s">
        <v>5</v>
      </c>
    </row>
    <row r="706" spans="1:7" x14ac:dyDescent="0.3">
      <c r="A706" t="s">
        <v>15</v>
      </c>
      <c r="B706" s="1">
        <v>45777</v>
      </c>
      <c r="C706">
        <v>410019</v>
      </c>
      <c r="D706">
        <v>-5709.8789999999999</v>
      </c>
      <c r="E706" t="s">
        <v>6</v>
      </c>
      <c r="F706" t="s">
        <v>51</v>
      </c>
      <c r="G706" t="s">
        <v>5</v>
      </c>
    </row>
    <row r="707" spans="1:7" x14ac:dyDescent="0.3">
      <c r="A707" t="s">
        <v>15</v>
      </c>
      <c r="B707" s="1">
        <v>45777</v>
      </c>
      <c r="C707">
        <v>410032</v>
      </c>
      <c r="D707">
        <v>-92121.438999999998</v>
      </c>
      <c r="E707" t="s">
        <v>6</v>
      </c>
      <c r="F707" t="s">
        <v>51</v>
      </c>
      <c r="G707" t="s">
        <v>5</v>
      </c>
    </row>
    <row r="708" spans="1:7" x14ac:dyDescent="0.3">
      <c r="A708" t="s">
        <v>15</v>
      </c>
      <c r="B708" s="1">
        <v>45777</v>
      </c>
      <c r="C708">
        <v>410035</v>
      </c>
      <c r="D708">
        <v>2899.1170000000002</v>
      </c>
      <c r="E708" t="s">
        <v>6</v>
      </c>
      <c r="F708" t="s">
        <v>51</v>
      </c>
      <c r="G708" t="s">
        <v>5</v>
      </c>
    </row>
    <row r="709" spans="1:7" x14ac:dyDescent="0.3">
      <c r="A709" t="s">
        <v>15</v>
      </c>
      <c r="B709" s="1">
        <v>45777</v>
      </c>
      <c r="C709">
        <v>410036</v>
      </c>
      <c r="D709">
        <v>-96470.362999999998</v>
      </c>
      <c r="E709" t="s">
        <v>6</v>
      </c>
      <c r="F709" t="s">
        <v>51</v>
      </c>
      <c r="G709" t="s">
        <v>5</v>
      </c>
    </row>
    <row r="710" spans="1:7" x14ac:dyDescent="0.3">
      <c r="A710" t="s">
        <v>15</v>
      </c>
      <c r="B710" s="1">
        <v>45777</v>
      </c>
      <c r="C710">
        <v>410037</v>
      </c>
      <c r="D710">
        <v>-804613.41299999994</v>
      </c>
      <c r="E710" t="s">
        <v>6</v>
      </c>
      <c r="F710" t="s">
        <v>51</v>
      </c>
      <c r="G710" t="s">
        <v>5</v>
      </c>
    </row>
    <row r="711" spans="1:7" x14ac:dyDescent="0.3">
      <c r="A711" t="s">
        <v>15</v>
      </c>
      <c r="B711" s="1">
        <v>45777</v>
      </c>
      <c r="C711">
        <v>410039</v>
      </c>
      <c r="D711">
        <v>-47748.171000000002</v>
      </c>
      <c r="E711" t="s">
        <v>6</v>
      </c>
      <c r="F711" t="s">
        <v>51</v>
      </c>
      <c r="G711" t="s">
        <v>5</v>
      </c>
    </row>
    <row r="712" spans="1:7" x14ac:dyDescent="0.3">
      <c r="A712" t="s">
        <v>15</v>
      </c>
      <c r="B712" s="1">
        <v>45777</v>
      </c>
      <c r="C712">
        <v>410040</v>
      </c>
      <c r="D712">
        <v>-5663.9629999999997</v>
      </c>
      <c r="E712" t="s">
        <v>6</v>
      </c>
      <c r="F712" t="s">
        <v>51</v>
      </c>
      <c r="G712" t="s">
        <v>5</v>
      </c>
    </row>
    <row r="713" spans="1:7" x14ac:dyDescent="0.3">
      <c r="A713" t="s">
        <v>15</v>
      </c>
      <c r="B713" s="1">
        <v>45777</v>
      </c>
      <c r="C713">
        <v>410046</v>
      </c>
      <c r="D713">
        <v>-984.69</v>
      </c>
      <c r="E713" t="s">
        <v>6</v>
      </c>
      <c r="F713" t="s">
        <v>51</v>
      </c>
      <c r="G713" t="s">
        <v>5</v>
      </c>
    </row>
    <row r="714" spans="1:7" x14ac:dyDescent="0.3">
      <c r="A714" t="s">
        <v>15</v>
      </c>
      <c r="B714" s="1">
        <v>45777</v>
      </c>
      <c r="C714">
        <v>410049</v>
      </c>
      <c r="D714">
        <v>-143.56800000000001</v>
      </c>
      <c r="E714" t="s">
        <v>6</v>
      </c>
      <c r="F714" t="s">
        <v>51</v>
      </c>
      <c r="G714" t="s">
        <v>5</v>
      </c>
    </row>
    <row r="715" spans="1:7" x14ac:dyDescent="0.3">
      <c r="A715" t="s">
        <v>15</v>
      </c>
      <c r="B715" s="1">
        <v>45777</v>
      </c>
      <c r="C715">
        <v>415002</v>
      </c>
      <c r="D715">
        <v>-226906.57699999999</v>
      </c>
      <c r="E715" t="s">
        <v>6</v>
      </c>
      <c r="F715" t="s">
        <v>50</v>
      </c>
      <c r="G715" t="s">
        <v>5</v>
      </c>
    </row>
    <row r="716" spans="1:7" x14ac:dyDescent="0.3">
      <c r="A716" t="s">
        <v>15</v>
      </c>
      <c r="B716" s="1">
        <v>45777</v>
      </c>
      <c r="C716">
        <v>415008</v>
      </c>
      <c r="D716">
        <v>-176.95400000000001</v>
      </c>
      <c r="E716" t="s">
        <v>6</v>
      </c>
      <c r="F716" t="s">
        <v>50</v>
      </c>
      <c r="G716" t="s">
        <v>5</v>
      </c>
    </row>
    <row r="717" spans="1:7" x14ac:dyDescent="0.3">
      <c r="A717" t="s">
        <v>15</v>
      </c>
      <c r="B717" s="1">
        <v>45777</v>
      </c>
      <c r="C717">
        <v>420003</v>
      </c>
      <c r="D717">
        <v>-39.082999999999998</v>
      </c>
      <c r="E717" t="s">
        <v>6</v>
      </c>
      <c r="F717" t="s">
        <v>52</v>
      </c>
      <c r="G717" t="s">
        <v>5</v>
      </c>
    </row>
    <row r="718" spans="1:7" x14ac:dyDescent="0.3">
      <c r="A718" t="s">
        <v>15</v>
      </c>
      <c r="B718" s="1">
        <v>45777</v>
      </c>
      <c r="C718">
        <v>420004</v>
      </c>
      <c r="D718">
        <v>-42683.527999999998</v>
      </c>
      <c r="E718" t="s">
        <v>6</v>
      </c>
      <c r="F718" t="s">
        <v>52</v>
      </c>
      <c r="G718" t="s">
        <v>5</v>
      </c>
    </row>
    <row r="719" spans="1:7" x14ac:dyDescent="0.3">
      <c r="A719" t="s">
        <v>15</v>
      </c>
      <c r="B719" s="1">
        <v>45777</v>
      </c>
      <c r="C719">
        <v>420006</v>
      </c>
      <c r="D719">
        <v>-2710.5540000000001</v>
      </c>
      <c r="E719" t="s">
        <v>6</v>
      </c>
      <c r="F719" t="s">
        <v>52</v>
      </c>
      <c r="G719" t="s">
        <v>5</v>
      </c>
    </row>
    <row r="720" spans="1:7" x14ac:dyDescent="0.3">
      <c r="A720" t="s">
        <v>15</v>
      </c>
      <c r="B720" s="1">
        <v>45777</v>
      </c>
      <c r="C720">
        <v>420007</v>
      </c>
      <c r="D720">
        <v>-309.32100000000003</v>
      </c>
      <c r="E720" t="s">
        <v>6</v>
      </c>
      <c r="F720" t="s">
        <v>52</v>
      </c>
      <c r="G720" t="s">
        <v>5</v>
      </c>
    </row>
    <row r="721" spans="1:7" x14ac:dyDescent="0.3">
      <c r="A721" t="s">
        <v>15</v>
      </c>
      <c r="B721" s="1">
        <v>45777</v>
      </c>
      <c r="C721">
        <v>421002</v>
      </c>
      <c r="D721">
        <v>-13050.819</v>
      </c>
      <c r="E721" t="s">
        <v>6</v>
      </c>
      <c r="F721" t="s">
        <v>52</v>
      </c>
      <c r="G721" t="s">
        <v>5</v>
      </c>
    </row>
    <row r="722" spans="1:7" x14ac:dyDescent="0.3">
      <c r="A722" t="s">
        <v>15</v>
      </c>
      <c r="B722" s="1">
        <v>45777</v>
      </c>
      <c r="C722">
        <v>421003</v>
      </c>
      <c r="D722">
        <v>-1699.97</v>
      </c>
      <c r="E722" t="s">
        <v>6</v>
      </c>
      <c r="F722" t="s">
        <v>52</v>
      </c>
      <c r="G722" t="s">
        <v>5</v>
      </c>
    </row>
    <row r="723" spans="1:7" x14ac:dyDescent="0.3">
      <c r="A723" t="s">
        <v>15</v>
      </c>
      <c r="B723" s="1">
        <v>45777</v>
      </c>
      <c r="C723">
        <v>421004</v>
      </c>
      <c r="D723">
        <v>436.70400000000001</v>
      </c>
      <c r="E723" t="s">
        <v>6</v>
      </c>
      <c r="F723" t="s">
        <v>52</v>
      </c>
      <c r="G723" t="s">
        <v>5</v>
      </c>
    </row>
    <row r="724" spans="1:7" x14ac:dyDescent="0.3">
      <c r="A724" t="s">
        <v>15</v>
      </c>
      <c r="B724" s="1">
        <v>45777</v>
      </c>
      <c r="C724">
        <v>421007</v>
      </c>
      <c r="D724">
        <v>29888.846000000001</v>
      </c>
      <c r="E724" t="s">
        <v>6</v>
      </c>
      <c r="F724" t="s">
        <v>52</v>
      </c>
      <c r="G724" t="s">
        <v>5</v>
      </c>
    </row>
    <row r="725" spans="1:7" x14ac:dyDescent="0.3">
      <c r="A725" t="s">
        <v>15</v>
      </c>
      <c r="B725" s="1">
        <v>45777</v>
      </c>
      <c r="C725">
        <v>421008</v>
      </c>
      <c r="D725">
        <v>-46999.114000000001</v>
      </c>
      <c r="E725" t="s">
        <v>6</v>
      </c>
      <c r="F725" t="s">
        <v>52</v>
      </c>
      <c r="G725" t="s">
        <v>5</v>
      </c>
    </row>
    <row r="726" spans="1:7" x14ac:dyDescent="0.3">
      <c r="A726" t="s">
        <v>15</v>
      </c>
      <c r="B726" s="1">
        <v>45777</v>
      </c>
      <c r="C726">
        <v>423002</v>
      </c>
      <c r="D726">
        <v>-5594.37</v>
      </c>
      <c r="E726" t="s">
        <v>6</v>
      </c>
      <c r="F726" t="s">
        <v>52</v>
      </c>
      <c r="G726" t="s">
        <v>5</v>
      </c>
    </row>
    <row r="727" spans="1:7" x14ac:dyDescent="0.3">
      <c r="A727" t="s">
        <v>15</v>
      </c>
      <c r="B727" s="1">
        <v>45777</v>
      </c>
      <c r="C727">
        <v>423011</v>
      </c>
      <c r="D727">
        <v>-2651.277</v>
      </c>
      <c r="E727" t="s">
        <v>6</v>
      </c>
      <c r="F727" t="s">
        <v>52</v>
      </c>
      <c r="G727" t="s">
        <v>5</v>
      </c>
    </row>
    <row r="728" spans="1:7" x14ac:dyDescent="0.3">
      <c r="A728" t="s">
        <v>15</v>
      </c>
      <c r="B728" s="1">
        <v>45777</v>
      </c>
      <c r="C728">
        <v>423012</v>
      </c>
      <c r="D728">
        <v>-1986.713</v>
      </c>
      <c r="E728" t="s">
        <v>6</v>
      </c>
      <c r="F728" t="s">
        <v>52</v>
      </c>
      <c r="G728" t="s">
        <v>5</v>
      </c>
    </row>
    <row r="729" spans="1:7" x14ac:dyDescent="0.3">
      <c r="A729" t="s">
        <v>15</v>
      </c>
      <c r="B729" s="1">
        <v>45777</v>
      </c>
      <c r="C729">
        <v>510002</v>
      </c>
      <c r="D729">
        <v>563971.70400000003</v>
      </c>
      <c r="E729" t="s">
        <v>6</v>
      </c>
      <c r="F729" t="s">
        <v>53</v>
      </c>
      <c r="G729" t="s">
        <v>5</v>
      </c>
    </row>
    <row r="730" spans="1:7" x14ac:dyDescent="0.3">
      <c r="A730" t="s">
        <v>15</v>
      </c>
      <c r="B730" s="1">
        <v>45777</v>
      </c>
      <c r="C730">
        <v>510003</v>
      </c>
      <c r="D730">
        <v>70415.660999999993</v>
      </c>
      <c r="E730" t="s">
        <v>6</v>
      </c>
      <c r="F730" t="s">
        <v>53</v>
      </c>
      <c r="G730" t="s">
        <v>5</v>
      </c>
    </row>
    <row r="731" spans="1:7" x14ac:dyDescent="0.3">
      <c r="A731" t="s">
        <v>15</v>
      </c>
      <c r="B731" s="1">
        <v>45777</v>
      </c>
      <c r="C731">
        <v>510004</v>
      </c>
      <c r="D731">
        <v>928811.11800000002</v>
      </c>
      <c r="E731" t="s">
        <v>6</v>
      </c>
      <c r="F731" t="s">
        <v>53</v>
      </c>
      <c r="G731" t="s">
        <v>5</v>
      </c>
    </row>
    <row r="732" spans="1:7" x14ac:dyDescent="0.3">
      <c r="A732" t="s">
        <v>15</v>
      </c>
      <c r="B732" s="1">
        <v>45777</v>
      </c>
      <c r="C732">
        <v>510005</v>
      </c>
      <c r="D732">
        <v>11947.937</v>
      </c>
      <c r="E732" t="s">
        <v>6</v>
      </c>
      <c r="F732" t="s">
        <v>53</v>
      </c>
      <c r="G732" t="s">
        <v>5</v>
      </c>
    </row>
    <row r="733" spans="1:7" x14ac:dyDescent="0.3">
      <c r="A733" t="s">
        <v>15</v>
      </c>
      <c r="B733" s="1">
        <v>45777</v>
      </c>
      <c r="C733">
        <v>510006</v>
      </c>
      <c r="D733">
        <v>28275.106</v>
      </c>
      <c r="E733" t="s">
        <v>6</v>
      </c>
      <c r="F733" t="s">
        <v>53</v>
      </c>
      <c r="G733" t="s">
        <v>5</v>
      </c>
    </row>
    <row r="734" spans="1:7" x14ac:dyDescent="0.3">
      <c r="A734" t="s">
        <v>15</v>
      </c>
      <c r="B734" s="1">
        <v>45777</v>
      </c>
      <c r="C734">
        <v>510007</v>
      </c>
      <c r="D734">
        <v>175117.14199999999</v>
      </c>
      <c r="E734" t="s">
        <v>6</v>
      </c>
      <c r="F734" t="s">
        <v>53</v>
      </c>
      <c r="G734" t="s">
        <v>5</v>
      </c>
    </row>
    <row r="735" spans="1:7" x14ac:dyDescent="0.3">
      <c r="A735" t="s">
        <v>15</v>
      </c>
      <c r="B735" s="1">
        <v>45777</v>
      </c>
      <c r="C735">
        <v>510009</v>
      </c>
      <c r="D735">
        <v>7363.0330000000004</v>
      </c>
      <c r="E735" t="s">
        <v>6</v>
      </c>
      <c r="F735" t="s">
        <v>53</v>
      </c>
      <c r="G735" t="s">
        <v>5</v>
      </c>
    </row>
    <row r="736" spans="1:7" x14ac:dyDescent="0.3">
      <c r="A736" t="s">
        <v>15</v>
      </c>
      <c r="B736" s="1">
        <v>45777</v>
      </c>
      <c r="C736">
        <v>510011</v>
      </c>
      <c r="D736">
        <v>32809.432000000001</v>
      </c>
      <c r="E736" t="s">
        <v>6</v>
      </c>
      <c r="F736" t="s">
        <v>53</v>
      </c>
      <c r="G736" t="s">
        <v>5</v>
      </c>
    </row>
    <row r="737" spans="1:7" x14ac:dyDescent="0.3">
      <c r="A737" t="s">
        <v>15</v>
      </c>
      <c r="B737" s="1">
        <v>45777</v>
      </c>
      <c r="C737">
        <v>510012</v>
      </c>
      <c r="D737">
        <v>9586.4719999999998</v>
      </c>
      <c r="E737" t="s">
        <v>6</v>
      </c>
      <c r="F737" t="s">
        <v>53</v>
      </c>
      <c r="G737" t="s">
        <v>5</v>
      </c>
    </row>
    <row r="738" spans="1:7" x14ac:dyDescent="0.3">
      <c r="A738" t="s">
        <v>15</v>
      </c>
      <c r="B738" s="1">
        <v>45777</v>
      </c>
      <c r="C738">
        <v>510013</v>
      </c>
      <c r="D738">
        <v>-160.22399999999999</v>
      </c>
      <c r="E738" t="s">
        <v>6</v>
      </c>
      <c r="F738" t="s">
        <v>53</v>
      </c>
      <c r="G738" t="s">
        <v>5</v>
      </c>
    </row>
    <row r="739" spans="1:7" x14ac:dyDescent="0.3">
      <c r="A739" t="s">
        <v>15</v>
      </c>
      <c r="B739" s="1">
        <v>45777</v>
      </c>
      <c r="C739">
        <v>510018</v>
      </c>
      <c r="D739">
        <v>26905.905999999999</v>
      </c>
      <c r="E739" t="s">
        <v>6</v>
      </c>
      <c r="F739" t="s">
        <v>53</v>
      </c>
      <c r="G739" t="s">
        <v>5</v>
      </c>
    </row>
    <row r="740" spans="1:7" x14ac:dyDescent="0.3">
      <c r="A740" t="s">
        <v>15</v>
      </c>
      <c r="B740" s="1">
        <v>45777</v>
      </c>
      <c r="C740">
        <v>510021</v>
      </c>
      <c r="D740">
        <v>4155.2089999999998</v>
      </c>
      <c r="E740" t="s">
        <v>6</v>
      </c>
      <c r="F740" t="s">
        <v>53</v>
      </c>
      <c r="G740" t="s">
        <v>5</v>
      </c>
    </row>
    <row r="741" spans="1:7" x14ac:dyDescent="0.3">
      <c r="A741" t="s">
        <v>15</v>
      </c>
      <c r="B741" s="1">
        <v>45777</v>
      </c>
      <c r="C741">
        <v>510026</v>
      </c>
      <c r="D741">
        <v>8146.8580000000002</v>
      </c>
      <c r="E741" t="s">
        <v>6</v>
      </c>
      <c r="F741" t="s">
        <v>53</v>
      </c>
      <c r="G741" t="s">
        <v>5</v>
      </c>
    </row>
    <row r="742" spans="1:7" x14ac:dyDescent="0.3">
      <c r="A742" t="s">
        <v>15</v>
      </c>
      <c r="B742" s="1">
        <v>45777</v>
      </c>
      <c r="C742">
        <v>510048</v>
      </c>
      <c r="D742">
        <v>1272.9280000000001</v>
      </c>
      <c r="E742" t="s">
        <v>6</v>
      </c>
      <c r="F742" t="s">
        <v>61</v>
      </c>
      <c r="G742" t="s">
        <v>5</v>
      </c>
    </row>
    <row r="743" spans="1:7" x14ac:dyDescent="0.3">
      <c r="A743" t="s">
        <v>15</v>
      </c>
      <c r="B743" s="1">
        <v>45777</v>
      </c>
      <c r="C743">
        <v>510049</v>
      </c>
      <c r="D743">
        <v>108.497</v>
      </c>
      <c r="E743" t="s">
        <v>6</v>
      </c>
      <c r="F743" t="s">
        <v>60</v>
      </c>
      <c r="G743" t="s">
        <v>5</v>
      </c>
    </row>
    <row r="744" spans="1:7" x14ac:dyDescent="0.3">
      <c r="A744" t="s">
        <v>15</v>
      </c>
      <c r="B744" s="1">
        <v>45777</v>
      </c>
      <c r="C744">
        <v>510057</v>
      </c>
      <c r="D744">
        <v>-462.77</v>
      </c>
      <c r="E744" t="s">
        <v>6</v>
      </c>
      <c r="F744" t="s">
        <v>53</v>
      </c>
      <c r="G744" t="s">
        <v>5</v>
      </c>
    </row>
    <row r="745" spans="1:7" x14ac:dyDescent="0.3">
      <c r="A745" t="s">
        <v>15</v>
      </c>
      <c r="B745" s="1">
        <v>45777</v>
      </c>
      <c r="C745">
        <v>510059</v>
      </c>
      <c r="D745">
        <v>6492.2820000000002</v>
      </c>
      <c r="E745" t="s">
        <v>6</v>
      </c>
      <c r="F745" t="s">
        <v>53</v>
      </c>
      <c r="G745" t="s">
        <v>5</v>
      </c>
    </row>
    <row r="746" spans="1:7" x14ac:dyDescent="0.3">
      <c r="A746" t="s">
        <v>15</v>
      </c>
      <c r="B746" s="1">
        <v>45777</v>
      </c>
      <c r="C746">
        <v>510060</v>
      </c>
      <c r="D746">
        <v>-309.69799999999998</v>
      </c>
      <c r="E746" t="s">
        <v>6</v>
      </c>
      <c r="F746" t="s">
        <v>53</v>
      </c>
      <c r="G746" t="s">
        <v>5</v>
      </c>
    </row>
    <row r="747" spans="1:7" x14ac:dyDescent="0.3">
      <c r="A747" t="s">
        <v>15</v>
      </c>
      <c r="B747" s="1">
        <v>45777</v>
      </c>
      <c r="C747">
        <v>510062</v>
      </c>
      <c r="D747">
        <v>3364.6840000000002</v>
      </c>
      <c r="E747" t="s">
        <v>6</v>
      </c>
      <c r="F747" t="s">
        <v>53</v>
      </c>
      <c r="G747" t="s">
        <v>5</v>
      </c>
    </row>
    <row r="748" spans="1:7" x14ac:dyDescent="0.3">
      <c r="A748" t="s">
        <v>15</v>
      </c>
      <c r="B748" s="1">
        <v>45777</v>
      </c>
      <c r="C748">
        <v>510063</v>
      </c>
      <c r="D748">
        <v>4249.7020000000002</v>
      </c>
      <c r="E748" t="s">
        <v>6</v>
      </c>
      <c r="F748" t="s">
        <v>53</v>
      </c>
      <c r="G748" t="s">
        <v>5</v>
      </c>
    </row>
    <row r="749" spans="1:7" x14ac:dyDescent="0.3">
      <c r="A749" t="s">
        <v>15</v>
      </c>
      <c r="B749" s="1">
        <v>45777</v>
      </c>
      <c r="C749">
        <v>510064</v>
      </c>
      <c r="D749">
        <v>38460.184000000001</v>
      </c>
      <c r="E749" t="s">
        <v>6</v>
      </c>
      <c r="F749" t="s">
        <v>53</v>
      </c>
      <c r="G749" t="s">
        <v>5</v>
      </c>
    </row>
    <row r="750" spans="1:7" x14ac:dyDescent="0.3">
      <c r="A750" t="s">
        <v>15</v>
      </c>
      <c r="B750" s="1">
        <v>45777</v>
      </c>
      <c r="C750">
        <v>520020</v>
      </c>
      <c r="D750">
        <v>11322.937</v>
      </c>
      <c r="E750" t="s">
        <v>6</v>
      </c>
      <c r="F750" t="s">
        <v>53</v>
      </c>
      <c r="G750" t="s">
        <v>5</v>
      </c>
    </row>
    <row r="751" spans="1:7" x14ac:dyDescent="0.3">
      <c r="A751" t="s">
        <v>15</v>
      </c>
      <c r="B751" s="1">
        <v>45777</v>
      </c>
      <c r="C751">
        <v>520021</v>
      </c>
      <c r="D751">
        <v>793.55700000000002</v>
      </c>
      <c r="E751" t="s">
        <v>6</v>
      </c>
      <c r="F751" t="s">
        <v>60</v>
      </c>
      <c r="G751" t="s">
        <v>5</v>
      </c>
    </row>
    <row r="752" spans="1:7" x14ac:dyDescent="0.3">
      <c r="A752" t="s">
        <v>15</v>
      </c>
      <c r="B752" s="1">
        <v>45777</v>
      </c>
      <c r="C752">
        <v>520022</v>
      </c>
      <c r="D752">
        <v>31.821999999999999</v>
      </c>
      <c r="E752" t="s">
        <v>6</v>
      </c>
      <c r="F752" t="s">
        <v>53</v>
      </c>
      <c r="G752" t="s">
        <v>5</v>
      </c>
    </row>
    <row r="753" spans="1:7" x14ac:dyDescent="0.3">
      <c r="A753" t="s">
        <v>15</v>
      </c>
      <c r="B753" s="1">
        <v>45777</v>
      </c>
      <c r="C753">
        <v>540004</v>
      </c>
      <c r="D753">
        <v>216.67599999999999</v>
      </c>
      <c r="E753" t="s">
        <v>6</v>
      </c>
      <c r="F753" t="s">
        <v>67</v>
      </c>
      <c r="G753" t="s">
        <v>5</v>
      </c>
    </row>
    <row r="754" spans="1:7" x14ac:dyDescent="0.3">
      <c r="A754" t="s">
        <v>15</v>
      </c>
      <c r="B754" s="1">
        <v>45777</v>
      </c>
      <c r="C754">
        <v>540008</v>
      </c>
      <c r="D754">
        <v>11712.498</v>
      </c>
      <c r="E754" t="s">
        <v>6</v>
      </c>
      <c r="F754" t="s">
        <v>67</v>
      </c>
      <c r="G754" t="s">
        <v>5</v>
      </c>
    </row>
    <row r="755" spans="1:7" x14ac:dyDescent="0.3">
      <c r="A755" t="s">
        <v>15</v>
      </c>
      <c r="B755" s="1">
        <v>45777</v>
      </c>
      <c r="C755">
        <v>541003</v>
      </c>
      <c r="D755">
        <v>487.79899999999998</v>
      </c>
      <c r="E755" t="s">
        <v>6</v>
      </c>
      <c r="F755" t="s">
        <v>61</v>
      </c>
      <c r="G755" t="s">
        <v>5</v>
      </c>
    </row>
    <row r="756" spans="1:7" x14ac:dyDescent="0.3">
      <c r="A756" t="s">
        <v>15</v>
      </c>
      <c r="B756" s="1">
        <v>45777</v>
      </c>
      <c r="C756">
        <v>541004</v>
      </c>
      <c r="D756">
        <v>5997.3209999999999</v>
      </c>
      <c r="E756" t="s">
        <v>6</v>
      </c>
      <c r="F756" t="s">
        <v>61</v>
      </c>
      <c r="G756" t="s">
        <v>5</v>
      </c>
    </row>
    <row r="757" spans="1:7" x14ac:dyDescent="0.3">
      <c r="A757" t="s">
        <v>15</v>
      </c>
      <c r="B757" s="1">
        <v>45777</v>
      </c>
      <c r="C757">
        <v>541008</v>
      </c>
      <c r="D757">
        <v>21332.15</v>
      </c>
      <c r="E757" t="s">
        <v>6</v>
      </c>
      <c r="F757" t="s">
        <v>61</v>
      </c>
      <c r="G757" t="s">
        <v>5</v>
      </c>
    </row>
    <row r="758" spans="1:7" x14ac:dyDescent="0.3">
      <c r="A758" t="s">
        <v>15</v>
      </c>
      <c r="B758" s="1">
        <v>45777</v>
      </c>
      <c r="C758">
        <v>541009</v>
      </c>
      <c r="D758">
        <v>6128.5950000000003</v>
      </c>
      <c r="E758" t="s">
        <v>6</v>
      </c>
      <c r="F758" t="s">
        <v>61</v>
      </c>
      <c r="G758" t="s">
        <v>5</v>
      </c>
    </row>
    <row r="759" spans="1:7" x14ac:dyDescent="0.3">
      <c r="A759" t="s">
        <v>15</v>
      </c>
      <c r="B759" s="1">
        <v>45777</v>
      </c>
      <c r="C759">
        <v>541010</v>
      </c>
      <c r="D759">
        <v>3035.8609999999999</v>
      </c>
      <c r="E759" t="s">
        <v>6</v>
      </c>
      <c r="F759" t="s">
        <v>61</v>
      </c>
      <c r="G759" t="s">
        <v>5</v>
      </c>
    </row>
    <row r="760" spans="1:7" x14ac:dyDescent="0.3">
      <c r="A760" t="s">
        <v>15</v>
      </c>
      <c r="B760" s="1">
        <v>45777</v>
      </c>
      <c r="C760">
        <v>541013</v>
      </c>
      <c r="D760">
        <v>9070.9989999999998</v>
      </c>
      <c r="E760" t="s">
        <v>6</v>
      </c>
      <c r="F760" t="s">
        <v>61</v>
      </c>
      <c r="G760" t="s">
        <v>5</v>
      </c>
    </row>
    <row r="761" spans="1:7" x14ac:dyDescent="0.3">
      <c r="A761" t="s">
        <v>15</v>
      </c>
      <c r="B761" s="1">
        <v>45777</v>
      </c>
      <c r="C761">
        <v>541021</v>
      </c>
      <c r="D761">
        <v>-23622.969000000001</v>
      </c>
      <c r="E761" t="s">
        <v>6</v>
      </c>
      <c r="F761" t="s">
        <v>61</v>
      </c>
      <c r="G761" t="s">
        <v>5</v>
      </c>
    </row>
    <row r="762" spans="1:7" x14ac:dyDescent="0.3">
      <c r="A762" t="s">
        <v>15</v>
      </c>
      <c r="B762" s="1">
        <v>45777</v>
      </c>
      <c r="C762">
        <v>541022</v>
      </c>
      <c r="D762">
        <v>-1.7000000000000001E-2</v>
      </c>
      <c r="E762" t="s">
        <v>6</v>
      </c>
      <c r="F762" t="s">
        <v>61</v>
      </c>
      <c r="G762" t="s">
        <v>5</v>
      </c>
    </row>
    <row r="763" spans="1:7" x14ac:dyDescent="0.3">
      <c r="A763" t="s">
        <v>15</v>
      </c>
      <c r="B763" s="1">
        <v>45777</v>
      </c>
      <c r="C763">
        <v>544002</v>
      </c>
      <c r="D763">
        <v>3955.451</v>
      </c>
      <c r="E763" t="s">
        <v>6</v>
      </c>
      <c r="F763" t="s">
        <v>61</v>
      </c>
      <c r="G763" t="s">
        <v>5</v>
      </c>
    </row>
    <row r="764" spans="1:7" x14ac:dyDescent="0.3">
      <c r="A764" t="s">
        <v>15</v>
      </c>
      <c r="B764" s="1">
        <v>45777</v>
      </c>
      <c r="C764">
        <v>544003</v>
      </c>
      <c r="D764">
        <v>-1905.653</v>
      </c>
      <c r="E764" t="s">
        <v>6</v>
      </c>
      <c r="F764" t="s">
        <v>61</v>
      </c>
      <c r="G764" t="s">
        <v>5</v>
      </c>
    </row>
    <row r="765" spans="1:7" x14ac:dyDescent="0.3">
      <c r="A765" t="s">
        <v>15</v>
      </c>
      <c r="B765" s="1">
        <v>45777</v>
      </c>
      <c r="C765">
        <v>544006</v>
      </c>
      <c r="D765">
        <v>84.994</v>
      </c>
      <c r="E765" t="s">
        <v>6</v>
      </c>
      <c r="F765" t="s">
        <v>61</v>
      </c>
      <c r="G765" t="s">
        <v>5</v>
      </c>
    </row>
    <row r="766" spans="1:7" x14ac:dyDescent="0.3">
      <c r="A766" t="s">
        <v>15</v>
      </c>
      <c r="B766" s="1">
        <v>45777</v>
      </c>
      <c r="C766">
        <v>547002</v>
      </c>
      <c r="D766">
        <v>20448.252</v>
      </c>
      <c r="E766" t="s">
        <v>6</v>
      </c>
      <c r="F766" t="s">
        <v>54</v>
      </c>
      <c r="G766" t="s">
        <v>5</v>
      </c>
    </row>
    <row r="767" spans="1:7" x14ac:dyDescent="0.3">
      <c r="A767" t="s">
        <v>15</v>
      </c>
      <c r="B767" s="1">
        <v>45777</v>
      </c>
      <c r="C767">
        <v>547006</v>
      </c>
      <c r="D767">
        <v>25927.631000000001</v>
      </c>
      <c r="E767" t="s">
        <v>6</v>
      </c>
      <c r="F767" t="s">
        <v>54</v>
      </c>
      <c r="G767" t="s">
        <v>5</v>
      </c>
    </row>
    <row r="768" spans="1:7" x14ac:dyDescent="0.3">
      <c r="A768" t="s">
        <v>15</v>
      </c>
      <c r="B768" s="1">
        <v>45777</v>
      </c>
      <c r="C768">
        <v>547011</v>
      </c>
      <c r="D768">
        <v>195.26</v>
      </c>
      <c r="E768" t="s">
        <v>6</v>
      </c>
      <c r="F768" t="s">
        <v>54</v>
      </c>
      <c r="G768" t="s">
        <v>5</v>
      </c>
    </row>
    <row r="769" spans="1:7" x14ac:dyDescent="0.3">
      <c r="A769" t="s">
        <v>15</v>
      </c>
      <c r="B769" s="1">
        <v>45777</v>
      </c>
      <c r="C769">
        <v>550002</v>
      </c>
      <c r="D769">
        <v>54104.006000000001</v>
      </c>
      <c r="E769" t="s">
        <v>6</v>
      </c>
      <c r="F769" t="s">
        <v>62</v>
      </c>
      <c r="G769" t="s">
        <v>5</v>
      </c>
    </row>
    <row r="770" spans="1:7" x14ac:dyDescent="0.3">
      <c r="A770" t="s">
        <v>15</v>
      </c>
      <c r="B770" s="1">
        <v>45777</v>
      </c>
      <c r="C770">
        <v>550003</v>
      </c>
      <c r="D770">
        <v>-2469.35</v>
      </c>
      <c r="E770" t="s">
        <v>6</v>
      </c>
      <c r="F770" t="s">
        <v>62</v>
      </c>
      <c r="G770" t="s">
        <v>5</v>
      </c>
    </row>
    <row r="771" spans="1:7" x14ac:dyDescent="0.3">
      <c r="A771" t="s">
        <v>15</v>
      </c>
      <c r="B771" s="1">
        <v>45777</v>
      </c>
      <c r="C771">
        <v>550004</v>
      </c>
      <c r="D771">
        <v>2600.9369999999999</v>
      </c>
      <c r="E771" t="s">
        <v>6</v>
      </c>
      <c r="F771" t="s">
        <v>62</v>
      </c>
      <c r="G771" t="s">
        <v>5</v>
      </c>
    </row>
    <row r="772" spans="1:7" x14ac:dyDescent="0.3">
      <c r="A772" t="s">
        <v>15</v>
      </c>
      <c r="B772" s="1">
        <v>45777</v>
      </c>
      <c r="C772">
        <v>550007</v>
      </c>
      <c r="D772">
        <v>-153.221</v>
      </c>
      <c r="E772" t="s">
        <v>6</v>
      </c>
      <c r="F772" t="s">
        <v>62</v>
      </c>
      <c r="G772" t="s">
        <v>5</v>
      </c>
    </row>
    <row r="773" spans="1:7" x14ac:dyDescent="0.3">
      <c r="A773" t="s">
        <v>15</v>
      </c>
      <c r="B773" s="1">
        <v>45777</v>
      </c>
      <c r="C773">
        <v>551002</v>
      </c>
      <c r="D773">
        <v>9099.5939999999991</v>
      </c>
      <c r="E773" t="s">
        <v>6</v>
      </c>
      <c r="F773" t="s">
        <v>63</v>
      </c>
      <c r="G773" t="s">
        <v>5</v>
      </c>
    </row>
    <row r="774" spans="1:7" x14ac:dyDescent="0.3">
      <c r="A774" t="s">
        <v>15</v>
      </c>
      <c r="B774" s="1">
        <v>45777</v>
      </c>
      <c r="C774">
        <v>551003</v>
      </c>
      <c r="D774">
        <v>52829.127999999997</v>
      </c>
      <c r="E774" t="s">
        <v>6</v>
      </c>
      <c r="F774" t="s">
        <v>63</v>
      </c>
      <c r="G774" t="s">
        <v>5</v>
      </c>
    </row>
    <row r="775" spans="1:7" x14ac:dyDescent="0.3">
      <c r="A775" t="s">
        <v>15</v>
      </c>
      <c r="B775" s="1">
        <v>45777</v>
      </c>
      <c r="C775">
        <v>551007</v>
      </c>
      <c r="D775">
        <v>31</v>
      </c>
      <c r="E775" t="s">
        <v>6</v>
      </c>
      <c r="F775" t="s">
        <v>63</v>
      </c>
      <c r="G775" t="s">
        <v>5</v>
      </c>
    </row>
    <row r="776" spans="1:7" x14ac:dyDescent="0.3">
      <c r="A776" t="s">
        <v>15</v>
      </c>
      <c r="B776" s="1">
        <v>45777</v>
      </c>
      <c r="C776">
        <v>551008</v>
      </c>
      <c r="D776">
        <v>-4661.0510000000004</v>
      </c>
      <c r="E776" t="s">
        <v>6</v>
      </c>
      <c r="F776" t="s">
        <v>63</v>
      </c>
      <c r="G776" t="s">
        <v>5</v>
      </c>
    </row>
    <row r="777" spans="1:7" x14ac:dyDescent="0.3">
      <c r="A777" t="s">
        <v>15</v>
      </c>
      <c r="B777" s="1">
        <v>45777</v>
      </c>
      <c r="C777">
        <v>551011</v>
      </c>
      <c r="D777">
        <v>502.30700000000002</v>
      </c>
      <c r="E777" t="s">
        <v>6</v>
      </c>
      <c r="F777" t="s">
        <v>61</v>
      </c>
      <c r="G777" t="s">
        <v>5</v>
      </c>
    </row>
    <row r="778" spans="1:7" x14ac:dyDescent="0.3">
      <c r="A778" t="s">
        <v>15</v>
      </c>
      <c r="B778" s="1">
        <v>45777</v>
      </c>
      <c r="C778">
        <v>551012</v>
      </c>
      <c r="D778">
        <v>1976.25</v>
      </c>
      <c r="E778" t="s">
        <v>6</v>
      </c>
      <c r="F778" t="s">
        <v>63</v>
      </c>
      <c r="G778" t="s">
        <v>5</v>
      </c>
    </row>
    <row r="779" spans="1:7" x14ac:dyDescent="0.3">
      <c r="A779" t="s">
        <v>15</v>
      </c>
      <c r="B779" s="1">
        <v>45777</v>
      </c>
      <c r="C779">
        <v>551014</v>
      </c>
      <c r="D779">
        <v>5906.9740000000002</v>
      </c>
      <c r="E779" t="s">
        <v>6</v>
      </c>
      <c r="F779" t="s">
        <v>63</v>
      </c>
      <c r="G779" t="s">
        <v>5</v>
      </c>
    </row>
    <row r="780" spans="1:7" x14ac:dyDescent="0.3">
      <c r="A780" t="s">
        <v>15</v>
      </c>
      <c r="B780" s="1">
        <v>45777</v>
      </c>
      <c r="C780">
        <v>552002</v>
      </c>
      <c r="D780">
        <v>8829.4009999999998</v>
      </c>
      <c r="E780" t="s">
        <v>6</v>
      </c>
      <c r="F780" t="s">
        <v>55</v>
      </c>
      <c r="G780" t="s">
        <v>5</v>
      </c>
    </row>
    <row r="781" spans="1:7" x14ac:dyDescent="0.3">
      <c r="A781" t="s">
        <v>15</v>
      </c>
      <c r="B781" s="1">
        <v>45777</v>
      </c>
      <c r="C781">
        <v>552502</v>
      </c>
      <c r="D781">
        <v>346.79899999999998</v>
      </c>
      <c r="E781" t="s">
        <v>6</v>
      </c>
      <c r="F781" t="s">
        <v>55</v>
      </c>
      <c r="G781" t="s">
        <v>5</v>
      </c>
    </row>
    <row r="782" spans="1:7" x14ac:dyDescent="0.3">
      <c r="A782" t="s">
        <v>15</v>
      </c>
      <c r="B782" s="1">
        <v>45777</v>
      </c>
      <c r="C782">
        <v>552503</v>
      </c>
      <c r="D782">
        <v>94.433999999999997</v>
      </c>
      <c r="E782" t="s">
        <v>6</v>
      </c>
      <c r="F782" t="s">
        <v>55</v>
      </c>
      <c r="G782" t="s">
        <v>5</v>
      </c>
    </row>
    <row r="783" spans="1:7" x14ac:dyDescent="0.3">
      <c r="A783" t="s">
        <v>15</v>
      </c>
      <c r="B783" s="1">
        <v>45777</v>
      </c>
      <c r="C783">
        <v>552504</v>
      </c>
      <c r="D783">
        <v>239.32</v>
      </c>
      <c r="E783" t="s">
        <v>6</v>
      </c>
      <c r="F783" t="s">
        <v>55</v>
      </c>
      <c r="G783" t="s">
        <v>5</v>
      </c>
    </row>
    <row r="784" spans="1:7" x14ac:dyDescent="0.3">
      <c r="A784" t="s">
        <v>15</v>
      </c>
      <c r="B784" s="1">
        <v>45777</v>
      </c>
      <c r="C784">
        <v>554002</v>
      </c>
      <c r="D784">
        <v>9399.8189999999995</v>
      </c>
      <c r="E784" t="s">
        <v>6</v>
      </c>
      <c r="F784" t="s">
        <v>55</v>
      </c>
      <c r="G784" t="s">
        <v>5</v>
      </c>
    </row>
    <row r="785" spans="1:7" x14ac:dyDescent="0.3">
      <c r="A785" t="s">
        <v>15</v>
      </c>
      <c r="B785" s="1">
        <v>45777</v>
      </c>
      <c r="C785">
        <v>554003</v>
      </c>
      <c r="D785">
        <v>7278.0280000000002</v>
      </c>
      <c r="E785" t="s">
        <v>6</v>
      </c>
      <c r="F785" t="s">
        <v>55</v>
      </c>
      <c r="G785" t="s">
        <v>5</v>
      </c>
    </row>
    <row r="786" spans="1:7" x14ac:dyDescent="0.3">
      <c r="A786" t="s">
        <v>15</v>
      </c>
      <c r="B786" s="1">
        <v>45777</v>
      </c>
      <c r="C786">
        <v>554004</v>
      </c>
      <c r="D786">
        <v>5954.1080000000002</v>
      </c>
      <c r="E786" t="s">
        <v>6</v>
      </c>
      <c r="F786" t="s">
        <v>55</v>
      </c>
      <c r="G786" t="s">
        <v>5</v>
      </c>
    </row>
    <row r="787" spans="1:7" x14ac:dyDescent="0.3">
      <c r="A787" t="s">
        <v>15</v>
      </c>
      <c r="B787" s="1">
        <v>45777</v>
      </c>
      <c r="C787">
        <v>554005</v>
      </c>
      <c r="D787">
        <v>-8444.1579999999994</v>
      </c>
      <c r="E787" t="s">
        <v>6</v>
      </c>
      <c r="F787" t="s">
        <v>55</v>
      </c>
      <c r="G787" t="s">
        <v>5</v>
      </c>
    </row>
    <row r="788" spans="1:7" x14ac:dyDescent="0.3">
      <c r="A788" t="s">
        <v>15</v>
      </c>
      <c r="B788" s="1">
        <v>45777</v>
      </c>
      <c r="C788">
        <v>554006</v>
      </c>
      <c r="D788">
        <v>1540.3630000000001</v>
      </c>
      <c r="E788" t="s">
        <v>6</v>
      </c>
      <c r="F788" t="s">
        <v>55</v>
      </c>
      <c r="G788" t="s">
        <v>5</v>
      </c>
    </row>
    <row r="789" spans="1:7" x14ac:dyDescent="0.3">
      <c r="A789" t="s">
        <v>15</v>
      </c>
      <c r="B789" s="1">
        <v>45777</v>
      </c>
      <c r="C789">
        <v>554007</v>
      </c>
      <c r="D789">
        <v>48054.857000000004</v>
      </c>
      <c r="E789" t="s">
        <v>6</v>
      </c>
      <c r="F789" t="s">
        <v>55</v>
      </c>
      <c r="G789" t="s">
        <v>5</v>
      </c>
    </row>
    <row r="790" spans="1:7" x14ac:dyDescent="0.3">
      <c r="A790" t="s">
        <v>15</v>
      </c>
      <c r="B790" s="1">
        <v>45777</v>
      </c>
      <c r="C790">
        <v>554008</v>
      </c>
      <c r="D790">
        <v>205.90199999999999</v>
      </c>
      <c r="E790" t="s">
        <v>6</v>
      </c>
      <c r="F790" t="s">
        <v>55</v>
      </c>
      <c r="G790" t="s">
        <v>5</v>
      </c>
    </row>
    <row r="791" spans="1:7" x14ac:dyDescent="0.3">
      <c r="A791" t="s">
        <v>15</v>
      </c>
      <c r="B791" s="1">
        <v>45777</v>
      </c>
      <c r="C791">
        <v>555002</v>
      </c>
      <c r="D791">
        <v>52.137</v>
      </c>
      <c r="E791" t="s">
        <v>6</v>
      </c>
      <c r="F791" t="s">
        <v>55</v>
      </c>
      <c r="G791" t="s">
        <v>5</v>
      </c>
    </row>
    <row r="792" spans="1:7" x14ac:dyDescent="0.3">
      <c r="A792" t="s">
        <v>15</v>
      </c>
      <c r="B792" s="1">
        <v>45777</v>
      </c>
      <c r="C792">
        <v>555003</v>
      </c>
      <c r="D792">
        <v>21.719000000000001</v>
      </c>
      <c r="E792" t="s">
        <v>6</v>
      </c>
      <c r="F792" t="s">
        <v>55</v>
      </c>
      <c r="G792" t="s">
        <v>5</v>
      </c>
    </row>
    <row r="793" spans="1:7" x14ac:dyDescent="0.3">
      <c r="A793" t="s">
        <v>15</v>
      </c>
      <c r="B793" s="1">
        <v>45777</v>
      </c>
      <c r="C793">
        <v>555004</v>
      </c>
      <c r="D793">
        <v>17.648</v>
      </c>
      <c r="E793" t="s">
        <v>6</v>
      </c>
      <c r="F793" t="s">
        <v>55</v>
      </c>
      <c r="G793" t="s">
        <v>5</v>
      </c>
    </row>
    <row r="794" spans="1:7" x14ac:dyDescent="0.3">
      <c r="A794" t="s">
        <v>15</v>
      </c>
      <c r="B794" s="1">
        <v>45777</v>
      </c>
      <c r="C794">
        <v>555005</v>
      </c>
      <c r="D794">
        <v>-185.602</v>
      </c>
      <c r="E794" t="s">
        <v>6</v>
      </c>
      <c r="F794" t="s">
        <v>55</v>
      </c>
      <c r="G794" t="s">
        <v>5</v>
      </c>
    </row>
    <row r="795" spans="1:7" x14ac:dyDescent="0.3">
      <c r="A795" t="s">
        <v>15</v>
      </c>
      <c r="B795" s="1">
        <v>45777</v>
      </c>
      <c r="C795">
        <v>555007</v>
      </c>
      <c r="D795">
        <v>2110.4229999999998</v>
      </c>
      <c r="E795" t="s">
        <v>6</v>
      </c>
      <c r="F795" t="s">
        <v>55</v>
      </c>
      <c r="G795" t="s">
        <v>5</v>
      </c>
    </row>
    <row r="796" spans="1:7" x14ac:dyDescent="0.3">
      <c r="A796" t="s">
        <v>15</v>
      </c>
      <c r="B796" s="1">
        <v>45777</v>
      </c>
      <c r="C796">
        <v>555008</v>
      </c>
      <c r="D796">
        <v>193.22</v>
      </c>
      <c r="E796" t="s">
        <v>6</v>
      </c>
      <c r="F796" t="s">
        <v>55</v>
      </c>
      <c r="G796" t="s">
        <v>5</v>
      </c>
    </row>
    <row r="797" spans="1:7" x14ac:dyDescent="0.3">
      <c r="A797" t="s">
        <v>15</v>
      </c>
      <c r="B797" s="1">
        <v>45777</v>
      </c>
      <c r="C797">
        <v>555009</v>
      </c>
      <c r="D797">
        <v>9520.7890000000007</v>
      </c>
      <c r="E797" t="s">
        <v>6</v>
      </c>
      <c r="F797" t="s">
        <v>53</v>
      </c>
      <c r="G797" t="s">
        <v>5</v>
      </c>
    </row>
    <row r="798" spans="1:7" x14ac:dyDescent="0.3">
      <c r="A798" t="s">
        <v>15</v>
      </c>
      <c r="B798" s="1">
        <v>45777</v>
      </c>
      <c r="C798">
        <v>555010</v>
      </c>
      <c r="D798">
        <v>717.52</v>
      </c>
      <c r="E798" t="s">
        <v>6</v>
      </c>
      <c r="F798" t="s">
        <v>55</v>
      </c>
      <c r="G798" t="s">
        <v>5</v>
      </c>
    </row>
    <row r="799" spans="1:7" x14ac:dyDescent="0.3">
      <c r="A799" t="s">
        <v>15</v>
      </c>
      <c r="B799" s="1">
        <v>45777</v>
      </c>
      <c r="C799">
        <v>555504</v>
      </c>
      <c r="D799">
        <v>383.625</v>
      </c>
      <c r="E799" t="s">
        <v>6</v>
      </c>
      <c r="F799" t="s">
        <v>55</v>
      </c>
      <c r="G799" t="s">
        <v>5</v>
      </c>
    </row>
    <row r="800" spans="1:7" x14ac:dyDescent="0.3">
      <c r="A800" t="s">
        <v>15</v>
      </c>
      <c r="B800" s="1">
        <v>45777</v>
      </c>
      <c r="C800">
        <v>555508</v>
      </c>
      <c r="D800">
        <v>475.16800000000001</v>
      </c>
      <c r="E800" t="s">
        <v>6</v>
      </c>
      <c r="F800" t="s">
        <v>55</v>
      </c>
      <c r="G800" t="s">
        <v>5</v>
      </c>
    </row>
    <row r="801" spans="1:7" x14ac:dyDescent="0.3">
      <c r="A801" t="s">
        <v>15</v>
      </c>
      <c r="B801" s="1">
        <v>45777</v>
      </c>
      <c r="C801">
        <v>556002</v>
      </c>
      <c r="D801">
        <v>7312.24</v>
      </c>
      <c r="E801" t="s">
        <v>6</v>
      </c>
      <c r="F801" t="s">
        <v>60</v>
      </c>
      <c r="G801" t="s">
        <v>5</v>
      </c>
    </row>
    <row r="802" spans="1:7" x14ac:dyDescent="0.3">
      <c r="A802" t="s">
        <v>15</v>
      </c>
      <c r="B802" s="1">
        <v>45777</v>
      </c>
      <c r="C802">
        <v>556003</v>
      </c>
      <c r="D802">
        <v>364.464</v>
      </c>
      <c r="E802" t="s">
        <v>6</v>
      </c>
      <c r="F802" t="s">
        <v>55</v>
      </c>
      <c r="G802" t="s">
        <v>5</v>
      </c>
    </row>
    <row r="803" spans="1:7" x14ac:dyDescent="0.3">
      <c r="A803" t="s">
        <v>15</v>
      </c>
      <c r="B803" s="1">
        <v>45777</v>
      </c>
      <c r="C803">
        <v>556004</v>
      </c>
      <c r="D803">
        <v>487.608</v>
      </c>
      <c r="E803" t="s">
        <v>6</v>
      </c>
      <c r="F803" t="s">
        <v>55</v>
      </c>
      <c r="G803" t="s">
        <v>5</v>
      </c>
    </row>
    <row r="804" spans="1:7" x14ac:dyDescent="0.3">
      <c r="A804" t="s">
        <v>15</v>
      </c>
      <c r="B804" s="1">
        <v>45777</v>
      </c>
      <c r="C804">
        <v>557002</v>
      </c>
      <c r="D804">
        <v>107348.54399999999</v>
      </c>
      <c r="E804" t="s">
        <v>6</v>
      </c>
      <c r="F804" t="s">
        <v>56</v>
      </c>
      <c r="G804" t="s">
        <v>5</v>
      </c>
    </row>
    <row r="805" spans="1:7" x14ac:dyDescent="0.3">
      <c r="A805" t="s">
        <v>15</v>
      </c>
      <c r="B805" s="1">
        <v>45777</v>
      </c>
      <c r="C805">
        <v>557003</v>
      </c>
      <c r="D805">
        <v>646.01599999999996</v>
      </c>
      <c r="E805" t="s">
        <v>6</v>
      </c>
      <c r="F805" t="s">
        <v>56</v>
      </c>
      <c r="G805" t="s">
        <v>5</v>
      </c>
    </row>
    <row r="806" spans="1:7" x14ac:dyDescent="0.3">
      <c r="A806" t="s">
        <v>15</v>
      </c>
      <c r="B806" s="1">
        <v>45777</v>
      </c>
      <c r="C806">
        <v>557008</v>
      </c>
      <c r="D806">
        <v>25.498000000000001</v>
      </c>
      <c r="E806" t="s">
        <v>6</v>
      </c>
      <c r="F806" t="s">
        <v>56</v>
      </c>
      <c r="G806" t="s">
        <v>5</v>
      </c>
    </row>
    <row r="807" spans="1:7" x14ac:dyDescent="0.3">
      <c r="A807" t="s">
        <v>15</v>
      </c>
      <c r="B807" s="1">
        <v>45777</v>
      </c>
      <c r="C807">
        <v>558003</v>
      </c>
      <c r="D807">
        <v>278.55700000000002</v>
      </c>
      <c r="E807" t="s">
        <v>6</v>
      </c>
      <c r="F807" t="s">
        <v>57</v>
      </c>
      <c r="G807" t="s">
        <v>5</v>
      </c>
    </row>
    <row r="808" spans="1:7" x14ac:dyDescent="0.3">
      <c r="A808" t="s">
        <v>15</v>
      </c>
      <c r="B808" s="1">
        <v>45777</v>
      </c>
      <c r="C808">
        <v>558006</v>
      </c>
      <c r="D808">
        <v>11628.423000000001</v>
      </c>
      <c r="E808" t="s">
        <v>6</v>
      </c>
      <c r="F808" t="s">
        <v>57</v>
      </c>
      <c r="G808" t="s">
        <v>5</v>
      </c>
    </row>
    <row r="809" spans="1:7" x14ac:dyDescent="0.3">
      <c r="A809" t="s">
        <v>15</v>
      </c>
      <c r="B809" s="1">
        <v>45777</v>
      </c>
      <c r="C809">
        <v>558011</v>
      </c>
      <c r="D809">
        <v>170.84899999999999</v>
      </c>
      <c r="E809" t="s">
        <v>6</v>
      </c>
      <c r="F809" t="s">
        <v>57</v>
      </c>
      <c r="G809" t="s">
        <v>5</v>
      </c>
    </row>
    <row r="810" spans="1:7" x14ac:dyDescent="0.3">
      <c r="A810" t="s">
        <v>15</v>
      </c>
      <c r="B810" s="1">
        <v>45777</v>
      </c>
      <c r="C810">
        <v>558012</v>
      </c>
      <c r="D810">
        <v>-1020.498</v>
      </c>
      <c r="E810" t="s">
        <v>6</v>
      </c>
      <c r="F810" t="s">
        <v>60</v>
      </c>
      <c r="G810" t="s">
        <v>5</v>
      </c>
    </row>
    <row r="811" spans="1:7" x14ac:dyDescent="0.3">
      <c r="A811" t="s">
        <v>15</v>
      </c>
      <c r="B811" s="1">
        <v>45777</v>
      </c>
      <c r="C811">
        <v>559002</v>
      </c>
      <c r="D811">
        <v>456.49200000000002</v>
      </c>
      <c r="E811" t="s">
        <v>6</v>
      </c>
      <c r="F811" t="s">
        <v>60</v>
      </c>
      <c r="G811" t="s">
        <v>5</v>
      </c>
    </row>
    <row r="812" spans="1:7" x14ac:dyDescent="0.3">
      <c r="A812" t="s">
        <v>15</v>
      </c>
      <c r="B812" s="1">
        <v>45777</v>
      </c>
      <c r="C812">
        <v>560002</v>
      </c>
      <c r="D812">
        <v>1291.6659999999999</v>
      </c>
      <c r="E812" t="s">
        <v>6</v>
      </c>
      <c r="F812" t="s">
        <v>56</v>
      </c>
      <c r="G812" t="s">
        <v>5</v>
      </c>
    </row>
    <row r="813" spans="1:7" x14ac:dyDescent="0.3">
      <c r="A813" t="s">
        <v>15</v>
      </c>
      <c r="B813" s="1">
        <v>45777</v>
      </c>
      <c r="C813">
        <v>560007</v>
      </c>
      <c r="D813">
        <v>430.55399999999997</v>
      </c>
      <c r="E813" t="s">
        <v>6</v>
      </c>
      <c r="F813" t="s">
        <v>56</v>
      </c>
      <c r="G813" t="s">
        <v>5</v>
      </c>
    </row>
    <row r="814" spans="1:7" x14ac:dyDescent="0.3">
      <c r="A814" t="s">
        <v>15</v>
      </c>
      <c r="B814" s="1">
        <v>45777</v>
      </c>
      <c r="C814">
        <v>564005</v>
      </c>
      <c r="D814">
        <v>2132.8000000000002</v>
      </c>
      <c r="E814" t="s">
        <v>6</v>
      </c>
      <c r="F814" t="s">
        <v>56</v>
      </c>
      <c r="G814" t="s">
        <v>5</v>
      </c>
    </row>
    <row r="815" spans="1:7" x14ac:dyDescent="0.3">
      <c r="A815" t="s">
        <v>15</v>
      </c>
      <c r="B815" s="1">
        <v>45777</v>
      </c>
      <c r="C815">
        <v>564006</v>
      </c>
      <c r="D815">
        <v>-3.915</v>
      </c>
      <c r="E815" t="s">
        <v>6</v>
      </c>
      <c r="F815" t="s">
        <v>57</v>
      </c>
      <c r="G815" t="s">
        <v>5</v>
      </c>
    </row>
    <row r="816" spans="1:7" x14ac:dyDescent="0.3">
      <c r="A816" t="s">
        <v>15</v>
      </c>
      <c r="B816" s="1">
        <v>45777</v>
      </c>
      <c r="C816">
        <v>564008</v>
      </c>
      <c r="D816">
        <v>103.485</v>
      </c>
      <c r="E816" t="s">
        <v>6</v>
      </c>
      <c r="F816" t="s">
        <v>55</v>
      </c>
      <c r="G816" t="s">
        <v>5</v>
      </c>
    </row>
    <row r="817" spans="1:7" x14ac:dyDescent="0.3">
      <c r="A817" t="s">
        <v>15</v>
      </c>
      <c r="B817" s="1">
        <v>45777</v>
      </c>
      <c r="C817">
        <v>564011</v>
      </c>
      <c r="D817">
        <v>490.584</v>
      </c>
      <c r="E817" t="s">
        <v>6</v>
      </c>
      <c r="F817" t="s">
        <v>55</v>
      </c>
      <c r="G817" t="s">
        <v>5</v>
      </c>
    </row>
    <row r="818" spans="1:7" x14ac:dyDescent="0.3">
      <c r="A818" t="s">
        <v>15</v>
      </c>
      <c r="B818" s="1">
        <v>45777</v>
      </c>
      <c r="C818">
        <v>564014</v>
      </c>
      <c r="D818">
        <v>340.84</v>
      </c>
      <c r="E818" t="s">
        <v>6</v>
      </c>
      <c r="F818" t="s">
        <v>55</v>
      </c>
      <c r="G818" t="s">
        <v>5</v>
      </c>
    </row>
    <row r="819" spans="1:7" x14ac:dyDescent="0.3">
      <c r="A819" t="s">
        <v>15</v>
      </c>
      <c r="B819" s="1">
        <v>45777</v>
      </c>
      <c r="C819">
        <v>564015</v>
      </c>
      <c r="D819">
        <v>8681.4069999999992</v>
      </c>
      <c r="E819" t="s">
        <v>6</v>
      </c>
      <c r="F819" t="s">
        <v>55</v>
      </c>
      <c r="G819" t="s">
        <v>5</v>
      </c>
    </row>
    <row r="820" spans="1:7" x14ac:dyDescent="0.3">
      <c r="A820" t="s">
        <v>15</v>
      </c>
      <c r="B820" s="1">
        <v>45777</v>
      </c>
      <c r="C820">
        <v>564016</v>
      </c>
      <c r="D820">
        <v>5076.0020000000004</v>
      </c>
      <c r="E820" t="s">
        <v>6</v>
      </c>
      <c r="F820" t="s">
        <v>55</v>
      </c>
      <c r="G820" t="s">
        <v>5</v>
      </c>
    </row>
    <row r="821" spans="1:7" x14ac:dyDescent="0.3">
      <c r="A821" t="s">
        <v>15</v>
      </c>
      <c r="B821" s="1">
        <v>45777</v>
      </c>
      <c r="C821">
        <v>564017</v>
      </c>
      <c r="D821">
        <v>3171.634</v>
      </c>
      <c r="E821" t="s">
        <v>6</v>
      </c>
      <c r="F821" t="s">
        <v>55</v>
      </c>
      <c r="G821" t="s">
        <v>5</v>
      </c>
    </row>
    <row r="822" spans="1:7" x14ac:dyDescent="0.3">
      <c r="A822" t="s">
        <v>15</v>
      </c>
      <c r="B822" s="1">
        <v>45777</v>
      </c>
      <c r="C822">
        <v>564019</v>
      </c>
      <c r="D822">
        <v>-21478.305</v>
      </c>
      <c r="E822" t="s">
        <v>6</v>
      </c>
      <c r="F822" t="s">
        <v>51</v>
      </c>
      <c r="G822" t="s">
        <v>5</v>
      </c>
    </row>
    <row r="823" spans="1:7" x14ac:dyDescent="0.3">
      <c r="A823" t="s">
        <v>15</v>
      </c>
      <c r="B823" s="1">
        <v>45777</v>
      </c>
      <c r="C823">
        <v>564020</v>
      </c>
      <c r="D823">
        <v>75.591999999999999</v>
      </c>
      <c r="E823" t="s">
        <v>6</v>
      </c>
      <c r="F823" t="s">
        <v>57</v>
      </c>
      <c r="G823" t="s">
        <v>5</v>
      </c>
    </row>
    <row r="824" spans="1:7" x14ac:dyDescent="0.3">
      <c r="A824" t="s">
        <v>15</v>
      </c>
      <c r="B824" s="1">
        <v>45777</v>
      </c>
      <c r="C824">
        <v>564021</v>
      </c>
      <c r="D824">
        <v>57.499000000000002</v>
      </c>
      <c r="E824" t="s">
        <v>6</v>
      </c>
      <c r="F824" t="s">
        <v>57</v>
      </c>
      <c r="G824" t="s">
        <v>5</v>
      </c>
    </row>
    <row r="825" spans="1:7" x14ac:dyDescent="0.3">
      <c r="A825" t="s">
        <v>15</v>
      </c>
      <c r="B825" s="1">
        <v>45777</v>
      </c>
      <c r="C825">
        <v>564023</v>
      </c>
      <c r="D825">
        <v>1077.3510000000001</v>
      </c>
      <c r="E825" t="s">
        <v>6</v>
      </c>
      <c r="F825" t="s">
        <v>67</v>
      </c>
      <c r="G825" t="s">
        <v>5</v>
      </c>
    </row>
    <row r="826" spans="1:7" x14ac:dyDescent="0.3">
      <c r="A826" t="s">
        <v>15</v>
      </c>
      <c r="B826" s="1">
        <v>45777</v>
      </c>
      <c r="C826">
        <v>564029</v>
      </c>
      <c r="D826">
        <v>16.274999999999999</v>
      </c>
      <c r="E826" t="s">
        <v>6</v>
      </c>
      <c r="F826" t="s">
        <v>67</v>
      </c>
      <c r="G826" t="s">
        <v>5</v>
      </c>
    </row>
    <row r="827" spans="1:7" x14ac:dyDescent="0.3">
      <c r="A827" t="s">
        <v>15</v>
      </c>
      <c r="B827" s="1">
        <v>45777</v>
      </c>
      <c r="C827">
        <v>564030</v>
      </c>
      <c r="D827">
        <v>7750</v>
      </c>
      <c r="E827" t="s">
        <v>6</v>
      </c>
      <c r="F827" t="s">
        <v>69</v>
      </c>
      <c r="G827" t="s">
        <v>5</v>
      </c>
    </row>
    <row r="828" spans="1:7" x14ac:dyDescent="0.3">
      <c r="A828" t="s">
        <v>15</v>
      </c>
      <c r="B828" s="1">
        <v>45777</v>
      </c>
      <c r="C828">
        <v>570002</v>
      </c>
      <c r="D828">
        <v>59518.87</v>
      </c>
      <c r="E828" t="s">
        <v>6</v>
      </c>
      <c r="F828" t="s">
        <v>66</v>
      </c>
      <c r="G828" t="s">
        <v>5</v>
      </c>
    </row>
    <row r="829" spans="1:7" x14ac:dyDescent="0.3">
      <c r="A829" t="s">
        <v>15</v>
      </c>
      <c r="B829" s="1">
        <v>45777</v>
      </c>
      <c r="C829">
        <v>570004</v>
      </c>
      <c r="D829">
        <v>33460.218999999997</v>
      </c>
      <c r="E829" t="s">
        <v>6</v>
      </c>
      <c r="F829" t="s">
        <v>66</v>
      </c>
      <c r="G829" t="s">
        <v>5</v>
      </c>
    </row>
    <row r="830" spans="1:7" x14ac:dyDescent="0.3">
      <c r="A830" t="s">
        <v>16</v>
      </c>
      <c r="B830" s="1">
        <v>45777</v>
      </c>
      <c r="C830">
        <v>210002</v>
      </c>
      <c r="D830">
        <v>45225.385999999999</v>
      </c>
      <c r="E830" t="s">
        <v>4</v>
      </c>
      <c r="F830" t="s">
        <v>42</v>
      </c>
      <c r="G830" t="s">
        <v>5</v>
      </c>
    </row>
    <row r="831" spans="1:7" x14ac:dyDescent="0.3">
      <c r="A831" t="s">
        <v>16</v>
      </c>
      <c r="B831" s="1">
        <v>45777</v>
      </c>
      <c r="C831">
        <v>220003</v>
      </c>
      <c r="D831">
        <v>-3170112.03</v>
      </c>
      <c r="E831" t="s">
        <v>4</v>
      </c>
      <c r="F831" t="s">
        <v>42</v>
      </c>
      <c r="G831" t="s">
        <v>5</v>
      </c>
    </row>
    <row r="832" spans="1:7" x14ac:dyDescent="0.3">
      <c r="A832" t="s">
        <v>16</v>
      </c>
      <c r="B832" s="1">
        <v>45777</v>
      </c>
      <c r="C832">
        <v>220004</v>
      </c>
      <c r="D832">
        <v>-707177.39500000002</v>
      </c>
      <c r="E832" t="s">
        <v>4</v>
      </c>
      <c r="F832" t="s">
        <v>42</v>
      </c>
      <c r="G832" t="s">
        <v>5</v>
      </c>
    </row>
    <row r="833" spans="1:7" x14ac:dyDescent="0.3">
      <c r="A833" t="s">
        <v>16</v>
      </c>
      <c r="B833" s="1">
        <v>45777</v>
      </c>
      <c r="C833">
        <v>220006</v>
      </c>
      <c r="D833">
        <v>4334471.7359999996</v>
      </c>
      <c r="E833" t="s">
        <v>4</v>
      </c>
      <c r="F833" t="s">
        <v>42</v>
      </c>
      <c r="G833" t="s">
        <v>5</v>
      </c>
    </row>
    <row r="834" spans="1:7" x14ac:dyDescent="0.3">
      <c r="A834" t="s">
        <v>16</v>
      </c>
      <c r="B834" s="1">
        <v>45777</v>
      </c>
      <c r="C834">
        <v>220007</v>
      </c>
      <c r="D834">
        <v>-455429.76</v>
      </c>
      <c r="E834" t="s">
        <v>4</v>
      </c>
      <c r="F834" t="s">
        <v>42</v>
      </c>
      <c r="G834" t="s">
        <v>5</v>
      </c>
    </row>
    <row r="835" spans="1:7" x14ac:dyDescent="0.3">
      <c r="A835" t="s">
        <v>16</v>
      </c>
      <c r="B835" s="1">
        <v>45777</v>
      </c>
      <c r="C835">
        <v>310016</v>
      </c>
      <c r="D835">
        <v>-7227.65</v>
      </c>
      <c r="E835" t="s">
        <v>4</v>
      </c>
      <c r="F835" t="s">
        <v>42</v>
      </c>
      <c r="G835" t="s">
        <v>5</v>
      </c>
    </row>
    <row r="836" spans="1:7" x14ac:dyDescent="0.3">
      <c r="A836" t="s">
        <v>16</v>
      </c>
      <c r="B836" s="1">
        <v>45777</v>
      </c>
      <c r="C836">
        <v>310017</v>
      </c>
      <c r="D836">
        <v>-39387.707000000002</v>
      </c>
      <c r="E836" t="s">
        <v>4</v>
      </c>
      <c r="F836" t="s">
        <v>42</v>
      </c>
      <c r="G836" t="s">
        <v>5</v>
      </c>
    </row>
    <row r="837" spans="1:7" x14ac:dyDescent="0.3">
      <c r="A837" t="s">
        <v>16</v>
      </c>
      <c r="B837" s="1">
        <v>45777</v>
      </c>
      <c r="C837">
        <v>310021</v>
      </c>
      <c r="D837">
        <v>-63.031999999999996</v>
      </c>
      <c r="E837" t="s">
        <v>4</v>
      </c>
      <c r="F837" t="s">
        <v>42</v>
      </c>
      <c r="G837" t="s">
        <v>5</v>
      </c>
    </row>
    <row r="838" spans="1:7" x14ac:dyDescent="0.3">
      <c r="A838" t="s">
        <v>16</v>
      </c>
      <c r="B838" s="1">
        <v>45777</v>
      </c>
      <c r="C838">
        <v>310032</v>
      </c>
      <c r="D838">
        <v>-299.548</v>
      </c>
      <c r="E838" t="s">
        <v>4</v>
      </c>
      <c r="F838" t="s">
        <v>42</v>
      </c>
      <c r="G838" t="s">
        <v>5</v>
      </c>
    </row>
    <row r="839" spans="1:7" x14ac:dyDescent="0.3">
      <c r="A839" t="s">
        <v>18</v>
      </c>
      <c r="B839" s="1">
        <v>45777</v>
      </c>
      <c r="C839">
        <v>220006</v>
      </c>
      <c r="D839">
        <v>-81940.395999999993</v>
      </c>
      <c r="E839" t="s">
        <v>4</v>
      </c>
      <c r="F839" t="s">
        <v>42</v>
      </c>
      <c r="G839" t="s">
        <v>5</v>
      </c>
    </row>
    <row r="840" spans="1:7" x14ac:dyDescent="0.3">
      <c r="A840" t="s">
        <v>18</v>
      </c>
      <c r="B840" s="1">
        <v>45777</v>
      </c>
      <c r="C840">
        <v>300004</v>
      </c>
      <c r="D840">
        <v>13.476000000000001</v>
      </c>
      <c r="E840" t="s">
        <v>4</v>
      </c>
      <c r="F840" t="s">
        <v>65</v>
      </c>
      <c r="G840" t="s">
        <v>5</v>
      </c>
    </row>
    <row r="841" spans="1:7" x14ac:dyDescent="0.3">
      <c r="A841" t="s">
        <v>18</v>
      </c>
      <c r="B841" s="1">
        <v>45777</v>
      </c>
      <c r="C841">
        <v>300005</v>
      </c>
      <c r="D841">
        <v>979.49099999999999</v>
      </c>
      <c r="E841" t="s">
        <v>4</v>
      </c>
      <c r="F841" t="s">
        <v>65</v>
      </c>
      <c r="G841" t="s">
        <v>5</v>
      </c>
    </row>
    <row r="842" spans="1:7" x14ac:dyDescent="0.3">
      <c r="A842" t="s">
        <v>18</v>
      </c>
      <c r="B842" s="1">
        <v>45777</v>
      </c>
      <c r="C842">
        <v>300008</v>
      </c>
      <c r="D842">
        <v>1066.2190000000001</v>
      </c>
      <c r="E842" t="s">
        <v>4</v>
      </c>
      <c r="F842" t="s">
        <v>65</v>
      </c>
      <c r="G842" t="s">
        <v>5</v>
      </c>
    </row>
    <row r="843" spans="1:7" x14ac:dyDescent="0.3">
      <c r="A843" t="s">
        <v>18</v>
      </c>
      <c r="B843" s="1">
        <v>45777</v>
      </c>
      <c r="C843">
        <v>300009</v>
      </c>
      <c r="D843">
        <v>114.246</v>
      </c>
      <c r="E843" t="s">
        <v>4</v>
      </c>
      <c r="F843" t="s">
        <v>65</v>
      </c>
      <c r="G843" t="s">
        <v>5</v>
      </c>
    </row>
    <row r="844" spans="1:7" x14ac:dyDescent="0.3">
      <c r="A844" t="s">
        <v>18</v>
      </c>
      <c r="B844" s="1">
        <v>45777</v>
      </c>
      <c r="C844">
        <v>300014</v>
      </c>
      <c r="D844">
        <v>500.52600000000001</v>
      </c>
      <c r="E844" t="s">
        <v>4</v>
      </c>
      <c r="F844" t="s">
        <v>65</v>
      </c>
      <c r="G844" t="s">
        <v>5</v>
      </c>
    </row>
    <row r="845" spans="1:7" x14ac:dyDescent="0.3">
      <c r="A845" t="s">
        <v>18</v>
      </c>
      <c r="B845" s="1">
        <v>45777</v>
      </c>
      <c r="C845">
        <v>300504</v>
      </c>
      <c r="D845">
        <v>-13.476000000000001</v>
      </c>
      <c r="E845" t="s">
        <v>4</v>
      </c>
      <c r="F845" t="s">
        <v>65</v>
      </c>
      <c r="G845" t="s">
        <v>5</v>
      </c>
    </row>
    <row r="846" spans="1:7" x14ac:dyDescent="0.3">
      <c r="A846" t="s">
        <v>18</v>
      </c>
      <c r="B846" s="1">
        <v>45777</v>
      </c>
      <c r="C846">
        <v>300505</v>
      </c>
      <c r="D846">
        <v>-979.49099999999999</v>
      </c>
      <c r="E846" t="s">
        <v>4</v>
      </c>
      <c r="F846" t="s">
        <v>65</v>
      </c>
      <c r="G846" t="s">
        <v>5</v>
      </c>
    </row>
    <row r="847" spans="1:7" x14ac:dyDescent="0.3">
      <c r="A847" t="s">
        <v>18</v>
      </c>
      <c r="B847" s="1">
        <v>45777</v>
      </c>
      <c r="C847">
        <v>300508</v>
      </c>
      <c r="D847">
        <v>-1066.2190000000001</v>
      </c>
      <c r="E847" t="s">
        <v>4</v>
      </c>
      <c r="F847" t="s">
        <v>65</v>
      </c>
      <c r="G847" t="s">
        <v>5</v>
      </c>
    </row>
    <row r="848" spans="1:7" x14ac:dyDescent="0.3">
      <c r="A848" t="s">
        <v>18</v>
      </c>
      <c r="B848" s="1">
        <v>45777</v>
      </c>
      <c r="C848">
        <v>300509</v>
      </c>
      <c r="D848">
        <v>-114.246</v>
      </c>
      <c r="E848" t="s">
        <v>4</v>
      </c>
      <c r="F848" t="s">
        <v>65</v>
      </c>
      <c r="G848" t="s">
        <v>5</v>
      </c>
    </row>
    <row r="849" spans="1:7" x14ac:dyDescent="0.3">
      <c r="A849" t="s">
        <v>18</v>
      </c>
      <c r="B849" s="1">
        <v>45777</v>
      </c>
      <c r="C849">
        <v>300514</v>
      </c>
      <c r="D849">
        <v>-500.52600000000001</v>
      </c>
      <c r="E849" t="s">
        <v>4</v>
      </c>
      <c r="F849" t="s">
        <v>65</v>
      </c>
      <c r="G849" t="s">
        <v>5</v>
      </c>
    </row>
    <row r="850" spans="1:7" x14ac:dyDescent="0.3">
      <c r="A850" t="s">
        <v>18</v>
      </c>
      <c r="B850" s="1">
        <v>45777</v>
      </c>
      <c r="C850">
        <v>330060</v>
      </c>
      <c r="D850">
        <v>79197.899999999994</v>
      </c>
      <c r="E850" t="s">
        <v>4</v>
      </c>
      <c r="F850" t="s">
        <v>43</v>
      </c>
      <c r="G850" t="s">
        <v>5</v>
      </c>
    </row>
    <row r="851" spans="1:7" x14ac:dyDescent="0.3">
      <c r="A851" t="s">
        <v>18</v>
      </c>
      <c r="B851" s="1">
        <v>45777</v>
      </c>
      <c r="C851">
        <v>340048</v>
      </c>
      <c r="D851">
        <v>1923.6880000000001</v>
      </c>
      <c r="E851" t="s">
        <v>4</v>
      </c>
      <c r="F851" t="s">
        <v>47</v>
      </c>
      <c r="G851" t="s">
        <v>5</v>
      </c>
    </row>
    <row r="852" spans="1:7" x14ac:dyDescent="0.3">
      <c r="A852" t="s">
        <v>18</v>
      </c>
      <c r="B852" s="1">
        <v>45777</v>
      </c>
      <c r="C852">
        <v>362018</v>
      </c>
      <c r="D852">
        <v>3.3530000000000002</v>
      </c>
      <c r="E852" t="s">
        <v>4</v>
      </c>
      <c r="F852" t="s">
        <v>58</v>
      </c>
      <c r="G852" t="s">
        <v>5</v>
      </c>
    </row>
    <row r="853" spans="1:7" x14ac:dyDescent="0.3">
      <c r="A853" t="s">
        <v>18</v>
      </c>
      <c r="B853" s="1">
        <v>45777</v>
      </c>
      <c r="C853">
        <v>364502</v>
      </c>
      <c r="D853">
        <v>311.93799999999999</v>
      </c>
      <c r="E853" t="s">
        <v>4</v>
      </c>
      <c r="F853" t="s">
        <v>58</v>
      </c>
      <c r="G853" t="s">
        <v>5</v>
      </c>
    </row>
    <row r="854" spans="1:7" x14ac:dyDescent="0.3">
      <c r="A854" t="s">
        <v>18</v>
      </c>
      <c r="B854" s="1">
        <v>45777</v>
      </c>
      <c r="C854">
        <v>421002</v>
      </c>
      <c r="D854">
        <v>17.061</v>
      </c>
      <c r="E854" t="s">
        <v>6</v>
      </c>
      <c r="F854" t="s">
        <v>52</v>
      </c>
      <c r="G854" t="s">
        <v>5</v>
      </c>
    </row>
    <row r="855" spans="1:7" x14ac:dyDescent="0.3">
      <c r="A855" t="s">
        <v>18</v>
      </c>
      <c r="B855" s="1">
        <v>45777</v>
      </c>
      <c r="C855">
        <v>421003</v>
      </c>
      <c r="D855">
        <v>486.45499999999998</v>
      </c>
      <c r="E855" t="s">
        <v>6</v>
      </c>
      <c r="F855" t="s">
        <v>52</v>
      </c>
      <c r="G855" t="s">
        <v>5</v>
      </c>
    </row>
    <row r="856" spans="1:7" x14ac:dyDescent="0.3">
      <c r="A856" t="s">
        <v>19</v>
      </c>
      <c r="B856" s="1">
        <v>45777</v>
      </c>
      <c r="C856">
        <v>210002</v>
      </c>
      <c r="D856">
        <v>-37797.684999999998</v>
      </c>
      <c r="E856" t="s">
        <v>4</v>
      </c>
      <c r="F856" t="s">
        <v>42</v>
      </c>
      <c r="G856" t="s">
        <v>5</v>
      </c>
    </row>
    <row r="857" spans="1:7" x14ac:dyDescent="0.3">
      <c r="A857" t="s">
        <v>19</v>
      </c>
      <c r="B857" s="1">
        <v>45777</v>
      </c>
      <c r="C857">
        <v>220006</v>
      </c>
      <c r="D857">
        <v>-235039.079</v>
      </c>
      <c r="E857" t="s">
        <v>4</v>
      </c>
      <c r="F857" t="s">
        <v>42</v>
      </c>
      <c r="G857" t="s">
        <v>5</v>
      </c>
    </row>
    <row r="858" spans="1:7" x14ac:dyDescent="0.3">
      <c r="A858" t="s">
        <v>19</v>
      </c>
      <c r="B858" s="1">
        <v>45777</v>
      </c>
      <c r="C858">
        <v>240002</v>
      </c>
      <c r="D858">
        <v>498.34699999999998</v>
      </c>
      <c r="E858" t="s">
        <v>4</v>
      </c>
      <c r="F858" t="s">
        <v>43</v>
      </c>
      <c r="G858" t="s">
        <v>5</v>
      </c>
    </row>
    <row r="859" spans="1:7" x14ac:dyDescent="0.3">
      <c r="A859" t="s">
        <v>19</v>
      </c>
      <c r="B859" s="1">
        <v>45777</v>
      </c>
      <c r="C859">
        <v>240009</v>
      </c>
      <c r="D859">
        <v>-525.55700000000002</v>
      </c>
      <c r="E859" t="s">
        <v>4</v>
      </c>
      <c r="F859" t="s">
        <v>43</v>
      </c>
      <c r="G859" t="s">
        <v>5</v>
      </c>
    </row>
    <row r="860" spans="1:7" x14ac:dyDescent="0.3">
      <c r="A860" t="s">
        <v>19</v>
      </c>
      <c r="B860" s="1">
        <v>45777</v>
      </c>
      <c r="C860">
        <v>242003</v>
      </c>
      <c r="D860">
        <v>9890.759</v>
      </c>
      <c r="E860" t="s">
        <v>4</v>
      </c>
      <c r="F860" t="s">
        <v>43</v>
      </c>
      <c r="G860" t="s">
        <v>5</v>
      </c>
    </row>
    <row r="861" spans="1:7" x14ac:dyDescent="0.3">
      <c r="A861" t="s">
        <v>19</v>
      </c>
      <c r="B861" s="1">
        <v>45777</v>
      </c>
      <c r="C861">
        <v>242041</v>
      </c>
      <c r="D861">
        <v>29.457000000000001</v>
      </c>
      <c r="E861" t="s">
        <v>4</v>
      </c>
      <c r="F861" t="s">
        <v>43</v>
      </c>
      <c r="G861" t="s">
        <v>5</v>
      </c>
    </row>
    <row r="862" spans="1:7" x14ac:dyDescent="0.3">
      <c r="A862" t="s">
        <v>19</v>
      </c>
      <c r="B862" s="1">
        <v>45777</v>
      </c>
      <c r="C862">
        <v>243002</v>
      </c>
      <c r="D862">
        <v>-313.21100000000001</v>
      </c>
      <c r="E862" t="s">
        <v>4</v>
      </c>
      <c r="F862" t="s">
        <v>43</v>
      </c>
      <c r="G862" t="s">
        <v>5</v>
      </c>
    </row>
    <row r="863" spans="1:7" x14ac:dyDescent="0.3">
      <c r="A863" t="s">
        <v>19</v>
      </c>
      <c r="B863" s="1">
        <v>45777</v>
      </c>
      <c r="C863">
        <v>245010</v>
      </c>
      <c r="D863">
        <v>-2669.7</v>
      </c>
      <c r="E863" t="s">
        <v>4</v>
      </c>
      <c r="F863" t="s">
        <v>44</v>
      </c>
      <c r="G863" t="s">
        <v>5</v>
      </c>
    </row>
    <row r="864" spans="1:7" x14ac:dyDescent="0.3">
      <c r="A864" t="s">
        <v>19</v>
      </c>
      <c r="B864" s="1">
        <v>45777</v>
      </c>
      <c r="C864">
        <v>245055</v>
      </c>
      <c r="D864">
        <v>-4046.498</v>
      </c>
      <c r="E864" t="s">
        <v>4</v>
      </c>
      <c r="F864" t="s">
        <v>43</v>
      </c>
      <c r="G864" t="s">
        <v>5</v>
      </c>
    </row>
    <row r="865" spans="1:7" x14ac:dyDescent="0.3">
      <c r="A865" t="s">
        <v>19</v>
      </c>
      <c r="B865" s="1">
        <v>45777</v>
      </c>
      <c r="C865">
        <v>245062</v>
      </c>
      <c r="D865">
        <v>-398.29599999999999</v>
      </c>
      <c r="E865" t="s">
        <v>4</v>
      </c>
      <c r="F865" t="s">
        <v>43</v>
      </c>
      <c r="G865" t="s">
        <v>5</v>
      </c>
    </row>
    <row r="866" spans="1:7" x14ac:dyDescent="0.3">
      <c r="A866" t="s">
        <v>19</v>
      </c>
      <c r="B866" s="1">
        <v>45777</v>
      </c>
      <c r="C866">
        <v>249002</v>
      </c>
      <c r="D866">
        <v>-11704.781000000001</v>
      </c>
      <c r="E866" t="s">
        <v>4</v>
      </c>
      <c r="F866" t="s">
        <v>44</v>
      </c>
      <c r="G866" t="s">
        <v>5</v>
      </c>
    </row>
    <row r="867" spans="1:7" x14ac:dyDescent="0.3">
      <c r="A867" t="s">
        <v>19</v>
      </c>
      <c r="B867" s="1">
        <v>45777</v>
      </c>
      <c r="C867">
        <v>300005</v>
      </c>
      <c r="D867">
        <v>6288.4530000000004</v>
      </c>
      <c r="E867" t="s">
        <v>4</v>
      </c>
      <c r="F867" t="s">
        <v>65</v>
      </c>
      <c r="G867" t="s">
        <v>5</v>
      </c>
    </row>
    <row r="868" spans="1:7" x14ac:dyDescent="0.3">
      <c r="A868" t="s">
        <v>19</v>
      </c>
      <c r="B868" s="1">
        <v>45777</v>
      </c>
      <c r="C868">
        <v>300008</v>
      </c>
      <c r="D868">
        <v>4614.3440000000001</v>
      </c>
      <c r="E868" t="s">
        <v>4</v>
      </c>
      <c r="F868" t="s">
        <v>65</v>
      </c>
      <c r="G868" t="s">
        <v>5</v>
      </c>
    </row>
    <row r="869" spans="1:7" x14ac:dyDescent="0.3">
      <c r="A869" t="s">
        <v>19</v>
      </c>
      <c r="B869" s="1">
        <v>45777</v>
      </c>
      <c r="C869">
        <v>300011</v>
      </c>
      <c r="D869">
        <v>18.968</v>
      </c>
      <c r="E869" t="s">
        <v>4</v>
      </c>
      <c r="F869" t="s">
        <v>65</v>
      </c>
      <c r="G869" t="s">
        <v>5</v>
      </c>
    </row>
    <row r="870" spans="1:7" x14ac:dyDescent="0.3">
      <c r="A870" t="s">
        <v>19</v>
      </c>
      <c r="B870" s="1">
        <v>45777</v>
      </c>
      <c r="C870">
        <v>300012</v>
      </c>
      <c r="D870">
        <v>3569.3339999999998</v>
      </c>
      <c r="E870" t="s">
        <v>4</v>
      </c>
      <c r="F870" t="s">
        <v>65</v>
      </c>
      <c r="G870" t="s">
        <v>5</v>
      </c>
    </row>
    <row r="871" spans="1:7" x14ac:dyDescent="0.3">
      <c r="A871" t="s">
        <v>19</v>
      </c>
      <c r="B871" s="1">
        <v>45777</v>
      </c>
      <c r="C871">
        <v>300505</v>
      </c>
      <c r="D871">
        <v>-6005.4539999999997</v>
      </c>
      <c r="E871" t="s">
        <v>4</v>
      </c>
      <c r="F871" t="s">
        <v>65</v>
      </c>
      <c r="G871" t="s">
        <v>5</v>
      </c>
    </row>
    <row r="872" spans="1:7" x14ac:dyDescent="0.3">
      <c r="A872" t="s">
        <v>19</v>
      </c>
      <c r="B872" s="1">
        <v>45777</v>
      </c>
      <c r="C872">
        <v>300508</v>
      </c>
      <c r="D872">
        <v>-4614.3440000000001</v>
      </c>
      <c r="E872" t="s">
        <v>4</v>
      </c>
      <c r="F872" t="s">
        <v>65</v>
      </c>
      <c r="G872" t="s">
        <v>5</v>
      </c>
    </row>
    <row r="873" spans="1:7" x14ac:dyDescent="0.3">
      <c r="A873" t="s">
        <v>19</v>
      </c>
      <c r="B873" s="1">
        <v>45777</v>
      </c>
      <c r="C873">
        <v>300511</v>
      </c>
      <c r="D873">
        <v>-18.968</v>
      </c>
      <c r="E873" t="s">
        <v>4</v>
      </c>
      <c r="F873" t="s">
        <v>65</v>
      </c>
      <c r="G873" t="s">
        <v>5</v>
      </c>
    </row>
    <row r="874" spans="1:7" x14ac:dyDescent="0.3">
      <c r="A874" t="s">
        <v>19</v>
      </c>
      <c r="B874" s="1">
        <v>45777</v>
      </c>
      <c r="C874">
        <v>300512</v>
      </c>
      <c r="D874">
        <v>-3569.3339999999998</v>
      </c>
      <c r="E874" t="s">
        <v>4</v>
      </c>
      <c r="F874" t="s">
        <v>65</v>
      </c>
      <c r="G874" t="s">
        <v>5</v>
      </c>
    </row>
    <row r="875" spans="1:7" x14ac:dyDescent="0.3">
      <c r="A875" t="s">
        <v>19</v>
      </c>
      <c r="B875" s="1">
        <v>45777</v>
      </c>
      <c r="C875">
        <v>321006</v>
      </c>
      <c r="D875">
        <v>23274.73</v>
      </c>
      <c r="E875" t="s">
        <v>4</v>
      </c>
      <c r="F875" t="s">
        <v>46</v>
      </c>
      <c r="G875" t="s">
        <v>5</v>
      </c>
    </row>
    <row r="876" spans="1:7" x14ac:dyDescent="0.3">
      <c r="A876" t="s">
        <v>19</v>
      </c>
      <c r="B876" s="1">
        <v>45777</v>
      </c>
      <c r="C876">
        <v>321014</v>
      </c>
      <c r="D876">
        <v>7090.67</v>
      </c>
      <c r="E876" t="s">
        <v>4</v>
      </c>
      <c r="F876" t="s">
        <v>46</v>
      </c>
      <c r="G876" t="s">
        <v>5</v>
      </c>
    </row>
    <row r="877" spans="1:7" x14ac:dyDescent="0.3">
      <c r="A877" t="s">
        <v>19</v>
      </c>
      <c r="B877" s="1">
        <v>45777</v>
      </c>
      <c r="C877">
        <v>321031</v>
      </c>
      <c r="D877">
        <v>4363.1620000000003</v>
      </c>
      <c r="E877" t="s">
        <v>4</v>
      </c>
      <c r="F877" t="s">
        <v>46</v>
      </c>
      <c r="G877" t="s">
        <v>5</v>
      </c>
    </row>
    <row r="878" spans="1:7" x14ac:dyDescent="0.3">
      <c r="A878" t="s">
        <v>19</v>
      </c>
      <c r="B878" s="1">
        <v>45777</v>
      </c>
      <c r="C878">
        <v>321042</v>
      </c>
      <c r="D878">
        <v>9.8460000000000001</v>
      </c>
      <c r="E878" t="s">
        <v>4</v>
      </c>
      <c r="F878" t="s">
        <v>46</v>
      </c>
      <c r="G878" t="s">
        <v>5</v>
      </c>
    </row>
    <row r="879" spans="1:7" x14ac:dyDescent="0.3">
      <c r="A879" t="s">
        <v>19</v>
      </c>
      <c r="B879" s="1">
        <v>45777</v>
      </c>
      <c r="C879">
        <v>330049</v>
      </c>
      <c r="D879">
        <v>160386.16500000001</v>
      </c>
      <c r="E879" t="s">
        <v>4</v>
      </c>
      <c r="F879" t="s">
        <v>43</v>
      </c>
      <c r="G879" t="s">
        <v>5</v>
      </c>
    </row>
    <row r="880" spans="1:7" x14ac:dyDescent="0.3">
      <c r="A880" t="s">
        <v>19</v>
      </c>
      <c r="B880" s="1">
        <v>45777</v>
      </c>
      <c r="C880">
        <v>330060</v>
      </c>
      <c r="D880">
        <v>-76036.017999999996</v>
      </c>
      <c r="E880" t="s">
        <v>4</v>
      </c>
      <c r="F880" t="s">
        <v>43</v>
      </c>
      <c r="G880" t="s">
        <v>5</v>
      </c>
    </row>
    <row r="881" spans="1:7" x14ac:dyDescent="0.3">
      <c r="A881" t="s">
        <v>19</v>
      </c>
      <c r="B881" s="1">
        <v>45777</v>
      </c>
      <c r="C881">
        <v>340101</v>
      </c>
      <c r="D881">
        <v>4387.6109999999999</v>
      </c>
      <c r="E881" t="s">
        <v>4</v>
      </c>
      <c r="F881" t="s">
        <v>48</v>
      </c>
      <c r="G881" t="s">
        <v>5</v>
      </c>
    </row>
    <row r="882" spans="1:7" x14ac:dyDescent="0.3">
      <c r="A882" t="s">
        <v>19</v>
      </c>
      <c r="B882" s="1">
        <v>45777</v>
      </c>
      <c r="C882">
        <v>340121</v>
      </c>
      <c r="D882">
        <v>151800.981</v>
      </c>
      <c r="E882" t="s">
        <v>4</v>
      </c>
      <c r="F882" t="s">
        <v>47</v>
      </c>
      <c r="G882" t="s">
        <v>5</v>
      </c>
    </row>
    <row r="883" spans="1:7" x14ac:dyDescent="0.3">
      <c r="A883" t="s">
        <v>19</v>
      </c>
      <c r="B883" s="1">
        <v>45777</v>
      </c>
      <c r="C883">
        <v>350003</v>
      </c>
      <c r="D883">
        <v>57.473999999999997</v>
      </c>
      <c r="E883" t="s">
        <v>4</v>
      </c>
      <c r="F883" t="s">
        <v>49</v>
      </c>
      <c r="G883" t="s">
        <v>5</v>
      </c>
    </row>
    <row r="884" spans="1:7" x14ac:dyDescent="0.3">
      <c r="A884" t="s">
        <v>19</v>
      </c>
      <c r="B884" s="1">
        <v>45777</v>
      </c>
      <c r="C884">
        <v>350031</v>
      </c>
      <c r="D884">
        <v>525.55700000000002</v>
      </c>
      <c r="E884" t="s">
        <v>4</v>
      </c>
      <c r="F884" t="s">
        <v>43</v>
      </c>
      <c r="G884" t="s">
        <v>5</v>
      </c>
    </row>
    <row r="885" spans="1:7" x14ac:dyDescent="0.3">
      <c r="A885" t="s">
        <v>19</v>
      </c>
      <c r="B885" s="1">
        <v>45777</v>
      </c>
      <c r="C885">
        <v>352002</v>
      </c>
      <c r="D885">
        <v>956.37</v>
      </c>
      <c r="E885" t="s">
        <v>4</v>
      </c>
      <c r="F885" t="s">
        <v>48</v>
      </c>
      <c r="G885" t="s">
        <v>5</v>
      </c>
    </row>
    <row r="886" spans="1:7" x14ac:dyDescent="0.3">
      <c r="A886" t="s">
        <v>19</v>
      </c>
      <c r="B886" s="1">
        <v>45777</v>
      </c>
      <c r="C886">
        <v>355002</v>
      </c>
      <c r="D886">
        <v>3384.9459999999999</v>
      </c>
      <c r="E886" t="s">
        <v>4</v>
      </c>
      <c r="F886" t="s">
        <v>49</v>
      </c>
      <c r="G886" t="s">
        <v>5</v>
      </c>
    </row>
    <row r="887" spans="1:7" x14ac:dyDescent="0.3">
      <c r="A887" t="s">
        <v>19</v>
      </c>
      <c r="B887" s="1">
        <v>45777</v>
      </c>
      <c r="C887">
        <v>355014</v>
      </c>
      <c r="D887">
        <v>154.05000000000001</v>
      </c>
      <c r="E887" t="s">
        <v>4</v>
      </c>
      <c r="F887" t="s">
        <v>49</v>
      </c>
      <c r="G887" t="s">
        <v>5</v>
      </c>
    </row>
    <row r="888" spans="1:7" x14ac:dyDescent="0.3">
      <c r="A888" t="s">
        <v>19</v>
      </c>
      <c r="B888" s="1">
        <v>45777</v>
      </c>
      <c r="C888">
        <v>372004</v>
      </c>
      <c r="D888">
        <v>106.181</v>
      </c>
      <c r="E888" t="s">
        <v>4</v>
      </c>
      <c r="F888" t="s">
        <v>45</v>
      </c>
      <c r="G888" t="s">
        <v>5</v>
      </c>
    </row>
    <row r="889" spans="1:7" x14ac:dyDescent="0.3">
      <c r="A889" t="s">
        <v>19</v>
      </c>
      <c r="B889" s="1">
        <v>45777</v>
      </c>
      <c r="C889">
        <v>410009</v>
      </c>
      <c r="D889">
        <v>-816.07100000000003</v>
      </c>
      <c r="E889" t="s">
        <v>6</v>
      </c>
      <c r="F889" t="s">
        <v>51</v>
      </c>
      <c r="G889" t="s">
        <v>5</v>
      </c>
    </row>
    <row r="890" spans="1:7" x14ac:dyDescent="0.3">
      <c r="A890" t="s">
        <v>19</v>
      </c>
      <c r="B890" s="1">
        <v>45777</v>
      </c>
      <c r="C890">
        <v>410039</v>
      </c>
      <c r="D890">
        <v>-757.10199999999998</v>
      </c>
      <c r="E890" t="s">
        <v>6</v>
      </c>
      <c r="F890" t="s">
        <v>51</v>
      </c>
      <c r="G890" t="s">
        <v>5</v>
      </c>
    </row>
    <row r="891" spans="1:7" x14ac:dyDescent="0.3">
      <c r="A891" t="s">
        <v>19</v>
      </c>
      <c r="B891" s="1">
        <v>45777</v>
      </c>
      <c r="C891">
        <v>421003</v>
      </c>
      <c r="D891">
        <v>-1311.588</v>
      </c>
      <c r="E891" t="s">
        <v>6</v>
      </c>
      <c r="F891" t="s">
        <v>52</v>
      </c>
      <c r="G891" t="s">
        <v>5</v>
      </c>
    </row>
    <row r="892" spans="1:7" x14ac:dyDescent="0.3">
      <c r="A892" t="s">
        <v>19</v>
      </c>
      <c r="B892" s="1">
        <v>45777</v>
      </c>
      <c r="C892">
        <v>421007</v>
      </c>
      <c r="D892">
        <v>1.125</v>
      </c>
      <c r="E892" t="s">
        <v>6</v>
      </c>
      <c r="F892" t="s">
        <v>52</v>
      </c>
      <c r="G892" t="s">
        <v>5</v>
      </c>
    </row>
    <row r="893" spans="1:7" x14ac:dyDescent="0.3">
      <c r="A893" t="s">
        <v>19</v>
      </c>
      <c r="B893" s="1">
        <v>45777</v>
      </c>
      <c r="C893">
        <v>510002</v>
      </c>
      <c r="D893">
        <v>2509.056</v>
      </c>
      <c r="E893" t="s">
        <v>6</v>
      </c>
      <c r="F893" t="s">
        <v>53</v>
      </c>
      <c r="G893" t="s">
        <v>5</v>
      </c>
    </row>
    <row r="894" spans="1:7" x14ac:dyDescent="0.3">
      <c r="A894" t="s">
        <v>19</v>
      </c>
      <c r="B894" s="1">
        <v>45777</v>
      </c>
      <c r="C894">
        <v>510005</v>
      </c>
      <c r="D894">
        <v>209.08799999999999</v>
      </c>
      <c r="E894" t="s">
        <v>6</v>
      </c>
      <c r="F894" t="s">
        <v>53</v>
      </c>
      <c r="G894" t="s">
        <v>5</v>
      </c>
    </row>
    <row r="895" spans="1:7" x14ac:dyDescent="0.3">
      <c r="A895" t="s">
        <v>19</v>
      </c>
      <c r="B895" s="1">
        <v>45777</v>
      </c>
      <c r="C895">
        <v>510006</v>
      </c>
      <c r="D895">
        <v>131.898</v>
      </c>
      <c r="E895" t="s">
        <v>6</v>
      </c>
      <c r="F895" t="s">
        <v>53</v>
      </c>
      <c r="G895" t="s">
        <v>5</v>
      </c>
    </row>
    <row r="896" spans="1:7" x14ac:dyDescent="0.3">
      <c r="A896" t="s">
        <v>19</v>
      </c>
      <c r="B896" s="1">
        <v>45777</v>
      </c>
      <c r="C896">
        <v>510007</v>
      </c>
      <c r="D896">
        <v>398.29599999999999</v>
      </c>
      <c r="E896" t="s">
        <v>6</v>
      </c>
      <c r="F896" t="s">
        <v>53</v>
      </c>
      <c r="G896" t="s">
        <v>5</v>
      </c>
    </row>
    <row r="897" spans="1:7" x14ac:dyDescent="0.3">
      <c r="A897" t="s">
        <v>19</v>
      </c>
      <c r="B897" s="1">
        <v>45777</v>
      </c>
      <c r="C897">
        <v>510062</v>
      </c>
      <c r="D897">
        <v>255.03200000000001</v>
      </c>
      <c r="E897" t="s">
        <v>6</v>
      </c>
      <c r="F897" t="s">
        <v>53</v>
      </c>
      <c r="G897" t="s">
        <v>5</v>
      </c>
    </row>
    <row r="898" spans="1:7" x14ac:dyDescent="0.3">
      <c r="A898" t="s">
        <v>19</v>
      </c>
      <c r="B898" s="1">
        <v>45777</v>
      </c>
      <c r="C898">
        <v>541010</v>
      </c>
      <c r="D898">
        <v>46.064999999999998</v>
      </c>
      <c r="E898" t="s">
        <v>6</v>
      </c>
      <c r="F898" t="s">
        <v>61</v>
      </c>
      <c r="G898" t="s">
        <v>5</v>
      </c>
    </row>
    <row r="899" spans="1:7" x14ac:dyDescent="0.3">
      <c r="A899" t="s">
        <v>19</v>
      </c>
      <c r="B899" s="1">
        <v>45777</v>
      </c>
      <c r="C899">
        <v>552502</v>
      </c>
      <c r="D899">
        <v>234.417</v>
      </c>
      <c r="E899" t="s">
        <v>6</v>
      </c>
      <c r="F899" t="s">
        <v>55</v>
      </c>
      <c r="G899" t="s">
        <v>5</v>
      </c>
    </row>
    <row r="900" spans="1:7" x14ac:dyDescent="0.3">
      <c r="A900" t="s">
        <v>19</v>
      </c>
      <c r="B900" s="1">
        <v>45777</v>
      </c>
      <c r="C900">
        <v>552504</v>
      </c>
      <c r="D900">
        <v>29.289000000000001</v>
      </c>
      <c r="E900" t="s">
        <v>6</v>
      </c>
      <c r="F900" t="s">
        <v>55</v>
      </c>
      <c r="G900" t="s">
        <v>5</v>
      </c>
    </row>
    <row r="901" spans="1:7" x14ac:dyDescent="0.3">
      <c r="A901" t="s">
        <v>19</v>
      </c>
      <c r="B901" s="1">
        <v>45777</v>
      </c>
      <c r="C901">
        <v>555007</v>
      </c>
      <c r="D901">
        <v>294.29399999999998</v>
      </c>
      <c r="E901" t="s">
        <v>6</v>
      </c>
      <c r="F901" t="s">
        <v>55</v>
      </c>
      <c r="G901" t="s">
        <v>5</v>
      </c>
    </row>
    <row r="902" spans="1:7" x14ac:dyDescent="0.3">
      <c r="A902" t="s">
        <v>19</v>
      </c>
      <c r="B902" s="1">
        <v>45777</v>
      </c>
      <c r="C902">
        <v>557002</v>
      </c>
      <c r="D902">
        <v>-21.731000000000002</v>
      </c>
      <c r="E902" t="s">
        <v>6</v>
      </c>
      <c r="F902" t="s">
        <v>56</v>
      </c>
      <c r="G902" t="s">
        <v>5</v>
      </c>
    </row>
    <row r="903" spans="1:7" x14ac:dyDescent="0.3">
      <c r="A903" t="s">
        <v>19</v>
      </c>
      <c r="B903" s="1">
        <v>45777</v>
      </c>
      <c r="C903">
        <v>558006</v>
      </c>
      <c r="D903">
        <v>44.374000000000002</v>
      </c>
      <c r="E903" t="s">
        <v>6</v>
      </c>
      <c r="F903" t="s">
        <v>57</v>
      </c>
      <c r="G903" t="s">
        <v>5</v>
      </c>
    </row>
    <row r="904" spans="1:7" x14ac:dyDescent="0.3">
      <c r="A904" t="s">
        <v>19</v>
      </c>
      <c r="B904" s="1">
        <v>45777</v>
      </c>
      <c r="C904">
        <v>560008</v>
      </c>
      <c r="D904">
        <v>27.893999999999998</v>
      </c>
      <c r="E904" t="s">
        <v>6</v>
      </c>
      <c r="F904" t="s">
        <v>56</v>
      </c>
      <c r="G904" t="s">
        <v>5</v>
      </c>
    </row>
    <row r="905" spans="1:7" x14ac:dyDescent="0.3">
      <c r="A905" t="s">
        <v>19</v>
      </c>
      <c r="B905" s="1">
        <v>45777</v>
      </c>
      <c r="C905">
        <v>564020</v>
      </c>
      <c r="D905">
        <v>46.024999999999999</v>
      </c>
      <c r="E905" t="s">
        <v>6</v>
      </c>
      <c r="F905" t="s">
        <v>57</v>
      </c>
      <c r="G905" t="s">
        <v>5</v>
      </c>
    </row>
    <row r="906" spans="1:7" x14ac:dyDescent="0.3">
      <c r="A906" t="s">
        <v>19</v>
      </c>
      <c r="B906" s="1">
        <v>45777</v>
      </c>
      <c r="C906">
        <v>570002</v>
      </c>
      <c r="D906">
        <v>11.159000000000001</v>
      </c>
      <c r="E906" t="s">
        <v>6</v>
      </c>
      <c r="F906" t="s">
        <v>66</v>
      </c>
      <c r="G906" t="s">
        <v>5</v>
      </c>
    </row>
    <row r="907" spans="1:7" x14ac:dyDescent="0.3">
      <c r="A907" t="s">
        <v>20</v>
      </c>
      <c r="B907" s="1">
        <v>45777</v>
      </c>
      <c r="C907">
        <v>210002</v>
      </c>
      <c r="D907">
        <v>-138.65899999999999</v>
      </c>
      <c r="E907" t="s">
        <v>4</v>
      </c>
      <c r="F907" t="s">
        <v>42</v>
      </c>
      <c r="G907" t="s">
        <v>5</v>
      </c>
    </row>
    <row r="908" spans="1:7" x14ac:dyDescent="0.3">
      <c r="A908" t="s">
        <v>20</v>
      </c>
      <c r="B908" s="1">
        <v>45777</v>
      </c>
      <c r="C908">
        <v>220006</v>
      </c>
      <c r="D908">
        <v>-41262.574000000001</v>
      </c>
      <c r="E908" t="s">
        <v>4</v>
      </c>
      <c r="F908" t="s">
        <v>42</v>
      </c>
      <c r="G908" t="s">
        <v>5</v>
      </c>
    </row>
    <row r="909" spans="1:7" x14ac:dyDescent="0.3">
      <c r="A909" t="s">
        <v>20</v>
      </c>
      <c r="B909" s="1">
        <v>45777</v>
      </c>
      <c r="C909">
        <v>240002</v>
      </c>
      <c r="D909">
        <v>-1114.5319999999999</v>
      </c>
      <c r="E909" t="s">
        <v>4</v>
      </c>
      <c r="F909" t="s">
        <v>43</v>
      </c>
      <c r="G909" t="s">
        <v>5</v>
      </c>
    </row>
    <row r="910" spans="1:7" x14ac:dyDescent="0.3">
      <c r="A910" t="s">
        <v>20</v>
      </c>
      <c r="B910" s="1">
        <v>45777</v>
      </c>
      <c r="C910">
        <v>242003</v>
      </c>
      <c r="D910">
        <v>-8880.9560000000001</v>
      </c>
      <c r="E910" t="s">
        <v>4</v>
      </c>
      <c r="F910" t="s">
        <v>43</v>
      </c>
      <c r="G910" t="s">
        <v>5</v>
      </c>
    </row>
    <row r="911" spans="1:7" x14ac:dyDescent="0.3">
      <c r="A911" t="s">
        <v>20</v>
      </c>
      <c r="B911" s="1">
        <v>45777</v>
      </c>
      <c r="C911">
        <v>242011</v>
      </c>
      <c r="D911">
        <v>-187.363</v>
      </c>
      <c r="E911" t="s">
        <v>4</v>
      </c>
      <c r="F911" t="s">
        <v>43</v>
      </c>
      <c r="G911" t="s">
        <v>5</v>
      </c>
    </row>
    <row r="912" spans="1:7" x14ac:dyDescent="0.3">
      <c r="A912" t="s">
        <v>20</v>
      </c>
      <c r="B912" s="1">
        <v>45777</v>
      </c>
      <c r="C912">
        <v>242013</v>
      </c>
      <c r="D912">
        <v>187.363</v>
      </c>
      <c r="E912" t="s">
        <v>4</v>
      </c>
      <c r="F912" t="s">
        <v>43</v>
      </c>
      <c r="G912" t="s">
        <v>5</v>
      </c>
    </row>
    <row r="913" spans="1:7" x14ac:dyDescent="0.3">
      <c r="A913" t="s">
        <v>20</v>
      </c>
      <c r="B913" s="1">
        <v>45777</v>
      </c>
      <c r="C913">
        <v>243002</v>
      </c>
      <c r="D913">
        <v>-367.35</v>
      </c>
      <c r="E913" t="s">
        <v>4</v>
      </c>
      <c r="F913" t="s">
        <v>43</v>
      </c>
      <c r="G913" t="s">
        <v>5</v>
      </c>
    </row>
    <row r="914" spans="1:7" x14ac:dyDescent="0.3">
      <c r="A914" t="s">
        <v>20</v>
      </c>
      <c r="B914" s="1">
        <v>45777</v>
      </c>
      <c r="C914">
        <v>251002</v>
      </c>
      <c r="D914">
        <v>-4697.2610000000004</v>
      </c>
      <c r="E914" t="s">
        <v>4</v>
      </c>
      <c r="F914" t="s">
        <v>45</v>
      </c>
      <c r="G914" t="s">
        <v>5</v>
      </c>
    </row>
    <row r="915" spans="1:7" x14ac:dyDescent="0.3">
      <c r="A915" t="s">
        <v>20</v>
      </c>
      <c r="B915" s="1">
        <v>45777</v>
      </c>
      <c r="C915">
        <v>251005</v>
      </c>
      <c r="D915">
        <v>2899.1170000000002</v>
      </c>
      <c r="E915" t="s">
        <v>4</v>
      </c>
      <c r="F915" t="s">
        <v>46</v>
      </c>
      <c r="G915" t="s">
        <v>5</v>
      </c>
    </row>
    <row r="916" spans="1:7" x14ac:dyDescent="0.3">
      <c r="A916" t="s">
        <v>20</v>
      </c>
      <c r="B916" s="1">
        <v>45777</v>
      </c>
      <c r="C916">
        <v>260004</v>
      </c>
      <c r="D916">
        <v>-799.04200000000003</v>
      </c>
      <c r="E916" t="s">
        <v>4</v>
      </c>
      <c r="F916" t="s">
        <v>45</v>
      </c>
      <c r="G916" t="s">
        <v>5</v>
      </c>
    </row>
    <row r="917" spans="1:7" x14ac:dyDescent="0.3">
      <c r="A917" t="s">
        <v>20</v>
      </c>
      <c r="B917" s="1">
        <v>45777</v>
      </c>
      <c r="C917">
        <v>270026</v>
      </c>
      <c r="D917">
        <v>-2527.895</v>
      </c>
      <c r="E917" t="s">
        <v>4</v>
      </c>
      <c r="F917" t="s">
        <v>58</v>
      </c>
      <c r="G917" t="s">
        <v>5</v>
      </c>
    </row>
    <row r="918" spans="1:7" x14ac:dyDescent="0.3">
      <c r="A918" t="s">
        <v>20</v>
      </c>
      <c r="B918" s="1">
        <v>45777</v>
      </c>
      <c r="C918">
        <v>300008</v>
      </c>
      <c r="D918">
        <v>241.239</v>
      </c>
      <c r="E918" t="s">
        <v>4</v>
      </c>
      <c r="F918" t="s">
        <v>65</v>
      </c>
      <c r="G918" t="s">
        <v>5</v>
      </c>
    </row>
    <row r="919" spans="1:7" x14ac:dyDescent="0.3">
      <c r="A919" t="s">
        <v>20</v>
      </c>
      <c r="B919" s="1">
        <v>45777</v>
      </c>
      <c r="C919">
        <v>300508</v>
      </c>
      <c r="D919">
        <v>-241.239</v>
      </c>
      <c r="E919" t="s">
        <v>4</v>
      </c>
      <c r="F919" t="s">
        <v>65</v>
      </c>
      <c r="G919" t="s">
        <v>5</v>
      </c>
    </row>
    <row r="920" spans="1:7" x14ac:dyDescent="0.3">
      <c r="A920" t="s">
        <v>20</v>
      </c>
      <c r="B920" s="1">
        <v>45777</v>
      </c>
      <c r="C920">
        <v>320003</v>
      </c>
      <c r="D920">
        <v>22991.59</v>
      </c>
      <c r="E920" t="s">
        <v>4</v>
      </c>
      <c r="F920" t="s">
        <v>46</v>
      </c>
      <c r="G920" t="s">
        <v>5</v>
      </c>
    </row>
    <row r="921" spans="1:7" x14ac:dyDescent="0.3">
      <c r="A921" t="s">
        <v>20</v>
      </c>
      <c r="B921" s="1">
        <v>45777</v>
      </c>
      <c r="C921">
        <v>320004</v>
      </c>
      <c r="D921">
        <v>609.66499999999996</v>
      </c>
      <c r="E921" t="s">
        <v>4</v>
      </c>
      <c r="F921" t="s">
        <v>46</v>
      </c>
      <c r="G921" t="s">
        <v>5</v>
      </c>
    </row>
    <row r="922" spans="1:7" x14ac:dyDescent="0.3">
      <c r="A922" t="s">
        <v>20</v>
      </c>
      <c r="B922" s="1">
        <v>45777</v>
      </c>
      <c r="C922">
        <v>340261</v>
      </c>
      <c r="D922">
        <v>30066.989000000001</v>
      </c>
      <c r="E922" t="s">
        <v>4</v>
      </c>
      <c r="F922" t="s">
        <v>47</v>
      </c>
      <c r="G922" t="s">
        <v>5</v>
      </c>
    </row>
    <row r="923" spans="1:7" x14ac:dyDescent="0.3">
      <c r="A923" t="s">
        <v>20</v>
      </c>
      <c r="B923" s="1">
        <v>45777</v>
      </c>
      <c r="C923">
        <v>355013</v>
      </c>
      <c r="D923">
        <v>698.84199999999998</v>
      </c>
      <c r="E923" t="s">
        <v>4</v>
      </c>
      <c r="F923" t="s">
        <v>49</v>
      </c>
      <c r="G923" t="s">
        <v>5</v>
      </c>
    </row>
    <row r="924" spans="1:7" x14ac:dyDescent="0.3">
      <c r="A924" t="s">
        <v>20</v>
      </c>
      <c r="B924" s="1">
        <v>45777</v>
      </c>
      <c r="C924">
        <v>355014</v>
      </c>
      <c r="D924">
        <v>37.478000000000002</v>
      </c>
      <c r="E924" t="s">
        <v>4</v>
      </c>
      <c r="F924" t="s">
        <v>49</v>
      </c>
      <c r="G924" t="s">
        <v>5</v>
      </c>
    </row>
    <row r="925" spans="1:7" x14ac:dyDescent="0.3">
      <c r="A925" t="s">
        <v>20</v>
      </c>
      <c r="B925" s="1">
        <v>45777</v>
      </c>
      <c r="C925">
        <v>360028</v>
      </c>
      <c r="D925">
        <v>136.96700000000001</v>
      </c>
      <c r="E925" t="s">
        <v>4</v>
      </c>
      <c r="F925" t="s">
        <v>58</v>
      </c>
      <c r="G925" t="s">
        <v>5</v>
      </c>
    </row>
    <row r="926" spans="1:7" x14ac:dyDescent="0.3">
      <c r="A926" t="s">
        <v>20</v>
      </c>
      <c r="B926" s="1">
        <v>45777</v>
      </c>
      <c r="C926">
        <v>360030</v>
      </c>
      <c r="D926">
        <v>957.46900000000005</v>
      </c>
      <c r="E926" t="s">
        <v>4</v>
      </c>
      <c r="F926" t="s">
        <v>58</v>
      </c>
      <c r="G926" t="s">
        <v>5</v>
      </c>
    </row>
    <row r="927" spans="1:7" x14ac:dyDescent="0.3">
      <c r="A927" t="s">
        <v>20</v>
      </c>
      <c r="B927" s="1">
        <v>45777</v>
      </c>
      <c r="C927">
        <v>360032</v>
      </c>
      <c r="D927">
        <v>813.87400000000002</v>
      </c>
      <c r="E927" t="s">
        <v>4</v>
      </c>
      <c r="F927" t="s">
        <v>58</v>
      </c>
      <c r="G927" t="s">
        <v>5</v>
      </c>
    </row>
    <row r="928" spans="1:7" x14ac:dyDescent="0.3">
      <c r="A928" t="s">
        <v>20</v>
      </c>
      <c r="B928" s="1">
        <v>45777</v>
      </c>
      <c r="C928">
        <v>372004</v>
      </c>
      <c r="D928">
        <v>62.896000000000001</v>
      </c>
      <c r="E928" t="s">
        <v>4</v>
      </c>
      <c r="F928" t="s">
        <v>45</v>
      </c>
      <c r="G928" t="s">
        <v>5</v>
      </c>
    </row>
    <row r="929" spans="1:7" x14ac:dyDescent="0.3">
      <c r="A929" t="s">
        <v>20</v>
      </c>
      <c r="B929" s="1">
        <v>45777</v>
      </c>
      <c r="C929">
        <v>415002</v>
      </c>
      <c r="D929">
        <v>252.714</v>
      </c>
      <c r="E929" t="s">
        <v>6</v>
      </c>
      <c r="F929" t="s">
        <v>50</v>
      </c>
      <c r="G929" t="s">
        <v>5</v>
      </c>
    </row>
    <row r="930" spans="1:7" x14ac:dyDescent="0.3">
      <c r="A930" t="s">
        <v>20</v>
      </c>
      <c r="B930" s="1">
        <v>45777</v>
      </c>
      <c r="C930">
        <v>415004</v>
      </c>
      <c r="D930">
        <v>3410.7260000000001</v>
      </c>
      <c r="E930" t="s">
        <v>6</v>
      </c>
      <c r="F930" t="s">
        <v>50</v>
      </c>
      <c r="G930" t="s">
        <v>5</v>
      </c>
    </row>
    <row r="931" spans="1:7" x14ac:dyDescent="0.3">
      <c r="A931" t="s">
        <v>20</v>
      </c>
      <c r="B931" s="1">
        <v>45777</v>
      </c>
      <c r="C931">
        <v>421007</v>
      </c>
      <c r="D931">
        <v>-580.53800000000001</v>
      </c>
      <c r="E931" t="s">
        <v>6</v>
      </c>
      <c r="F931" t="s">
        <v>52</v>
      </c>
      <c r="G931" t="s">
        <v>5</v>
      </c>
    </row>
    <row r="932" spans="1:7" x14ac:dyDescent="0.3">
      <c r="A932" t="s">
        <v>20</v>
      </c>
      <c r="B932" s="1">
        <v>45777</v>
      </c>
      <c r="C932">
        <v>546002</v>
      </c>
      <c r="D932">
        <v>-2899.1170000000002</v>
      </c>
      <c r="E932" t="s">
        <v>6</v>
      </c>
      <c r="F932" t="s">
        <v>51</v>
      </c>
      <c r="G932" t="s">
        <v>5</v>
      </c>
    </row>
    <row r="933" spans="1:7" x14ac:dyDescent="0.3">
      <c r="A933" t="s">
        <v>20</v>
      </c>
      <c r="B933" s="1">
        <v>45777</v>
      </c>
      <c r="C933">
        <v>557002</v>
      </c>
      <c r="D933">
        <v>308.23899999999998</v>
      </c>
      <c r="E933" t="s">
        <v>6</v>
      </c>
      <c r="F933" t="s">
        <v>56</v>
      </c>
      <c r="G933" t="s">
        <v>5</v>
      </c>
    </row>
    <row r="934" spans="1:7" x14ac:dyDescent="0.3">
      <c r="A934" t="s">
        <v>20</v>
      </c>
      <c r="B934" s="1">
        <v>45777</v>
      </c>
      <c r="C934">
        <v>558006</v>
      </c>
      <c r="D934">
        <v>4.6840000000000002</v>
      </c>
      <c r="E934" t="s">
        <v>6</v>
      </c>
      <c r="F934" t="s">
        <v>57</v>
      </c>
      <c r="G934" t="s">
        <v>5</v>
      </c>
    </row>
    <row r="935" spans="1:7" x14ac:dyDescent="0.3">
      <c r="A935" t="s">
        <v>20</v>
      </c>
      <c r="B935" s="1">
        <v>45777</v>
      </c>
      <c r="C935">
        <v>560008</v>
      </c>
      <c r="D935">
        <v>11.106999999999999</v>
      </c>
      <c r="E935" t="s">
        <v>6</v>
      </c>
      <c r="F935" t="s">
        <v>56</v>
      </c>
      <c r="G935" t="s">
        <v>5</v>
      </c>
    </row>
    <row r="936" spans="1:7" x14ac:dyDescent="0.3">
      <c r="A936" t="s">
        <v>20</v>
      </c>
      <c r="B936" s="1">
        <v>45777</v>
      </c>
      <c r="C936">
        <v>564020</v>
      </c>
      <c r="D936">
        <v>5.5519999999999996</v>
      </c>
      <c r="E936" t="s">
        <v>6</v>
      </c>
      <c r="F936" t="s">
        <v>57</v>
      </c>
      <c r="G936" t="s">
        <v>5</v>
      </c>
    </row>
    <row r="937" spans="1:7" x14ac:dyDescent="0.3">
      <c r="A937" t="s">
        <v>21</v>
      </c>
      <c r="B937" s="1">
        <v>45777</v>
      </c>
      <c r="C937">
        <v>210002</v>
      </c>
      <c r="D937">
        <v>-294.66500000000002</v>
      </c>
      <c r="E937" t="s">
        <v>4</v>
      </c>
      <c r="F937" t="s">
        <v>42</v>
      </c>
      <c r="G937" t="s">
        <v>7</v>
      </c>
    </row>
    <row r="938" spans="1:7" x14ac:dyDescent="0.3">
      <c r="A938" t="s">
        <v>21</v>
      </c>
      <c r="B938" s="1">
        <v>45777</v>
      </c>
      <c r="C938">
        <v>220006</v>
      </c>
      <c r="D938">
        <v>10007.907999999999</v>
      </c>
      <c r="E938" t="s">
        <v>4</v>
      </c>
      <c r="F938" t="s">
        <v>42</v>
      </c>
      <c r="G938" t="s">
        <v>7</v>
      </c>
    </row>
    <row r="939" spans="1:7" x14ac:dyDescent="0.3">
      <c r="A939" t="s">
        <v>21</v>
      </c>
      <c r="B939" s="1">
        <v>45777</v>
      </c>
      <c r="C939">
        <v>240002</v>
      </c>
      <c r="D939">
        <v>3.8180000000000001</v>
      </c>
      <c r="E939" t="s">
        <v>4</v>
      </c>
      <c r="F939" t="s">
        <v>43</v>
      </c>
      <c r="G939" t="s">
        <v>7</v>
      </c>
    </row>
    <row r="940" spans="1:7" x14ac:dyDescent="0.3">
      <c r="A940" t="s">
        <v>21</v>
      </c>
      <c r="B940" s="1">
        <v>45777</v>
      </c>
      <c r="C940">
        <v>240009</v>
      </c>
      <c r="D940">
        <v>-3.8180000000000001</v>
      </c>
      <c r="E940" t="s">
        <v>4</v>
      </c>
      <c r="F940" t="s">
        <v>43</v>
      </c>
      <c r="G940" t="s">
        <v>7</v>
      </c>
    </row>
    <row r="941" spans="1:7" x14ac:dyDescent="0.3">
      <c r="A941" t="s">
        <v>21</v>
      </c>
      <c r="B941" s="1">
        <v>45777</v>
      </c>
      <c r="C941">
        <v>242003</v>
      </c>
      <c r="D941">
        <v>-14703.243</v>
      </c>
      <c r="E941" t="s">
        <v>4</v>
      </c>
      <c r="F941" t="s">
        <v>43</v>
      </c>
      <c r="G941" t="s">
        <v>7</v>
      </c>
    </row>
    <row r="942" spans="1:7" x14ac:dyDescent="0.3">
      <c r="A942" t="s">
        <v>21</v>
      </c>
      <c r="B942" s="1">
        <v>45777</v>
      </c>
      <c r="C942">
        <v>242011</v>
      </c>
      <c r="D942">
        <v>-17431.883999999998</v>
      </c>
      <c r="E942" t="s">
        <v>4</v>
      </c>
      <c r="F942" t="s">
        <v>43</v>
      </c>
      <c r="G942" t="s">
        <v>7</v>
      </c>
    </row>
    <row r="943" spans="1:7" x14ac:dyDescent="0.3">
      <c r="A943" t="s">
        <v>21</v>
      </c>
      <c r="B943" s="1">
        <v>45777</v>
      </c>
      <c r="C943">
        <v>242012</v>
      </c>
      <c r="D943">
        <v>-14582.279</v>
      </c>
      <c r="E943" t="s">
        <v>4</v>
      </c>
      <c r="F943" t="s">
        <v>43</v>
      </c>
      <c r="G943" t="s">
        <v>7</v>
      </c>
    </row>
    <row r="944" spans="1:7" x14ac:dyDescent="0.3">
      <c r="A944" t="s">
        <v>21</v>
      </c>
      <c r="B944" s="1">
        <v>45777</v>
      </c>
      <c r="C944">
        <v>242014</v>
      </c>
      <c r="D944">
        <v>-2739.1550000000002</v>
      </c>
      <c r="E944" t="s">
        <v>4</v>
      </c>
      <c r="F944" t="s">
        <v>43</v>
      </c>
      <c r="G944" t="s">
        <v>7</v>
      </c>
    </row>
    <row r="945" spans="1:7" x14ac:dyDescent="0.3">
      <c r="A945" t="s">
        <v>21</v>
      </c>
      <c r="B945" s="1">
        <v>45777</v>
      </c>
      <c r="C945">
        <v>242030</v>
      </c>
      <c r="D945">
        <v>-273.464</v>
      </c>
      <c r="E945" t="s">
        <v>4</v>
      </c>
      <c r="F945" t="s">
        <v>43</v>
      </c>
      <c r="G945" t="s">
        <v>7</v>
      </c>
    </row>
    <row r="946" spans="1:7" x14ac:dyDescent="0.3">
      <c r="A946" t="s">
        <v>21</v>
      </c>
      <c r="B946" s="1">
        <v>45777</v>
      </c>
      <c r="C946">
        <v>242041</v>
      </c>
      <c r="D946">
        <v>2143.0990000000002</v>
      </c>
      <c r="E946" t="s">
        <v>4</v>
      </c>
      <c r="F946" t="s">
        <v>43</v>
      </c>
      <c r="G946" t="s">
        <v>7</v>
      </c>
    </row>
    <row r="947" spans="1:7" x14ac:dyDescent="0.3">
      <c r="A947" t="s">
        <v>21</v>
      </c>
      <c r="B947" s="1">
        <v>45777</v>
      </c>
      <c r="C947">
        <v>243002</v>
      </c>
      <c r="D947">
        <v>-256.85000000000002</v>
      </c>
      <c r="E947" t="s">
        <v>4</v>
      </c>
      <c r="F947" t="s">
        <v>43</v>
      </c>
      <c r="G947" t="s">
        <v>7</v>
      </c>
    </row>
    <row r="948" spans="1:7" x14ac:dyDescent="0.3">
      <c r="A948" t="s">
        <v>21</v>
      </c>
      <c r="B948" s="1">
        <v>45777</v>
      </c>
      <c r="C948">
        <v>245055</v>
      </c>
      <c r="D948">
        <v>-268.75200000000001</v>
      </c>
      <c r="E948" t="s">
        <v>4</v>
      </c>
      <c r="F948" t="s">
        <v>43</v>
      </c>
      <c r="G948" t="s">
        <v>7</v>
      </c>
    </row>
    <row r="949" spans="1:7" x14ac:dyDescent="0.3">
      <c r="A949" t="s">
        <v>21</v>
      </c>
      <c r="B949" s="1">
        <v>45777</v>
      </c>
      <c r="C949">
        <v>245062</v>
      </c>
      <c r="D949">
        <v>-17.456</v>
      </c>
      <c r="E949" t="s">
        <v>4</v>
      </c>
      <c r="F949" t="s">
        <v>43</v>
      </c>
      <c r="G949" t="s">
        <v>7</v>
      </c>
    </row>
    <row r="950" spans="1:7" x14ac:dyDescent="0.3">
      <c r="A950" t="s">
        <v>21</v>
      </c>
      <c r="B950" s="1">
        <v>45777</v>
      </c>
      <c r="C950">
        <v>251002</v>
      </c>
      <c r="D950">
        <v>-23736.580999999998</v>
      </c>
      <c r="E950" t="s">
        <v>4</v>
      </c>
      <c r="F950" t="s">
        <v>45</v>
      </c>
      <c r="G950" t="s">
        <v>7</v>
      </c>
    </row>
    <row r="951" spans="1:7" x14ac:dyDescent="0.3">
      <c r="A951" t="s">
        <v>21</v>
      </c>
      <c r="B951" s="1">
        <v>45777</v>
      </c>
      <c r="C951">
        <v>257008</v>
      </c>
      <c r="D951">
        <v>-1475.1389999999999</v>
      </c>
      <c r="E951" t="s">
        <v>4</v>
      </c>
      <c r="F951" t="s">
        <v>45</v>
      </c>
      <c r="G951" t="s">
        <v>7</v>
      </c>
    </row>
    <row r="952" spans="1:7" x14ac:dyDescent="0.3">
      <c r="A952" t="s">
        <v>21</v>
      </c>
      <c r="B952" s="1">
        <v>45777</v>
      </c>
      <c r="C952">
        <v>257028</v>
      </c>
      <c r="D952">
        <v>1327.164</v>
      </c>
      <c r="E952" t="s">
        <v>4</v>
      </c>
      <c r="F952" t="s">
        <v>45</v>
      </c>
      <c r="G952" t="s">
        <v>7</v>
      </c>
    </row>
    <row r="953" spans="1:7" x14ac:dyDescent="0.3">
      <c r="A953" t="s">
        <v>21</v>
      </c>
      <c r="B953" s="1">
        <v>45777</v>
      </c>
      <c r="C953">
        <v>257030</v>
      </c>
      <c r="D953">
        <v>-933.72</v>
      </c>
      <c r="E953" t="s">
        <v>4</v>
      </c>
      <c r="F953" t="s">
        <v>45</v>
      </c>
      <c r="G953" t="s">
        <v>7</v>
      </c>
    </row>
    <row r="954" spans="1:7" x14ac:dyDescent="0.3">
      <c r="A954" t="s">
        <v>21</v>
      </c>
      <c r="B954" s="1">
        <v>45777</v>
      </c>
      <c r="C954">
        <v>260004</v>
      </c>
      <c r="D954">
        <v>-10226.267</v>
      </c>
      <c r="E954" t="s">
        <v>4</v>
      </c>
      <c r="F954" t="s">
        <v>45</v>
      </c>
      <c r="G954" t="s">
        <v>7</v>
      </c>
    </row>
    <row r="955" spans="1:7" x14ac:dyDescent="0.3">
      <c r="A955" t="s">
        <v>21</v>
      </c>
      <c r="B955" s="1">
        <v>45777</v>
      </c>
      <c r="C955">
        <v>270026</v>
      </c>
      <c r="D955">
        <v>-4795.5439999999999</v>
      </c>
      <c r="E955" t="s">
        <v>4</v>
      </c>
      <c r="F955" t="s">
        <v>58</v>
      </c>
      <c r="G955" t="s">
        <v>7</v>
      </c>
    </row>
    <row r="956" spans="1:7" x14ac:dyDescent="0.3">
      <c r="A956" t="s">
        <v>21</v>
      </c>
      <c r="B956" s="1">
        <v>45777</v>
      </c>
      <c r="C956">
        <v>320003</v>
      </c>
      <c r="D956">
        <v>13402.206</v>
      </c>
      <c r="E956" t="s">
        <v>4</v>
      </c>
      <c r="F956" t="s">
        <v>46</v>
      </c>
      <c r="G956" t="s">
        <v>7</v>
      </c>
    </row>
    <row r="957" spans="1:7" x14ac:dyDescent="0.3">
      <c r="A957" t="s">
        <v>21</v>
      </c>
      <c r="B957" s="1">
        <v>45777</v>
      </c>
      <c r="C957">
        <v>320004</v>
      </c>
      <c r="D957">
        <v>116.13800000000001</v>
      </c>
      <c r="E957" t="s">
        <v>4</v>
      </c>
      <c r="F957" t="s">
        <v>46</v>
      </c>
      <c r="G957" t="s">
        <v>7</v>
      </c>
    </row>
    <row r="958" spans="1:7" x14ac:dyDescent="0.3">
      <c r="A958" t="s">
        <v>21</v>
      </c>
      <c r="B958" s="1">
        <v>45777</v>
      </c>
      <c r="C958">
        <v>321002</v>
      </c>
      <c r="D958">
        <v>-1377.635</v>
      </c>
      <c r="E958" t="s">
        <v>4</v>
      </c>
      <c r="F958" t="s">
        <v>46</v>
      </c>
      <c r="G958" t="s">
        <v>7</v>
      </c>
    </row>
    <row r="959" spans="1:7" x14ac:dyDescent="0.3">
      <c r="A959" t="s">
        <v>21</v>
      </c>
      <c r="B959" s="1">
        <v>45777</v>
      </c>
      <c r="C959">
        <v>321010</v>
      </c>
      <c r="D959">
        <v>12.108000000000001</v>
      </c>
      <c r="E959" t="s">
        <v>4</v>
      </c>
      <c r="F959" t="s">
        <v>46</v>
      </c>
      <c r="G959" t="s">
        <v>7</v>
      </c>
    </row>
    <row r="960" spans="1:7" x14ac:dyDescent="0.3">
      <c r="A960" t="s">
        <v>21</v>
      </c>
      <c r="B960" s="1">
        <v>45777</v>
      </c>
      <c r="C960">
        <v>321012</v>
      </c>
      <c r="D960">
        <v>4084.15</v>
      </c>
      <c r="E960" t="s">
        <v>4</v>
      </c>
      <c r="F960" t="s">
        <v>46</v>
      </c>
      <c r="G960" t="s">
        <v>7</v>
      </c>
    </row>
    <row r="961" spans="1:7" x14ac:dyDescent="0.3">
      <c r="A961" t="s">
        <v>21</v>
      </c>
      <c r="B961" s="1">
        <v>45777</v>
      </c>
      <c r="C961">
        <v>321013</v>
      </c>
      <c r="D961">
        <v>26.494</v>
      </c>
      <c r="E961" t="s">
        <v>4</v>
      </c>
      <c r="F961" t="s">
        <v>46</v>
      </c>
      <c r="G961" t="s">
        <v>7</v>
      </c>
    </row>
    <row r="962" spans="1:7" x14ac:dyDescent="0.3">
      <c r="A962" t="s">
        <v>21</v>
      </c>
      <c r="B962" s="1">
        <v>45777</v>
      </c>
      <c r="C962">
        <v>321014</v>
      </c>
      <c r="D962">
        <v>12.108000000000001</v>
      </c>
      <c r="E962" t="s">
        <v>4</v>
      </c>
      <c r="F962" t="s">
        <v>46</v>
      </c>
      <c r="G962" t="s">
        <v>7</v>
      </c>
    </row>
    <row r="963" spans="1:7" x14ac:dyDescent="0.3">
      <c r="A963" t="s">
        <v>21</v>
      </c>
      <c r="B963" s="1">
        <v>45777</v>
      </c>
      <c r="C963">
        <v>321025</v>
      </c>
      <c r="D963">
        <v>798.149</v>
      </c>
      <c r="E963" t="s">
        <v>4</v>
      </c>
      <c r="F963" t="s">
        <v>46</v>
      </c>
      <c r="G963" t="s">
        <v>7</v>
      </c>
    </row>
    <row r="964" spans="1:7" x14ac:dyDescent="0.3">
      <c r="A964" t="s">
        <v>21</v>
      </c>
      <c r="B964" s="1">
        <v>45777</v>
      </c>
      <c r="C964">
        <v>321029</v>
      </c>
      <c r="D964">
        <v>11918.504999999999</v>
      </c>
      <c r="E964" t="s">
        <v>4</v>
      </c>
      <c r="F964" t="s">
        <v>46</v>
      </c>
      <c r="G964" t="s">
        <v>7</v>
      </c>
    </row>
    <row r="965" spans="1:7" x14ac:dyDescent="0.3">
      <c r="A965" t="s">
        <v>21</v>
      </c>
      <c r="B965" s="1">
        <v>45777</v>
      </c>
      <c r="C965">
        <v>321031</v>
      </c>
      <c r="D965">
        <v>422.911</v>
      </c>
      <c r="E965" t="s">
        <v>4</v>
      </c>
      <c r="F965" t="s">
        <v>46</v>
      </c>
      <c r="G965" t="s">
        <v>7</v>
      </c>
    </row>
    <row r="966" spans="1:7" x14ac:dyDescent="0.3">
      <c r="A966" t="s">
        <v>21</v>
      </c>
      <c r="B966" s="1">
        <v>45777</v>
      </c>
      <c r="C966">
        <v>321042</v>
      </c>
      <c r="D966">
        <v>-4.9909999999999997</v>
      </c>
      <c r="E966" t="s">
        <v>4</v>
      </c>
      <c r="F966" t="s">
        <v>46</v>
      </c>
      <c r="G966" t="s">
        <v>7</v>
      </c>
    </row>
    <row r="967" spans="1:7" x14ac:dyDescent="0.3">
      <c r="A967" t="s">
        <v>21</v>
      </c>
      <c r="B967" s="1">
        <v>45777</v>
      </c>
      <c r="C967">
        <v>340265</v>
      </c>
      <c r="D967">
        <v>273220.13400000002</v>
      </c>
      <c r="E967" t="s">
        <v>4</v>
      </c>
      <c r="F967" t="s">
        <v>47</v>
      </c>
      <c r="G967" t="s">
        <v>7</v>
      </c>
    </row>
    <row r="968" spans="1:7" x14ac:dyDescent="0.3">
      <c r="A968" t="s">
        <v>21</v>
      </c>
      <c r="B968" s="1">
        <v>45777</v>
      </c>
      <c r="C968">
        <v>340266</v>
      </c>
      <c r="D968">
        <v>-239893.37599999999</v>
      </c>
      <c r="E968" t="s">
        <v>4</v>
      </c>
      <c r="F968" t="s">
        <v>47</v>
      </c>
      <c r="G968" t="s">
        <v>7</v>
      </c>
    </row>
    <row r="969" spans="1:7" x14ac:dyDescent="0.3">
      <c r="A969" t="s">
        <v>21</v>
      </c>
      <c r="B969" s="1">
        <v>45777</v>
      </c>
      <c r="C969">
        <v>350031</v>
      </c>
      <c r="D969">
        <v>3.8180000000000001</v>
      </c>
      <c r="E969" t="s">
        <v>4</v>
      </c>
      <c r="F969" t="s">
        <v>43</v>
      </c>
      <c r="G969" t="s">
        <v>7</v>
      </c>
    </row>
    <row r="970" spans="1:7" x14ac:dyDescent="0.3">
      <c r="A970" t="s">
        <v>21</v>
      </c>
      <c r="B970" s="1">
        <v>45777</v>
      </c>
      <c r="C970">
        <v>352002</v>
      </c>
      <c r="D970">
        <v>1414.3920000000001</v>
      </c>
      <c r="E970" t="s">
        <v>4</v>
      </c>
      <c r="F970" t="s">
        <v>48</v>
      </c>
      <c r="G970" t="s">
        <v>7</v>
      </c>
    </row>
    <row r="971" spans="1:7" x14ac:dyDescent="0.3">
      <c r="A971" t="s">
        <v>21</v>
      </c>
      <c r="B971" s="1">
        <v>45777</v>
      </c>
      <c r="C971">
        <v>354014</v>
      </c>
      <c r="D971">
        <v>1334.1759999999999</v>
      </c>
      <c r="E971" t="s">
        <v>4</v>
      </c>
      <c r="F971" t="s">
        <v>46</v>
      </c>
      <c r="G971" t="s">
        <v>7</v>
      </c>
    </row>
    <row r="972" spans="1:7" x14ac:dyDescent="0.3">
      <c r="A972" t="s">
        <v>21</v>
      </c>
      <c r="B972" s="1">
        <v>45777</v>
      </c>
      <c r="C972">
        <v>360028</v>
      </c>
      <c r="D972">
        <v>4795.5439999999999</v>
      </c>
      <c r="E972" t="s">
        <v>4</v>
      </c>
      <c r="F972" t="s">
        <v>58</v>
      </c>
      <c r="G972" t="s">
        <v>7</v>
      </c>
    </row>
    <row r="973" spans="1:7" x14ac:dyDescent="0.3">
      <c r="A973" t="s">
        <v>21</v>
      </c>
      <c r="B973" s="1">
        <v>45777</v>
      </c>
      <c r="C973">
        <v>360030</v>
      </c>
      <c r="D973">
        <v>400.47899999999998</v>
      </c>
      <c r="E973" t="s">
        <v>4</v>
      </c>
      <c r="F973" t="s">
        <v>58</v>
      </c>
      <c r="G973" t="s">
        <v>7</v>
      </c>
    </row>
    <row r="974" spans="1:7" x14ac:dyDescent="0.3">
      <c r="A974" t="s">
        <v>21</v>
      </c>
      <c r="B974" s="1">
        <v>45777</v>
      </c>
      <c r="C974">
        <v>372004</v>
      </c>
      <c r="D974">
        <v>4419.402</v>
      </c>
      <c r="E974" t="s">
        <v>4</v>
      </c>
      <c r="F974" t="s">
        <v>45</v>
      </c>
      <c r="G974" t="s">
        <v>7</v>
      </c>
    </row>
    <row r="975" spans="1:7" x14ac:dyDescent="0.3">
      <c r="A975" t="s">
        <v>21</v>
      </c>
      <c r="B975" s="1">
        <v>45777</v>
      </c>
      <c r="C975">
        <v>410002</v>
      </c>
      <c r="D975">
        <v>-875.90700000000004</v>
      </c>
      <c r="E975" t="s">
        <v>6</v>
      </c>
      <c r="F975" t="s">
        <v>51</v>
      </c>
      <c r="G975" t="s">
        <v>7</v>
      </c>
    </row>
    <row r="976" spans="1:7" x14ac:dyDescent="0.3">
      <c r="A976" t="s">
        <v>21</v>
      </c>
      <c r="B976" s="1">
        <v>45777</v>
      </c>
      <c r="C976">
        <v>410032</v>
      </c>
      <c r="D976">
        <v>-352.714</v>
      </c>
      <c r="E976" t="s">
        <v>6</v>
      </c>
      <c r="F976" t="s">
        <v>51</v>
      </c>
      <c r="G976" t="s">
        <v>7</v>
      </c>
    </row>
    <row r="977" spans="1:7" x14ac:dyDescent="0.3">
      <c r="A977" t="s">
        <v>21</v>
      </c>
      <c r="B977" s="1">
        <v>45777</v>
      </c>
      <c r="C977">
        <v>410037</v>
      </c>
      <c r="D977">
        <v>-761.86199999999997</v>
      </c>
      <c r="E977" t="s">
        <v>6</v>
      </c>
      <c r="F977" t="s">
        <v>51</v>
      </c>
      <c r="G977" t="s">
        <v>7</v>
      </c>
    </row>
    <row r="978" spans="1:7" x14ac:dyDescent="0.3">
      <c r="A978" t="s">
        <v>21</v>
      </c>
      <c r="B978" s="1">
        <v>45777</v>
      </c>
      <c r="C978">
        <v>415002</v>
      </c>
      <c r="D978">
        <v>-727.49800000000005</v>
      </c>
      <c r="E978" t="s">
        <v>6</v>
      </c>
      <c r="F978" t="s">
        <v>50</v>
      </c>
      <c r="G978" t="s">
        <v>7</v>
      </c>
    </row>
    <row r="979" spans="1:7" x14ac:dyDescent="0.3">
      <c r="A979" t="s">
        <v>21</v>
      </c>
      <c r="B979" s="1">
        <v>45777</v>
      </c>
      <c r="C979">
        <v>415004</v>
      </c>
      <c r="D979">
        <v>-1036.5160000000001</v>
      </c>
      <c r="E979" t="s">
        <v>6</v>
      </c>
      <c r="F979" t="s">
        <v>50</v>
      </c>
      <c r="G979" t="s">
        <v>7</v>
      </c>
    </row>
    <row r="980" spans="1:7" x14ac:dyDescent="0.3">
      <c r="A980" t="s">
        <v>21</v>
      </c>
      <c r="B980" s="1">
        <v>45777</v>
      </c>
      <c r="C980">
        <v>421002</v>
      </c>
      <c r="D980">
        <v>47.396000000000001</v>
      </c>
      <c r="E980" t="s">
        <v>6</v>
      </c>
      <c r="F980" t="s">
        <v>52</v>
      </c>
      <c r="G980" t="s">
        <v>7</v>
      </c>
    </row>
    <row r="981" spans="1:7" x14ac:dyDescent="0.3">
      <c r="A981" t="s">
        <v>21</v>
      </c>
      <c r="B981" s="1">
        <v>45777</v>
      </c>
      <c r="C981">
        <v>421003</v>
      </c>
      <c r="D981">
        <v>1042.6120000000001</v>
      </c>
      <c r="E981" t="s">
        <v>6</v>
      </c>
      <c r="F981" t="s">
        <v>52</v>
      </c>
      <c r="G981" t="s">
        <v>7</v>
      </c>
    </row>
    <row r="982" spans="1:7" x14ac:dyDescent="0.3">
      <c r="A982" t="s">
        <v>21</v>
      </c>
      <c r="B982" s="1">
        <v>45777</v>
      </c>
      <c r="C982">
        <v>421007</v>
      </c>
      <c r="D982">
        <v>-394.03</v>
      </c>
      <c r="E982" t="s">
        <v>6</v>
      </c>
      <c r="F982" t="s">
        <v>52</v>
      </c>
      <c r="G982" t="s">
        <v>7</v>
      </c>
    </row>
    <row r="983" spans="1:7" x14ac:dyDescent="0.3">
      <c r="A983" t="s">
        <v>21</v>
      </c>
      <c r="B983" s="1">
        <v>45777</v>
      </c>
      <c r="C983">
        <v>510002</v>
      </c>
      <c r="D983">
        <v>3861.2730000000001</v>
      </c>
      <c r="E983" t="s">
        <v>6</v>
      </c>
      <c r="F983" t="s">
        <v>53</v>
      </c>
      <c r="G983" t="s">
        <v>7</v>
      </c>
    </row>
    <row r="984" spans="1:7" x14ac:dyDescent="0.3">
      <c r="A984" t="s">
        <v>21</v>
      </c>
      <c r="B984" s="1">
        <v>45777</v>
      </c>
      <c r="C984">
        <v>510007</v>
      </c>
      <c r="D984">
        <v>17.456</v>
      </c>
      <c r="E984" t="s">
        <v>6</v>
      </c>
      <c r="F984" t="s">
        <v>53</v>
      </c>
      <c r="G984" t="s">
        <v>7</v>
      </c>
    </row>
    <row r="985" spans="1:7" x14ac:dyDescent="0.3">
      <c r="A985" t="s">
        <v>21</v>
      </c>
      <c r="B985" s="1">
        <v>45777</v>
      </c>
      <c r="C985">
        <v>510015</v>
      </c>
      <c r="D985">
        <v>224.09100000000001</v>
      </c>
      <c r="E985" t="s">
        <v>6</v>
      </c>
      <c r="F985" t="s">
        <v>53</v>
      </c>
      <c r="G985" t="s">
        <v>7</v>
      </c>
    </row>
    <row r="986" spans="1:7" x14ac:dyDescent="0.3">
      <c r="A986" t="s">
        <v>21</v>
      </c>
      <c r="B986" s="1">
        <v>45777</v>
      </c>
      <c r="C986">
        <v>510018</v>
      </c>
      <c r="D986">
        <v>18.355</v>
      </c>
      <c r="E986" t="s">
        <v>6</v>
      </c>
      <c r="F986" t="s">
        <v>53</v>
      </c>
      <c r="G986" t="s">
        <v>7</v>
      </c>
    </row>
    <row r="987" spans="1:7" x14ac:dyDescent="0.3">
      <c r="A987" t="s">
        <v>21</v>
      </c>
      <c r="B987" s="1">
        <v>45777</v>
      </c>
      <c r="C987">
        <v>510062</v>
      </c>
      <c r="D987">
        <v>75.536000000000001</v>
      </c>
      <c r="E987" t="s">
        <v>6</v>
      </c>
      <c r="F987" t="s">
        <v>53</v>
      </c>
      <c r="G987" t="s">
        <v>7</v>
      </c>
    </row>
    <row r="988" spans="1:7" x14ac:dyDescent="0.3">
      <c r="A988" t="s">
        <v>21</v>
      </c>
      <c r="B988" s="1">
        <v>45777</v>
      </c>
      <c r="C988">
        <v>541010</v>
      </c>
      <c r="D988">
        <v>127.831</v>
      </c>
      <c r="E988" t="s">
        <v>6</v>
      </c>
      <c r="F988" t="s">
        <v>61</v>
      </c>
      <c r="G988" t="s">
        <v>7</v>
      </c>
    </row>
    <row r="989" spans="1:7" x14ac:dyDescent="0.3">
      <c r="A989" t="s">
        <v>21</v>
      </c>
      <c r="B989" s="1">
        <v>45777</v>
      </c>
      <c r="C989">
        <v>546002</v>
      </c>
      <c r="D989">
        <v>984.69</v>
      </c>
      <c r="E989" t="s">
        <v>6</v>
      </c>
      <c r="F989" t="s">
        <v>51</v>
      </c>
      <c r="G989" t="s">
        <v>7</v>
      </c>
    </row>
    <row r="990" spans="1:7" x14ac:dyDescent="0.3">
      <c r="A990" t="s">
        <v>21</v>
      </c>
      <c r="B990" s="1">
        <v>45777</v>
      </c>
      <c r="C990">
        <v>546008</v>
      </c>
      <c r="D990">
        <v>572.29899999999998</v>
      </c>
      <c r="E990" t="s">
        <v>6</v>
      </c>
      <c r="F990" t="s">
        <v>51</v>
      </c>
      <c r="G990" t="s">
        <v>7</v>
      </c>
    </row>
    <row r="991" spans="1:7" x14ac:dyDescent="0.3">
      <c r="A991" t="s">
        <v>21</v>
      </c>
      <c r="B991" s="1">
        <v>45777</v>
      </c>
      <c r="C991">
        <v>552502</v>
      </c>
      <c r="D991">
        <v>707.19600000000003</v>
      </c>
      <c r="E991" t="s">
        <v>6</v>
      </c>
      <c r="F991" t="s">
        <v>55</v>
      </c>
      <c r="G991" t="s">
        <v>7</v>
      </c>
    </row>
    <row r="992" spans="1:7" x14ac:dyDescent="0.3">
      <c r="A992" t="s">
        <v>21</v>
      </c>
      <c r="B992" s="1">
        <v>45777</v>
      </c>
      <c r="C992">
        <v>555508</v>
      </c>
      <c r="D992">
        <v>108.26600000000001</v>
      </c>
      <c r="E992" t="s">
        <v>6</v>
      </c>
      <c r="F992" t="s">
        <v>55</v>
      </c>
      <c r="G992" t="s">
        <v>7</v>
      </c>
    </row>
    <row r="993" spans="1:7" x14ac:dyDescent="0.3">
      <c r="A993" t="s">
        <v>21</v>
      </c>
      <c r="B993" s="1">
        <v>45777</v>
      </c>
      <c r="C993">
        <v>557002</v>
      </c>
      <c r="D993">
        <v>-503.11900000000003</v>
      </c>
      <c r="E993" t="s">
        <v>6</v>
      </c>
      <c r="F993" t="s">
        <v>56</v>
      </c>
      <c r="G993" t="s">
        <v>7</v>
      </c>
    </row>
    <row r="994" spans="1:7" x14ac:dyDescent="0.3">
      <c r="A994" t="s">
        <v>21</v>
      </c>
      <c r="B994" s="1">
        <v>45777</v>
      </c>
      <c r="C994">
        <v>564006</v>
      </c>
      <c r="D994">
        <v>4.0000000000000001E-3</v>
      </c>
      <c r="E994" t="s">
        <v>6</v>
      </c>
      <c r="F994" t="s">
        <v>57</v>
      </c>
      <c r="G994" t="s">
        <v>7</v>
      </c>
    </row>
    <row r="995" spans="1:7" x14ac:dyDescent="0.3">
      <c r="A995" t="s">
        <v>21</v>
      </c>
      <c r="B995" s="1">
        <v>45777</v>
      </c>
      <c r="C995">
        <v>564020</v>
      </c>
      <c r="D995">
        <v>16.756</v>
      </c>
      <c r="E995" t="s">
        <v>6</v>
      </c>
      <c r="F995" t="s">
        <v>57</v>
      </c>
      <c r="G995" t="s">
        <v>7</v>
      </c>
    </row>
    <row r="996" spans="1:7" x14ac:dyDescent="0.3">
      <c r="A996" t="s">
        <v>22</v>
      </c>
      <c r="B996" s="1">
        <v>45777</v>
      </c>
      <c r="C996">
        <v>220006</v>
      </c>
      <c r="D996">
        <v>-66209.827999999994</v>
      </c>
      <c r="E996" t="s">
        <v>4</v>
      </c>
      <c r="F996" t="s">
        <v>42</v>
      </c>
      <c r="G996" t="s">
        <v>8</v>
      </c>
    </row>
    <row r="997" spans="1:7" x14ac:dyDescent="0.3">
      <c r="A997" t="s">
        <v>22</v>
      </c>
      <c r="B997" s="1">
        <v>45777</v>
      </c>
      <c r="C997">
        <v>240002</v>
      </c>
      <c r="D997">
        <v>-474.79199999999997</v>
      </c>
      <c r="E997" t="s">
        <v>4</v>
      </c>
      <c r="F997" t="s">
        <v>43</v>
      </c>
      <c r="G997" t="s">
        <v>8</v>
      </c>
    </row>
    <row r="998" spans="1:7" x14ac:dyDescent="0.3">
      <c r="A998" t="s">
        <v>22</v>
      </c>
      <c r="B998" s="1">
        <v>45777</v>
      </c>
      <c r="C998">
        <v>242003</v>
      </c>
      <c r="D998">
        <v>-89627.540999999997</v>
      </c>
      <c r="E998" t="s">
        <v>4</v>
      </c>
      <c r="F998" t="s">
        <v>43</v>
      </c>
      <c r="G998" t="s">
        <v>8</v>
      </c>
    </row>
    <row r="999" spans="1:7" x14ac:dyDescent="0.3">
      <c r="A999" t="s">
        <v>22</v>
      </c>
      <c r="B999" s="1">
        <v>45777</v>
      </c>
      <c r="C999">
        <v>242011</v>
      </c>
      <c r="D999">
        <v>-814.63599999999997</v>
      </c>
      <c r="E999" t="s">
        <v>4</v>
      </c>
      <c r="F999" t="s">
        <v>43</v>
      </c>
      <c r="G999" t="s">
        <v>8</v>
      </c>
    </row>
    <row r="1000" spans="1:7" x14ac:dyDescent="0.3">
      <c r="A1000" t="s">
        <v>22</v>
      </c>
      <c r="B1000" s="1">
        <v>45777</v>
      </c>
      <c r="C1000">
        <v>242016</v>
      </c>
      <c r="D1000">
        <v>-4490.723</v>
      </c>
      <c r="E1000" t="s">
        <v>4</v>
      </c>
      <c r="F1000" t="s">
        <v>43</v>
      </c>
      <c r="G1000" t="s">
        <v>8</v>
      </c>
    </row>
    <row r="1001" spans="1:7" x14ac:dyDescent="0.3">
      <c r="A1001" t="s">
        <v>22</v>
      </c>
      <c r="B1001" s="1">
        <v>45777</v>
      </c>
      <c r="C1001">
        <v>242027</v>
      </c>
      <c r="D1001">
        <v>-1974.1020000000001</v>
      </c>
      <c r="E1001" t="s">
        <v>4</v>
      </c>
      <c r="F1001" t="s">
        <v>43</v>
      </c>
      <c r="G1001" t="s">
        <v>8</v>
      </c>
    </row>
    <row r="1002" spans="1:7" x14ac:dyDescent="0.3">
      <c r="A1002" t="s">
        <v>22</v>
      </c>
      <c r="B1002" s="1">
        <v>45777</v>
      </c>
      <c r="C1002">
        <v>242039</v>
      </c>
      <c r="D1002">
        <v>-271.51100000000002</v>
      </c>
      <c r="E1002" t="s">
        <v>4</v>
      </c>
      <c r="F1002" t="s">
        <v>43</v>
      </c>
      <c r="G1002" t="s">
        <v>8</v>
      </c>
    </row>
    <row r="1003" spans="1:7" x14ac:dyDescent="0.3">
      <c r="A1003" t="s">
        <v>22</v>
      </c>
      <c r="B1003" s="1">
        <v>45777</v>
      </c>
      <c r="C1003">
        <v>242040</v>
      </c>
      <c r="D1003">
        <v>-577.85599999999999</v>
      </c>
      <c r="E1003" t="s">
        <v>4</v>
      </c>
      <c r="F1003" t="s">
        <v>43</v>
      </c>
      <c r="G1003" t="s">
        <v>8</v>
      </c>
    </row>
    <row r="1004" spans="1:7" x14ac:dyDescent="0.3">
      <c r="A1004" t="s">
        <v>22</v>
      </c>
      <c r="B1004" s="1">
        <v>45777</v>
      </c>
      <c r="C1004">
        <v>242041</v>
      </c>
      <c r="D1004">
        <v>-80.650000000000006</v>
      </c>
      <c r="E1004" t="s">
        <v>4</v>
      </c>
      <c r="F1004" t="s">
        <v>43</v>
      </c>
      <c r="G1004" t="s">
        <v>8</v>
      </c>
    </row>
    <row r="1005" spans="1:7" x14ac:dyDescent="0.3">
      <c r="A1005" t="s">
        <v>22</v>
      </c>
      <c r="B1005" s="1">
        <v>45777</v>
      </c>
      <c r="C1005">
        <v>243002</v>
      </c>
      <c r="D1005">
        <v>-4654.8879999999999</v>
      </c>
      <c r="E1005" t="s">
        <v>4</v>
      </c>
      <c r="F1005" t="s">
        <v>43</v>
      </c>
      <c r="G1005" t="s">
        <v>8</v>
      </c>
    </row>
    <row r="1006" spans="1:7" x14ac:dyDescent="0.3">
      <c r="A1006" t="s">
        <v>22</v>
      </c>
      <c r="B1006" s="1">
        <v>45777</v>
      </c>
      <c r="C1006">
        <v>243003</v>
      </c>
      <c r="D1006">
        <v>-3370.2539999999999</v>
      </c>
      <c r="E1006" t="s">
        <v>4</v>
      </c>
      <c r="F1006" t="s">
        <v>43</v>
      </c>
      <c r="G1006" t="s">
        <v>8</v>
      </c>
    </row>
    <row r="1007" spans="1:7" x14ac:dyDescent="0.3">
      <c r="A1007" t="s">
        <v>22</v>
      </c>
      <c r="B1007" s="1">
        <v>45777</v>
      </c>
      <c r="C1007">
        <v>243010</v>
      </c>
      <c r="D1007">
        <v>-831.60799999999995</v>
      </c>
      <c r="E1007" t="s">
        <v>4</v>
      </c>
      <c r="F1007" t="s">
        <v>43</v>
      </c>
      <c r="G1007" t="s">
        <v>8</v>
      </c>
    </row>
    <row r="1008" spans="1:7" x14ac:dyDescent="0.3">
      <c r="A1008" t="s">
        <v>22</v>
      </c>
      <c r="B1008" s="1">
        <v>45777</v>
      </c>
      <c r="C1008">
        <v>245055</v>
      </c>
      <c r="D1008">
        <v>-580.95299999999997</v>
      </c>
      <c r="E1008" t="s">
        <v>4</v>
      </c>
      <c r="F1008" t="s">
        <v>43</v>
      </c>
      <c r="G1008" t="s">
        <v>8</v>
      </c>
    </row>
    <row r="1009" spans="1:7" x14ac:dyDescent="0.3">
      <c r="A1009" t="s">
        <v>22</v>
      </c>
      <c r="B1009" s="1">
        <v>45777</v>
      </c>
      <c r="C1009">
        <v>245056</v>
      </c>
      <c r="D1009">
        <v>-582.84</v>
      </c>
      <c r="E1009" t="s">
        <v>4</v>
      </c>
      <c r="F1009" t="s">
        <v>49</v>
      </c>
      <c r="G1009" t="s">
        <v>8</v>
      </c>
    </row>
    <row r="1010" spans="1:7" x14ac:dyDescent="0.3">
      <c r="A1010" t="s">
        <v>22</v>
      </c>
      <c r="B1010" s="1">
        <v>45777</v>
      </c>
      <c r="C1010">
        <v>245062</v>
      </c>
      <c r="D1010">
        <v>-294.15199999999999</v>
      </c>
      <c r="E1010" t="s">
        <v>4</v>
      </c>
      <c r="F1010" t="s">
        <v>43</v>
      </c>
      <c r="G1010" t="s">
        <v>8</v>
      </c>
    </row>
    <row r="1011" spans="1:7" x14ac:dyDescent="0.3">
      <c r="A1011" t="s">
        <v>22</v>
      </c>
      <c r="B1011" s="1">
        <v>45777</v>
      </c>
      <c r="C1011">
        <v>251002</v>
      </c>
      <c r="D1011">
        <v>-6387.6189999999997</v>
      </c>
      <c r="E1011" t="s">
        <v>4</v>
      </c>
      <c r="F1011" t="s">
        <v>45</v>
      </c>
      <c r="G1011" t="s">
        <v>8</v>
      </c>
    </row>
    <row r="1012" spans="1:7" x14ac:dyDescent="0.3">
      <c r="A1012" t="s">
        <v>22</v>
      </c>
      <c r="B1012" s="1">
        <v>45777</v>
      </c>
      <c r="C1012">
        <v>257030</v>
      </c>
      <c r="D1012">
        <v>-2964.6509999999998</v>
      </c>
      <c r="E1012" t="s">
        <v>4</v>
      </c>
      <c r="F1012" t="s">
        <v>45</v>
      </c>
      <c r="G1012" t="s">
        <v>8</v>
      </c>
    </row>
    <row r="1013" spans="1:7" x14ac:dyDescent="0.3">
      <c r="A1013" t="s">
        <v>22</v>
      </c>
      <c r="B1013" s="1">
        <v>45777</v>
      </c>
      <c r="C1013">
        <v>260004</v>
      </c>
      <c r="D1013">
        <v>-5720.47</v>
      </c>
      <c r="E1013" t="s">
        <v>4</v>
      </c>
      <c r="F1013" t="s">
        <v>45</v>
      </c>
      <c r="G1013" t="s">
        <v>8</v>
      </c>
    </row>
    <row r="1014" spans="1:7" x14ac:dyDescent="0.3">
      <c r="A1014" t="s">
        <v>22</v>
      </c>
      <c r="B1014" s="1">
        <v>45777</v>
      </c>
      <c r="C1014">
        <v>270024</v>
      </c>
      <c r="D1014">
        <v>-13543.427</v>
      </c>
      <c r="E1014" t="s">
        <v>4</v>
      </c>
      <c r="F1014" t="s">
        <v>58</v>
      </c>
      <c r="G1014" t="s">
        <v>8</v>
      </c>
    </row>
    <row r="1015" spans="1:7" x14ac:dyDescent="0.3">
      <c r="A1015" t="s">
        <v>22</v>
      </c>
      <c r="B1015" s="1">
        <v>45777</v>
      </c>
      <c r="C1015">
        <v>270025</v>
      </c>
      <c r="D1015">
        <v>-1096.617</v>
      </c>
      <c r="E1015" t="s">
        <v>4</v>
      </c>
      <c r="F1015" t="s">
        <v>58</v>
      </c>
      <c r="G1015" t="s">
        <v>8</v>
      </c>
    </row>
    <row r="1016" spans="1:7" x14ac:dyDescent="0.3">
      <c r="A1016" t="s">
        <v>22</v>
      </c>
      <c r="B1016" s="1">
        <v>45777</v>
      </c>
      <c r="C1016">
        <v>270026</v>
      </c>
      <c r="D1016">
        <v>-388.00799999999998</v>
      </c>
      <c r="E1016" t="s">
        <v>4</v>
      </c>
      <c r="F1016" t="s">
        <v>58</v>
      </c>
      <c r="G1016" t="s">
        <v>8</v>
      </c>
    </row>
    <row r="1017" spans="1:7" x14ac:dyDescent="0.3">
      <c r="A1017" t="s">
        <v>22</v>
      </c>
      <c r="B1017" s="1">
        <v>45777</v>
      </c>
      <c r="C1017">
        <v>320002</v>
      </c>
      <c r="D1017">
        <v>19271.68</v>
      </c>
      <c r="E1017" t="s">
        <v>4</v>
      </c>
      <c r="F1017" t="s">
        <v>46</v>
      </c>
      <c r="G1017" t="s">
        <v>8</v>
      </c>
    </row>
    <row r="1018" spans="1:7" x14ac:dyDescent="0.3">
      <c r="A1018" t="s">
        <v>22</v>
      </c>
      <c r="B1018" s="1">
        <v>45777</v>
      </c>
      <c r="C1018">
        <v>321002</v>
      </c>
      <c r="D1018">
        <v>23205.503000000001</v>
      </c>
      <c r="E1018" t="s">
        <v>4</v>
      </c>
      <c r="F1018" t="s">
        <v>46</v>
      </c>
      <c r="G1018" t="s">
        <v>8</v>
      </c>
    </row>
    <row r="1019" spans="1:7" x14ac:dyDescent="0.3">
      <c r="A1019" t="s">
        <v>22</v>
      </c>
      <c r="B1019" s="1">
        <v>45777</v>
      </c>
      <c r="C1019">
        <v>321029</v>
      </c>
      <c r="D1019">
        <v>794.61099999999999</v>
      </c>
      <c r="E1019" t="s">
        <v>4</v>
      </c>
      <c r="F1019" t="s">
        <v>46</v>
      </c>
      <c r="G1019" t="s">
        <v>8</v>
      </c>
    </row>
    <row r="1020" spans="1:7" x14ac:dyDescent="0.3">
      <c r="A1020" t="s">
        <v>22</v>
      </c>
      <c r="B1020" s="1">
        <v>45777</v>
      </c>
      <c r="C1020">
        <v>321042</v>
      </c>
      <c r="D1020">
        <v>5.0000000000000001E-3</v>
      </c>
      <c r="E1020" t="s">
        <v>4</v>
      </c>
      <c r="F1020" t="s">
        <v>46</v>
      </c>
      <c r="G1020" t="s">
        <v>8</v>
      </c>
    </row>
    <row r="1021" spans="1:7" x14ac:dyDescent="0.3">
      <c r="A1021" t="s">
        <v>22</v>
      </c>
      <c r="B1021" s="1">
        <v>45777</v>
      </c>
      <c r="C1021">
        <v>330116</v>
      </c>
      <c r="D1021">
        <v>211.99799999999999</v>
      </c>
      <c r="E1021" t="s">
        <v>4</v>
      </c>
      <c r="F1021" t="s">
        <v>43</v>
      </c>
      <c r="G1021" t="s">
        <v>8</v>
      </c>
    </row>
    <row r="1022" spans="1:7" x14ac:dyDescent="0.3">
      <c r="A1022" t="s">
        <v>22</v>
      </c>
      <c r="B1022" s="1">
        <v>45777</v>
      </c>
      <c r="C1022">
        <v>340208</v>
      </c>
      <c r="D1022">
        <v>70823.051999999996</v>
      </c>
      <c r="E1022" t="s">
        <v>4</v>
      </c>
      <c r="F1022" t="s">
        <v>47</v>
      </c>
      <c r="G1022" t="s">
        <v>8</v>
      </c>
    </row>
    <row r="1023" spans="1:7" x14ac:dyDescent="0.3">
      <c r="A1023" t="s">
        <v>22</v>
      </c>
      <c r="B1023" s="1">
        <v>45777</v>
      </c>
      <c r="C1023">
        <v>350003</v>
      </c>
      <c r="D1023">
        <v>-390.572</v>
      </c>
      <c r="E1023" t="s">
        <v>4</v>
      </c>
      <c r="F1023" t="s">
        <v>49</v>
      </c>
      <c r="G1023" t="s">
        <v>8</v>
      </c>
    </row>
    <row r="1024" spans="1:7" x14ac:dyDescent="0.3">
      <c r="A1024" t="s">
        <v>22</v>
      </c>
      <c r="B1024" s="1">
        <v>45777</v>
      </c>
      <c r="C1024">
        <v>350034</v>
      </c>
      <c r="D1024">
        <v>582.84</v>
      </c>
      <c r="E1024" t="s">
        <v>4</v>
      </c>
      <c r="F1024" t="s">
        <v>49</v>
      </c>
      <c r="G1024" t="s">
        <v>8</v>
      </c>
    </row>
    <row r="1025" spans="1:7" x14ac:dyDescent="0.3">
      <c r="A1025" t="s">
        <v>22</v>
      </c>
      <c r="B1025" s="1">
        <v>45777</v>
      </c>
      <c r="C1025">
        <v>354015</v>
      </c>
      <c r="D1025">
        <v>48049.68</v>
      </c>
      <c r="E1025" t="s">
        <v>4</v>
      </c>
      <c r="F1025" t="s">
        <v>46</v>
      </c>
      <c r="G1025" t="s">
        <v>8</v>
      </c>
    </row>
    <row r="1026" spans="1:7" x14ac:dyDescent="0.3">
      <c r="A1026" t="s">
        <v>22</v>
      </c>
      <c r="B1026" s="1">
        <v>45777</v>
      </c>
      <c r="C1026">
        <v>355002</v>
      </c>
      <c r="D1026">
        <v>38.838999999999999</v>
      </c>
      <c r="E1026" t="s">
        <v>4</v>
      </c>
      <c r="F1026" t="s">
        <v>49</v>
      </c>
      <c r="G1026" t="s">
        <v>8</v>
      </c>
    </row>
    <row r="1027" spans="1:7" x14ac:dyDescent="0.3">
      <c r="A1027" t="s">
        <v>22</v>
      </c>
      <c r="B1027" s="1">
        <v>45777</v>
      </c>
      <c r="C1027">
        <v>360026</v>
      </c>
      <c r="D1027">
        <v>15311.803</v>
      </c>
      <c r="E1027" t="s">
        <v>4</v>
      </c>
      <c r="F1027" t="s">
        <v>58</v>
      </c>
      <c r="G1027" t="s">
        <v>8</v>
      </c>
    </row>
    <row r="1028" spans="1:7" x14ac:dyDescent="0.3">
      <c r="A1028" t="s">
        <v>22</v>
      </c>
      <c r="B1028" s="1">
        <v>45777</v>
      </c>
      <c r="C1028">
        <v>360028</v>
      </c>
      <c r="D1028">
        <v>14344.736999999999</v>
      </c>
      <c r="E1028" t="s">
        <v>4</v>
      </c>
      <c r="F1028" t="s">
        <v>58</v>
      </c>
      <c r="G1028" t="s">
        <v>8</v>
      </c>
    </row>
    <row r="1029" spans="1:7" x14ac:dyDescent="0.3">
      <c r="A1029" t="s">
        <v>22</v>
      </c>
      <c r="B1029" s="1">
        <v>45777</v>
      </c>
      <c r="C1029">
        <v>372004</v>
      </c>
      <c r="D1029">
        <v>4734.4260000000004</v>
      </c>
      <c r="E1029" t="s">
        <v>4</v>
      </c>
      <c r="F1029" t="s">
        <v>45</v>
      </c>
      <c r="G1029" t="s">
        <v>8</v>
      </c>
    </row>
    <row r="1030" spans="1:7" x14ac:dyDescent="0.3">
      <c r="A1030" t="s">
        <v>22</v>
      </c>
      <c r="B1030" s="1">
        <v>45777</v>
      </c>
      <c r="C1030">
        <v>400002</v>
      </c>
      <c r="D1030">
        <v>1299.8009999999999</v>
      </c>
      <c r="E1030" t="s">
        <v>6</v>
      </c>
      <c r="F1030" t="s">
        <v>50</v>
      </c>
      <c r="G1030" t="s">
        <v>8</v>
      </c>
    </row>
    <row r="1031" spans="1:7" x14ac:dyDescent="0.3">
      <c r="A1031" t="s">
        <v>22</v>
      </c>
      <c r="B1031" s="1">
        <v>45777</v>
      </c>
      <c r="C1031">
        <v>400004</v>
      </c>
      <c r="D1031">
        <v>-6436.3220000000001</v>
      </c>
      <c r="E1031" t="s">
        <v>6</v>
      </c>
      <c r="F1031" t="s">
        <v>50</v>
      </c>
      <c r="G1031" t="s">
        <v>8</v>
      </c>
    </row>
    <row r="1032" spans="1:7" x14ac:dyDescent="0.3">
      <c r="A1032" t="s">
        <v>22</v>
      </c>
      <c r="B1032" s="1">
        <v>45777</v>
      </c>
      <c r="C1032">
        <v>410002</v>
      </c>
      <c r="D1032">
        <v>-4289.2889999999998</v>
      </c>
      <c r="E1032" t="s">
        <v>6</v>
      </c>
      <c r="F1032" t="s">
        <v>51</v>
      </c>
      <c r="G1032" t="s">
        <v>8</v>
      </c>
    </row>
    <row r="1033" spans="1:7" x14ac:dyDescent="0.3">
      <c r="A1033" t="s">
        <v>22</v>
      </c>
      <c r="B1033" s="1">
        <v>45777</v>
      </c>
      <c r="C1033">
        <v>421003</v>
      </c>
      <c r="D1033">
        <v>66.44</v>
      </c>
      <c r="E1033" t="s">
        <v>6</v>
      </c>
      <c r="F1033" t="s">
        <v>52</v>
      </c>
      <c r="G1033" t="s">
        <v>8</v>
      </c>
    </row>
    <row r="1034" spans="1:7" x14ac:dyDescent="0.3">
      <c r="A1034" t="s">
        <v>22</v>
      </c>
      <c r="B1034" s="1">
        <v>45777</v>
      </c>
      <c r="C1034">
        <v>510002</v>
      </c>
      <c r="D1034">
        <v>3796.1959999999999</v>
      </c>
      <c r="E1034" t="s">
        <v>6</v>
      </c>
      <c r="F1034" t="s">
        <v>53</v>
      </c>
      <c r="G1034" t="s">
        <v>8</v>
      </c>
    </row>
    <row r="1035" spans="1:7" x14ac:dyDescent="0.3">
      <c r="A1035" t="s">
        <v>22</v>
      </c>
      <c r="B1035" s="1">
        <v>45777</v>
      </c>
      <c r="C1035">
        <v>510005</v>
      </c>
      <c r="D1035">
        <v>316.517</v>
      </c>
      <c r="E1035" t="s">
        <v>6</v>
      </c>
      <c r="F1035" t="s">
        <v>53</v>
      </c>
      <c r="G1035" t="s">
        <v>8</v>
      </c>
    </row>
    <row r="1036" spans="1:7" x14ac:dyDescent="0.3">
      <c r="A1036" t="s">
        <v>22</v>
      </c>
      <c r="B1036" s="1">
        <v>45777</v>
      </c>
      <c r="C1036">
        <v>510007</v>
      </c>
      <c r="D1036">
        <v>294.15199999999999</v>
      </c>
      <c r="E1036" t="s">
        <v>6</v>
      </c>
      <c r="F1036" t="s">
        <v>53</v>
      </c>
      <c r="G1036" t="s">
        <v>8</v>
      </c>
    </row>
    <row r="1037" spans="1:7" x14ac:dyDescent="0.3">
      <c r="A1037" t="s">
        <v>22</v>
      </c>
      <c r="B1037" s="1">
        <v>45777</v>
      </c>
      <c r="C1037">
        <v>510015</v>
      </c>
      <c r="D1037">
        <v>721.05</v>
      </c>
      <c r="E1037" t="s">
        <v>6</v>
      </c>
      <c r="F1037" t="s">
        <v>53</v>
      </c>
      <c r="G1037" t="s">
        <v>8</v>
      </c>
    </row>
    <row r="1038" spans="1:7" x14ac:dyDescent="0.3">
      <c r="A1038" t="s">
        <v>22</v>
      </c>
      <c r="B1038" s="1">
        <v>45777</v>
      </c>
      <c r="C1038">
        <v>510065</v>
      </c>
      <c r="D1038">
        <v>160.25299999999999</v>
      </c>
      <c r="E1038" t="s">
        <v>6</v>
      </c>
      <c r="F1038" t="s">
        <v>53</v>
      </c>
      <c r="G1038" t="s">
        <v>8</v>
      </c>
    </row>
    <row r="1039" spans="1:7" x14ac:dyDescent="0.3">
      <c r="A1039" t="s">
        <v>22</v>
      </c>
      <c r="B1039" s="1">
        <v>45777</v>
      </c>
      <c r="C1039">
        <v>520020</v>
      </c>
      <c r="D1039">
        <v>2761.07</v>
      </c>
      <c r="E1039" t="s">
        <v>6</v>
      </c>
      <c r="F1039" t="s">
        <v>53</v>
      </c>
      <c r="G1039" t="s">
        <v>8</v>
      </c>
    </row>
    <row r="1040" spans="1:7" x14ac:dyDescent="0.3">
      <c r="A1040" t="s">
        <v>22</v>
      </c>
      <c r="B1040" s="1">
        <v>45777</v>
      </c>
      <c r="C1040">
        <v>546002</v>
      </c>
      <c r="D1040">
        <v>5663.9629999999997</v>
      </c>
      <c r="E1040" t="s">
        <v>6</v>
      </c>
      <c r="F1040" t="s">
        <v>51</v>
      </c>
      <c r="G1040" t="s">
        <v>8</v>
      </c>
    </row>
    <row r="1041" spans="1:7" x14ac:dyDescent="0.3">
      <c r="A1041" t="s">
        <v>22</v>
      </c>
      <c r="B1041" s="1">
        <v>45777</v>
      </c>
      <c r="C1041">
        <v>546035</v>
      </c>
      <c r="D1041">
        <v>-398.02300000000002</v>
      </c>
      <c r="E1041" t="s">
        <v>6</v>
      </c>
      <c r="F1041" t="s">
        <v>51</v>
      </c>
      <c r="G1041" t="s">
        <v>8</v>
      </c>
    </row>
    <row r="1042" spans="1:7" x14ac:dyDescent="0.3">
      <c r="A1042" t="s">
        <v>22</v>
      </c>
      <c r="B1042" s="1">
        <v>45777</v>
      </c>
      <c r="C1042">
        <v>546045</v>
      </c>
      <c r="D1042">
        <v>-2.5449999999999999</v>
      </c>
      <c r="E1042" t="s">
        <v>6</v>
      </c>
      <c r="F1042" t="s">
        <v>51</v>
      </c>
      <c r="G1042" t="s">
        <v>8</v>
      </c>
    </row>
    <row r="1043" spans="1:7" x14ac:dyDescent="0.3">
      <c r="A1043" t="s">
        <v>22</v>
      </c>
      <c r="B1043" s="1">
        <v>45777</v>
      </c>
      <c r="C1043">
        <v>550002</v>
      </c>
      <c r="D1043">
        <v>3370.2539999999999</v>
      </c>
      <c r="E1043" t="s">
        <v>6</v>
      </c>
      <c r="F1043" t="s">
        <v>62</v>
      </c>
      <c r="G1043" t="s">
        <v>8</v>
      </c>
    </row>
    <row r="1044" spans="1:7" x14ac:dyDescent="0.3">
      <c r="A1044" t="s">
        <v>22</v>
      </c>
      <c r="B1044" s="1">
        <v>45777</v>
      </c>
      <c r="C1044">
        <v>552502</v>
      </c>
      <c r="D1044">
        <v>38.838999999999999</v>
      </c>
      <c r="E1044" t="s">
        <v>6</v>
      </c>
      <c r="F1044" t="s">
        <v>55</v>
      </c>
      <c r="G1044" t="s">
        <v>8</v>
      </c>
    </row>
    <row r="1045" spans="1:7" x14ac:dyDescent="0.3">
      <c r="A1045" t="s">
        <v>22</v>
      </c>
      <c r="B1045" s="1">
        <v>45777</v>
      </c>
      <c r="C1045">
        <v>557002</v>
      </c>
      <c r="D1045">
        <v>552.88300000000004</v>
      </c>
      <c r="E1045" t="s">
        <v>6</v>
      </c>
      <c r="F1045" t="s">
        <v>56</v>
      </c>
      <c r="G1045" t="s">
        <v>8</v>
      </c>
    </row>
    <row r="1046" spans="1:7" x14ac:dyDescent="0.3">
      <c r="A1046" t="s">
        <v>22</v>
      </c>
      <c r="B1046" s="1">
        <v>45777</v>
      </c>
      <c r="C1046">
        <v>564020</v>
      </c>
      <c r="D1046">
        <v>43.281999999999996</v>
      </c>
      <c r="E1046" t="s">
        <v>6</v>
      </c>
      <c r="F1046" t="s">
        <v>57</v>
      </c>
      <c r="G1046" t="s">
        <v>8</v>
      </c>
    </row>
    <row r="1047" spans="1:7" x14ac:dyDescent="0.3">
      <c r="A1047" t="s">
        <v>23</v>
      </c>
      <c r="B1047" s="1">
        <v>45777</v>
      </c>
      <c r="C1047">
        <v>220006</v>
      </c>
      <c r="D1047">
        <v>3698.9290000000001</v>
      </c>
      <c r="E1047" t="s">
        <v>4</v>
      </c>
      <c r="F1047" t="s">
        <v>42</v>
      </c>
      <c r="G1047" t="s">
        <v>5</v>
      </c>
    </row>
    <row r="1048" spans="1:7" x14ac:dyDescent="0.3">
      <c r="A1048" t="s">
        <v>23</v>
      </c>
      <c r="B1048" s="1">
        <v>45777</v>
      </c>
      <c r="C1048">
        <v>240002</v>
      </c>
      <c r="D1048">
        <v>-5712.1360000000004</v>
      </c>
      <c r="E1048" t="s">
        <v>4</v>
      </c>
      <c r="F1048" t="s">
        <v>43</v>
      </c>
      <c r="G1048" t="s">
        <v>5</v>
      </c>
    </row>
    <row r="1049" spans="1:7" x14ac:dyDescent="0.3">
      <c r="A1049" t="s">
        <v>23</v>
      </c>
      <c r="B1049" s="1">
        <v>45777</v>
      </c>
      <c r="C1049">
        <v>242003</v>
      </c>
      <c r="D1049">
        <v>-19061.71</v>
      </c>
      <c r="E1049" t="s">
        <v>4</v>
      </c>
      <c r="F1049" t="s">
        <v>43</v>
      </c>
      <c r="G1049" t="s">
        <v>5</v>
      </c>
    </row>
    <row r="1050" spans="1:7" x14ac:dyDescent="0.3">
      <c r="A1050" t="s">
        <v>23</v>
      </c>
      <c r="B1050" s="1">
        <v>45777</v>
      </c>
      <c r="C1050">
        <v>242019</v>
      </c>
      <c r="D1050">
        <v>-33316.665999999997</v>
      </c>
      <c r="E1050" t="s">
        <v>4</v>
      </c>
      <c r="F1050" t="s">
        <v>43</v>
      </c>
      <c r="G1050" t="s">
        <v>5</v>
      </c>
    </row>
    <row r="1051" spans="1:7" x14ac:dyDescent="0.3">
      <c r="A1051" t="s">
        <v>23</v>
      </c>
      <c r="B1051" s="1">
        <v>45777</v>
      </c>
      <c r="C1051">
        <v>242041</v>
      </c>
      <c r="D1051">
        <v>3.492</v>
      </c>
      <c r="E1051" t="s">
        <v>4</v>
      </c>
      <c r="F1051" t="s">
        <v>43</v>
      </c>
      <c r="G1051" t="s">
        <v>5</v>
      </c>
    </row>
    <row r="1052" spans="1:7" x14ac:dyDescent="0.3">
      <c r="A1052" t="s">
        <v>23</v>
      </c>
      <c r="B1052" s="1">
        <v>45777</v>
      </c>
      <c r="C1052">
        <v>243002</v>
      </c>
      <c r="D1052">
        <v>-5303.4170000000004</v>
      </c>
      <c r="E1052" t="s">
        <v>4</v>
      </c>
      <c r="F1052" t="s">
        <v>43</v>
      </c>
      <c r="G1052" t="s">
        <v>5</v>
      </c>
    </row>
    <row r="1053" spans="1:7" x14ac:dyDescent="0.3">
      <c r="A1053" t="s">
        <v>23</v>
      </c>
      <c r="B1053" s="1">
        <v>45777</v>
      </c>
      <c r="C1053">
        <v>251002</v>
      </c>
      <c r="D1053">
        <v>-18813.254000000001</v>
      </c>
      <c r="E1053" t="s">
        <v>4</v>
      </c>
      <c r="F1053" t="s">
        <v>45</v>
      </c>
      <c r="G1053" t="s">
        <v>5</v>
      </c>
    </row>
    <row r="1054" spans="1:7" x14ac:dyDescent="0.3">
      <c r="A1054" t="s">
        <v>23</v>
      </c>
      <c r="B1054" s="1">
        <v>45777</v>
      </c>
      <c r="C1054">
        <v>260004</v>
      </c>
      <c r="D1054">
        <v>-3075.1460000000002</v>
      </c>
      <c r="E1054" t="s">
        <v>4</v>
      </c>
      <c r="F1054" t="s">
        <v>45</v>
      </c>
      <c r="G1054" t="s">
        <v>5</v>
      </c>
    </row>
    <row r="1055" spans="1:7" x14ac:dyDescent="0.3">
      <c r="A1055" t="s">
        <v>23</v>
      </c>
      <c r="B1055" s="1">
        <v>45777</v>
      </c>
      <c r="C1055">
        <v>320002</v>
      </c>
      <c r="D1055">
        <v>7907.12</v>
      </c>
      <c r="E1055" t="s">
        <v>4</v>
      </c>
      <c r="F1055" t="s">
        <v>46</v>
      </c>
      <c r="G1055" t="s">
        <v>5</v>
      </c>
    </row>
    <row r="1056" spans="1:7" x14ac:dyDescent="0.3">
      <c r="A1056" t="s">
        <v>23</v>
      </c>
      <c r="B1056" s="1">
        <v>45777</v>
      </c>
      <c r="C1056">
        <v>321002</v>
      </c>
      <c r="D1056">
        <v>4985.9260000000004</v>
      </c>
      <c r="E1056" t="s">
        <v>4</v>
      </c>
      <c r="F1056" t="s">
        <v>46</v>
      </c>
      <c r="G1056" t="s">
        <v>5</v>
      </c>
    </row>
    <row r="1057" spans="1:7" x14ac:dyDescent="0.3">
      <c r="A1057" t="s">
        <v>23</v>
      </c>
      <c r="B1057" s="1">
        <v>45777</v>
      </c>
      <c r="C1057">
        <v>340314</v>
      </c>
      <c r="D1057">
        <v>8317.4670000000006</v>
      </c>
      <c r="E1057" t="s">
        <v>4</v>
      </c>
      <c r="F1057" t="s">
        <v>47</v>
      </c>
      <c r="G1057" t="s">
        <v>5</v>
      </c>
    </row>
    <row r="1058" spans="1:7" x14ac:dyDescent="0.3">
      <c r="A1058" t="s">
        <v>23</v>
      </c>
      <c r="B1058" s="1">
        <v>45777</v>
      </c>
      <c r="C1058">
        <v>354013</v>
      </c>
      <c r="D1058">
        <v>42087.932999999997</v>
      </c>
      <c r="E1058" t="s">
        <v>4</v>
      </c>
      <c r="F1058" t="s">
        <v>46</v>
      </c>
      <c r="G1058" t="s">
        <v>5</v>
      </c>
    </row>
    <row r="1059" spans="1:7" x14ac:dyDescent="0.3">
      <c r="A1059" t="s">
        <v>23</v>
      </c>
      <c r="B1059" s="1">
        <v>45777</v>
      </c>
      <c r="C1059">
        <v>355013</v>
      </c>
      <c r="D1059">
        <v>2810.127</v>
      </c>
      <c r="E1059" t="s">
        <v>4</v>
      </c>
      <c r="F1059" t="s">
        <v>49</v>
      </c>
      <c r="G1059" t="s">
        <v>5</v>
      </c>
    </row>
    <row r="1060" spans="1:7" x14ac:dyDescent="0.3">
      <c r="A1060" t="s">
        <v>23</v>
      </c>
      <c r="B1060" s="1">
        <v>45777</v>
      </c>
      <c r="C1060">
        <v>372004</v>
      </c>
      <c r="D1060">
        <v>3565.67</v>
      </c>
      <c r="E1060" t="s">
        <v>4</v>
      </c>
      <c r="F1060" t="s">
        <v>45</v>
      </c>
      <c r="G1060" t="s">
        <v>5</v>
      </c>
    </row>
    <row r="1061" spans="1:7" x14ac:dyDescent="0.3">
      <c r="A1061" t="s">
        <v>23</v>
      </c>
      <c r="B1061" s="1">
        <v>45777</v>
      </c>
      <c r="C1061">
        <v>400002</v>
      </c>
      <c r="D1061">
        <v>-2161.3020000000001</v>
      </c>
      <c r="E1061" t="s">
        <v>6</v>
      </c>
      <c r="F1061" t="s">
        <v>50</v>
      </c>
      <c r="G1061" t="s">
        <v>5</v>
      </c>
    </row>
    <row r="1062" spans="1:7" x14ac:dyDescent="0.3">
      <c r="A1062" t="s">
        <v>23</v>
      </c>
      <c r="B1062" s="1">
        <v>45777</v>
      </c>
      <c r="C1062">
        <v>400004</v>
      </c>
      <c r="D1062">
        <v>-168.904</v>
      </c>
      <c r="E1062" t="s">
        <v>6</v>
      </c>
      <c r="F1062" t="s">
        <v>50</v>
      </c>
      <c r="G1062" t="s">
        <v>5</v>
      </c>
    </row>
    <row r="1063" spans="1:7" x14ac:dyDescent="0.3">
      <c r="A1063" t="s">
        <v>23</v>
      </c>
      <c r="B1063" s="1">
        <v>45777</v>
      </c>
      <c r="C1063">
        <v>421003</v>
      </c>
      <c r="D1063">
        <v>0.371</v>
      </c>
      <c r="E1063" t="s">
        <v>6</v>
      </c>
      <c r="F1063" t="s">
        <v>52</v>
      </c>
      <c r="G1063" t="s">
        <v>5</v>
      </c>
    </row>
    <row r="1064" spans="1:7" x14ac:dyDescent="0.3">
      <c r="A1064" t="s">
        <v>23</v>
      </c>
      <c r="B1064" s="1">
        <v>45777</v>
      </c>
      <c r="C1064">
        <v>546002</v>
      </c>
      <c r="D1064">
        <v>143.56800000000001</v>
      </c>
      <c r="E1064" t="s">
        <v>6</v>
      </c>
      <c r="F1064" t="s">
        <v>51</v>
      </c>
      <c r="G1064" t="s">
        <v>5</v>
      </c>
    </row>
    <row r="1065" spans="1:7" x14ac:dyDescent="0.3">
      <c r="A1065" t="s">
        <v>23</v>
      </c>
      <c r="B1065" s="1">
        <v>45777</v>
      </c>
      <c r="C1065">
        <v>547002</v>
      </c>
      <c r="D1065">
        <v>12198.084000000001</v>
      </c>
      <c r="E1065" t="s">
        <v>6</v>
      </c>
      <c r="F1065" t="s">
        <v>54</v>
      </c>
      <c r="G1065" t="s">
        <v>5</v>
      </c>
    </row>
    <row r="1066" spans="1:7" x14ac:dyDescent="0.3">
      <c r="A1066" t="s">
        <v>23</v>
      </c>
      <c r="B1066" s="1">
        <v>45777</v>
      </c>
      <c r="C1066">
        <v>547011</v>
      </c>
      <c r="D1066">
        <v>61.16</v>
      </c>
      <c r="E1066" t="s">
        <v>6</v>
      </c>
      <c r="F1066" t="s">
        <v>54</v>
      </c>
      <c r="G1066" t="s">
        <v>5</v>
      </c>
    </row>
    <row r="1067" spans="1:7" x14ac:dyDescent="0.3">
      <c r="A1067" t="s">
        <v>23</v>
      </c>
      <c r="B1067" s="1">
        <v>45777</v>
      </c>
      <c r="C1067">
        <v>557002</v>
      </c>
      <c r="D1067">
        <v>56.261000000000003</v>
      </c>
      <c r="E1067" t="s">
        <v>6</v>
      </c>
      <c r="F1067" t="s">
        <v>56</v>
      </c>
      <c r="G1067" t="s">
        <v>5</v>
      </c>
    </row>
    <row r="1068" spans="1:7" x14ac:dyDescent="0.3">
      <c r="A1068" t="s">
        <v>23</v>
      </c>
      <c r="B1068" s="1">
        <v>45777</v>
      </c>
      <c r="C1068">
        <v>564019</v>
      </c>
      <c r="D1068">
        <v>1755.1659999999999</v>
      </c>
      <c r="E1068" t="s">
        <v>6</v>
      </c>
      <c r="F1068" t="s">
        <v>51</v>
      </c>
      <c r="G1068" t="s">
        <v>5</v>
      </c>
    </row>
    <row r="1069" spans="1:7" x14ac:dyDescent="0.3">
      <c r="A1069" t="s">
        <v>23</v>
      </c>
      <c r="B1069" s="1">
        <v>45777</v>
      </c>
      <c r="C1069">
        <v>564021</v>
      </c>
      <c r="D1069">
        <v>21.259</v>
      </c>
      <c r="E1069" t="s">
        <v>6</v>
      </c>
      <c r="F1069" t="s">
        <v>57</v>
      </c>
      <c r="G1069" t="s">
        <v>5</v>
      </c>
    </row>
    <row r="1070" spans="1:7" x14ac:dyDescent="0.3">
      <c r="A1070" t="s">
        <v>24</v>
      </c>
      <c r="B1070" s="1">
        <v>45777</v>
      </c>
      <c r="C1070">
        <v>220006</v>
      </c>
      <c r="D1070">
        <v>10004.148999999999</v>
      </c>
      <c r="E1070" t="s">
        <v>4</v>
      </c>
      <c r="F1070" t="s">
        <v>42</v>
      </c>
      <c r="G1070" t="s">
        <v>8</v>
      </c>
    </row>
    <row r="1071" spans="1:7" x14ac:dyDescent="0.3">
      <c r="A1071" t="s">
        <v>24</v>
      </c>
      <c r="B1071" s="1">
        <v>45777</v>
      </c>
      <c r="C1071">
        <v>240002</v>
      </c>
      <c r="D1071">
        <v>-261.15300000000002</v>
      </c>
      <c r="E1071" t="s">
        <v>4</v>
      </c>
      <c r="F1071" t="s">
        <v>43</v>
      </c>
      <c r="G1071" t="s">
        <v>8</v>
      </c>
    </row>
    <row r="1072" spans="1:7" x14ac:dyDescent="0.3">
      <c r="A1072" t="s">
        <v>24</v>
      </c>
      <c r="B1072" s="1">
        <v>45777</v>
      </c>
      <c r="C1072">
        <v>243002</v>
      </c>
      <c r="D1072">
        <v>-508.334</v>
      </c>
      <c r="E1072" t="s">
        <v>4</v>
      </c>
      <c r="F1072" t="s">
        <v>43</v>
      </c>
      <c r="G1072" t="s">
        <v>8</v>
      </c>
    </row>
    <row r="1073" spans="1:7" x14ac:dyDescent="0.3">
      <c r="A1073" t="s">
        <v>24</v>
      </c>
      <c r="B1073" s="1">
        <v>45777</v>
      </c>
      <c r="C1073">
        <v>330132</v>
      </c>
      <c r="D1073">
        <v>-9002.5990000000002</v>
      </c>
      <c r="E1073" t="s">
        <v>4</v>
      </c>
      <c r="F1073" t="s">
        <v>43</v>
      </c>
      <c r="G1073" t="s">
        <v>8</v>
      </c>
    </row>
    <row r="1074" spans="1:7" x14ac:dyDescent="0.3">
      <c r="A1074" t="s">
        <v>24</v>
      </c>
      <c r="B1074" s="1">
        <v>45777</v>
      </c>
      <c r="C1074">
        <v>330147</v>
      </c>
      <c r="D1074">
        <v>-2108.62</v>
      </c>
      <c r="E1074" t="s">
        <v>4</v>
      </c>
      <c r="F1074" t="s">
        <v>43</v>
      </c>
      <c r="G1074" t="s">
        <v>8</v>
      </c>
    </row>
    <row r="1075" spans="1:7" x14ac:dyDescent="0.3">
      <c r="A1075" t="s">
        <v>24</v>
      </c>
      <c r="B1075" s="1">
        <v>45777</v>
      </c>
      <c r="C1075">
        <v>340237</v>
      </c>
      <c r="D1075">
        <v>1246.7249999999999</v>
      </c>
      <c r="E1075" t="s">
        <v>4</v>
      </c>
      <c r="F1075" t="s">
        <v>47</v>
      </c>
      <c r="G1075" t="s">
        <v>8</v>
      </c>
    </row>
    <row r="1076" spans="1:7" x14ac:dyDescent="0.3">
      <c r="A1076" t="s">
        <v>24</v>
      </c>
      <c r="B1076" s="1">
        <v>45777</v>
      </c>
      <c r="C1076">
        <v>340240</v>
      </c>
      <c r="D1076">
        <v>49.313000000000002</v>
      </c>
      <c r="E1076" t="s">
        <v>4</v>
      </c>
      <c r="F1076" t="s">
        <v>47</v>
      </c>
      <c r="G1076" t="s">
        <v>8</v>
      </c>
    </row>
    <row r="1077" spans="1:7" x14ac:dyDescent="0.3">
      <c r="A1077" t="s">
        <v>24</v>
      </c>
      <c r="B1077" s="1">
        <v>45777</v>
      </c>
      <c r="C1077">
        <v>340313</v>
      </c>
      <c r="D1077">
        <v>9.2390000000000008</v>
      </c>
      <c r="E1077" t="s">
        <v>4</v>
      </c>
      <c r="F1077" t="s">
        <v>47</v>
      </c>
      <c r="G1077" t="s">
        <v>8</v>
      </c>
    </row>
    <row r="1078" spans="1:7" x14ac:dyDescent="0.3">
      <c r="A1078" t="s">
        <v>24</v>
      </c>
      <c r="B1078" s="1">
        <v>45777</v>
      </c>
      <c r="C1078">
        <v>372004</v>
      </c>
      <c r="D1078">
        <v>47.347999999999999</v>
      </c>
      <c r="E1078" t="s">
        <v>4</v>
      </c>
      <c r="F1078" t="s">
        <v>45</v>
      </c>
      <c r="G1078" t="s">
        <v>8</v>
      </c>
    </row>
    <row r="1079" spans="1:7" x14ac:dyDescent="0.3">
      <c r="A1079" t="s">
        <v>24</v>
      </c>
      <c r="B1079" s="1">
        <v>45777</v>
      </c>
      <c r="C1079">
        <v>421003</v>
      </c>
      <c r="D1079">
        <v>1.728</v>
      </c>
      <c r="E1079" t="s">
        <v>6</v>
      </c>
      <c r="F1079" t="s">
        <v>52</v>
      </c>
      <c r="G1079" t="s">
        <v>8</v>
      </c>
    </row>
    <row r="1080" spans="1:7" x14ac:dyDescent="0.3">
      <c r="A1080" t="s">
        <v>24</v>
      </c>
      <c r="B1080" s="1">
        <v>45777</v>
      </c>
      <c r="C1080">
        <v>421004</v>
      </c>
      <c r="D1080">
        <v>-67.323999999999998</v>
      </c>
      <c r="E1080" t="s">
        <v>6</v>
      </c>
      <c r="F1080" t="s">
        <v>52</v>
      </c>
      <c r="G1080" t="s">
        <v>8</v>
      </c>
    </row>
    <row r="1081" spans="1:7" x14ac:dyDescent="0.3">
      <c r="A1081" t="s">
        <v>24</v>
      </c>
      <c r="B1081" s="1">
        <v>45777</v>
      </c>
      <c r="C1081">
        <v>552502</v>
      </c>
      <c r="D1081">
        <v>19.399000000000001</v>
      </c>
      <c r="E1081" t="s">
        <v>6</v>
      </c>
      <c r="F1081" t="s">
        <v>55</v>
      </c>
      <c r="G1081" t="s">
        <v>8</v>
      </c>
    </row>
    <row r="1082" spans="1:7" x14ac:dyDescent="0.3">
      <c r="A1082" t="s">
        <v>24</v>
      </c>
      <c r="B1082" s="1">
        <v>45777</v>
      </c>
      <c r="C1082">
        <v>557002</v>
      </c>
      <c r="D1082">
        <v>550.25800000000004</v>
      </c>
      <c r="E1082" t="s">
        <v>6</v>
      </c>
      <c r="F1082" t="s">
        <v>56</v>
      </c>
      <c r="G1082" t="s">
        <v>8</v>
      </c>
    </row>
    <row r="1083" spans="1:7" x14ac:dyDescent="0.3">
      <c r="A1083" t="s">
        <v>24</v>
      </c>
      <c r="B1083" s="1">
        <v>45777</v>
      </c>
      <c r="C1083">
        <v>564020</v>
      </c>
      <c r="D1083">
        <v>19.87</v>
      </c>
      <c r="E1083" t="s">
        <v>6</v>
      </c>
      <c r="F1083" t="s">
        <v>57</v>
      </c>
      <c r="G1083" t="s">
        <v>8</v>
      </c>
    </row>
    <row r="1084" spans="1:7" x14ac:dyDescent="0.3">
      <c r="A1084" t="s">
        <v>25</v>
      </c>
      <c r="B1084" s="1">
        <v>45777</v>
      </c>
      <c r="C1084">
        <v>220006</v>
      </c>
      <c r="D1084">
        <v>-23456.206999999999</v>
      </c>
      <c r="E1084" t="s">
        <v>4</v>
      </c>
      <c r="F1084" t="s">
        <v>42</v>
      </c>
      <c r="G1084" t="s">
        <v>5</v>
      </c>
    </row>
    <row r="1085" spans="1:7" x14ac:dyDescent="0.3">
      <c r="A1085" t="s">
        <v>25</v>
      </c>
      <c r="B1085" s="1">
        <v>45777</v>
      </c>
      <c r="C1085">
        <v>240002</v>
      </c>
      <c r="D1085">
        <v>-30.052</v>
      </c>
      <c r="E1085" t="s">
        <v>4</v>
      </c>
      <c r="F1085" t="s">
        <v>43</v>
      </c>
      <c r="G1085" t="s">
        <v>5</v>
      </c>
    </row>
    <row r="1086" spans="1:7" x14ac:dyDescent="0.3">
      <c r="A1086" t="s">
        <v>25</v>
      </c>
      <c r="B1086" s="1">
        <v>45777</v>
      </c>
      <c r="C1086">
        <v>243002</v>
      </c>
      <c r="D1086">
        <v>-68.117000000000004</v>
      </c>
      <c r="E1086" t="s">
        <v>4</v>
      </c>
      <c r="F1086" t="s">
        <v>43</v>
      </c>
      <c r="G1086" t="s">
        <v>5</v>
      </c>
    </row>
    <row r="1087" spans="1:7" x14ac:dyDescent="0.3">
      <c r="A1087" t="s">
        <v>25</v>
      </c>
      <c r="B1087" s="1">
        <v>45777</v>
      </c>
      <c r="C1087">
        <v>340016</v>
      </c>
      <c r="D1087">
        <v>23526.912</v>
      </c>
      <c r="E1087" t="s">
        <v>4</v>
      </c>
      <c r="F1087" t="s">
        <v>47</v>
      </c>
      <c r="G1087" t="s">
        <v>5</v>
      </c>
    </row>
    <row r="1088" spans="1:7" x14ac:dyDescent="0.3">
      <c r="A1088" t="s">
        <v>25</v>
      </c>
      <c r="B1088" s="1">
        <v>45777</v>
      </c>
      <c r="C1088">
        <v>557002</v>
      </c>
      <c r="D1088">
        <v>24.041</v>
      </c>
      <c r="E1088" t="s">
        <v>6</v>
      </c>
      <c r="F1088" t="s">
        <v>56</v>
      </c>
      <c r="G1088" t="s">
        <v>5</v>
      </c>
    </row>
    <row r="1089" spans="1:7" x14ac:dyDescent="0.3">
      <c r="A1089" t="s">
        <v>25</v>
      </c>
      <c r="B1089" s="1">
        <v>45777</v>
      </c>
      <c r="C1089">
        <v>564021</v>
      </c>
      <c r="D1089">
        <v>3.423</v>
      </c>
      <c r="E1089" t="s">
        <v>6</v>
      </c>
      <c r="F1089" t="s">
        <v>57</v>
      </c>
      <c r="G1089" t="s">
        <v>5</v>
      </c>
    </row>
    <row r="1090" spans="1:7" x14ac:dyDescent="0.3">
      <c r="A1090" t="s">
        <v>26</v>
      </c>
      <c r="B1090" s="1">
        <v>45777</v>
      </c>
      <c r="C1090">
        <v>220006</v>
      </c>
      <c r="D1090">
        <v>-523871.96899999998</v>
      </c>
      <c r="E1090" t="s">
        <v>4</v>
      </c>
      <c r="F1090" t="s">
        <v>42</v>
      </c>
      <c r="G1090" t="s">
        <v>5</v>
      </c>
    </row>
    <row r="1091" spans="1:7" x14ac:dyDescent="0.3">
      <c r="A1091" t="s">
        <v>26</v>
      </c>
      <c r="B1091" s="1">
        <v>45777</v>
      </c>
      <c r="C1091">
        <v>240002</v>
      </c>
      <c r="D1091">
        <v>-3156.1010000000001</v>
      </c>
      <c r="E1091" t="s">
        <v>4</v>
      </c>
      <c r="F1091" t="s">
        <v>43</v>
      </c>
      <c r="G1091" t="s">
        <v>5</v>
      </c>
    </row>
    <row r="1092" spans="1:7" x14ac:dyDescent="0.3">
      <c r="A1092" t="s">
        <v>26</v>
      </c>
      <c r="B1092" s="1">
        <v>45777</v>
      </c>
      <c r="C1092">
        <v>240003</v>
      </c>
      <c r="D1092">
        <v>-0.625</v>
      </c>
      <c r="E1092" t="s">
        <v>4</v>
      </c>
      <c r="F1092" t="s">
        <v>43</v>
      </c>
      <c r="G1092" t="s">
        <v>5</v>
      </c>
    </row>
    <row r="1093" spans="1:7" x14ac:dyDescent="0.3">
      <c r="A1093" t="s">
        <v>26</v>
      </c>
      <c r="B1093" s="1">
        <v>45777</v>
      </c>
      <c r="C1093">
        <v>240009</v>
      </c>
      <c r="D1093">
        <v>-479.93799999999999</v>
      </c>
      <c r="E1093" t="s">
        <v>4</v>
      </c>
      <c r="F1093" t="s">
        <v>43</v>
      </c>
      <c r="G1093" t="s">
        <v>5</v>
      </c>
    </row>
    <row r="1094" spans="1:7" x14ac:dyDescent="0.3">
      <c r="A1094" t="s">
        <v>26</v>
      </c>
      <c r="B1094" s="1">
        <v>45777</v>
      </c>
      <c r="C1094">
        <v>242003</v>
      </c>
      <c r="D1094">
        <v>171754.75099999999</v>
      </c>
      <c r="E1094" t="s">
        <v>4</v>
      </c>
      <c r="F1094" t="s">
        <v>43</v>
      </c>
      <c r="G1094" t="s">
        <v>5</v>
      </c>
    </row>
    <row r="1095" spans="1:7" x14ac:dyDescent="0.3">
      <c r="A1095" t="s">
        <v>26</v>
      </c>
      <c r="B1095" s="1">
        <v>45777</v>
      </c>
      <c r="C1095">
        <v>242011</v>
      </c>
      <c r="D1095">
        <v>-432.31299999999999</v>
      </c>
      <c r="E1095" t="s">
        <v>4</v>
      </c>
      <c r="F1095" t="s">
        <v>43</v>
      </c>
      <c r="G1095" t="s">
        <v>5</v>
      </c>
    </row>
    <row r="1096" spans="1:7" x14ac:dyDescent="0.3">
      <c r="A1096" t="s">
        <v>26</v>
      </c>
      <c r="B1096" s="1">
        <v>45777</v>
      </c>
      <c r="C1096">
        <v>242012</v>
      </c>
      <c r="D1096">
        <v>-73.048000000000002</v>
      </c>
      <c r="E1096" t="s">
        <v>4</v>
      </c>
      <c r="F1096" t="s">
        <v>43</v>
      </c>
      <c r="G1096" t="s">
        <v>5</v>
      </c>
    </row>
    <row r="1097" spans="1:7" x14ac:dyDescent="0.3">
      <c r="A1097" t="s">
        <v>26</v>
      </c>
      <c r="B1097" s="1">
        <v>45777</v>
      </c>
      <c r="C1097">
        <v>242019</v>
      </c>
      <c r="D1097">
        <v>6295.5360000000001</v>
      </c>
      <c r="E1097" t="s">
        <v>4</v>
      </c>
      <c r="F1097" t="s">
        <v>43</v>
      </c>
      <c r="G1097" t="s">
        <v>5</v>
      </c>
    </row>
    <row r="1098" spans="1:7" x14ac:dyDescent="0.3">
      <c r="A1098" t="s">
        <v>26</v>
      </c>
      <c r="B1098" s="1">
        <v>45777</v>
      </c>
      <c r="C1098">
        <v>242038</v>
      </c>
      <c r="D1098">
        <v>-11.538</v>
      </c>
      <c r="E1098" t="s">
        <v>4</v>
      </c>
      <c r="F1098" t="s">
        <v>43</v>
      </c>
      <c r="G1098" t="s">
        <v>5</v>
      </c>
    </row>
    <row r="1099" spans="1:7" x14ac:dyDescent="0.3">
      <c r="A1099" t="s">
        <v>26</v>
      </c>
      <c r="B1099" s="1">
        <v>45777</v>
      </c>
      <c r="C1099">
        <v>242041</v>
      </c>
      <c r="D1099">
        <v>-605.47</v>
      </c>
      <c r="E1099" t="s">
        <v>4</v>
      </c>
      <c r="F1099" t="s">
        <v>43</v>
      </c>
      <c r="G1099" t="s">
        <v>5</v>
      </c>
    </row>
    <row r="1100" spans="1:7" x14ac:dyDescent="0.3">
      <c r="A1100" t="s">
        <v>26</v>
      </c>
      <c r="B1100" s="1">
        <v>45777</v>
      </c>
      <c r="C1100">
        <v>243002</v>
      </c>
      <c r="D1100">
        <v>-6953.393</v>
      </c>
      <c r="E1100" t="s">
        <v>4</v>
      </c>
      <c r="F1100" t="s">
        <v>43</v>
      </c>
      <c r="G1100" t="s">
        <v>5</v>
      </c>
    </row>
    <row r="1101" spans="1:7" x14ac:dyDescent="0.3">
      <c r="A1101" t="s">
        <v>26</v>
      </c>
      <c r="B1101" s="1">
        <v>45777</v>
      </c>
      <c r="C1101">
        <v>243003</v>
      </c>
      <c r="D1101">
        <v>-6074.1779999999999</v>
      </c>
      <c r="E1101" t="s">
        <v>4</v>
      </c>
      <c r="F1101" t="s">
        <v>43</v>
      </c>
      <c r="G1101" t="s">
        <v>5</v>
      </c>
    </row>
    <row r="1102" spans="1:7" x14ac:dyDescent="0.3">
      <c r="A1102" t="s">
        <v>26</v>
      </c>
      <c r="B1102" s="1">
        <v>45777</v>
      </c>
      <c r="C1102">
        <v>243010</v>
      </c>
      <c r="D1102">
        <v>-5.335</v>
      </c>
      <c r="E1102" t="s">
        <v>4</v>
      </c>
      <c r="F1102" t="s">
        <v>43</v>
      </c>
      <c r="G1102" t="s">
        <v>5</v>
      </c>
    </row>
    <row r="1103" spans="1:7" x14ac:dyDescent="0.3">
      <c r="A1103" t="s">
        <v>26</v>
      </c>
      <c r="B1103" s="1">
        <v>45777</v>
      </c>
      <c r="C1103">
        <v>245010</v>
      </c>
      <c r="D1103">
        <v>-1158.778</v>
      </c>
      <c r="E1103" t="s">
        <v>4</v>
      </c>
      <c r="F1103" t="s">
        <v>44</v>
      </c>
      <c r="G1103" t="s">
        <v>5</v>
      </c>
    </row>
    <row r="1104" spans="1:7" x14ac:dyDescent="0.3">
      <c r="A1104" t="s">
        <v>26</v>
      </c>
      <c r="B1104" s="1">
        <v>45777</v>
      </c>
      <c r="C1104">
        <v>245055</v>
      </c>
      <c r="D1104">
        <v>-3219.7620000000002</v>
      </c>
      <c r="E1104" t="s">
        <v>4</v>
      </c>
      <c r="F1104" t="s">
        <v>43</v>
      </c>
      <c r="G1104" t="s">
        <v>5</v>
      </c>
    </row>
    <row r="1105" spans="1:7" x14ac:dyDescent="0.3">
      <c r="A1105" t="s">
        <v>26</v>
      </c>
      <c r="B1105" s="1">
        <v>45777</v>
      </c>
      <c r="C1105">
        <v>245056</v>
      </c>
      <c r="D1105">
        <v>-16.303000000000001</v>
      </c>
      <c r="E1105" t="s">
        <v>4</v>
      </c>
      <c r="F1105" t="s">
        <v>49</v>
      </c>
      <c r="G1105" t="s">
        <v>5</v>
      </c>
    </row>
    <row r="1106" spans="1:7" x14ac:dyDescent="0.3">
      <c r="A1106" t="s">
        <v>26</v>
      </c>
      <c r="B1106" s="1">
        <v>45777</v>
      </c>
      <c r="C1106">
        <v>245062</v>
      </c>
      <c r="D1106">
        <v>-845.67</v>
      </c>
      <c r="E1106" t="s">
        <v>4</v>
      </c>
      <c r="F1106" t="s">
        <v>43</v>
      </c>
      <c r="G1106" t="s">
        <v>5</v>
      </c>
    </row>
    <row r="1107" spans="1:7" x14ac:dyDescent="0.3">
      <c r="A1107" t="s">
        <v>26</v>
      </c>
      <c r="B1107" s="1">
        <v>45777</v>
      </c>
      <c r="C1107">
        <v>250003</v>
      </c>
      <c r="D1107">
        <v>-2046.2239999999999</v>
      </c>
      <c r="E1107" t="s">
        <v>4</v>
      </c>
      <c r="F1107" t="s">
        <v>45</v>
      </c>
      <c r="G1107" t="s">
        <v>5</v>
      </c>
    </row>
    <row r="1108" spans="1:7" x14ac:dyDescent="0.3">
      <c r="A1108" t="s">
        <v>26</v>
      </c>
      <c r="B1108" s="1">
        <v>45777</v>
      </c>
      <c r="C1108">
        <v>251002</v>
      </c>
      <c r="D1108">
        <v>-10201.579</v>
      </c>
      <c r="E1108" t="s">
        <v>4</v>
      </c>
      <c r="F1108" t="s">
        <v>45</v>
      </c>
      <c r="G1108" t="s">
        <v>5</v>
      </c>
    </row>
    <row r="1109" spans="1:7" x14ac:dyDescent="0.3">
      <c r="A1109" t="s">
        <v>26</v>
      </c>
      <c r="B1109" s="1">
        <v>45777</v>
      </c>
      <c r="C1109">
        <v>257005</v>
      </c>
      <c r="D1109">
        <v>-449.68400000000003</v>
      </c>
      <c r="E1109" t="s">
        <v>4</v>
      </c>
      <c r="F1109" t="s">
        <v>45</v>
      </c>
      <c r="G1109" t="s">
        <v>5</v>
      </c>
    </row>
    <row r="1110" spans="1:7" x14ac:dyDescent="0.3">
      <c r="A1110" t="s">
        <v>26</v>
      </c>
      <c r="B1110" s="1">
        <v>45777</v>
      </c>
      <c r="C1110">
        <v>257027</v>
      </c>
      <c r="D1110">
        <v>19.681000000000001</v>
      </c>
      <c r="E1110" t="s">
        <v>4</v>
      </c>
      <c r="F1110" t="s">
        <v>45</v>
      </c>
      <c r="G1110" t="s">
        <v>5</v>
      </c>
    </row>
    <row r="1111" spans="1:7" x14ac:dyDescent="0.3">
      <c r="A1111" t="s">
        <v>26</v>
      </c>
      <c r="B1111" s="1">
        <v>45777</v>
      </c>
      <c r="C1111">
        <v>257030</v>
      </c>
      <c r="D1111">
        <v>-11.843999999999999</v>
      </c>
      <c r="E1111" t="s">
        <v>4</v>
      </c>
      <c r="F1111" t="s">
        <v>45</v>
      </c>
      <c r="G1111" t="s">
        <v>5</v>
      </c>
    </row>
    <row r="1112" spans="1:7" x14ac:dyDescent="0.3">
      <c r="A1112" t="s">
        <v>26</v>
      </c>
      <c r="B1112" s="1">
        <v>45777</v>
      </c>
      <c r="C1112">
        <v>260004</v>
      </c>
      <c r="D1112">
        <v>-1905.5619999999999</v>
      </c>
      <c r="E1112" t="s">
        <v>4</v>
      </c>
      <c r="F1112" t="s">
        <v>45</v>
      </c>
      <c r="G1112" t="s">
        <v>5</v>
      </c>
    </row>
    <row r="1113" spans="1:7" x14ac:dyDescent="0.3">
      <c r="A1113" t="s">
        <v>26</v>
      </c>
      <c r="B1113" s="1">
        <v>45777</v>
      </c>
      <c r="C1113">
        <v>270025</v>
      </c>
      <c r="D1113">
        <v>2092.0929999999998</v>
      </c>
      <c r="E1113" t="s">
        <v>4</v>
      </c>
      <c r="F1113" t="s">
        <v>58</v>
      </c>
      <c r="G1113" t="s">
        <v>5</v>
      </c>
    </row>
    <row r="1114" spans="1:7" x14ac:dyDescent="0.3">
      <c r="A1114" t="s">
        <v>26</v>
      </c>
      <c r="B1114" s="1">
        <v>45777</v>
      </c>
      <c r="C1114">
        <v>270026</v>
      </c>
      <c r="D1114">
        <v>-679.62400000000002</v>
      </c>
      <c r="E1114" t="s">
        <v>4</v>
      </c>
      <c r="F1114" t="s">
        <v>58</v>
      </c>
      <c r="G1114" t="s">
        <v>5</v>
      </c>
    </row>
    <row r="1115" spans="1:7" x14ac:dyDescent="0.3">
      <c r="A1115" t="s">
        <v>26</v>
      </c>
      <c r="B1115" s="1">
        <v>45777</v>
      </c>
      <c r="C1115">
        <v>300008</v>
      </c>
      <c r="D1115">
        <v>1312.3240000000001</v>
      </c>
      <c r="E1115" t="s">
        <v>4</v>
      </c>
      <c r="F1115" t="s">
        <v>65</v>
      </c>
      <c r="G1115" t="s">
        <v>5</v>
      </c>
    </row>
    <row r="1116" spans="1:7" x14ac:dyDescent="0.3">
      <c r="A1116" t="s">
        <v>26</v>
      </c>
      <c r="B1116" s="1">
        <v>45777</v>
      </c>
      <c r="C1116">
        <v>300508</v>
      </c>
      <c r="D1116">
        <v>-414.56799999999998</v>
      </c>
      <c r="E1116" t="s">
        <v>4</v>
      </c>
      <c r="F1116" t="s">
        <v>65</v>
      </c>
      <c r="G1116" t="s">
        <v>5</v>
      </c>
    </row>
    <row r="1117" spans="1:7" x14ac:dyDescent="0.3">
      <c r="A1117" t="s">
        <v>26</v>
      </c>
      <c r="B1117" s="1">
        <v>45777</v>
      </c>
      <c r="C1117">
        <v>320002</v>
      </c>
      <c r="D1117">
        <v>85197.082999999999</v>
      </c>
      <c r="E1117" t="s">
        <v>4</v>
      </c>
      <c r="F1117" t="s">
        <v>46</v>
      </c>
      <c r="G1117" t="s">
        <v>5</v>
      </c>
    </row>
    <row r="1118" spans="1:7" x14ac:dyDescent="0.3">
      <c r="A1118" t="s">
        <v>26</v>
      </c>
      <c r="B1118" s="1">
        <v>45777</v>
      </c>
      <c r="C1118">
        <v>320003</v>
      </c>
      <c r="D1118">
        <v>1053.02</v>
      </c>
      <c r="E1118" t="s">
        <v>4</v>
      </c>
      <c r="F1118" t="s">
        <v>46</v>
      </c>
      <c r="G1118" t="s">
        <v>5</v>
      </c>
    </row>
    <row r="1119" spans="1:7" x14ac:dyDescent="0.3">
      <c r="A1119" t="s">
        <v>26</v>
      </c>
      <c r="B1119" s="1">
        <v>45777</v>
      </c>
      <c r="C1119">
        <v>320004</v>
      </c>
      <c r="D1119">
        <v>254.893</v>
      </c>
      <c r="E1119" t="s">
        <v>4</v>
      </c>
      <c r="F1119" t="s">
        <v>46</v>
      </c>
      <c r="G1119" t="s">
        <v>5</v>
      </c>
    </row>
    <row r="1120" spans="1:7" x14ac:dyDescent="0.3">
      <c r="A1120" t="s">
        <v>26</v>
      </c>
      <c r="B1120" s="1">
        <v>45777</v>
      </c>
      <c r="C1120">
        <v>320023</v>
      </c>
      <c r="D1120">
        <v>-3185.85</v>
      </c>
      <c r="E1120" t="s">
        <v>4</v>
      </c>
      <c r="F1120" t="s">
        <v>46</v>
      </c>
      <c r="G1120" t="s">
        <v>5</v>
      </c>
    </row>
    <row r="1121" spans="1:7" x14ac:dyDescent="0.3">
      <c r="A1121" t="s">
        <v>26</v>
      </c>
      <c r="B1121" s="1">
        <v>45777</v>
      </c>
      <c r="C1121">
        <v>321002</v>
      </c>
      <c r="D1121">
        <v>-3657.5360000000001</v>
      </c>
      <c r="E1121" t="s">
        <v>4</v>
      </c>
      <c r="F1121" t="s">
        <v>46</v>
      </c>
      <c r="G1121" t="s">
        <v>5</v>
      </c>
    </row>
    <row r="1122" spans="1:7" x14ac:dyDescent="0.3">
      <c r="A1122" t="s">
        <v>26</v>
      </c>
      <c r="B1122" s="1">
        <v>45777</v>
      </c>
      <c r="C1122">
        <v>321013</v>
      </c>
      <c r="D1122">
        <v>-625.55499999999995</v>
      </c>
      <c r="E1122" t="s">
        <v>4</v>
      </c>
      <c r="F1122" t="s">
        <v>46</v>
      </c>
      <c r="G1122" t="s">
        <v>5</v>
      </c>
    </row>
    <row r="1123" spans="1:7" x14ac:dyDescent="0.3">
      <c r="A1123" t="s">
        <v>26</v>
      </c>
      <c r="B1123" s="1">
        <v>45777</v>
      </c>
      <c r="C1123">
        <v>321025</v>
      </c>
      <c r="D1123">
        <v>-2540.6170000000002</v>
      </c>
      <c r="E1123" t="s">
        <v>4</v>
      </c>
      <c r="F1123" t="s">
        <v>46</v>
      </c>
      <c r="G1123" t="s">
        <v>5</v>
      </c>
    </row>
    <row r="1124" spans="1:7" x14ac:dyDescent="0.3">
      <c r="A1124" t="s">
        <v>26</v>
      </c>
      <c r="B1124" s="1">
        <v>45777</v>
      </c>
      <c r="C1124">
        <v>321028</v>
      </c>
      <c r="D1124">
        <v>3469.4859999999999</v>
      </c>
      <c r="E1124" t="s">
        <v>4</v>
      </c>
      <c r="F1124" t="s">
        <v>46</v>
      </c>
      <c r="G1124" t="s">
        <v>5</v>
      </c>
    </row>
    <row r="1125" spans="1:7" x14ac:dyDescent="0.3">
      <c r="A1125" t="s">
        <v>26</v>
      </c>
      <c r="B1125" s="1">
        <v>45777</v>
      </c>
      <c r="C1125">
        <v>321029</v>
      </c>
      <c r="D1125">
        <v>8967.2279999999992</v>
      </c>
      <c r="E1125" t="s">
        <v>4</v>
      </c>
      <c r="F1125" t="s">
        <v>46</v>
      </c>
      <c r="G1125" t="s">
        <v>5</v>
      </c>
    </row>
    <row r="1126" spans="1:7" x14ac:dyDescent="0.3">
      <c r="A1126" t="s">
        <v>26</v>
      </c>
      <c r="B1126" s="1">
        <v>45777</v>
      </c>
      <c r="C1126">
        <v>321042</v>
      </c>
      <c r="D1126">
        <v>-2209.643</v>
      </c>
      <c r="E1126" t="s">
        <v>4</v>
      </c>
      <c r="F1126" t="s">
        <v>46</v>
      </c>
      <c r="G1126" t="s">
        <v>5</v>
      </c>
    </row>
    <row r="1127" spans="1:7" x14ac:dyDescent="0.3">
      <c r="A1127" t="s">
        <v>26</v>
      </c>
      <c r="B1127" s="1">
        <v>45777</v>
      </c>
      <c r="C1127">
        <v>330020</v>
      </c>
      <c r="D1127">
        <v>-41.404000000000003</v>
      </c>
      <c r="E1127" t="s">
        <v>4</v>
      </c>
      <c r="F1127" t="s">
        <v>43</v>
      </c>
      <c r="G1127" t="s">
        <v>5</v>
      </c>
    </row>
    <row r="1128" spans="1:7" x14ac:dyDescent="0.3">
      <c r="A1128" t="s">
        <v>26</v>
      </c>
      <c r="B1128" s="1">
        <v>45777</v>
      </c>
      <c r="C1128">
        <v>330147</v>
      </c>
      <c r="D1128">
        <v>2353.971</v>
      </c>
      <c r="E1128" t="s">
        <v>4</v>
      </c>
      <c r="F1128" t="s">
        <v>43</v>
      </c>
      <c r="G1128" t="s">
        <v>5</v>
      </c>
    </row>
    <row r="1129" spans="1:7" x14ac:dyDescent="0.3">
      <c r="A1129" t="s">
        <v>26</v>
      </c>
      <c r="B1129" s="1">
        <v>45777</v>
      </c>
      <c r="C1129">
        <v>340031</v>
      </c>
      <c r="D1129">
        <v>247013.62899999999</v>
      </c>
      <c r="E1129" t="s">
        <v>4</v>
      </c>
      <c r="F1129" t="s">
        <v>47</v>
      </c>
      <c r="G1129" t="s">
        <v>5</v>
      </c>
    </row>
    <row r="1130" spans="1:7" x14ac:dyDescent="0.3">
      <c r="A1130" t="s">
        <v>26</v>
      </c>
      <c r="B1130" s="1">
        <v>45777</v>
      </c>
      <c r="C1130">
        <v>350003</v>
      </c>
      <c r="D1130">
        <v>-16.303000000000001</v>
      </c>
      <c r="E1130" t="s">
        <v>4</v>
      </c>
      <c r="F1130" t="s">
        <v>49</v>
      </c>
      <c r="G1130" t="s">
        <v>5</v>
      </c>
    </row>
    <row r="1131" spans="1:7" x14ac:dyDescent="0.3">
      <c r="A1131" t="s">
        <v>26</v>
      </c>
      <c r="B1131" s="1">
        <v>45777</v>
      </c>
      <c r="C1131">
        <v>350031</v>
      </c>
      <c r="D1131">
        <v>479.93799999999999</v>
      </c>
      <c r="E1131" t="s">
        <v>4</v>
      </c>
      <c r="F1131" t="s">
        <v>43</v>
      </c>
      <c r="G1131" t="s">
        <v>5</v>
      </c>
    </row>
    <row r="1132" spans="1:7" x14ac:dyDescent="0.3">
      <c r="A1132" t="s">
        <v>26</v>
      </c>
      <c r="B1132" s="1">
        <v>45777</v>
      </c>
      <c r="C1132">
        <v>350034</v>
      </c>
      <c r="D1132">
        <v>16.303000000000001</v>
      </c>
      <c r="E1132" t="s">
        <v>4</v>
      </c>
      <c r="F1132" t="s">
        <v>49</v>
      </c>
      <c r="G1132" t="s">
        <v>5</v>
      </c>
    </row>
    <row r="1133" spans="1:7" x14ac:dyDescent="0.3">
      <c r="A1133" t="s">
        <v>26</v>
      </c>
      <c r="B1133" s="1">
        <v>45777</v>
      </c>
      <c r="C1133">
        <v>352002</v>
      </c>
      <c r="D1133">
        <v>1630.27</v>
      </c>
      <c r="E1133" t="s">
        <v>4</v>
      </c>
      <c r="F1133" t="s">
        <v>48</v>
      </c>
      <c r="G1133" t="s">
        <v>5</v>
      </c>
    </row>
    <row r="1134" spans="1:7" x14ac:dyDescent="0.3">
      <c r="A1134" t="s">
        <v>26</v>
      </c>
      <c r="B1134" s="1">
        <v>45777</v>
      </c>
      <c r="C1134">
        <v>354008</v>
      </c>
      <c r="D1134">
        <v>6.4000000000000001E-2</v>
      </c>
      <c r="E1134" t="s">
        <v>4</v>
      </c>
      <c r="F1134" t="s">
        <v>46</v>
      </c>
      <c r="G1134" t="s">
        <v>5</v>
      </c>
    </row>
    <row r="1135" spans="1:7" x14ac:dyDescent="0.3">
      <c r="A1135" t="s">
        <v>26</v>
      </c>
      <c r="B1135" s="1">
        <v>45777</v>
      </c>
      <c r="C1135">
        <v>354013</v>
      </c>
      <c r="D1135">
        <v>25657.145</v>
      </c>
      <c r="E1135" t="s">
        <v>4</v>
      </c>
      <c r="F1135" t="s">
        <v>46</v>
      </c>
      <c r="G1135" t="s">
        <v>5</v>
      </c>
    </row>
    <row r="1136" spans="1:7" x14ac:dyDescent="0.3">
      <c r="A1136" t="s">
        <v>26</v>
      </c>
      <c r="B1136" s="1">
        <v>45777</v>
      </c>
      <c r="C1136">
        <v>354015</v>
      </c>
      <c r="D1136">
        <v>3419.2950000000001</v>
      </c>
      <c r="E1136" t="s">
        <v>4</v>
      </c>
      <c r="F1136" t="s">
        <v>46</v>
      </c>
      <c r="G1136" t="s">
        <v>5</v>
      </c>
    </row>
    <row r="1137" spans="1:7" x14ac:dyDescent="0.3">
      <c r="A1137" t="s">
        <v>26</v>
      </c>
      <c r="B1137" s="1">
        <v>45777</v>
      </c>
      <c r="C1137">
        <v>372004</v>
      </c>
      <c r="D1137">
        <v>1901.777</v>
      </c>
      <c r="E1137" t="s">
        <v>4</v>
      </c>
      <c r="F1137" t="s">
        <v>45</v>
      </c>
      <c r="G1137" t="s">
        <v>5</v>
      </c>
    </row>
    <row r="1138" spans="1:7" x14ac:dyDescent="0.3">
      <c r="A1138" t="s">
        <v>26</v>
      </c>
      <c r="B1138" s="1">
        <v>45777</v>
      </c>
      <c r="C1138">
        <v>400002</v>
      </c>
      <c r="D1138">
        <v>-3947.4769999999999</v>
      </c>
      <c r="E1138" t="s">
        <v>6</v>
      </c>
      <c r="F1138" t="s">
        <v>50</v>
      </c>
      <c r="G1138" t="s">
        <v>5</v>
      </c>
    </row>
    <row r="1139" spans="1:7" x14ac:dyDescent="0.3">
      <c r="A1139" t="s">
        <v>26</v>
      </c>
      <c r="B1139" s="1">
        <v>45777</v>
      </c>
      <c r="C1139">
        <v>400004</v>
      </c>
      <c r="D1139">
        <v>-6717.5079999999998</v>
      </c>
      <c r="E1139" t="s">
        <v>6</v>
      </c>
      <c r="F1139" t="s">
        <v>50</v>
      </c>
      <c r="G1139" t="s">
        <v>5</v>
      </c>
    </row>
    <row r="1140" spans="1:7" x14ac:dyDescent="0.3">
      <c r="A1140" t="s">
        <v>26</v>
      </c>
      <c r="B1140" s="1">
        <v>45777</v>
      </c>
      <c r="C1140">
        <v>410002</v>
      </c>
      <c r="D1140">
        <v>-2734.1109999999999</v>
      </c>
      <c r="E1140" t="s">
        <v>6</v>
      </c>
      <c r="F1140" t="s">
        <v>51</v>
      </c>
      <c r="G1140" t="s">
        <v>5</v>
      </c>
    </row>
    <row r="1141" spans="1:7" x14ac:dyDescent="0.3">
      <c r="A1141" t="s">
        <v>26</v>
      </c>
      <c r="B1141" s="1">
        <v>45777</v>
      </c>
      <c r="C1141">
        <v>410037</v>
      </c>
      <c r="D1141">
        <v>-1752.4490000000001</v>
      </c>
      <c r="E1141" t="s">
        <v>6</v>
      </c>
      <c r="F1141" t="s">
        <v>51</v>
      </c>
      <c r="G1141" t="s">
        <v>5</v>
      </c>
    </row>
    <row r="1142" spans="1:7" x14ac:dyDescent="0.3">
      <c r="A1142" t="s">
        <v>26</v>
      </c>
      <c r="B1142" s="1">
        <v>45777</v>
      </c>
      <c r="C1142">
        <v>421002</v>
      </c>
      <c r="D1142">
        <v>34.249000000000002</v>
      </c>
      <c r="E1142" t="s">
        <v>6</v>
      </c>
      <c r="F1142" t="s">
        <v>52</v>
      </c>
      <c r="G1142" t="s">
        <v>5</v>
      </c>
    </row>
    <row r="1143" spans="1:7" x14ac:dyDescent="0.3">
      <c r="A1143" t="s">
        <v>26</v>
      </c>
      <c r="B1143" s="1">
        <v>45777</v>
      </c>
      <c r="C1143">
        <v>421003</v>
      </c>
      <c r="D1143">
        <v>316.63600000000002</v>
      </c>
      <c r="E1143" t="s">
        <v>6</v>
      </c>
      <c r="F1143" t="s">
        <v>52</v>
      </c>
      <c r="G1143" t="s">
        <v>5</v>
      </c>
    </row>
    <row r="1144" spans="1:7" x14ac:dyDescent="0.3">
      <c r="A1144" t="s">
        <v>26</v>
      </c>
      <c r="B1144" s="1">
        <v>45777</v>
      </c>
      <c r="C1144">
        <v>421007</v>
      </c>
      <c r="D1144">
        <v>470.44799999999998</v>
      </c>
      <c r="E1144" t="s">
        <v>6</v>
      </c>
      <c r="F1144" t="s">
        <v>52</v>
      </c>
      <c r="G1144" t="s">
        <v>5</v>
      </c>
    </row>
    <row r="1145" spans="1:7" x14ac:dyDescent="0.3">
      <c r="A1145" t="s">
        <v>26</v>
      </c>
      <c r="B1145" s="1">
        <v>45777</v>
      </c>
      <c r="C1145">
        <v>510002</v>
      </c>
      <c r="D1145">
        <v>4655.3239999999996</v>
      </c>
      <c r="E1145" t="s">
        <v>6</v>
      </c>
      <c r="F1145" t="s">
        <v>53</v>
      </c>
      <c r="G1145" t="s">
        <v>5</v>
      </c>
    </row>
    <row r="1146" spans="1:7" x14ac:dyDescent="0.3">
      <c r="A1146" t="s">
        <v>26</v>
      </c>
      <c r="B1146" s="1">
        <v>45777</v>
      </c>
      <c r="C1146">
        <v>510005</v>
      </c>
      <c r="D1146">
        <v>-1147.634</v>
      </c>
      <c r="E1146" t="s">
        <v>6</v>
      </c>
      <c r="F1146" t="s">
        <v>53</v>
      </c>
      <c r="G1146" t="s">
        <v>5</v>
      </c>
    </row>
    <row r="1147" spans="1:7" x14ac:dyDescent="0.3">
      <c r="A1147" t="s">
        <v>26</v>
      </c>
      <c r="B1147" s="1">
        <v>45777</v>
      </c>
      <c r="C1147">
        <v>510007</v>
      </c>
      <c r="D1147">
        <v>845.67</v>
      </c>
      <c r="E1147" t="s">
        <v>6</v>
      </c>
      <c r="F1147" t="s">
        <v>53</v>
      </c>
      <c r="G1147" t="s">
        <v>5</v>
      </c>
    </row>
    <row r="1148" spans="1:7" x14ac:dyDescent="0.3">
      <c r="A1148" t="s">
        <v>26</v>
      </c>
      <c r="B1148" s="1">
        <v>45777</v>
      </c>
      <c r="C1148">
        <v>520020</v>
      </c>
      <c r="D1148">
        <v>136.54599999999999</v>
      </c>
      <c r="E1148" t="s">
        <v>6</v>
      </c>
      <c r="F1148" t="s">
        <v>53</v>
      </c>
      <c r="G1148" t="s">
        <v>5</v>
      </c>
    </row>
    <row r="1149" spans="1:7" x14ac:dyDescent="0.3">
      <c r="A1149" t="s">
        <v>26</v>
      </c>
      <c r="B1149" s="1">
        <v>45777</v>
      </c>
      <c r="C1149">
        <v>546002</v>
      </c>
      <c r="D1149">
        <v>5709.8789999999999</v>
      </c>
      <c r="E1149" t="s">
        <v>6</v>
      </c>
      <c r="F1149" t="s">
        <v>51</v>
      </c>
      <c r="G1149" t="s">
        <v>5</v>
      </c>
    </row>
    <row r="1150" spans="1:7" x14ac:dyDescent="0.3">
      <c r="A1150" t="s">
        <v>26</v>
      </c>
      <c r="B1150" s="1">
        <v>45777</v>
      </c>
      <c r="C1150">
        <v>550002</v>
      </c>
      <c r="D1150">
        <v>11745.411</v>
      </c>
      <c r="E1150" t="s">
        <v>6</v>
      </c>
      <c r="F1150" t="s">
        <v>62</v>
      </c>
      <c r="G1150" t="s">
        <v>5</v>
      </c>
    </row>
    <row r="1151" spans="1:7" x14ac:dyDescent="0.3">
      <c r="A1151" t="s">
        <v>26</v>
      </c>
      <c r="B1151" s="1">
        <v>45777</v>
      </c>
      <c r="C1151">
        <v>550003</v>
      </c>
      <c r="D1151">
        <v>-4547.1589999999997</v>
      </c>
      <c r="E1151" t="s">
        <v>6</v>
      </c>
      <c r="F1151" t="s">
        <v>62</v>
      </c>
      <c r="G1151" t="s">
        <v>5</v>
      </c>
    </row>
    <row r="1152" spans="1:7" x14ac:dyDescent="0.3">
      <c r="A1152" t="s">
        <v>26</v>
      </c>
      <c r="B1152" s="1">
        <v>45777</v>
      </c>
      <c r="C1152">
        <v>551003</v>
      </c>
      <c r="D1152">
        <v>569.30100000000004</v>
      </c>
      <c r="E1152" t="s">
        <v>6</v>
      </c>
      <c r="F1152" t="s">
        <v>63</v>
      </c>
      <c r="G1152" t="s">
        <v>5</v>
      </c>
    </row>
    <row r="1153" spans="1:7" x14ac:dyDescent="0.3">
      <c r="A1153" t="s">
        <v>26</v>
      </c>
      <c r="B1153" s="1">
        <v>45777</v>
      </c>
      <c r="C1153">
        <v>552502</v>
      </c>
      <c r="D1153">
        <v>539.54200000000003</v>
      </c>
      <c r="E1153" t="s">
        <v>6</v>
      </c>
      <c r="F1153" t="s">
        <v>55</v>
      </c>
      <c r="G1153" t="s">
        <v>5</v>
      </c>
    </row>
    <row r="1154" spans="1:7" x14ac:dyDescent="0.3">
      <c r="A1154" t="s">
        <v>26</v>
      </c>
      <c r="B1154" s="1">
        <v>45777</v>
      </c>
      <c r="C1154">
        <v>556002</v>
      </c>
      <c r="D1154">
        <v>7.0010000000000003</v>
      </c>
      <c r="E1154" t="s">
        <v>6</v>
      </c>
      <c r="F1154" t="s">
        <v>60</v>
      </c>
      <c r="G1154" t="s">
        <v>5</v>
      </c>
    </row>
    <row r="1155" spans="1:7" x14ac:dyDescent="0.3">
      <c r="A1155" t="s">
        <v>26</v>
      </c>
      <c r="B1155" s="1">
        <v>45777</v>
      </c>
      <c r="C1155">
        <v>557002</v>
      </c>
      <c r="D1155">
        <v>4578.7650000000003</v>
      </c>
      <c r="E1155" t="s">
        <v>6</v>
      </c>
      <c r="F1155" t="s">
        <v>56</v>
      </c>
      <c r="G1155" t="s">
        <v>5</v>
      </c>
    </row>
    <row r="1156" spans="1:7" x14ac:dyDescent="0.3">
      <c r="A1156" t="s">
        <v>26</v>
      </c>
      <c r="B1156" s="1">
        <v>45777</v>
      </c>
      <c r="C1156">
        <v>558006</v>
      </c>
      <c r="D1156">
        <v>-583.61800000000005</v>
      </c>
      <c r="E1156" t="s">
        <v>6</v>
      </c>
      <c r="F1156" t="s">
        <v>57</v>
      </c>
      <c r="G1156" t="s">
        <v>5</v>
      </c>
    </row>
    <row r="1157" spans="1:7" x14ac:dyDescent="0.3">
      <c r="A1157" t="s">
        <v>26</v>
      </c>
      <c r="B1157" s="1">
        <v>45777</v>
      </c>
      <c r="C1157">
        <v>559002</v>
      </c>
      <c r="D1157">
        <v>15.237</v>
      </c>
      <c r="E1157" t="s">
        <v>6</v>
      </c>
      <c r="F1157" t="s">
        <v>60</v>
      </c>
      <c r="G1157" t="s">
        <v>5</v>
      </c>
    </row>
    <row r="1158" spans="1:7" x14ac:dyDescent="0.3">
      <c r="A1158" t="s">
        <v>26</v>
      </c>
      <c r="B1158" s="1">
        <v>45777</v>
      </c>
      <c r="C1158">
        <v>560008</v>
      </c>
      <c r="D1158">
        <v>93.445999999999998</v>
      </c>
      <c r="E1158" t="s">
        <v>6</v>
      </c>
      <c r="F1158" t="s">
        <v>56</v>
      </c>
      <c r="G1158" t="s">
        <v>5</v>
      </c>
    </row>
    <row r="1159" spans="1:7" x14ac:dyDescent="0.3">
      <c r="A1159" t="s">
        <v>26</v>
      </c>
      <c r="B1159" s="1">
        <v>45777</v>
      </c>
      <c r="C1159">
        <v>564019</v>
      </c>
      <c r="D1159">
        <v>3673.3789999999999</v>
      </c>
      <c r="E1159" t="s">
        <v>6</v>
      </c>
      <c r="F1159" t="s">
        <v>51</v>
      </c>
      <c r="G1159" t="s">
        <v>5</v>
      </c>
    </row>
    <row r="1160" spans="1:7" x14ac:dyDescent="0.3">
      <c r="A1160" t="s">
        <v>26</v>
      </c>
      <c r="B1160" s="1">
        <v>45777</v>
      </c>
      <c r="C1160">
        <v>564020</v>
      </c>
      <c r="D1160">
        <v>31.914000000000001</v>
      </c>
      <c r="E1160" t="s">
        <v>6</v>
      </c>
      <c r="F1160" t="s">
        <v>57</v>
      </c>
      <c r="G1160" t="s">
        <v>5</v>
      </c>
    </row>
    <row r="1161" spans="1:7" x14ac:dyDescent="0.3">
      <c r="A1161" t="s">
        <v>26</v>
      </c>
      <c r="B1161" s="1">
        <v>45777</v>
      </c>
      <c r="C1161">
        <v>570002</v>
      </c>
      <c r="D1161">
        <v>9.1370000000000005</v>
      </c>
      <c r="E1161" t="s">
        <v>6</v>
      </c>
      <c r="F1161" t="s">
        <v>66</v>
      </c>
      <c r="G1161" t="s">
        <v>5</v>
      </c>
    </row>
    <row r="1162" spans="1:7" x14ac:dyDescent="0.3">
      <c r="A1162" t="s">
        <v>27</v>
      </c>
      <c r="B1162" s="1">
        <v>45777</v>
      </c>
      <c r="C1162">
        <v>220006</v>
      </c>
      <c r="D1162">
        <v>4378.6729999999998</v>
      </c>
      <c r="E1162" t="s">
        <v>4</v>
      </c>
      <c r="F1162" t="s">
        <v>42</v>
      </c>
      <c r="G1162" t="s">
        <v>8</v>
      </c>
    </row>
    <row r="1163" spans="1:7" x14ac:dyDescent="0.3">
      <c r="A1163" t="s">
        <v>27</v>
      </c>
      <c r="B1163" s="1">
        <v>45777</v>
      </c>
      <c r="C1163">
        <v>240002</v>
      </c>
      <c r="D1163">
        <v>6.42</v>
      </c>
      <c r="E1163" t="s">
        <v>4</v>
      </c>
      <c r="F1163" t="s">
        <v>43</v>
      </c>
      <c r="G1163" t="s">
        <v>8</v>
      </c>
    </row>
    <row r="1164" spans="1:7" x14ac:dyDescent="0.3">
      <c r="A1164" t="s">
        <v>27</v>
      </c>
      <c r="B1164" s="1">
        <v>45777</v>
      </c>
      <c r="C1164">
        <v>240009</v>
      </c>
      <c r="D1164">
        <v>-6.42</v>
      </c>
      <c r="E1164" t="s">
        <v>4</v>
      </c>
      <c r="F1164" t="s">
        <v>43</v>
      </c>
      <c r="G1164" t="s">
        <v>8</v>
      </c>
    </row>
    <row r="1165" spans="1:7" x14ac:dyDescent="0.3">
      <c r="A1165" t="s">
        <v>27</v>
      </c>
      <c r="B1165" s="1">
        <v>45777</v>
      </c>
      <c r="C1165">
        <v>243002</v>
      </c>
      <c r="D1165">
        <v>-2147.2040000000002</v>
      </c>
      <c r="E1165" t="s">
        <v>4</v>
      </c>
      <c r="F1165" t="s">
        <v>43</v>
      </c>
      <c r="G1165" t="s">
        <v>8</v>
      </c>
    </row>
    <row r="1166" spans="1:7" x14ac:dyDescent="0.3">
      <c r="A1166" t="s">
        <v>27</v>
      </c>
      <c r="B1166" s="1">
        <v>45777</v>
      </c>
      <c r="C1166">
        <v>330141</v>
      </c>
      <c r="D1166">
        <v>-3647.9209999999998</v>
      </c>
      <c r="E1166" t="s">
        <v>4</v>
      </c>
      <c r="F1166" t="s">
        <v>43</v>
      </c>
      <c r="G1166" t="s">
        <v>8</v>
      </c>
    </row>
    <row r="1167" spans="1:7" x14ac:dyDescent="0.3">
      <c r="A1167" t="s">
        <v>27</v>
      </c>
      <c r="B1167" s="1">
        <v>45777</v>
      </c>
      <c r="C1167">
        <v>350031</v>
      </c>
      <c r="D1167">
        <v>6.42</v>
      </c>
      <c r="E1167" t="s">
        <v>4</v>
      </c>
      <c r="F1167" t="s">
        <v>43</v>
      </c>
      <c r="G1167" t="s">
        <v>8</v>
      </c>
    </row>
    <row r="1168" spans="1:7" x14ac:dyDescent="0.3">
      <c r="A1168" t="s">
        <v>27</v>
      </c>
      <c r="B1168" s="1">
        <v>45777</v>
      </c>
      <c r="C1168">
        <v>355002</v>
      </c>
      <c r="D1168">
        <v>144.636</v>
      </c>
      <c r="E1168" t="s">
        <v>4</v>
      </c>
      <c r="F1168" t="s">
        <v>49</v>
      </c>
      <c r="G1168" t="s">
        <v>8</v>
      </c>
    </row>
    <row r="1169" spans="1:7" x14ac:dyDescent="0.3">
      <c r="A1169" t="s">
        <v>27</v>
      </c>
      <c r="B1169" s="1">
        <v>45777</v>
      </c>
      <c r="C1169">
        <v>552502</v>
      </c>
      <c r="D1169">
        <v>72.286000000000001</v>
      </c>
      <c r="E1169" t="s">
        <v>6</v>
      </c>
      <c r="F1169" t="s">
        <v>55</v>
      </c>
      <c r="G1169" t="s">
        <v>8</v>
      </c>
    </row>
    <row r="1170" spans="1:7" x14ac:dyDescent="0.3">
      <c r="A1170" t="s">
        <v>27</v>
      </c>
      <c r="B1170" s="1">
        <v>45777</v>
      </c>
      <c r="C1170">
        <v>557002</v>
      </c>
      <c r="D1170">
        <v>1193.1099999999999</v>
      </c>
      <c r="E1170" t="s">
        <v>6</v>
      </c>
      <c r="F1170" t="s">
        <v>56</v>
      </c>
      <c r="G1170" t="s">
        <v>8</v>
      </c>
    </row>
    <row r="1171" spans="1:7" x14ac:dyDescent="0.3">
      <c r="A1171" t="s">
        <v>28</v>
      </c>
      <c r="B1171" s="1">
        <v>45777</v>
      </c>
      <c r="C1171">
        <v>220006</v>
      </c>
      <c r="D1171">
        <v>37035.406999999999</v>
      </c>
      <c r="E1171" t="s">
        <v>4</v>
      </c>
      <c r="F1171" t="s">
        <v>42</v>
      </c>
      <c r="G1171" t="s">
        <v>8</v>
      </c>
    </row>
    <row r="1172" spans="1:7" x14ac:dyDescent="0.3">
      <c r="A1172" t="s">
        <v>28</v>
      </c>
      <c r="B1172" s="1">
        <v>45777</v>
      </c>
      <c r="C1172">
        <v>240002</v>
      </c>
      <c r="D1172">
        <v>-71.94</v>
      </c>
      <c r="E1172" t="s">
        <v>4</v>
      </c>
      <c r="F1172" t="s">
        <v>43</v>
      </c>
      <c r="G1172" t="s">
        <v>8</v>
      </c>
    </row>
    <row r="1173" spans="1:7" x14ac:dyDescent="0.3">
      <c r="A1173" t="s">
        <v>28</v>
      </c>
      <c r="B1173" s="1">
        <v>45777</v>
      </c>
      <c r="C1173">
        <v>240003</v>
      </c>
      <c r="D1173">
        <v>-14.759</v>
      </c>
      <c r="E1173" t="s">
        <v>4</v>
      </c>
      <c r="F1173" t="s">
        <v>43</v>
      </c>
      <c r="G1173" t="s">
        <v>8</v>
      </c>
    </row>
    <row r="1174" spans="1:7" x14ac:dyDescent="0.3">
      <c r="A1174" t="s">
        <v>28</v>
      </c>
      <c r="B1174" s="1">
        <v>45777</v>
      </c>
      <c r="C1174">
        <v>240009</v>
      </c>
      <c r="D1174">
        <v>-14.981999999999999</v>
      </c>
      <c r="E1174" t="s">
        <v>4</v>
      </c>
      <c r="F1174" t="s">
        <v>43</v>
      </c>
      <c r="G1174" t="s">
        <v>8</v>
      </c>
    </row>
    <row r="1175" spans="1:7" x14ac:dyDescent="0.3">
      <c r="A1175" t="s">
        <v>28</v>
      </c>
      <c r="B1175" s="1">
        <v>45777</v>
      </c>
      <c r="C1175">
        <v>242003</v>
      </c>
      <c r="D1175">
        <v>-572.88400000000001</v>
      </c>
      <c r="E1175" t="s">
        <v>4</v>
      </c>
      <c r="F1175" t="s">
        <v>43</v>
      </c>
      <c r="G1175" t="s">
        <v>8</v>
      </c>
    </row>
    <row r="1176" spans="1:7" x14ac:dyDescent="0.3">
      <c r="A1176" t="s">
        <v>28</v>
      </c>
      <c r="B1176" s="1">
        <v>45777</v>
      </c>
      <c r="C1176">
        <v>243002</v>
      </c>
      <c r="D1176">
        <v>-260.76499999999999</v>
      </c>
      <c r="E1176" t="s">
        <v>4</v>
      </c>
      <c r="F1176" t="s">
        <v>43</v>
      </c>
      <c r="G1176" t="s">
        <v>8</v>
      </c>
    </row>
    <row r="1177" spans="1:7" x14ac:dyDescent="0.3">
      <c r="A1177" t="s">
        <v>28</v>
      </c>
      <c r="B1177" s="1">
        <v>45777</v>
      </c>
      <c r="C1177">
        <v>257005</v>
      </c>
      <c r="D1177">
        <v>-103.401</v>
      </c>
      <c r="E1177" t="s">
        <v>4</v>
      </c>
      <c r="F1177" t="s">
        <v>45</v>
      </c>
      <c r="G1177" t="s">
        <v>8</v>
      </c>
    </row>
    <row r="1178" spans="1:7" x14ac:dyDescent="0.3">
      <c r="A1178" t="s">
        <v>28</v>
      </c>
      <c r="B1178" s="1">
        <v>45777</v>
      </c>
      <c r="C1178">
        <v>257008</v>
      </c>
      <c r="D1178">
        <v>185.49799999999999</v>
      </c>
      <c r="E1178" t="s">
        <v>4</v>
      </c>
      <c r="F1178" t="s">
        <v>45</v>
      </c>
      <c r="G1178" t="s">
        <v>8</v>
      </c>
    </row>
    <row r="1179" spans="1:7" x14ac:dyDescent="0.3">
      <c r="A1179" t="s">
        <v>28</v>
      </c>
      <c r="B1179" s="1">
        <v>45777</v>
      </c>
      <c r="C1179">
        <v>260004</v>
      </c>
      <c r="D1179">
        <v>4.0000000000000001E-3</v>
      </c>
      <c r="E1179" t="s">
        <v>4</v>
      </c>
      <c r="F1179" t="s">
        <v>45</v>
      </c>
      <c r="G1179" t="s">
        <v>8</v>
      </c>
    </row>
    <row r="1180" spans="1:7" x14ac:dyDescent="0.3">
      <c r="A1180" t="s">
        <v>28</v>
      </c>
      <c r="B1180" s="1">
        <v>45777</v>
      </c>
      <c r="C1180">
        <v>321004</v>
      </c>
      <c r="D1180">
        <v>3498.4949999999999</v>
      </c>
      <c r="E1180" t="s">
        <v>4</v>
      </c>
      <c r="F1180" t="s">
        <v>46</v>
      </c>
      <c r="G1180" t="s">
        <v>8</v>
      </c>
    </row>
    <row r="1181" spans="1:7" x14ac:dyDescent="0.3">
      <c r="A1181" t="s">
        <v>28</v>
      </c>
      <c r="B1181" s="1">
        <v>45777</v>
      </c>
      <c r="C1181">
        <v>321030</v>
      </c>
      <c r="D1181">
        <v>577.63300000000004</v>
      </c>
      <c r="E1181" t="s">
        <v>4</v>
      </c>
      <c r="F1181" t="s">
        <v>46</v>
      </c>
      <c r="G1181" t="s">
        <v>8</v>
      </c>
    </row>
    <row r="1182" spans="1:7" x14ac:dyDescent="0.3">
      <c r="A1182" t="s">
        <v>28</v>
      </c>
      <c r="B1182" s="1">
        <v>45777</v>
      </c>
      <c r="C1182">
        <v>330124</v>
      </c>
      <c r="D1182">
        <v>-2102.078</v>
      </c>
      <c r="E1182" t="s">
        <v>4</v>
      </c>
      <c r="F1182" t="s">
        <v>43</v>
      </c>
      <c r="G1182" t="s">
        <v>8</v>
      </c>
    </row>
    <row r="1183" spans="1:7" x14ac:dyDescent="0.3">
      <c r="A1183" t="s">
        <v>28</v>
      </c>
      <c r="B1183" s="1">
        <v>45777</v>
      </c>
      <c r="C1183">
        <v>330130</v>
      </c>
      <c r="D1183">
        <v>-39722.610999999997</v>
      </c>
      <c r="E1183" t="s">
        <v>4</v>
      </c>
      <c r="F1183" t="s">
        <v>43</v>
      </c>
      <c r="G1183" t="s">
        <v>8</v>
      </c>
    </row>
    <row r="1184" spans="1:7" x14ac:dyDescent="0.3">
      <c r="A1184" t="s">
        <v>28</v>
      </c>
      <c r="B1184" s="1">
        <v>45777</v>
      </c>
      <c r="C1184">
        <v>340234</v>
      </c>
      <c r="D1184">
        <v>5.0709999999999997</v>
      </c>
      <c r="E1184" t="s">
        <v>4</v>
      </c>
      <c r="F1184" t="s">
        <v>47</v>
      </c>
      <c r="G1184" t="s">
        <v>8</v>
      </c>
    </row>
    <row r="1185" spans="1:7" x14ac:dyDescent="0.3">
      <c r="A1185" t="s">
        <v>28</v>
      </c>
      <c r="B1185" s="1">
        <v>45777</v>
      </c>
      <c r="C1185">
        <v>340267</v>
      </c>
      <c r="D1185">
        <v>1053.3530000000001</v>
      </c>
      <c r="E1185" t="s">
        <v>4</v>
      </c>
      <c r="F1185" t="s">
        <v>47</v>
      </c>
      <c r="G1185" t="s">
        <v>8</v>
      </c>
    </row>
    <row r="1186" spans="1:7" x14ac:dyDescent="0.3">
      <c r="A1186" t="s">
        <v>28</v>
      </c>
      <c r="B1186" s="1">
        <v>45777</v>
      </c>
      <c r="C1186">
        <v>350031</v>
      </c>
      <c r="D1186">
        <v>14.981999999999999</v>
      </c>
      <c r="E1186" t="s">
        <v>4</v>
      </c>
      <c r="F1186" t="s">
        <v>43</v>
      </c>
      <c r="G1186" t="s">
        <v>8</v>
      </c>
    </row>
    <row r="1187" spans="1:7" x14ac:dyDescent="0.3">
      <c r="A1187" t="s">
        <v>28</v>
      </c>
      <c r="B1187" s="1">
        <v>45777</v>
      </c>
      <c r="C1187">
        <v>360019</v>
      </c>
      <c r="D1187">
        <v>27.359000000000002</v>
      </c>
      <c r="E1187" t="s">
        <v>4</v>
      </c>
      <c r="F1187" t="s">
        <v>58</v>
      </c>
      <c r="G1187" t="s">
        <v>8</v>
      </c>
    </row>
    <row r="1188" spans="1:7" x14ac:dyDescent="0.3">
      <c r="A1188" t="s">
        <v>28</v>
      </c>
      <c r="B1188" s="1">
        <v>45777</v>
      </c>
      <c r="C1188">
        <v>360022</v>
      </c>
      <c r="D1188">
        <v>66.382999999999996</v>
      </c>
      <c r="E1188" t="s">
        <v>4</v>
      </c>
      <c r="F1188" t="s">
        <v>58</v>
      </c>
      <c r="G1188" t="s">
        <v>8</v>
      </c>
    </row>
    <row r="1189" spans="1:7" x14ac:dyDescent="0.3">
      <c r="A1189" t="s">
        <v>28</v>
      </c>
      <c r="B1189" s="1">
        <v>45777</v>
      </c>
      <c r="C1189">
        <v>372002</v>
      </c>
      <c r="D1189">
        <v>17.384</v>
      </c>
      <c r="E1189" t="s">
        <v>4</v>
      </c>
      <c r="F1189" t="s">
        <v>45</v>
      </c>
      <c r="G1189" t="s">
        <v>8</v>
      </c>
    </row>
    <row r="1190" spans="1:7" x14ac:dyDescent="0.3">
      <c r="A1190" t="s">
        <v>28</v>
      </c>
      <c r="B1190" s="1">
        <v>45777</v>
      </c>
      <c r="C1190">
        <v>372004</v>
      </c>
      <c r="D1190">
        <v>45.738</v>
      </c>
      <c r="E1190" t="s">
        <v>4</v>
      </c>
      <c r="F1190" t="s">
        <v>45</v>
      </c>
      <c r="G1190" t="s">
        <v>8</v>
      </c>
    </row>
    <row r="1191" spans="1:7" x14ac:dyDescent="0.3">
      <c r="A1191" t="s">
        <v>28</v>
      </c>
      <c r="B1191" s="1">
        <v>45777</v>
      </c>
      <c r="C1191">
        <v>421003</v>
      </c>
      <c r="D1191">
        <v>0.90100000000000002</v>
      </c>
      <c r="E1191" t="s">
        <v>6</v>
      </c>
      <c r="F1191" t="s">
        <v>52</v>
      </c>
      <c r="G1191" t="s">
        <v>8</v>
      </c>
    </row>
    <row r="1192" spans="1:7" x14ac:dyDescent="0.3">
      <c r="A1192" t="s">
        <v>28</v>
      </c>
      <c r="B1192" s="1">
        <v>45777</v>
      </c>
      <c r="C1192">
        <v>557002</v>
      </c>
      <c r="D1192">
        <v>218.54599999999999</v>
      </c>
      <c r="E1192" t="s">
        <v>6</v>
      </c>
      <c r="F1192" t="s">
        <v>56</v>
      </c>
      <c r="G1192" t="s">
        <v>8</v>
      </c>
    </row>
    <row r="1193" spans="1:7" x14ac:dyDescent="0.3">
      <c r="A1193" t="s">
        <v>28</v>
      </c>
      <c r="B1193" s="1">
        <v>45777</v>
      </c>
      <c r="C1193">
        <v>564019</v>
      </c>
      <c r="D1193">
        <v>95.533000000000001</v>
      </c>
      <c r="E1193" t="s">
        <v>6</v>
      </c>
      <c r="F1193" t="s">
        <v>51</v>
      </c>
      <c r="G1193" t="s">
        <v>8</v>
      </c>
    </row>
    <row r="1194" spans="1:7" x14ac:dyDescent="0.3">
      <c r="A1194" t="s">
        <v>28</v>
      </c>
      <c r="B1194" s="1">
        <v>45777</v>
      </c>
      <c r="C1194">
        <v>564020</v>
      </c>
      <c r="D1194">
        <v>21.131</v>
      </c>
      <c r="E1194" t="s">
        <v>6</v>
      </c>
      <c r="F1194" t="s">
        <v>57</v>
      </c>
      <c r="G1194" t="s">
        <v>8</v>
      </c>
    </row>
    <row r="1195" spans="1:7" x14ac:dyDescent="0.3">
      <c r="A1195" t="s">
        <v>29</v>
      </c>
      <c r="B1195" s="1">
        <v>45777</v>
      </c>
      <c r="C1195">
        <v>220006</v>
      </c>
      <c r="D1195">
        <v>-606324.11699999997</v>
      </c>
      <c r="E1195" t="s">
        <v>4</v>
      </c>
      <c r="F1195" t="s">
        <v>42</v>
      </c>
      <c r="G1195" t="s">
        <v>8</v>
      </c>
    </row>
    <row r="1196" spans="1:7" x14ac:dyDescent="0.3">
      <c r="A1196" t="s">
        <v>29</v>
      </c>
      <c r="B1196" s="1">
        <v>45777</v>
      </c>
      <c r="C1196">
        <v>240002</v>
      </c>
      <c r="D1196">
        <v>-8604.6029999999992</v>
      </c>
      <c r="E1196" t="s">
        <v>4</v>
      </c>
      <c r="F1196" t="s">
        <v>43</v>
      </c>
      <c r="G1196" t="s">
        <v>8</v>
      </c>
    </row>
    <row r="1197" spans="1:7" x14ac:dyDescent="0.3">
      <c r="A1197" t="s">
        <v>29</v>
      </c>
      <c r="B1197" s="1">
        <v>45777</v>
      </c>
      <c r="C1197">
        <v>240003</v>
      </c>
      <c r="D1197">
        <v>-9.734</v>
      </c>
      <c r="E1197" t="s">
        <v>4</v>
      </c>
      <c r="F1197" t="s">
        <v>43</v>
      </c>
      <c r="G1197" t="s">
        <v>8</v>
      </c>
    </row>
    <row r="1198" spans="1:7" x14ac:dyDescent="0.3">
      <c r="A1198" t="s">
        <v>29</v>
      </c>
      <c r="B1198" s="1">
        <v>45777</v>
      </c>
      <c r="C1198">
        <v>242003</v>
      </c>
      <c r="D1198">
        <v>30443.378000000001</v>
      </c>
      <c r="E1198" t="s">
        <v>4</v>
      </c>
      <c r="F1198" t="s">
        <v>43</v>
      </c>
      <c r="G1198" t="s">
        <v>8</v>
      </c>
    </row>
    <row r="1199" spans="1:7" x14ac:dyDescent="0.3">
      <c r="A1199" t="s">
        <v>29</v>
      </c>
      <c r="B1199" s="1">
        <v>45777</v>
      </c>
      <c r="C1199">
        <v>242007</v>
      </c>
      <c r="D1199">
        <v>-3471.1190000000001</v>
      </c>
      <c r="E1199" t="s">
        <v>4</v>
      </c>
      <c r="F1199" t="s">
        <v>43</v>
      </c>
      <c r="G1199" t="s">
        <v>8</v>
      </c>
    </row>
    <row r="1200" spans="1:7" x14ac:dyDescent="0.3">
      <c r="A1200" t="s">
        <v>29</v>
      </c>
      <c r="B1200" s="1">
        <v>45777</v>
      </c>
      <c r="C1200">
        <v>242012</v>
      </c>
      <c r="D1200">
        <v>-1922.38</v>
      </c>
      <c r="E1200" t="s">
        <v>4</v>
      </c>
      <c r="F1200" t="s">
        <v>43</v>
      </c>
      <c r="G1200" t="s">
        <v>8</v>
      </c>
    </row>
    <row r="1201" spans="1:7" x14ac:dyDescent="0.3">
      <c r="A1201" t="s">
        <v>29</v>
      </c>
      <c r="B1201" s="1">
        <v>45777</v>
      </c>
      <c r="C1201">
        <v>242013</v>
      </c>
      <c r="D1201">
        <v>-172.589</v>
      </c>
      <c r="E1201" t="s">
        <v>4</v>
      </c>
      <c r="F1201" t="s">
        <v>43</v>
      </c>
      <c r="G1201" t="s">
        <v>8</v>
      </c>
    </row>
    <row r="1202" spans="1:7" x14ac:dyDescent="0.3">
      <c r="A1202" t="s">
        <v>29</v>
      </c>
      <c r="B1202" s="1">
        <v>45777</v>
      </c>
      <c r="C1202">
        <v>242023</v>
      </c>
      <c r="D1202">
        <v>-6330.0559999999996</v>
      </c>
      <c r="E1202" t="s">
        <v>4</v>
      </c>
      <c r="F1202" t="s">
        <v>43</v>
      </c>
      <c r="G1202" t="s">
        <v>8</v>
      </c>
    </row>
    <row r="1203" spans="1:7" x14ac:dyDescent="0.3">
      <c r="A1203" t="s">
        <v>29</v>
      </c>
      <c r="B1203" s="1">
        <v>45777</v>
      </c>
      <c r="C1203">
        <v>242027</v>
      </c>
      <c r="D1203">
        <v>-1308.6400000000001</v>
      </c>
      <c r="E1203" t="s">
        <v>4</v>
      </c>
      <c r="F1203" t="s">
        <v>43</v>
      </c>
      <c r="G1203" t="s">
        <v>8</v>
      </c>
    </row>
    <row r="1204" spans="1:7" x14ac:dyDescent="0.3">
      <c r="A1204" t="s">
        <v>29</v>
      </c>
      <c r="B1204" s="1">
        <v>45777</v>
      </c>
      <c r="C1204">
        <v>242039</v>
      </c>
      <c r="D1204">
        <v>-1086.19</v>
      </c>
      <c r="E1204" t="s">
        <v>4</v>
      </c>
      <c r="F1204" t="s">
        <v>43</v>
      </c>
      <c r="G1204" t="s">
        <v>8</v>
      </c>
    </row>
    <row r="1205" spans="1:7" x14ac:dyDescent="0.3">
      <c r="A1205" t="s">
        <v>29</v>
      </c>
      <c r="B1205" s="1">
        <v>45777</v>
      </c>
      <c r="C1205">
        <v>242041</v>
      </c>
      <c r="D1205">
        <v>-114.42100000000001</v>
      </c>
      <c r="E1205" t="s">
        <v>4</v>
      </c>
      <c r="F1205" t="s">
        <v>43</v>
      </c>
      <c r="G1205" t="s">
        <v>8</v>
      </c>
    </row>
    <row r="1206" spans="1:7" x14ac:dyDescent="0.3">
      <c r="A1206" t="s">
        <v>29</v>
      </c>
      <c r="B1206" s="1">
        <v>45777</v>
      </c>
      <c r="C1206">
        <v>243002</v>
      </c>
      <c r="D1206">
        <v>-9035.4740000000002</v>
      </c>
      <c r="E1206" t="s">
        <v>4</v>
      </c>
      <c r="F1206" t="s">
        <v>43</v>
      </c>
      <c r="G1206" t="s">
        <v>8</v>
      </c>
    </row>
    <row r="1207" spans="1:7" x14ac:dyDescent="0.3">
      <c r="A1207" t="s">
        <v>29</v>
      </c>
      <c r="B1207" s="1">
        <v>45777</v>
      </c>
      <c r="C1207">
        <v>243003</v>
      </c>
      <c r="D1207">
        <v>-6820.2030000000004</v>
      </c>
      <c r="E1207" t="s">
        <v>4</v>
      </c>
      <c r="F1207" t="s">
        <v>43</v>
      </c>
      <c r="G1207" t="s">
        <v>8</v>
      </c>
    </row>
    <row r="1208" spans="1:7" x14ac:dyDescent="0.3">
      <c r="A1208" t="s">
        <v>29</v>
      </c>
      <c r="B1208" s="1">
        <v>45777</v>
      </c>
      <c r="C1208">
        <v>243010</v>
      </c>
      <c r="D1208">
        <v>-3191.567</v>
      </c>
      <c r="E1208" t="s">
        <v>4</v>
      </c>
      <c r="F1208" t="s">
        <v>43</v>
      </c>
      <c r="G1208" t="s">
        <v>8</v>
      </c>
    </row>
    <row r="1209" spans="1:7" x14ac:dyDescent="0.3">
      <c r="A1209" t="s">
        <v>29</v>
      </c>
      <c r="B1209" s="1">
        <v>45777</v>
      </c>
      <c r="C1209">
        <v>245002</v>
      </c>
      <c r="D1209">
        <v>-10.097</v>
      </c>
      <c r="E1209" t="s">
        <v>4</v>
      </c>
      <c r="F1209" t="s">
        <v>43</v>
      </c>
      <c r="G1209" t="s">
        <v>8</v>
      </c>
    </row>
    <row r="1210" spans="1:7" x14ac:dyDescent="0.3">
      <c r="A1210" t="s">
        <v>29</v>
      </c>
      <c r="B1210" s="1">
        <v>45777</v>
      </c>
      <c r="C1210">
        <v>245049</v>
      </c>
      <c r="D1210">
        <v>2103.0210000000002</v>
      </c>
      <c r="E1210" t="s">
        <v>4</v>
      </c>
      <c r="F1210" t="s">
        <v>43</v>
      </c>
      <c r="G1210" t="s">
        <v>8</v>
      </c>
    </row>
    <row r="1211" spans="1:7" x14ac:dyDescent="0.3">
      <c r="A1211" t="s">
        <v>29</v>
      </c>
      <c r="B1211" s="1">
        <v>45777</v>
      </c>
      <c r="C1211">
        <v>245055</v>
      </c>
      <c r="D1211">
        <v>-8530.07</v>
      </c>
      <c r="E1211" t="s">
        <v>4</v>
      </c>
      <c r="F1211" t="s">
        <v>43</v>
      </c>
      <c r="G1211" t="s">
        <v>8</v>
      </c>
    </row>
    <row r="1212" spans="1:7" x14ac:dyDescent="0.3">
      <c r="A1212" t="s">
        <v>29</v>
      </c>
      <c r="B1212" s="1">
        <v>45777</v>
      </c>
      <c r="C1212">
        <v>245062</v>
      </c>
      <c r="D1212">
        <v>-1292.01</v>
      </c>
      <c r="E1212" t="s">
        <v>4</v>
      </c>
      <c r="F1212" t="s">
        <v>43</v>
      </c>
      <c r="G1212" t="s">
        <v>8</v>
      </c>
    </row>
    <row r="1213" spans="1:7" x14ac:dyDescent="0.3">
      <c r="A1213" t="s">
        <v>29</v>
      </c>
      <c r="B1213" s="1">
        <v>45777</v>
      </c>
      <c r="C1213">
        <v>250007</v>
      </c>
      <c r="D1213">
        <v>-7679.5140000000001</v>
      </c>
      <c r="E1213" t="s">
        <v>4</v>
      </c>
      <c r="F1213" t="s">
        <v>43</v>
      </c>
      <c r="G1213" t="s">
        <v>8</v>
      </c>
    </row>
    <row r="1214" spans="1:7" x14ac:dyDescent="0.3">
      <c r="A1214" t="s">
        <v>29</v>
      </c>
      <c r="B1214" s="1">
        <v>45777</v>
      </c>
      <c r="C1214">
        <v>251002</v>
      </c>
      <c r="D1214">
        <v>-48985.436000000002</v>
      </c>
      <c r="E1214" t="s">
        <v>4</v>
      </c>
      <c r="F1214" t="s">
        <v>45</v>
      </c>
      <c r="G1214" t="s">
        <v>8</v>
      </c>
    </row>
    <row r="1215" spans="1:7" x14ac:dyDescent="0.3">
      <c r="A1215" t="s">
        <v>29</v>
      </c>
      <c r="B1215" s="1">
        <v>45777</v>
      </c>
      <c r="C1215">
        <v>257005</v>
      </c>
      <c r="D1215">
        <v>-5478.1909999999998</v>
      </c>
      <c r="E1215" t="s">
        <v>4</v>
      </c>
      <c r="F1215" t="s">
        <v>45</v>
      </c>
      <c r="G1215" t="s">
        <v>8</v>
      </c>
    </row>
    <row r="1216" spans="1:7" x14ac:dyDescent="0.3">
      <c r="A1216" t="s">
        <v>29</v>
      </c>
      <c r="B1216" s="1">
        <v>45777</v>
      </c>
      <c r="C1216">
        <v>257014</v>
      </c>
      <c r="D1216">
        <v>-27965.53</v>
      </c>
      <c r="E1216" t="s">
        <v>4</v>
      </c>
      <c r="F1216" t="s">
        <v>45</v>
      </c>
      <c r="G1216" t="s">
        <v>8</v>
      </c>
    </row>
    <row r="1217" spans="1:7" x14ac:dyDescent="0.3">
      <c r="A1217" t="s">
        <v>29</v>
      </c>
      <c r="B1217" s="1">
        <v>45777</v>
      </c>
      <c r="C1217">
        <v>257030</v>
      </c>
      <c r="D1217">
        <v>-5431.3370000000004</v>
      </c>
      <c r="E1217" t="s">
        <v>4</v>
      </c>
      <c r="F1217" t="s">
        <v>45</v>
      </c>
      <c r="G1217" t="s">
        <v>8</v>
      </c>
    </row>
    <row r="1218" spans="1:7" x14ac:dyDescent="0.3">
      <c r="A1218" t="s">
        <v>29</v>
      </c>
      <c r="B1218" s="1">
        <v>45777</v>
      </c>
      <c r="C1218">
        <v>260004</v>
      </c>
      <c r="D1218">
        <v>-25060.662</v>
      </c>
      <c r="E1218" t="s">
        <v>4</v>
      </c>
      <c r="F1218" t="s">
        <v>45</v>
      </c>
      <c r="G1218" t="s">
        <v>8</v>
      </c>
    </row>
    <row r="1219" spans="1:7" x14ac:dyDescent="0.3">
      <c r="A1219" t="s">
        <v>29</v>
      </c>
      <c r="B1219" s="1">
        <v>45777</v>
      </c>
      <c r="C1219">
        <v>270024</v>
      </c>
      <c r="D1219">
        <v>-68004.085000000006</v>
      </c>
      <c r="E1219" t="s">
        <v>4</v>
      </c>
      <c r="F1219" t="s">
        <v>58</v>
      </c>
      <c r="G1219" t="s">
        <v>8</v>
      </c>
    </row>
    <row r="1220" spans="1:7" x14ac:dyDescent="0.3">
      <c r="A1220" t="s">
        <v>29</v>
      </c>
      <c r="B1220" s="1">
        <v>45777</v>
      </c>
      <c r="C1220">
        <v>270025</v>
      </c>
      <c r="D1220">
        <v>-52297.826999999997</v>
      </c>
      <c r="E1220" t="s">
        <v>4</v>
      </c>
      <c r="F1220" t="s">
        <v>58</v>
      </c>
      <c r="G1220" t="s">
        <v>8</v>
      </c>
    </row>
    <row r="1221" spans="1:7" x14ac:dyDescent="0.3">
      <c r="A1221" t="s">
        <v>29</v>
      </c>
      <c r="B1221" s="1">
        <v>45777</v>
      </c>
      <c r="C1221">
        <v>320002</v>
      </c>
      <c r="D1221">
        <v>294287.00199999998</v>
      </c>
      <c r="E1221" t="s">
        <v>4</v>
      </c>
      <c r="F1221" t="s">
        <v>46</v>
      </c>
      <c r="G1221" t="s">
        <v>8</v>
      </c>
    </row>
    <row r="1222" spans="1:7" x14ac:dyDescent="0.3">
      <c r="A1222" t="s">
        <v>29</v>
      </c>
      <c r="B1222" s="1">
        <v>45777</v>
      </c>
      <c r="C1222">
        <v>320003</v>
      </c>
      <c r="D1222">
        <v>-1169.3140000000001</v>
      </c>
      <c r="E1222" t="s">
        <v>4</v>
      </c>
      <c r="F1222" t="s">
        <v>46</v>
      </c>
      <c r="G1222" t="s">
        <v>8</v>
      </c>
    </row>
    <row r="1223" spans="1:7" x14ac:dyDescent="0.3">
      <c r="A1223" t="s">
        <v>29</v>
      </c>
      <c r="B1223" s="1">
        <v>45777</v>
      </c>
      <c r="C1223">
        <v>320004</v>
      </c>
      <c r="D1223">
        <v>13951.234</v>
      </c>
      <c r="E1223" t="s">
        <v>4</v>
      </c>
      <c r="F1223" t="s">
        <v>46</v>
      </c>
      <c r="G1223" t="s">
        <v>8</v>
      </c>
    </row>
    <row r="1224" spans="1:7" x14ac:dyDescent="0.3">
      <c r="A1224" t="s">
        <v>29</v>
      </c>
      <c r="B1224" s="1">
        <v>45777</v>
      </c>
      <c r="C1224">
        <v>321002</v>
      </c>
      <c r="D1224">
        <v>4207.3440000000001</v>
      </c>
      <c r="E1224" t="s">
        <v>4</v>
      </c>
      <c r="F1224" t="s">
        <v>46</v>
      </c>
      <c r="G1224" t="s">
        <v>8</v>
      </c>
    </row>
    <row r="1225" spans="1:7" x14ac:dyDescent="0.3">
      <c r="A1225" t="s">
        <v>29</v>
      </c>
      <c r="B1225" s="1">
        <v>45777</v>
      </c>
      <c r="C1225">
        <v>321004</v>
      </c>
      <c r="D1225">
        <v>73282.591</v>
      </c>
      <c r="E1225" t="s">
        <v>4</v>
      </c>
      <c r="F1225" t="s">
        <v>46</v>
      </c>
      <c r="G1225" t="s">
        <v>8</v>
      </c>
    </row>
    <row r="1226" spans="1:7" x14ac:dyDescent="0.3">
      <c r="A1226" t="s">
        <v>29</v>
      </c>
      <c r="B1226" s="1">
        <v>45777</v>
      </c>
      <c r="C1226">
        <v>321012</v>
      </c>
      <c r="D1226">
        <v>21.283000000000001</v>
      </c>
      <c r="E1226" t="s">
        <v>4</v>
      </c>
      <c r="F1226" t="s">
        <v>46</v>
      </c>
      <c r="G1226" t="s">
        <v>8</v>
      </c>
    </row>
    <row r="1227" spans="1:7" x14ac:dyDescent="0.3">
      <c r="A1227" t="s">
        <v>29</v>
      </c>
      <c r="B1227" s="1">
        <v>45777</v>
      </c>
      <c r="C1227">
        <v>321025</v>
      </c>
      <c r="D1227">
        <v>6789.1210000000001</v>
      </c>
      <c r="E1227" t="s">
        <v>4</v>
      </c>
      <c r="F1227" t="s">
        <v>46</v>
      </c>
      <c r="G1227" t="s">
        <v>8</v>
      </c>
    </row>
    <row r="1228" spans="1:7" x14ac:dyDescent="0.3">
      <c r="A1228" t="s">
        <v>29</v>
      </c>
      <c r="B1228" s="1">
        <v>45777</v>
      </c>
      <c r="C1228">
        <v>321042</v>
      </c>
      <c r="D1228">
        <v>-379.37700000000001</v>
      </c>
      <c r="E1228" t="s">
        <v>4</v>
      </c>
      <c r="F1228" t="s">
        <v>46</v>
      </c>
      <c r="G1228" t="s">
        <v>8</v>
      </c>
    </row>
    <row r="1229" spans="1:7" x14ac:dyDescent="0.3">
      <c r="A1229" t="s">
        <v>29</v>
      </c>
      <c r="B1229" s="1">
        <v>45777</v>
      </c>
      <c r="C1229">
        <v>330131</v>
      </c>
      <c r="D1229">
        <v>49316.201999999997</v>
      </c>
      <c r="E1229" t="s">
        <v>4</v>
      </c>
      <c r="F1229" t="s">
        <v>43</v>
      </c>
      <c r="G1229" t="s">
        <v>8</v>
      </c>
    </row>
    <row r="1230" spans="1:7" x14ac:dyDescent="0.3">
      <c r="A1230" t="s">
        <v>29</v>
      </c>
      <c r="B1230" s="1">
        <v>45777</v>
      </c>
      <c r="C1230">
        <v>340243</v>
      </c>
      <c r="D1230">
        <v>163700.40299999999</v>
      </c>
      <c r="E1230" t="s">
        <v>4</v>
      </c>
      <c r="F1230" t="s">
        <v>47</v>
      </c>
      <c r="G1230" t="s">
        <v>8</v>
      </c>
    </row>
    <row r="1231" spans="1:7" x14ac:dyDescent="0.3">
      <c r="A1231" t="s">
        <v>29</v>
      </c>
      <c r="B1231" s="1">
        <v>45777</v>
      </c>
      <c r="C1231">
        <v>340244</v>
      </c>
      <c r="D1231">
        <v>1053479.3219999999</v>
      </c>
      <c r="E1231" t="s">
        <v>4</v>
      </c>
      <c r="F1231" t="s">
        <v>47</v>
      </c>
      <c r="G1231" t="s">
        <v>8</v>
      </c>
    </row>
    <row r="1232" spans="1:7" x14ac:dyDescent="0.3">
      <c r="A1232" t="s">
        <v>29</v>
      </c>
      <c r="B1232" s="1">
        <v>45777</v>
      </c>
      <c r="C1232">
        <v>340245</v>
      </c>
      <c r="D1232">
        <v>-1212399.3400000001</v>
      </c>
      <c r="E1232" t="s">
        <v>4</v>
      </c>
      <c r="F1232" t="s">
        <v>47</v>
      </c>
      <c r="G1232" t="s">
        <v>8</v>
      </c>
    </row>
    <row r="1233" spans="1:7" x14ac:dyDescent="0.3">
      <c r="A1233" t="s">
        <v>29</v>
      </c>
      <c r="B1233" s="1">
        <v>45777</v>
      </c>
      <c r="C1233">
        <v>340246</v>
      </c>
      <c r="D1233">
        <v>255840.247</v>
      </c>
      <c r="E1233" t="s">
        <v>4</v>
      </c>
      <c r="F1233" t="s">
        <v>47</v>
      </c>
      <c r="G1233" t="s">
        <v>8</v>
      </c>
    </row>
    <row r="1234" spans="1:7" x14ac:dyDescent="0.3">
      <c r="A1234" t="s">
        <v>29</v>
      </c>
      <c r="B1234" s="1">
        <v>45777</v>
      </c>
      <c r="C1234">
        <v>340247</v>
      </c>
      <c r="D1234">
        <v>2410324.6359999999</v>
      </c>
      <c r="E1234" t="s">
        <v>4</v>
      </c>
      <c r="F1234" t="s">
        <v>47</v>
      </c>
      <c r="G1234" t="s">
        <v>8</v>
      </c>
    </row>
    <row r="1235" spans="1:7" x14ac:dyDescent="0.3">
      <c r="A1235" t="s">
        <v>29</v>
      </c>
      <c r="B1235" s="1">
        <v>45777</v>
      </c>
      <c r="C1235">
        <v>340248</v>
      </c>
      <c r="D1235">
        <v>-2591917.6269999999</v>
      </c>
      <c r="E1235" t="s">
        <v>4</v>
      </c>
      <c r="F1235" t="s">
        <v>47</v>
      </c>
      <c r="G1235" t="s">
        <v>8</v>
      </c>
    </row>
    <row r="1236" spans="1:7" x14ac:dyDescent="0.3">
      <c r="A1236" t="s">
        <v>29</v>
      </c>
      <c r="B1236" s="1">
        <v>45777</v>
      </c>
      <c r="C1236">
        <v>340249</v>
      </c>
      <c r="D1236">
        <v>2688.3359999999998</v>
      </c>
      <c r="E1236" t="s">
        <v>4</v>
      </c>
      <c r="F1236" t="s">
        <v>47</v>
      </c>
      <c r="G1236" t="s">
        <v>8</v>
      </c>
    </row>
    <row r="1237" spans="1:7" x14ac:dyDescent="0.3">
      <c r="A1237" t="s">
        <v>29</v>
      </c>
      <c r="B1237" s="1">
        <v>45777</v>
      </c>
      <c r="C1237">
        <v>340250</v>
      </c>
      <c r="D1237">
        <v>1050557.777</v>
      </c>
      <c r="E1237" t="s">
        <v>4</v>
      </c>
      <c r="F1237" t="s">
        <v>47</v>
      </c>
      <c r="G1237" t="s">
        <v>8</v>
      </c>
    </row>
    <row r="1238" spans="1:7" x14ac:dyDescent="0.3">
      <c r="A1238" t="s">
        <v>29</v>
      </c>
      <c r="B1238" s="1">
        <v>45777</v>
      </c>
      <c r="C1238">
        <v>340251</v>
      </c>
      <c r="D1238">
        <v>-898325.35900000005</v>
      </c>
      <c r="E1238" t="s">
        <v>4</v>
      </c>
      <c r="F1238" t="s">
        <v>47</v>
      </c>
      <c r="G1238" t="s">
        <v>8</v>
      </c>
    </row>
    <row r="1239" spans="1:7" x14ac:dyDescent="0.3">
      <c r="A1239" t="s">
        <v>29</v>
      </c>
      <c r="B1239" s="1">
        <v>45777</v>
      </c>
      <c r="C1239">
        <v>350003</v>
      </c>
      <c r="D1239">
        <v>2521.989</v>
      </c>
      <c r="E1239" t="s">
        <v>4</v>
      </c>
      <c r="F1239" t="s">
        <v>49</v>
      </c>
      <c r="G1239" t="s">
        <v>8</v>
      </c>
    </row>
    <row r="1240" spans="1:7" x14ac:dyDescent="0.3">
      <c r="A1240" t="s">
        <v>29</v>
      </c>
      <c r="B1240" s="1">
        <v>45777</v>
      </c>
      <c r="C1240">
        <v>354015</v>
      </c>
      <c r="D1240">
        <v>73188.400999999998</v>
      </c>
      <c r="E1240" t="s">
        <v>4</v>
      </c>
      <c r="F1240" t="s">
        <v>46</v>
      </c>
      <c r="G1240" t="s">
        <v>8</v>
      </c>
    </row>
    <row r="1241" spans="1:7" x14ac:dyDescent="0.3">
      <c r="A1241" t="s">
        <v>29</v>
      </c>
      <c r="B1241" s="1">
        <v>45777</v>
      </c>
      <c r="C1241">
        <v>355002</v>
      </c>
      <c r="D1241">
        <v>1686.8510000000001</v>
      </c>
      <c r="E1241" t="s">
        <v>4</v>
      </c>
      <c r="F1241" t="s">
        <v>49</v>
      </c>
      <c r="G1241" t="s">
        <v>8</v>
      </c>
    </row>
    <row r="1242" spans="1:7" x14ac:dyDescent="0.3">
      <c r="A1242" t="s">
        <v>29</v>
      </c>
      <c r="B1242" s="1">
        <v>45777</v>
      </c>
      <c r="C1242">
        <v>355013</v>
      </c>
      <c r="D1242">
        <v>28923.376</v>
      </c>
      <c r="E1242" t="s">
        <v>4</v>
      </c>
      <c r="F1242" t="s">
        <v>49</v>
      </c>
      <c r="G1242" t="s">
        <v>8</v>
      </c>
    </row>
    <row r="1243" spans="1:7" x14ac:dyDescent="0.3">
      <c r="A1243" t="s">
        <v>29</v>
      </c>
      <c r="B1243" s="1">
        <v>45777</v>
      </c>
      <c r="C1243">
        <v>360026</v>
      </c>
      <c r="D1243">
        <v>21642.417000000001</v>
      </c>
      <c r="E1243" t="s">
        <v>4</v>
      </c>
      <c r="F1243" t="s">
        <v>58</v>
      </c>
      <c r="G1243" t="s">
        <v>8</v>
      </c>
    </row>
    <row r="1244" spans="1:7" x14ac:dyDescent="0.3">
      <c r="A1244" t="s">
        <v>29</v>
      </c>
      <c r="B1244" s="1">
        <v>45777</v>
      </c>
      <c r="C1244">
        <v>360028</v>
      </c>
      <c r="D1244">
        <v>45572.989000000001</v>
      </c>
      <c r="E1244" t="s">
        <v>4</v>
      </c>
      <c r="F1244" t="s">
        <v>58</v>
      </c>
      <c r="G1244" t="s">
        <v>8</v>
      </c>
    </row>
    <row r="1245" spans="1:7" x14ac:dyDescent="0.3">
      <c r="A1245" t="s">
        <v>29</v>
      </c>
      <c r="B1245" s="1">
        <v>45777</v>
      </c>
      <c r="C1245">
        <v>372004</v>
      </c>
      <c r="D1245">
        <v>2111.2869999999998</v>
      </c>
      <c r="E1245" t="s">
        <v>4</v>
      </c>
      <c r="F1245" t="s">
        <v>45</v>
      </c>
      <c r="G1245" t="s">
        <v>8</v>
      </c>
    </row>
    <row r="1246" spans="1:7" x14ac:dyDescent="0.3">
      <c r="A1246" t="s">
        <v>29</v>
      </c>
      <c r="B1246" s="1">
        <v>45777</v>
      </c>
      <c r="C1246">
        <v>400002</v>
      </c>
      <c r="D1246">
        <v>-22130.204000000002</v>
      </c>
      <c r="E1246" t="s">
        <v>6</v>
      </c>
      <c r="F1246" t="s">
        <v>50</v>
      </c>
      <c r="G1246" t="s">
        <v>8</v>
      </c>
    </row>
    <row r="1247" spans="1:7" x14ac:dyDescent="0.3">
      <c r="A1247" t="s">
        <v>29</v>
      </c>
      <c r="B1247" s="1">
        <v>45777</v>
      </c>
      <c r="C1247">
        <v>400004</v>
      </c>
      <c r="D1247">
        <v>-109625.41499999999</v>
      </c>
      <c r="E1247" t="s">
        <v>6</v>
      </c>
      <c r="F1247" t="s">
        <v>50</v>
      </c>
      <c r="G1247" t="s">
        <v>8</v>
      </c>
    </row>
    <row r="1248" spans="1:7" x14ac:dyDescent="0.3">
      <c r="A1248" t="s">
        <v>29</v>
      </c>
      <c r="B1248" s="1">
        <v>45777</v>
      </c>
      <c r="C1248">
        <v>410032</v>
      </c>
      <c r="D1248">
        <v>-531.37099999999998</v>
      </c>
      <c r="E1248" t="s">
        <v>6</v>
      </c>
      <c r="F1248" t="s">
        <v>51</v>
      </c>
      <c r="G1248" t="s">
        <v>8</v>
      </c>
    </row>
    <row r="1249" spans="1:7" x14ac:dyDescent="0.3">
      <c r="A1249" t="s">
        <v>29</v>
      </c>
      <c r="B1249" s="1">
        <v>45777</v>
      </c>
      <c r="C1249">
        <v>421002</v>
      </c>
      <c r="D1249">
        <v>-332.32900000000001</v>
      </c>
      <c r="E1249" t="s">
        <v>6</v>
      </c>
      <c r="F1249" t="s">
        <v>52</v>
      </c>
      <c r="G1249" t="s">
        <v>8</v>
      </c>
    </row>
    <row r="1250" spans="1:7" x14ac:dyDescent="0.3">
      <c r="A1250" t="s">
        <v>29</v>
      </c>
      <c r="B1250" s="1">
        <v>45777</v>
      </c>
      <c r="C1250">
        <v>421003</v>
      </c>
      <c r="D1250">
        <v>-1182.348</v>
      </c>
      <c r="E1250" t="s">
        <v>6</v>
      </c>
      <c r="F1250" t="s">
        <v>52</v>
      </c>
      <c r="G1250" t="s">
        <v>8</v>
      </c>
    </row>
    <row r="1251" spans="1:7" x14ac:dyDescent="0.3">
      <c r="A1251" t="s">
        <v>29</v>
      </c>
      <c r="B1251" s="1">
        <v>45777</v>
      </c>
      <c r="C1251">
        <v>421004</v>
      </c>
      <c r="D1251">
        <v>6925.893</v>
      </c>
      <c r="E1251" t="s">
        <v>6</v>
      </c>
      <c r="F1251" t="s">
        <v>52</v>
      </c>
      <c r="G1251" t="s">
        <v>8</v>
      </c>
    </row>
    <row r="1252" spans="1:7" x14ac:dyDescent="0.3">
      <c r="A1252" t="s">
        <v>29</v>
      </c>
      <c r="B1252" s="1">
        <v>45777</v>
      </c>
      <c r="C1252">
        <v>421007</v>
      </c>
      <c r="D1252">
        <v>-14633.837</v>
      </c>
      <c r="E1252" t="s">
        <v>6</v>
      </c>
      <c r="F1252" t="s">
        <v>52</v>
      </c>
      <c r="G1252" t="s">
        <v>8</v>
      </c>
    </row>
    <row r="1253" spans="1:7" x14ac:dyDescent="0.3">
      <c r="A1253" t="s">
        <v>29</v>
      </c>
      <c r="B1253" s="1">
        <v>45777</v>
      </c>
      <c r="C1253">
        <v>510002</v>
      </c>
      <c r="D1253">
        <v>25909.360000000001</v>
      </c>
      <c r="E1253" t="s">
        <v>6</v>
      </c>
      <c r="F1253" t="s">
        <v>53</v>
      </c>
      <c r="G1253" t="s">
        <v>8</v>
      </c>
    </row>
    <row r="1254" spans="1:7" x14ac:dyDescent="0.3">
      <c r="A1254" t="s">
        <v>29</v>
      </c>
      <c r="B1254" s="1">
        <v>45777</v>
      </c>
      <c r="C1254">
        <v>510005</v>
      </c>
      <c r="D1254">
        <v>1368.912</v>
      </c>
      <c r="E1254" t="s">
        <v>6</v>
      </c>
      <c r="F1254" t="s">
        <v>53</v>
      </c>
      <c r="G1254" t="s">
        <v>8</v>
      </c>
    </row>
    <row r="1255" spans="1:7" x14ac:dyDescent="0.3">
      <c r="A1255" t="s">
        <v>29</v>
      </c>
      <c r="B1255" s="1">
        <v>45777</v>
      </c>
      <c r="C1255">
        <v>510007</v>
      </c>
      <c r="D1255">
        <v>1292.01</v>
      </c>
      <c r="E1255" t="s">
        <v>6</v>
      </c>
      <c r="F1255" t="s">
        <v>53</v>
      </c>
      <c r="G1255" t="s">
        <v>8</v>
      </c>
    </row>
    <row r="1256" spans="1:7" x14ac:dyDescent="0.3">
      <c r="A1256" t="s">
        <v>29</v>
      </c>
      <c r="B1256" s="1">
        <v>45777</v>
      </c>
      <c r="C1256">
        <v>510015</v>
      </c>
      <c r="D1256">
        <v>1043.6220000000001</v>
      </c>
      <c r="E1256" t="s">
        <v>6</v>
      </c>
      <c r="F1256" t="s">
        <v>53</v>
      </c>
      <c r="G1256" t="s">
        <v>8</v>
      </c>
    </row>
    <row r="1257" spans="1:7" x14ac:dyDescent="0.3">
      <c r="A1257" t="s">
        <v>29</v>
      </c>
      <c r="B1257" s="1">
        <v>45777</v>
      </c>
      <c r="C1257">
        <v>510018</v>
      </c>
      <c r="D1257">
        <v>1308.172</v>
      </c>
      <c r="E1257" t="s">
        <v>6</v>
      </c>
      <c r="F1257" t="s">
        <v>53</v>
      </c>
      <c r="G1257" t="s">
        <v>8</v>
      </c>
    </row>
    <row r="1258" spans="1:7" x14ac:dyDescent="0.3">
      <c r="A1258" t="s">
        <v>29</v>
      </c>
      <c r="B1258" s="1">
        <v>45777</v>
      </c>
      <c r="C1258">
        <v>510062</v>
      </c>
      <c r="D1258">
        <v>170.6</v>
      </c>
      <c r="E1258" t="s">
        <v>6</v>
      </c>
      <c r="F1258" t="s">
        <v>53</v>
      </c>
      <c r="G1258" t="s">
        <v>8</v>
      </c>
    </row>
    <row r="1259" spans="1:7" x14ac:dyDescent="0.3">
      <c r="A1259" t="s">
        <v>29</v>
      </c>
      <c r="B1259" s="1">
        <v>45777</v>
      </c>
      <c r="C1259">
        <v>541004</v>
      </c>
      <c r="D1259">
        <v>659.02099999999996</v>
      </c>
      <c r="E1259" t="s">
        <v>6</v>
      </c>
      <c r="F1259" t="s">
        <v>61</v>
      </c>
      <c r="G1259" t="s">
        <v>8</v>
      </c>
    </row>
    <row r="1260" spans="1:7" x14ac:dyDescent="0.3">
      <c r="A1260" t="s">
        <v>29</v>
      </c>
      <c r="B1260" s="1">
        <v>45777</v>
      </c>
      <c r="C1260">
        <v>541010</v>
      </c>
      <c r="D1260">
        <v>3.6139999999999999</v>
      </c>
      <c r="E1260" t="s">
        <v>6</v>
      </c>
      <c r="F1260" t="s">
        <v>61</v>
      </c>
      <c r="G1260" t="s">
        <v>8</v>
      </c>
    </row>
    <row r="1261" spans="1:7" x14ac:dyDescent="0.3">
      <c r="A1261" t="s">
        <v>29</v>
      </c>
      <c r="B1261" s="1">
        <v>45777</v>
      </c>
      <c r="C1261">
        <v>541013</v>
      </c>
      <c r="D1261">
        <v>259.78199999999998</v>
      </c>
      <c r="E1261" t="s">
        <v>6</v>
      </c>
      <c r="F1261" t="s">
        <v>61</v>
      </c>
      <c r="G1261" t="s">
        <v>8</v>
      </c>
    </row>
    <row r="1262" spans="1:7" x14ac:dyDescent="0.3">
      <c r="A1262" t="s">
        <v>29</v>
      </c>
      <c r="B1262" s="1">
        <v>45777</v>
      </c>
      <c r="C1262">
        <v>546002</v>
      </c>
      <c r="D1262">
        <v>96470.362999999998</v>
      </c>
      <c r="E1262" t="s">
        <v>6</v>
      </c>
      <c r="F1262" t="s">
        <v>51</v>
      </c>
      <c r="G1262" t="s">
        <v>8</v>
      </c>
    </row>
    <row r="1263" spans="1:7" x14ac:dyDescent="0.3">
      <c r="A1263" t="s">
        <v>29</v>
      </c>
      <c r="B1263" s="1">
        <v>45777</v>
      </c>
      <c r="C1263">
        <v>546024</v>
      </c>
      <c r="D1263">
        <v>835.91499999999996</v>
      </c>
      <c r="E1263" t="s">
        <v>6</v>
      </c>
      <c r="F1263" t="s">
        <v>51</v>
      </c>
      <c r="G1263" t="s">
        <v>8</v>
      </c>
    </row>
    <row r="1264" spans="1:7" x14ac:dyDescent="0.3">
      <c r="A1264" t="s">
        <v>29</v>
      </c>
      <c r="B1264" s="1">
        <v>45777</v>
      </c>
      <c r="C1264">
        <v>546045</v>
      </c>
      <c r="D1264">
        <v>244.626</v>
      </c>
      <c r="E1264" t="s">
        <v>6</v>
      </c>
      <c r="F1264" t="s">
        <v>51</v>
      </c>
      <c r="G1264" t="s">
        <v>8</v>
      </c>
    </row>
    <row r="1265" spans="1:7" x14ac:dyDescent="0.3">
      <c r="A1265" t="s">
        <v>29</v>
      </c>
      <c r="B1265" s="1">
        <v>45777</v>
      </c>
      <c r="C1265">
        <v>547002</v>
      </c>
      <c r="D1265">
        <v>4382.2160000000003</v>
      </c>
      <c r="E1265" t="s">
        <v>6</v>
      </c>
      <c r="F1265" t="s">
        <v>54</v>
      </c>
      <c r="G1265" t="s">
        <v>8</v>
      </c>
    </row>
    <row r="1266" spans="1:7" x14ac:dyDescent="0.3">
      <c r="A1266" t="s">
        <v>29</v>
      </c>
      <c r="B1266" s="1">
        <v>45777</v>
      </c>
      <c r="C1266">
        <v>550002</v>
      </c>
      <c r="D1266">
        <v>7110.8549999999996</v>
      </c>
      <c r="E1266" t="s">
        <v>6</v>
      </c>
      <c r="F1266" t="s">
        <v>62</v>
      </c>
      <c r="G1266" t="s">
        <v>8</v>
      </c>
    </row>
    <row r="1267" spans="1:7" x14ac:dyDescent="0.3">
      <c r="A1267" t="s">
        <v>29</v>
      </c>
      <c r="B1267" s="1">
        <v>45777</v>
      </c>
      <c r="C1267">
        <v>556002</v>
      </c>
      <c r="D1267">
        <v>51.881</v>
      </c>
      <c r="E1267" t="s">
        <v>6</v>
      </c>
      <c r="F1267" t="s">
        <v>60</v>
      </c>
      <c r="G1267" t="s">
        <v>8</v>
      </c>
    </row>
    <row r="1268" spans="1:7" x14ac:dyDescent="0.3">
      <c r="A1268" t="s">
        <v>29</v>
      </c>
      <c r="B1268" s="1">
        <v>45777</v>
      </c>
      <c r="C1268">
        <v>557002</v>
      </c>
      <c r="D1268">
        <v>1074.1949999999999</v>
      </c>
      <c r="E1268" t="s">
        <v>6</v>
      </c>
      <c r="F1268" t="s">
        <v>56</v>
      </c>
      <c r="G1268" t="s">
        <v>8</v>
      </c>
    </row>
    <row r="1269" spans="1:7" x14ac:dyDescent="0.3">
      <c r="A1269" t="s">
        <v>29</v>
      </c>
      <c r="B1269" s="1">
        <v>45777</v>
      </c>
      <c r="C1269">
        <v>564006</v>
      </c>
      <c r="D1269">
        <v>4.0000000000000001E-3</v>
      </c>
      <c r="E1269" t="s">
        <v>6</v>
      </c>
      <c r="F1269" t="s">
        <v>57</v>
      </c>
      <c r="G1269" t="s">
        <v>8</v>
      </c>
    </row>
    <row r="1270" spans="1:7" x14ac:dyDescent="0.3">
      <c r="A1270" t="s">
        <v>29</v>
      </c>
      <c r="B1270" s="1">
        <v>45777</v>
      </c>
      <c r="C1270">
        <v>564019</v>
      </c>
      <c r="D1270">
        <v>15954.075000000001</v>
      </c>
      <c r="E1270" t="s">
        <v>6</v>
      </c>
      <c r="F1270" t="s">
        <v>51</v>
      </c>
      <c r="G1270" t="s">
        <v>8</v>
      </c>
    </row>
    <row r="1271" spans="1:7" x14ac:dyDescent="0.3">
      <c r="A1271" t="s">
        <v>29</v>
      </c>
      <c r="B1271" s="1">
        <v>45777</v>
      </c>
      <c r="C1271">
        <v>564020</v>
      </c>
      <c r="D1271">
        <v>48.054000000000002</v>
      </c>
      <c r="E1271" t="s">
        <v>6</v>
      </c>
      <c r="F1271" t="s">
        <v>57</v>
      </c>
      <c r="G1271" t="s">
        <v>8</v>
      </c>
    </row>
    <row r="1272" spans="1:7" x14ac:dyDescent="0.3">
      <c r="A1272" t="s">
        <v>30</v>
      </c>
      <c r="B1272" s="1">
        <v>45777</v>
      </c>
      <c r="C1272">
        <v>210002</v>
      </c>
      <c r="D1272">
        <v>-76753.288</v>
      </c>
      <c r="E1272" t="s">
        <v>4</v>
      </c>
      <c r="F1272" t="s">
        <v>42</v>
      </c>
      <c r="G1272" t="s">
        <v>8</v>
      </c>
    </row>
    <row r="1273" spans="1:7" x14ac:dyDescent="0.3">
      <c r="A1273" t="s">
        <v>30</v>
      </c>
      <c r="B1273" s="1">
        <v>45777</v>
      </c>
      <c r="C1273">
        <v>220006</v>
      </c>
      <c r="D1273">
        <v>-303752.48</v>
      </c>
      <c r="E1273" t="s">
        <v>4</v>
      </c>
      <c r="F1273" t="s">
        <v>42</v>
      </c>
      <c r="G1273" t="s">
        <v>8</v>
      </c>
    </row>
    <row r="1274" spans="1:7" x14ac:dyDescent="0.3">
      <c r="A1274" t="s">
        <v>30</v>
      </c>
      <c r="B1274" s="1">
        <v>45777</v>
      </c>
      <c r="C1274">
        <v>240002</v>
      </c>
      <c r="D1274">
        <v>-3676.951</v>
      </c>
      <c r="E1274" t="s">
        <v>4</v>
      </c>
      <c r="F1274" t="s">
        <v>43</v>
      </c>
      <c r="G1274" t="s">
        <v>8</v>
      </c>
    </row>
    <row r="1275" spans="1:7" x14ac:dyDescent="0.3">
      <c r="A1275" t="s">
        <v>30</v>
      </c>
      <c r="B1275" s="1">
        <v>45777</v>
      </c>
      <c r="C1275">
        <v>240003</v>
      </c>
      <c r="D1275">
        <v>-89.816999999999993</v>
      </c>
      <c r="E1275" t="s">
        <v>4</v>
      </c>
      <c r="F1275" t="s">
        <v>43</v>
      </c>
      <c r="G1275" t="s">
        <v>8</v>
      </c>
    </row>
    <row r="1276" spans="1:7" x14ac:dyDescent="0.3">
      <c r="A1276" t="s">
        <v>30</v>
      </c>
      <c r="B1276" s="1">
        <v>45777</v>
      </c>
      <c r="C1276">
        <v>240009</v>
      </c>
      <c r="D1276">
        <v>-197.87</v>
      </c>
      <c r="E1276" t="s">
        <v>4</v>
      </c>
      <c r="F1276" t="s">
        <v>43</v>
      </c>
      <c r="G1276" t="s">
        <v>8</v>
      </c>
    </row>
    <row r="1277" spans="1:7" x14ac:dyDescent="0.3">
      <c r="A1277" t="s">
        <v>30</v>
      </c>
      <c r="B1277" s="1">
        <v>45777</v>
      </c>
      <c r="C1277">
        <v>242003</v>
      </c>
      <c r="D1277">
        <v>-709618.58799999999</v>
      </c>
      <c r="E1277" t="s">
        <v>4</v>
      </c>
      <c r="F1277" t="s">
        <v>43</v>
      </c>
      <c r="G1277" t="s">
        <v>8</v>
      </c>
    </row>
    <row r="1278" spans="1:7" x14ac:dyDescent="0.3">
      <c r="A1278" t="s">
        <v>30</v>
      </c>
      <c r="B1278" s="1">
        <v>45777</v>
      </c>
      <c r="C1278">
        <v>242007</v>
      </c>
      <c r="D1278">
        <v>2496.3850000000002</v>
      </c>
      <c r="E1278" t="s">
        <v>4</v>
      </c>
      <c r="F1278" t="s">
        <v>43</v>
      </c>
      <c r="G1278" t="s">
        <v>8</v>
      </c>
    </row>
    <row r="1279" spans="1:7" x14ac:dyDescent="0.3">
      <c r="A1279" t="s">
        <v>30</v>
      </c>
      <c r="B1279" s="1">
        <v>45777</v>
      </c>
      <c r="C1279">
        <v>242011</v>
      </c>
      <c r="D1279">
        <v>-103332.52</v>
      </c>
      <c r="E1279" t="s">
        <v>4</v>
      </c>
      <c r="F1279" t="s">
        <v>43</v>
      </c>
      <c r="G1279" t="s">
        <v>8</v>
      </c>
    </row>
    <row r="1280" spans="1:7" x14ac:dyDescent="0.3">
      <c r="A1280" t="s">
        <v>30</v>
      </c>
      <c r="B1280" s="1">
        <v>45777</v>
      </c>
      <c r="C1280">
        <v>242012</v>
      </c>
      <c r="D1280">
        <v>-40026.828999999998</v>
      </c>
      <c r="E1280" t="s">
        <v>4</v>
      </c>
      <c r="F1280" t="s">
        <v>43</v>
      </c>
      <c r="G1280" t="s">
        <v>8</v>
      </c>
    </row>
    <row r="1281" spans="1:7" x14ac:dyDescent="0.3">
      <c r="A1281" t="s">
        <v>30</v>
      </c>
      <c r="B1281" s="1">
        <v>45777</v>
      </c>
      <c r="C1281">
        <v>242014</v>
      </c>
      <c r="D1281">
        <v>-15381.281000000001</v>
      </c>
      <c r="E1281" t="s">
        <v>4</v>
      </c>
      <c r="F1281" t="s">
        <v>43</v>
      </c>
      <c r="G1281" t="s">
        <v>8</v>
      </c>
    </row>
    <row r="1282" spans="1:7" x14ac:dyDescent="0.3">
      <c r="A1282" t="s">
        <v>30</v>
      </c>
      <c r="B1282" s="1">
        <v>45777</v>
      </c>
      <c r="C1282">
        <v>242019</v>
      </c>
      <c r="D1282">
        <v>7.0350000000000001</v>
      </c>
      <c r="E1282" t="s">
        <v>4</v>
      </c>
      <c r="F1282" t="s">
        <v>43</v>
      </c>
      <c r="G1282" t="s">
        <v>8</v>
      </c>
    </row>
    <row r="1283" spans="1:7" x14ac:dyDescent="0.3">
      <c r="A1283" t="s">
        <v>30</v>
      </c>
      <c r="B1283" s="1">
        <v>45777</v>
      </c>
      <c r="C1283">
        <v>242022</v>
      </c>
      <c r="D1283">
        <v>-7521.0420000000004</v>
      </c>
      <c r="E1283" t="s">
        <v>4</v>
      </c>
      <c r="F1283" t="s">
        <v>43</v>
      </c>
      <c r="G1283" t="s">
        <v>8</v>
      </c>
    </row>
    <row r="1284" spans="1:7" x14ac:dyDescent="0.3">
      <c r="A1284" t="s">
        <v>30</v>
      </c>
      <c r="B1284" s="1">
        <v>45777</v>
      </c>
      <c r="C1284">
        <v>242023</v>
      </c>
      <c r="D1284">
        <v>-22543.047999999999</v>
      </c>
      <c r="E1284" t="s">
        <v>4</v>
      </c>
      <c r="F1284" t="s">
        <v>43</v>
      </c>
      <c r="G1284" t="s">
        <v>8</v>
      </c>
    </row>
    <row r="1285" spans="1:7" x14ac:dyDescent="0.3">
      <c r="A1285" t="s">
        <v>30</v>
      </c>
      <c r="B1285" s="1">
        <v>45777</v>
      </c>
      <c r="C1285">
        <v>242030</v>
      </c>
      <c r="D1285">
        <v>-76994.880999999994</v>
      </c>
      <c r="E1285" t="s">
        <v>4</v>
      </c>
      <c r="F1285" t="s">
        <v>43</v>
      </c>
      <c r="G1285" t="s">
        <v>8</v>
      </c>
    </row>
    <row r="1286" spans="1:7" x14ac:dyDescent="0.3">
      <c r="A1286" t="s">
        <v>30</v>
      </c>
      <c r="B1286" s="1">
        <v>45777</v>
      </c>
      <c r="C1286">
        <v>242036</v>
      </c>
      <c r="D1286">
        <v>-6651.26</v>
      </c>
      <c r="E1286" t="s">
        <v>4</v>
      </c>
      <c r="F1286" t="s">
        <v>43</v>
      </c>
      <c r="G1286" t="s">
        <v>8</v>
      </c>
    </row>
    <row r="1287" spans="1:7" x14ac:dyDescent="0.3">
      <c r="A1287" t="s">
        <v>30</v>
      </c>
      <c r="B1287" s="1">
        <v>45777</v>
      </c>
      <c r="C1287">
        <v>242038</v>
      </c>
      <c r="D1287">
        <v>-767.86099999999999</v>
      </c>
      <c r="E1287" t="s">
        <v>4</v>
      </c>
      <c r="F1287" t="s">
        <v>43</v>
      </c>
      <c r="G1287" t="s">
        <v>8</v>
      </c>
    </row>
    <row r="1288" spans="1:7" x14ac:dyDescent="0.3">
      <c r="A1288" t="s">
        <v>30</v>
      </c>
      <c r="B1288" s="1">
        <v>45777</v>
      </c>
      <c r="C1288">
        <v>242039</v>
      </c>
      <c r="D1288">
        <v>-60281.417999999998</v>
      </c>
      <c r="E1288" t="s">
        <v>4</v>
      </c>
      <c r="F1288" t="s">
        <v>43</v>
      </c>
      <c r="G1288" t="s">
        <v>8</v>
      </c>
    </row>
    <row r="1289" spans="1:7" x14ac:dyDescent="0.3">
      <c r="A1289" t="s">
        <v>30</v>
      </c>
      <c r="B1289" s="1">
        <v>45777</v>
      </c>
      <c r="C1289">
        <v>242041</v>
      </c>
      <c r="D1289">
        <v>-16404.185000000001</v>
      </c>
      <c r="E1289" t="s">
        <v>4</v>
      </c>
      <c r="F1289" t="s">
        <v>43</v>
      </c>
      <c r="G1289" t="s">
        <v>8</v>
      </c>
    </row>
    <row r="1290" spans="1:7" x14ac:dyDescent="0.3">
      <c r="A1290" t="s">
        <v>30</v>
      </c>
      <c r="B1290" s="1">
        <v>45777</v>
      </c>
      <c r="C1290">
        <v>243002</v>
      </c>
      <c r="D1290">
        <v>-5852.9629999999997</v>
      </c>
      <c r="E1290" t="s">
        <v>4</v>
      </c>
      <c r="F1290" t="s">
        <v>43</v>
      </c>
      <c r="G1290" t="s">
        <v>8</v>
      </c>
    </row>
    <row r="1291" spans="1:7" x14ac:dyDescent="0.3">
      <c r="A1291" t="s">
        <v>30</v>
      </c>
      <c r="B1291" s="1">
        <v>45777</v>
      </c>
      <c r="C1291">
        <v>243003</v>
      </c>
      <c r="D1291">
        <v>-53707.311999999998</v>
      </c>
      <c r="E1291" t="s">
        <v>4</v>
      </c>
      <c r="F1291" t="s">
        <v>43</v>
      </c>
      <c r="G1291" t="s">
        <v>8</v>
      </c>
    </row>
    <row r="1292" spans="1:7" x14ac:dyDescent="0.3">
      <c r="A1292" t="s">
        <v>30</v>
      </c>
      <c r="B1292" s="1">
        <v>45777</v>
      </c>
      <c r="C1292">
        <v>243010</v>
      </c>
      <c r="D1292">
        <v>-703.77099999999996</v>
      </c>
      <c r="E1292" t="s">
        <v>4</v>
      </c>
      <c r="F1292" t="s">
        <v>43</v>
      </c>
      <c r="G1292" t="s">
        <v>8</v>
      </c>
    </row>
    <row r="1293" spans="1:7" x14ac:dyDescent="0.3">
      <c r="A1293" t="s">
        <v>30</v>
      </c>
      <c r="B1293" s="1">
        <v>45777</v>
      </c>
      <c r="C1293">
        <v>245010</v>
      </c>
      <c r="D1293">
        <v>-2562.7660000000001</v>
      </c>
      <c r="E1293" t="s">
        <v>4</v>
      </c>
      <c r="F1293" t="s">
        <v>44</v>
      </c>
      <c r="G1293" t="s">
        <v>8</v>
      </c>
    </row>
    <row r="1294" spans="1:7" x14ac:dyDescent="0.3">
      <c r="A1294" t="s">
        <v>30</v>
      </c>
      <c r="B1294" s="1">
        <v>45777</v>
      </c>
      <c r="C1294">
        <v>245049</v>
      </c>
      <c r="D1294">
        <v>-3.7999999999999999E-2</v>
      </c>
      <c r="E1294" t="s">
        <v>4</v>
      </c>
      <c r="F1294" t="s">
        <v>43</v>
      </c>
      <c r="G1294" t="s">
        <v>8</v>
      </c>
    </row>
    <row r="1295" spans="1:7" x14ac:dyDescent="0.3">
      <c r="A1295" t="s">
        <v>30</v>
      </c>
      <c r="B1295" s="1">
        <v>45777</v>
      </c>
      <c r="C1295">
        <v>245055</v>
      </c>
      <c r="D1295">
        <v>-4240.55</v>
      </c>
      <c r="E1295" t="s">
        <v>4</v>
      </c>
      <c r="F1295" t="s">
        <v>43</v>
      </c>
      <c r="G1295" t="s">
        <v>8</v>
      </c>
    </row>
    <row r="1296" spans="1:7" x14ac:dyDescent="0.3">
      <c r="A1296" t="s">
        <v>30</v>
      </c>
      <c r="B1296" s="1">
        <v>45777</v>
      </c>
      <c r="C1296">
        <v>245056</v>
      </c>
      <c r="D1296">
        <v>-8.8960000000000008</v>
      </c>
      <c r="E1296" t="s">
        <v>4</v>
      </c>
      <c r="F1296" t="s">
        <v>49</v>
      </c>
      <c r="G1296" t="s">
        <v>8</v>
      </c>
    </row>
    <row r="1297" spans="1:7" x14ac:dyDescent="0.3">
      <c r="A1297" t="s">
        <v>30</v>
      </c>
      <c r="B1297" s="1">
        <v>45777</v>
      </c>
      <c r="C1297">
        <v>245062</v>
      </c>
      <c r="D1297">
        <v>-312.846</v>
      </c>
      <c r="E1297" t="s">
        <v>4</v>
      </c>
      <c r="F1297" t="s">
        <v>43</v>
      </c>
      <c r="G1297" t="s">
        <v>8</v>
      </c>
    </row>
    <row r="1298" spans="1:7" x14ac:dyDescent="0.3">
      <c r="A1298" t="s">
        <v>30</v>
      </c>
      <c r="B1298" s="1">
        <v>45777</v>
      </c>
      <c r="C1298">
        <v>250003</v>
      </c>
      <c r="D1298">
        <v>-2600.4670000000001</v>
      </c>
      <c r="E1298" t="s">
        <v>4</v>
      </c>
      <c r="F1298" t="s">
        <v>45</v>
      </c>
      <c r="G1298" t="s">
        <v>8</v>
      </c>
    </row>
    <row r="1299" spans="1:7" x14ac:dyDescent="0.3">
      <c r="A1299" t="s">
        <v>30</v>
      </c>
      <c r="B1299" s="1">
        <v>45777</v>
      </c>
      <c r="C1299">
        <v>251002</v>
      </c>
      <c r="D1299">
        <v>-13244.226000000001</v>
      </c>
      <c r="E1299" t="s">
        <v>4</v>
      </c>
      <c r="F1299" t="s">
        <v>45</v>
      </c>
      <c r="G1299" t="s">
        <v>8</v>
      </c>
    </row>
    <row r="1300" spans="1:7" x14ac:dyDescent="0.3">
      <c r="A1300" t="s">
        <v>30</v>
      </c>
      <c r="B1300" s="1">
        <v>45777</v>
      </c>
      <c r="C1300">
        <v>251005</v>
      </c>
      <c r="D1300">
        <v>4.8120000000000003</v>
      </c>
      <c r="E1300" t="s">
        <v>4</v>
      </c>
      <c r="F1300" t="s">
        <v>46</v>
      </c>
      <c r="G1300" t="s">
        <v>8</v>
      </c>
    </row>
    <row r="1301" spans="1:7" x14ac:dyDescent="0.3">
      <c r="A1301" t="s">
        <v>30</v>
      </c>
      <c r="B1301" s="1">
        <v>45777</v>
      </c>
      <c r="C1301">
        <v>256030</v>
      </c>
      <c r="D1301">
        <v>-1799.693</v>
      </c>
      <c r="E1301" t="s">
        <v>4</v>
      </c>
      <c r="F1301" t="s">
        <v>43</v>
      </c>
      <c r="G1301" t="s">
        <v>8</v>
      </c>
    </row>
    <row r="1302" spans="1:7" x14ac:dyDescent="0.3">
      <c r="A1302" t="s">
        <v>30</v>
      </c>
      <c r="B1302" s="1">
        <v>45777</v>
      </c>
      <c r="C1302">
        <v>256039</v>
      </c>
      <c r="D1302">
        <v>202.13399999999999</v>
      </c>
      <c r="E1302" t="s">
        <v>4</v>
      </c>
      <c r="F1302" t="s">
        <v>43</v>
      </c>
      <c r="G1302" t="s">
        <v>8</v>
      </c>
    </row>
    <row r="1303" spans="1:7" x14ac:dyDescent="0.3">
      <c r="A1303" t="s">
        <v>30</v>
      </c>
      <c r="B1303" s="1">
        <v>45777</v>
      </c>
      <c r="C1303">
        <v>256040</v>
      </c>
      <c r="D1303">
        <v>-1074546.0249999999</v>
      </c>
      <c r="E1303" t="s">
        <v>4</v>
      </c>
      <c r="F1303" t="s">
        <v>43</v>
      </c>
      <c r="G1303" t="s">
        <v>8</v>
      </c>
    </row>
    <row r="1304" spans="1:7" x14ac:dyDescent="0.3">
      <c r="A1304" t="s">
        <v>30</v>
      </c>
      <c r="B1304" s="1">
        <v>45777</v>
      </c>
      <c r="C1304">
        <v>256041</v>
      </c>
      <c r="D1304">
        <v>-3357.9560000000001</v>
      </c>
      <c r="E1304" t="s">
        <v>4</v>
      </c>
      <c r="F1304" t="s">
        <v>43</v>
      </c>
      <c r="G1304" t="s">
        <v>8</v>
      </c>
    </row>
    <row r="1305" spans="1:7" x14ac:dyDescent="0.3">
      <c r="A1305" t="s">
        <v>30</v>
      </c>
      <c r="B1305" s="1">
        <v>45777</v>
      </c>
      <c r="C1305">
        <v>257005</v>
      </c>
      <c r="D1305">
        <v>366.24099999999999</v>
      </c>
      <c r="E1305" t="s">
        <v>4</v>
      </c>
      <c r="F1305" t="s">
        <v>45</v>
      </c>
      <c r="G1305" t="s">
        <v>8</v>
      </c>
    </row>
    <row r="1306" spans="1:7" x14ac:dyDescent="0.3">
      <c r="A1306" t="s">
        <v>30</v>
      </c>
      <c r="B1306" s="1">
        <v>45777</v>
      </c>
      <c r="C1306">
        <v>257022</v>
      </c>
      <c r="D1306">
        <v>23798.58</v>
      </c>
      <c r="E1306" t="s">
        <v>4</v>
      </c>
      <c r="F1306" t="s">
        <v>45</v>
      </c>
      <c r="G1306" t="s">
        <v>8</v>
      </c>
    </row>
    <row r="1307" spans="1:7" x14ac:dyDescent="0.3">
      <c r="A1307" t="s">
        <v>30</v>
      </c>
      <c r="B1307" s="1">
        <v>45777</v>
      </c>
      <c r="C1307">
        <v>257027</v>
      </c>
      <c r="D1307">
        <v>-4100.2240000000002</v>
      </c>
      <c r="E1307" t="s">
        <v>4</v>
      </c>
      <c r="F1307" t="s">
        <v>45</v>
      </c>
      <c r="G1307" t="s">
        <v>8</v>
      </c>
    </row>
    <row r="1308" spans="1:7" x14ac:dyDescent="0.3">
      <c r="A1308" t="s">
        <v>30</v>
      </c>
      <c r="B1308" s="1">
        <v>45777</v>
      </c>
      <c r="C1308">
        <v>260004</v>
      </c>
      <c r="D1308">
        <v>-41929.608999999997</v>
      </c>
      <c r="E1308" t="s">
        <v>4</v>
      </c>
      <c r="F1308" t="s">
        <v>45</v>
      </c>
      <c r="G1308" t="s">
        <v>8</v>
      </c>
    </row>
    <row r="1309" spans="1:7" x14ac:dyDescent="0.3">
      <c r="A1309" t="s">
        <v>30</v>
      </c>
      <c r="B1309" s="1">
        <v>45777</v>
      </c>
      <c r="C1309">
        <v>270025</v>
      </c>
      <c r="D1309">
        <v>-30204.414000000001</v>
      </c>
      <c r="E1309" t="s">
        <v>4</v>
      </c>
      <c r="F1309" t="s">
        <v>58</v>
      </c>
      <c r="G1309" t="s">
        <v>8</v>
      </c>
    </row>
    <row r="1310" spans="1:7" x14ac:dyDescent="0.3">
      <c r="A1310" t="s">
        <v>30</v>
      </c>
      <c r="B1310" s="1">
        <v>45777</v>
      </c>
      <c r="C1310">
        <v>270026</v>
      </c>
      <c r="D1310">
        <v>-10212.485000000001</v>
      </c>
      <c r="E1310" t="s">
        <v>4</v>
      </c>
      <c r="F1310" t="s">
        <v>58</v>
      </c>
      <c r="G1310" t="s">
        <v>8</v>
      </c>
    </row>
    <row r="1311" spans="1:7" x14ac:dyDescent="0.3">
      <c r="A1311" t="s">
        <v>30</v>
      </c>
      <c r="B1311" s="1">
        <v>45777</v>
      </c>
      <c r="C1311">
        <v>275002</v>
      </c>
      <c r="D1311">
        <v>-91.646000000000001</v>
      </c>
      <c r="E1311" t="s">
        <v>4</v>
      </c>
      <c r="F1311" t="s">
        <v>58</v>
      </c>
      <c r="G1311" t="s">
        <v>8</v>
      </c>
    </row>
    <row r="1312" spans="1:7" x14ac:dyDescent="0.3">
      <c r="A1312" t="s">
        <v>30</v>
      </c>
      <c r="B1312" s="1">
        <v>45777</v>
      </c>
      <c r="C1312">
        <v>300008</v>
      </c>
      <c r="D1312">
        <v>2767.1190000000001</v>
      </c>
      <c r="E1312" t="s">
        <v>4</v>
      </c>
      <c r="F1312" t="s">
        <v>65</v>
      </c>
      <c r="G1312" t="s">
        <v>8</v>
      </c>
    </row>
    <row r="1313" spans="1:7" x14ac:dyDescent="0.3">
      <c r="A1313" t="s">
        <v>30</v>
      </c>
      <c r="B1313" s="1">
        <v>45777</v>
      </c>
      <c r="C1313">
        <v>300011</v>
      </c>
      <c r="D1313">
        <v>43.646999999999998</v>
      </c>
      <c r="E1313" t="s">
        <v>4</v>
      </c>
      <c r="F1313" t="s">
        <v>65</v>
      </c>
      <c r="G1313" t="s">
        <v>8</v>
      </c>
    </row>
    <row r="1314" spans="1:7" x14ac:dyDescent="0.3">
      <c r="A1314" t="s">
        <v>30</v>
      </c>
      <c r="B1314" s="1">
        <v>45777</v>
      </c>
      <c r="C1314">
        <v>300012</v>
      </c>
      <c r="D1314">
        <v>66.491</v>
      </c>
      <c r="E1314" t="s">
        <v>4</v>
      </c>
      <c r="F1314" t="s">
        <v>65</v>
      </c>
      <c r="G1314" t="s">
        <v>8</v>
      </c>
    </row>
    <row r="1315" spans="1:7" x14ac:dyDescent="0.3">
      <c r="A1315" t="s">
        <v>30</v>
      </c>
      <c r="B1315" s="1">
        <v>45777</v>
      </c>
      <c r="C1315">
        <v>300508</v>
      </c>
      <c r="D1315">
        <v>-2185.1999999999998</v>
      </c>
      <c r="E1315" t="s">
        <v>4</v>
      </c>
      <c r="F1315" t="s">
        <v>65</v>
      </c>
      <c r="G1315" t="s">
        <v>8</v>
      </c>
    </row>
    <row r="1316" spans="1:7" x14ac:dyDescent="0.3">
      <c r="A1316" t="s">
        <v>30</v>
      </c>
      <c r="B1316" s="1">
        <v>45777</v>
      </c>
      <c r="C1316">
        <v>300511</v>
      </c>
      <c r="D1316">
        <v>-33.838999999999999</v>
      </c>
      <c r="E1316" t="s">
        <v>4</v>
      </c>
      <c r="F1316" t="s">
        <v>65</v>
      </c>
      <c r="G1316" t="s">
        <v>8</v>
      </c>
    </row>
    <row r="1317" spans="1:7" x14ac:dyDescent="0.3">
      <c r="A1317" t="s">
        <v>30</v>
      </c>
      <c r="B1317" s="1">
        <v>45777</v>
      </c>
      <c r="C1317">
        <v>300512</v>
      </c>
      <c r="D1317">
        <v>-44.878</v>
      </c>
      <c r="E1317" t="s">
        <v>4</v>
      </c>
      <c r="F1317" t="s">
        <v>65</v>
      </c>
      <c r="G1317" t="s">
        <v>8</v>
      </c>
    </row>
    <row r="1318" spans="1:7" x14ac:dyDescent="0.3">
      <c r="A1318" t="s">
        <v>30</v>
      </c>
      <c r="B1318" s="1">
        <v>45777</v>
      </c>
      <c r="C1318">
        <v>310022</v>
      </c>
      <c r="D1318">
        <v>1232247.7180000001</v>
      </c>
      <c r="E1318" t="s">
        <v>4</v>
      </c>
      <c r="F1318" t="s">
        <v>42</v>
      </c>
      <c r="G1318" t="s">
        <v>8</v>
      </c>
    </row>
    <row r="1319" spans="1:7" x14ac:dyDescent="0.3">
      <c r="A1319" t="s">
        <v>30</v>
      </c>
      <c r="B1319" s="1">
        <v>45777</v>
      </c>
      <c r="C1319">
        <v>320002</v>
      </c>
      <c r="D1319">
        <v>40102.112999999998</v>
      </c>
      <c r="E1319" t="s">
        <v>4</v>
      </c>
      <c r="F1319" t="s">
        <v>46</v>
      </c>
      <c r="G1319" t="s">
        <v>8</v>
      </c>
    </row>
    <row r="1320" spans="1:7" x14ac:dyDescent="0.3">
      <c r="A1320" t="s">
        <v>30</v>
      </c>
      <c r="B1320" s="1">
        <v>45777</v>
      </c>
      <c r="C1320">
        <v>320003</v>
      </c>
      <c r="D1320">
        <v>322130.22600000002</v>
      </c>
      <c r="E1320" t="s">
        <v>4</v>
      </c>
      <c r="F1320" t="s">
        <v>46</v>
      </c>
      <c r="G1320" t="s">
        <v>8</v>
      </c>
    </row>
    <row r="1321" spans="1:7" x14ac:dyDescent="0.3">
      <c r="A1321" t="s">
        <v>30</v>
      </c>
      <c r="B1321" s="1">
        <v>45777</v>
      </c>
      <c r="C1321">
        <v>320004</v>
      </c>
      <c r="D1321">
        <v>3191.2310000000002</v>
      </c>
      <c r="E1321" t="s">
        <v>4</v>
      </c>
      <c r="F1321" t="s">
        <v>46</v>
      </c>
      <c r="G1321" t="s">
        <v>8</v>
      </c>
    </row>
    <row r="1322" spans="1:7" x14ac:dyDescent="0.3">
      <c r="A1322" t="s">
        <v>30</v>
      </c>
      <c r="B1322" s="1">
        <v>45777</v>
      </c>
      <c r="C1322">
        <v>320018</v>
      </c>
      <c r="D1322">
        <v>2140.1030000000001</v>
      </c>
      <c r="E1322" t="s">
        <v>4</v>
      </c>
      <c r="F1322" t="s">
        <v>46</v>
      </c>
      <c r="G1322" t="s">
        <v>8</v>
      </c>
    </row>
    <row r="1323" spans="1:7" x14ac:dyDescent="0.3">
      <c r="A1323" t="s">
        <v>30</v>
      </c>
      <c r="B1323" s="1">
        <v>45777</v>
      </c>
      <c r="C1323">
        <v>320023</v>
      </c>
      <c r="D1323">
        <v>-3301.3679999999999</v>
      </c>
      <c r="E1323" t="s">
        <v>4</v>
      </c>
      <c r="F1323" t="s">
        <v>46</v>
      </c>
      <c r="G1323" t="s">
        <v>8</v>
      </c>
    </row>
    <row r="1324" spans="1:7" x14ac:dyDescent="0.3">
      <c r="A1324" t="s">
        <v>30</v>
      </c>
      <c r="B1324" s="1">
        <v>45777</v>
      </c>
      <c r="C1324">
        <v>321002</v>
      </c>
      <c r="D1324">
        <v>74819.960999999996</v>
      </c>
      <c r="E1324" t="s">
        <v>4</v>
      </c>
      <c r="F1324" t="s">
        <v>46</v>
      </c>
      <c r="G1324" t="s">
        <v>8</v>
      </c>
    </row>
    <row r="1325" spans="1:7" x14ac:dyDescent="0.3">
      <c r="A1325" t="s">
        <v>30</v>
      </c>
      <c r="B1325" s="1">
        <v>45777</v>
      </c>
      <c r="C1325">
        <v>321004</v>
      </c>
      <c r="D1325">
        <v>25905.186000000002</v>
      </c>
      <c r="E1325" t="s">
        <v>4</v>
      </c>
      <c r="F1325" t="s">
        <v>46</v>
      </c>
      <c r="G1325" t="s">
        <v>8</v>
      </c>
    </row>
    <row r="1326" spans="1:7" x14ac:dyDescent="0.3">
      <c r="A1326" t="s">
        <v>30</v>
      </c>
      <c r="B1326" s="1">
        <v>45777</v>
      </c>
      <c r="C1326">
        <v>321012</v>
      </c>
      <c r="D1326">
        <v>105837.005</v>
      </c>
      <c r="E1326" t="s">
        <v>4</v>
      </c>
      <c r="F1326" t="s">
        <v>46</v>
      </c>
      <c r="G1326" t="s">
        <v>8</v>
      </c>
    </row>
    <row r="1327" spans="1:7" x14ac:dyDescent="0.3">
      <c r="A1327" t="s">
        <v>30</v>
      </c>
      <c r="B1327" s="1">
        <v>45777</v>
      </c>
      <c r="C1327">
        <v>321013</v>
      </c>
      <c r="D1327">
        <v>1192.7460000000001</v>
      </c>
      <c r="E1327" t="s">
        <v>4</v>
      </c>
      <c r="F1327" t="s">
        <v>46</v>
      </c>
      <c r="G1327" t="s">
        <v>8</v>
      </c>
    </row>
    <row r="1328" spans="1:7" x14ac:dyDescent="0.3">
      <c r="A1328" t="s">
        <v>30</v>
      </c>
      <c r="B1328" s="1">
        <v>45777</v>
      </c>
      <c r="C1328">
        <v>321014</v>
      </c>
      <c r="D1328">
        <v>55703.669000000002</v>
      </c>
      <c r="E1328" t="s">
        <v>4</v>
      </c>
      <c r="F1328" t="s">
        <v>46</v>
      </c>
      <c r="G1328" t="s">
        <v>8</v>
      </c>
    </row>
    <row r="1329" spans="1:7" x14ac:dyDescent="0.3">
      <c r="A1329" t="s">
        <v>30</v>
      </c>
      <c r="B1329" s="1">
        <v>45777</v>
      </c>
      <c r="C1329">
        <v>321021</v>
      </c>
      <c r="D1329">
        <v>32755.941999999999</v>
      </c>
      <c r="E1329" t="s">
        <v>4</v>
      </c>
      <c r="F1329" t="s">
        <v>46</v>
      </c>
      <c r="G1329" t="s">
        <v>8</v>
      </c>
    </row>
    <row r="1330" spans="1:7" x14ac:dyDescent="0.3">
      <c r="A1330" t="s">
        <v>30</v>
      </c>
      <c r="B1330" s="1">
        <v>45777</v>
      </c>
      <c r="C1330">
        <v>321028</v>
      </c>
      <c r="D1330">
        <v>1304.548</v>
      </c>
      <c r="E1330" t="s">
        <v>4</v>
      </c>
      <c r="F1330" t="s">
        <v>46</v>
      </c>
      <c r="G1330" t="s">
        <v>8</v>
      </c>
    </row>
    <row r="1331" spans="1:7" x14ac:dyDescent="0.3">
      <c r="A1331" t="s">
        <v>30</v>
      </c>
      <c r="B1331" s="1">
        <v>45777</v>
      </c>
      <c r="C1331">
        <v>321029</v>
      </c>
      <c r="D1331">
        <v>113748.39</v>
      </c>
      <c r="E1331" t="s">
        <v>4</v>
      </c>
      <c r="F1331" t="s">
        <v>46</v>
      </c>
      <c r="G1331" t="s">
        <v>8</v>
      </c>
    </row>
    <row r="1332" spans="1:7" x14ac:dyDescent="0.3">
      <c r="A1332" t="s">
        <v>30</v>
      </c>
      <c r="B1332" s="1">
        <v>45777</v>
      </c>
      <c r="C1332">
        <v>321030</v>
      </c>
      <c r="D1332">
        <v>1960.173</v>
      </c>
      <c r="E1332" t="s">
        <v>4</v>
      </c>
      <c r="F1332" t="s">
        <v>46</v>
      </c>
      <c r="G1332" t="s">
        <v>8</v>
      </c>
    </row>
    <row r="1333" spans="1:7" x14ac:dyDescent="0.3">
      <c r="A1333" t="s">
        <v>30</v>
      </c>
      <c r="B1333" s="1">
        <v>45777</v>
      </c>
      <c r="C1333">
        <v>321031</v>
      </c>
      <c r="D1333">
        <v>64460.849000000002</v>
      </c>
      <c r="E1333" t="s">
        <v>4</v>
      </c>
      <c r="F1333" t="s">
        <v>46</v>
      </c>
      <c r="G1333" t="s">
        <v>8</v>
      </c>
    </row>
    <row r="1334" spans="1:7" x14ac:dyDescent="0.3">
      <c r="A1334" t="s">
        <v>30</v>
      </c>
      <c r="B1334" s="1">
        <v>45777</v>
      </c>
      <c r="C1334">
        <v>321042</v>
      </c>
      <c r="D1334">
        <v>-3315.5149999999999</v>
      </c>
      <c r="E1334" t="s">
        <v>4</v>
      </c>
      <c r="F1334" t="s">
        <v>46</v>
      </c>
      <c r="G1334" t="s">
        <v>8</v>
      </c>
    </row>
    <row r="1335" spans="1:7" x14ac:dyDescent="0.3">
      <c r="A1335" t="s">
        <v>30</v>
      </c>
      <c r="B1335" s="1">
        <v>45777</v>
      </c>
      <c r="C1335">
        <v>330044</v>
      </c>
      <c r="D1335">
        <v>2112.25</v>
      </c>
      <c r="E1335" t="s">
        <v>4</v>
      </c>
      <c r="F1335" t="s">
        <v>43</v>
      </c>
      <c r="G1335" t="s">
        <v>8</v>
      </c>
    </row>
    <row r="1336" spans="1:7" x14ac:dyDescent="0.3">
      <c r="A1336" t="s">
        <v>30</v>
      </c>
      <c r="B1336" s="1">
        <v>45777</v>
      </c>
      <c r="C1336">
        <v>330107</v>
      </c>
      <c r="D1336">
        <v>-980.44600000000003</v>
      </c>
      <c r="E1336" t="s">
        <v>4</v>
      </c>
      <c r="F1336" t="s">
        <v>43</v>
      </c>
      <c r="G1336" t="s">
        <v>8</v>
      </c>
    </row>
    <row r="1337" spans="1:7" x14ac:dyDescent="0.3">
      <c r="A1337" t="s">
        <v>30</v>
      </c>
      <c r="B1337" s="1">
        <v>45777</v>
      </c>
      <c r="C1337">
        <v>330141</v>
      </c>
      <c r="D1337">
        <v>3622.328</v>
      </c>
      <c r="E1337" t="s">
        <v>4</v>
      </c>
      <c r="F1337" t="s">
        <v>43</v>
      </c>
      <c r="G1337" t="s">
        <v>8</v>
      </c>
    </row>
    <row r="1338" spans="1:7" x14ac:dyDescent="0.3">
      <c r="A1338" t="s">
        <v>30</v>
      </c>
      <c r="B1338" s="1">
        <v>45777</v>
      </c>
      <c r="C1338">
        <v>330143</v>
      </c>
      <c r="D1338">
        <v>2008.0530000000001</v>
      </c>
      <c r="E1338" t="s">
        <v>4</v>
      </c>
      <c r="F1338" t="s">
        <v>43</v>
      </c>
      <c r="G1338" t="s">
        <v>8</v>
      </c>
    </row>
    <row r="1339" spans="1:7" x14ac:dyDescent="0.3">
      <c r="A1339" t="s">
        <v>30</v>
      </c>
      <c r="B1339" s="1">
        <v>45777</v>
      </c>
      <c r="C1339">
        <v>340165</v>
      </c>
      <c r="D1339">
        <v>107507.697</v>
      </c>
      <c r="E1339" t="s">
        <v>4</v>
      </c>
      <c r="F1339" t="s">
        <v>47</v>
      </c>
      <c r="G1339" t="s">
        <v>8</v>
      </c>
    </row>
    <row r="1340" spans="1:7" x14ac:dyDescent="0.3">
      <c r="A1340" t="s">
        <v>30</v>
      </c>
      <c r="B1340" s="1">
        <v>45777</v>
      </c>
      <c r="C1340">
        <v>350002</v>
      </c>
      <c r="D1340">
        <v>844.28599999999994</v>
      </c>
      <c r="E1340" t="s">
        <v>4</v>
      </c>
      <c r="F1340" t="s">
        <v>49</v>
      </c>
      <c r="G1340" t="s">
        <v>8</v>
      </c>
    </row>
    <row r="1341" spans="1:7" x14ac:dyDescent="0.3">
      <c r="A1341" t="s">
        <v>30</v>
      </c>
      <c r="B1341" s="1">
        <v>45777</v>
      </c>
      <c r="C1341">
        <v>350003</v>
      </c>
      <c r="D1341">
        <v>490.72800000000001</v>
      </c>
      <c r="E1341" t="s">
        <v>4</v>
      </c>
      <c r="F1341" t="s">
        <v>49</v>
      </c>
      <c r="G1341" t="s">
        <v>8</v>
      </c>
    </row>
    <row r="1342" spans="1:7" x14ac:dyDescent="0.3">
      <c r="A1342" t="s">
        <v>30</v>
      </c>
      <c r="B1342" s="1">
        <v>45777</v>
      </c>
      <c r="C1342">
        <v>350007</v>
      </c>
      <c r="D1342">
        <v>4.5670000000000002</v>
      </c>
      <c r="E1342" t="s">
        <v>4</v>
      </c>
      <c r="F1342" t="s">
        <v>49</v>
      </c>
      <c r="G1342" t="s">
        <v>8</v>
      </c>
    </row>
    <row r="1343" spans="1:7" x14ac:dyDescent="0.3">
      <c r="A1343" t="s">
        <v>30</v>
      </c>
      <c r="B1343" s="1">
        <v>45777</v>
      </c>
      <c r="C1343">
        <v>350031</v>
      </c>
      <c r="D1343">
        <v>197.87</v>
      </c>
      <c r="E1343" t="s">
        <v>4</v>
      </c>
      <c r="F1343" t="s">
        <v>43</v>
      </c>
      <c r="G1343" t="s">
        <v>8</v>
      </c>
    </row>
    <row r="1344" spans="1:7" x14ac:dyDescent="0.3">
      <c r="A1344" t="s">
        <v>30</v>
      </c>
      <c r="B1344" s="1">
        <v>45777</v>
      </c>
      <c r="C1344">
        <v>350034</v>
      </c>
      <c r="D1344">
        <v>8.8960000000000008</v>
      </c>
      <c r="E1344" t="s">
        <v>4</v>
      </c>
      <c r="F1344" t="s">
        <v>49</v>
      </c>
      <c r="G1344" t="s">
        <v>8</v>
      </c>
    </row>
    <row r="1345" spans="1:7" x14ac:dyDescent="0.3">
      <c r="A1345" t="s">
        <v>30</v>
      </c>
      <c r="B1345" s="1">
        <v>45777</v>
      </c>
      <c r="C1345">
        <v>354012</v>
      </c>
      <c r="D1345">
        <v>343385.97600000002</v>
      </c>
      <c r="E1345" t="s">
        <v>4</v>
      </c>
      <c r="F1345" t="s">
        <v>46</v>
      </c>
      <c r="G1345" t="s">
        <v>8</v>
      </c>
    </row>
    <row r="1346" spans="1:7" x14ac:dyDescent="0.3">
      <c r="A1346" t="s">
        <v>30</v>
      </c>
      <c r="B1346" s="1">
        <v>45777</v>
      </c>
      <c r="C1346">
        <v>354014</v>
      </c>
      <c r="D1346">
        <v>44193.767999999996</v>
      </c>
      <c r="E1346" t="s">
        <v>4</v>
      </c>
      <c r="F1346" t="s">
        <v>46</v>
      </c>
      <c r="G1346" t="s">
        <v>8</v>
      </c>
    </row>
    <row r="1347" spans="1:7" x14ac:dyDescent="0.3">
      <c r="A1347" t="s">
        <v>30</v>
      </c>
      <c r="B1347" s="1">
        <v>45777</v>
      </c>
      <c r="C1347">
        <v>354015</v>
      </c>
      <c r="D1347">
        <v>19568.675999999999</v>
      </c>
      <c r="E1347" t="s">
        <v>4</v>
      </c>
      <c r="F1347" t="s">
        <v>46</v>
      </c>
      <c r="G1347" t="s">
        <v>8</v>
      </c>
    </row>
    <row r="1348" spans="1:7" x14ac:dyDescent="0.3">
      <c r="A1348" t="s">
        <v>30</v>
      </c>
      <c r="B1348" s="1">
        <v>45777</v>
      </c>
      <c r="C1348">
        <v>355002</v>
      </c>
      <c r="D1348">
        <v>72.888000000000005</v>
      </c>
      <c r="E1348" t="s">
        <v>4</v>
      </c>
      <c r="F1348" t="s">
        <v>49</v>
      </c>
      <c r="G1348" t="s">
        <v>8</v>
      </c>
    </row>
    <row r="1349" spans="1:7" x14ac:dyDescent="0.3">
      <c r="A1349" t="s">
        <v>30</v>
      </c>
      <c r="B1349" s="1">
        <v>45777</v>
      </c>
      <c r="C1349">
        <v>360028</v>
      </c>
      <c r="D1349">
        <v>30394.302</v>
      </c>
      <c r="E1349" t="s">
        <v>4</v>
      </c>
      <c r="F1349" t="s">
        <v>58</v>
      </c>
      <c r="G1349" t="s">
        <v>8</v>
      </c>
    </row>
    <row r="1350" spans="1:7" x14ac:dyDescent="0.3">
      <c r="A1350" t="s">
        <v>30</v>
      </c>
      <c r="B1350" s="1">
        <v>45777</v>
      </c>
      <c r="C1350">
        <v>360030</v>
      </c>
      <c r="D1350">
        <v>4733.9889999999996</v>
      </c>
      <c r="E1350" t="s">
        <v>4</v>
      </c>
      <c r="F1350" t="s">
        <v>58</v>
      </c>
      <c r="G1350" t="s">
        <v>8</v>
      </c>
    </row>
    <row r="1351" spans="1:7" x14ac:dyDescent="0.3">
      <c r="A1351" t="s">
        <v>30</v>
      </c>
      <c r="B1351" s="1">
        <v>45777</v>
      </c>
      <c r="C1351">
        <v>372004</v>
      </c>
      <c r="D1351">
        <v>37247.042999999998</v>
      </c>
      <c r="E1351" t="s">
        <v>4</v>
      </c>
      <c r="F1351" t="s">
        <v>45</v>
      </c>
      <c r="G1351" t="s">
        <v>8</v>
      </c>
    </row>
    <row r="1352" spans="1:7" x14ac:dyDescent="0.3">
      <c r="A1352" t="s">
        <v>30</v>
      </c>
      <c r="B1352" s="1">
        <v>45777</v>
      </c>
      <c r="C1352">
        <v>400002</v>
      </c>
      <c r="D1352">
        <v>-2254.4839999999999</v>
      </c>
      <c r="E1352" t="s">
        <v>6</v>
      </c>
      <c r="F1352" t="s">
        <v>50</v>
      </c>
      <c r="G1352" t="s">
        <v>8</v>
      </c>
    </row>
    <row r="1353" spans="1:7" x14ac:dyDescent="0.3">
      <c r="A1353" t="s">
        <v>30</v>
      </c>
      <c r="B1353" s="1">
        <v>45777</v>
      </c>
      <c r="C1353">
        <v>400004</v>
      </c>
      <c r="D1353">
        <v>-15166.614</v>
      </c>
      <c r="E1353" t="s">
        <v>6</v>
      </c>
      <c r="F1353" t="s">
        <v>50</v>
      </c>
      <c r="G1353" t="s">
        <v>8</v>
      </c>
    </row>
    <row r="1354" spans="1:7" x14ac:dyDescent="0.3">
      <c r="A1354" t="s">
        <v>30</v>
      </c>
      <c r="B1354" s="1">
        <v>45777</v>
      </c>
      <c r="C1354">
        <v>410002</v>
      </c>
      <c r="D1354">
        <v>-3589.085</v>
      </c>
      <c r="E1354" t="s">
        <v>6</v>
      </c>
      <c r="F1354" t="s">
        <v>51</v>
      </c>
      <c r="G1354" t="s">
        <v>8</v>
      </c>
    </row>
    <row r="1355" spans="1:7" x14ac:dyDescent="0.3">
      <c r="A1355" t="s">
        <v>30</v>
      </c>
      <c r="B1355" s="1">
        <v>45777</v>
      </c>
      <c r="C1355">
        <v>410006</v>
      </c>
      <c r="D1355">
        <v>-14911.659</v>
      </c>
      <c r="E1355" t="s">
        <v>6</v>
      </c>
      <c r="F1355" t="s">
        <v>51</v>
      </c>
      <c r="G1355" t="s">
        <v>8</v>
      </c>
    </row>
    <row r="1356" spans="1:7" x14ac:dyDescent="0.3">
      <c r="A1356" t="s">
        <v>30</v>
      </c>
      <c r="B1356" s="1">
        <v>45777</v>
      </c>
      <c r="C1356">
        <v>410009</v>
      </c>
      <c r="D1356">
        <v>-7312.63</v>
      </c>
      <c r="E1356" t="s">
        <v>6</v>
      </c>
      <c r="F1356" t="s">
        <v>51</v>
      </c>
      <c r="G1356" t="s">
        <v>8</v>
      </c>
    </row>
    <row r="1357" spans="1:7" x14ac:dyDescent="0.3">
      <c r="A1357" t="s">
        <v>30</v>
      </c>
      <c r="B1357" s="1">
        <v>45777</v>
      </c>
      <c r="C1357">
        <v>410015</v>
      </c>
      <c r="D1357">
        <v>45.131</v>
      </c>
      <c r="E1357" t="s">
        <v>6</v>
      </c>
      <c r="F1357" t="s">
        <v>51</v>
      </c>
      <c r="G1357" t="s">
        <v>8</v>
      </c>
    </row>
    <row r="1358" spans="1:7" x14ac:dyDescent="0.3">
      <c r="A1358" t="s">
        <v>30</v>
      </c>
      <c r="B1358" s="1">
        <v>45777</v>
      </c>
      <c r="C1358">
        <v>410018</v>
      </c>
      <c r="D1358">
        <v>-784.19600000000003</v>
      </c>
      <c r="E1358" t="s">
        <v>6</v>
      </c>
      <c r="F1358" t="s">
        <v>51</v>
      </c>
      <c r="G1358" t="s">
        <v>8</v>
      </c>
    </row>
    <row r="1359" spans="1:7" x14ac:dyDescent="0.3">
      <c r="A1359" t="s">
        <v>30</v>
      </c>
      <c r="B1359" s="1">
        <v>45777</v>
      </c>
      <c r="C1359">
        <v>410037</v>
      </c>
      <c r="D1359">
        <v>-4048.09</v>
      </c>
      <c r="E1359" t="s">
        <v>6</v>
      </c>
      <c r="F1359" t="s">
        <v>51</v>
      </c>
      <c r="G1359" t="s">
        <v>8</v>
      </c>
    </row>
    <row r="1360" spans="1:7" x14ac:dyDescent="0.3">
      <c r="A1360" t="s">
        <v>30</v>
      </c>
      <c r="B1360" s="1">
        <v>45777</v>
      </c>
      <c r="C1360">
        <v>410039</v>
      </c>
      <c r="D1360">
        <v>-4993.0320000000002</v>
      </c>
      <c r="E1360" t="s">
        <v>6</v>
      </c>
      <c r="F1360" t="s">
        <v>51</v>
      </c>
      <c r="G1360" t="s">
        <v>8</v>
      </c>
    </row>
    <row r="1361" spans="1:7" x14ac:dyDescent="0.3">
      <c r="A1361" t="s">
        <v>30</v>
      </c>
      <c r="B1361" s="1">
        <v>45777</v>
      </c>
      <c r="C1361">
        <v>410040</v>
      </c>
      <c r="D1361">
        <v>397.79500000000002</v>
      </c>
      <c r="E1361" t="s">
        <v>6</v>
      </c>
      <c r="F1361" t="s">
        <v>51</v>
      </c>
      <c r="G1361" t="s">
        <v>8</v>
      </c>
    </row>
    <row r="1362" spans="1:7" x14ac:dyDescent="0.3">
      <c r="A1362" t="s">
        <v>30</v>
      </c>
      <c r="B1362" s="1">
        <v>45777</v>
      </c>
      <c r="C1362">
        <v>415002</v>
      </c>
      <c r="D1362">
        <v>-52409.194000000003</v>
      </c>
      <c r="E1362" t="s">
        <v>6</v>
      </c>
      <c r="F1362" t="s">
        <v>50</v>
      </c>
      <c r="G1362" t="s">
        <v>8</v>
      </c>
    </row>
    <row r="1363" spans="1:7" x14ac:dyDescent="0.3">
      <c r="A1363" t="s">
        <v>30</v>
      </c>
      <c r="B1363" s="1">
        <v>45777</v>
      </c>
      <c r="C1363">
        <v>415004</v>
      </c>
      <c r="D1363">
        <v>-89516.845000000001</v>
      </c>
      <c r="E1363" t="s">
        <v>6</v>
      </c>
      <c r="F1363" t="s">
        <v>50</v>
      </c>
      <c r="G1363" t="s">
        <v>8</v>
      </c>
    </row>
    <row r="1364" spans="1:7" x14ac:dyDescent="0.3">
      <c r="A1364" t="s">
        <v>30</v>
      </c>
      <c r="B1364" s="1">
        <v>45777</v>
      </c>
      <c r="C1364">
        <v>421002</v>
      </c>
      <c r="D1364">
        <v>151.39099999999999</v>
      </c>
      <c r="E1364" t="s">
        <v>6</v>
      </c>
      <c r="F1364" t="s">
        <v>52</v>
      </c>
      <c r="G1364" t="s">
        <v>8</v>
      </c>
    </row>
    <row r="1365" spans="1:7" x14ac:dyDescent="0.3">
      <c r="A1365" t="s">
        <v>30</v>
      </c>
      <c r="B1365" s="1">
        <v>45777</v>
      </c>
      <c r="C1365">
        <v>421003</v>
      </c>
      <c r="D1365">
        <v>11613.101000000001</v>
      </c>
      <c r="E1365" t="s">
        <v>6</v>
      </c>
      <c r="F1365" t="s">
        <v>52</v>
      </c>
      <c r="G1365" t="s">
        <v>8</v>
      </c>
    </row>
    <row r="1366" spans="1:7" x14ac:dyDescent="0.3">
      <c r="A1366" t="s">
        <v>30</v>
      </c>
      <c r="B1366" s="1">
        <v>45777</v>
      </c>
      <c r="C1366">
        <v>421004</v>
      </c>
      <c r="D1366">
        <v>1597.558</v>
      </c>
      <c r="E1366" t="s">
        <v>6</v>
      </c>
      <c r="F1366" t="s">
        <v>52</v>
      </c>
      <c r="G1366" t="s">
        <v>8</v>
      </c>
    </row>
    <row r="1367" spans="1:7" x14ac:dyDescent="0.3">
      <c r="A1367" t="s">
        <v>30</v>
      </c>
      <c r="B1367" s="1">
        <v>45777</v>
      </c>
      <c r="C1367">
        <v>421007</v>
      </c>
      <c r="D1367">
        <v>-8452.0010000000002</v>
      </c>
      <c r="E1367" t="s">
        <v>6</v>
      </c>
      <c r="F1367" t="s">
        <v>52</v>
      </c>
      <c r="G1367" t="s">
        <v>8</v>
      </c>
    </row>
    <row r="1368" spans="1:7" x14ac:dyDescent="0.3">
      <c r="A1368" t="s">
        <v>30</v>
      </c>
      <c r="B1368" s="1">
        <v>45777</v>
      </c>
      <c r="C1368">
        <v>510002</v>
      </c>
      <c r="D1368">
        <v>7438.0460000000003</v>
      </c>
      <c r="E1368" t="s">
        <v>6</v>
      </c>
      <c r="F1368" t="s">
        <v>53</v>
      </c>
      <c r="G1368" t="s">
        <v>8</v>
      </c>
    </row>
    <row r="1369" spans="1:7" x14ac:dyDescent="0.3">
      <c r="A1369" t="s">
        <v>30</v>
      </c>
      <c r="B1369" s="1">
        <v>45777</v>
      </c>
      <c r="C1369">
        <v>510005</v>
      </c>
      <c r="D1369">
        <v>-2128.7849999999999</v>
      </c>
      <c r="E1369" t="s">
        <v>6</v>
      </c>
      <c r="F1369" t="s">
        <v>53</v>
      </c>
      <c r="G1369" t="s">
        <v>8</v>
      </c>
    </row>
    <row r="1370" spans="1:7" x14ac:dyDescent="0.3">
      <c r="A1370" t="s">
        <v>30</v>
      </c>
      <c r="B1370" s="1">
        <v>45777</v>
      </c>
      <c r="C1370">
        <v>510007</v>
      </c>
      <c r="D1370">
        <v>312.846</v>
      </c>
      <c r="E1370" t="s">
        <v>6</v>
      </c>
      <c r="F1370" t="s">
        <v>53</v>
      </c>
      <c r="G1370" t="s">
        <v>8</v>
      </c>
    </row>
    <row r="1371" spans="1:7" x14ac:dyDescent="0.3">
      <c r="A1371" t="s">
        <v>30</v>
      </c>
      <c r="B1371" s="1">
        <v>45777</v>
      </c>
      <c r="C1371">
        <v>520011</v>
      </c>
      <c r="D1371">
        <v>1167.471</v>
      </c>
      <c r="E1371" t="s">
        <v>6</v>
      </c>
      <c r="F1371" t="s">
        <v>53</v>
      </c>
      <c r="G1371" t="s">
        <v>8</v>
      </c>
    </row>
    <row r="1372" spans="1:7" x14ac:dyDescent="0.3">
      <c r="A1372" t="s">
        <v>30</v>
      </c>
      <c r="B1372" s="1">
        <v>45777</v>
      </c>
      <c r="C1372">
        <v>520021</v>
      </c>
      <c r="D1372">
        <v>1.2769999999999999</v>
      </c>
      <c r="E1372" t="s">
        <v>6</v>
      </c>
      <c r="F1372" t="s">
        <v>60</v>
      </c>
      <c r="G1372" t="s">
        <v>8</v>
      </c>
    </row>
    <row r="1373" spans="1:7" x14ac:dyDescent="0.3">
      <c r="A1373" t="s">
        <v>30</v>
      </c>
      <c r="B1373" s="1">
        <v>45777</v>
      </c>
      <c r="C1373">
        <v>540009</v>
      </c>
      <c r="D1373">
        <v>3357.9560000000001</v>
      </c>
      <c r="E1373" t="s">
        <v>6</v>
      </c>
      <c r="F1373" t="s">
        <v>59</v>
      </c>
      <c r="G1373" t="s">
        <v>8</v>
      </c>
    </row>
    <row r="1374" spans="1:7" x14ac:dyDescent="0.3">
      <c r="A1374" t="s">
        <v>30</v>
      </c>
      <c r="B1374" s="1">
        <v>45777</v>
      </c>
      <c r="C1374">
        <v>541003</v>
      </c>
      <c r="D1374">
        <v>340.51400000000001</v>
      </c>
      <c r="E1374" t="s">
        <v>6</v>
      </c>
      <c r="F1374" t="s">
        <v>61</v>
      </c>
      <c r="G1374" t="s">
        <v>8</v>
      </c>
    </row>
    <row r="1375" spans="1:7" x14ac:dyDescent="0.3">
      <c r="A1375" t="s">
        <v>30</v>
      </c>
      <c r="B1375" s="1">
        <v>45777</v>
      </c>
      <c r="C1375">
        <v>541009</v>
      </c>
      <c r="D1375">
        <v>606.04399999999998</v>
      </c>
      <c r="E1375" t="s">
        <v>6</v>
      </c>
      <c r="F1375" t="s">
        <v>61</v>
      </c>
      <c r="G1375" t="s">
        <v>8</v>
      </c>
    </row>
    <row r="1376" spans="1:7" x14ac:dyDescent="0.3">
      <c r="A1376" t="s">
        <v>30</v>
      </c>
      <c r="B1376" s="1">
        <v>45777</v>
      </c>
      <c r="C1376">
        <v>541010</v>
      </c>
      <c r="D1376">
        <v>-31.268999999999998</v>
      </c>
      <c r="E1376" t="s">
        <v>6</v>
      </c>
      <c r="F1376" t="s">
        <v>61</v>
      </c>
      <c r="G1376" t="s">
        <v>8</v>
      </c>
    </row>
    <row r="1377" spans="1:7" x14ac:dyDescent="0.3">
      <c r="A1377" t="s">
        <v>30</v>
      </c>
      <c r="B1377" s="1">
        <v>45777</v>
      </c>
      <c r="C1377">
        <v>546002</v>
      </c>
      <c r="D1377">
        <v>92121.438999999998</v>
      </c>
      <c r="E1377" t="s">
        <v>6</v>
      </c>
      <c r="F1377" t="s">
        <v>51</v>
      </c>
      <c r="G1377" t="s">
        <v>8</v>
      </c>
    </row>
    <row r="1378" spans="1:7" x14ac:dyDescent="0.3">
      <c r="A1378" t="s">
        <v>30</v>
      </c>
      <c r="B1378" s="1">
        <v>45777</v>
      </c>
      <c r="C1378">
        <v>546008</v>
      </c>
      <c r="D1378">
        <v>1626.8230000000001</v>
      </c>
      <c r="E1378" t="s">
        <v>6</v>
      </c>
      <c r="F1378" t="s">
        <v>51</v>
      </c>
      <c r="G1378" t="s">
        <v>8</v>
      </c>
    </row>
    <row r="1379" spans="1:7" x14ac:dyDescent="0.3">
      <c r="A1379" t="s">
        <v>30</v>
      </c>
      <c r="B1379" s="1">
        <v>45777</v>
      </c>
      <c r="C1379">
        <v>546013</v>
      </c>
      <c r="D1379">
        <v>14816.906999999999</v>
      </c>
      <c r="E1379" t="s">
        <v>6</v>
      </c>
      <c r="F1379" t="s">
        <v>51</v>
      </c>
      <c r="G1379" t="s">
        <v>8</v>
      </c>
    </row>
    <row r="1380" spans="1:7" x14ac:dyDescent="0.3">
      <c r="A1380" t="s">
        <v>30</v>
      </c>
      <c r="B1380" s="1">
        <v>45777</v>
      </c>
      <c r="C1380">
        <v>546015</v>
      </c>
      <c r="D1380">
        <v>1626.3389999999999</v>
      </c>
      <c r="E1380" t="s">
        <v>6</v>
      </c>
      <c r="F1380" t="s">
        <v>51</v>
      </c>
      <c r="G1380" t="s">
        <v>8</v>
      </c>
    </row>
    <row r="1381" spans="1:7" x14ac:dyDescent="0.3">
      <c r="A1381" t="s">
        <v>30</v>
      </c>
      <c r="B1381" s="1">
        <v>45777</v>
      </c>
      <c r="C1381">
        <v>546022</v>
      </c>
      <c r="D1381">
        <v>4674.9430000000002</v>
      </c>
      <c r="E1381" t="s">
        <v>6</v>
      </c>
      <c r="F1381" t="s">
        <v>51</v>
      </c>
      <c r="G1381" t="s">
        <v>8</v>
      </c>
    </row>
    <row r="1382" spans="1:7" x14ac:dyDescent="0.3">
      <c r="A1382" t="s">
        <v>30</v>
      </c>
      <c r="B1382" s="1">
        <v>45777</v>
      </c>
      <c r="C1382">
        <v>546024</v>
      </c>
      <c r="D1382">
        <v>1299.9580000000001</v>
      </c>
      <c r="E1382" t="s">
        <v>6</v>
      </c>
      <c r="F1382" t="s">
        <v>51</v>
      </c>
      <c r="G1382" t="s">
        <v>8</v>
      </c>
    </row>
    <row r="1383" spans="1:7" x14ac:dyDescent="0.3">
      <c r="A1383" t="s">
        <v>30</v>
      </c>
      <c r="B1383" s="1">
        <v>45777</v>
      </c>
      <c r="C1383">
        <v>546040</v>
      </c>
      <c r="D1383">
        <v>7915.43</v>
      </c>
      <c r="E1383" t="s">
        <v>6</v>
      </c>
      <c r="F1383" t="s">
        <v>51</v>
      </c>
      <c r="G1383" t="s">
        <v>8</v>
      </c>
    </row>
    <row r="1384" spans="1:7" x14ac:dyDescent="0.3">
      <c r="A1384" t="s">
        <v>30</v>
      </c>
      <c r="B1384" s="1">
        <v>45777</v>
      </c>
      <c r="C1384">
        <v>546046</v>
      </c>
      <c r="D1384">
        <v>530.774</v>
      </c>
      <c r="E1384" t="s">
        <v>6</v>
      </c>
      <c r="F1384" t="s">
        <v>51</v>
      </c>
      <c r="G1384" t="s">
        <v>8</v>
      </c>
    </row>
    <row r="1385" spans="1:7" x14ac:dyDescent="0.3">
      <c r="A1385" t="s">
        <v>30</v>
      </c>
      <c r="B1385" s="1">
        <v>45777</v>
      </c>
      <c r="C1385">
        <v>546047</v>
      </c>
      <c r="D1385">
        <v>350.95699999999999</v>
      </c>
      <c r="E1385" t="s">
        <v>6</v>
      </c>
      <c r="F1385" t="s">
        <v>51</v>
      </c>
      <c r="G1385" t="s">
        <v>8</v>
      </c>
    </row>
    <row r="1386" spans="1:7" x14ac:dyDescent="0.3">
      <c r="A1386" t="s">
        <v>30</v>
      </c>
      <c r="B1386" s="1">
        <v>45777</v>
      </c>
      <c r="C1386">
        <v>550002</v>
      </c>
      <c r="D1386">
        <v>50911.633000000002</v>
      </c>
      <c r="E1386" t="s">
        <v>6</v>
      </c>
      <c r="F1386" t="s">
        <v>62</v>
      </c>
      <c r="G1386" t="s">
        <v>8</v>
      </c>
    </row>
    <row r="1387" spans="1:7" x14ac:dyDescent="0.3">
      <c r="A1387" t="s">
        <v>30</v>
      </c>
      <c r="B1387" s="1">
        <v>45777</v>
      </c>
      <c r="C1387">
        <v>555007</v>
      </c>
      <c r="D1387">
        <v>72.897000000000006</v>
      </c>
      <c r="E1387" t="s">
        <v>6</v>
      </c>
      <c r="F1387" t="s">
        <v>55</v>
      </c>
      <c r="G1387" t="s">
        <v>8</v>
      </c>
    </row>
    <row r="1388" spans="1:7" x14ac:dyDescent="0.3">
      <c r="A1388" t="s">
        <v>30</v>
      </c>
      <c r="B1388" s="1">
        <v>45777</v>
      </c>
      <c r="C1388">
        <v>557002</v>
      </c>
      <c r="D1388">
        <v>3918.393</v>
      </c>
      <c r="E1388" t="s">
        <v>6</v>
      </c>
      <c r="F1388" t="s">
        <v>56</v>
      </c>
      <c r="G1388" t="s">
        <v>8</v>
      </c>
    </row>
    <row r="1389" spans="1:7" x14ac:dyDescent="0.3">
      <c r="A1389" t="s">
        <v>30</v>
      </c>
      <c r="B1389" s="1">
        <v>45777</v>
      </c>
      <c r="C1389">
        <v>557003</v>
      </c>
      <c r="D1389">
        <v>212.22300000000001</v>
      </c>
      <c r="E1389" t="s">
        <v>6</v>
      </c>
      <c r="F1389" t="s">
        <v>56</v>
      </c>
      <c r="G1389" t="s">
        <v>8</v>
      </c>
    </row>
    <row r="1390" spans="1:7" x14ac:dyDescent="0.3">
      <c r="A1390" t="s">
        <v>30</v>
      </c>
      <c r="B1390" s="1">
        <v>45777</v>
      </c>
      <c r="C1390">
        <v>560008</v>
      </c>
      <c r="D1390">
        <v>-1880.4559999999999</v>
      </c>
      <c r="E1390" t="s">
        <v>6</v>
      </c>
      <c r="F1390" t="s">
        <v>56</v>
      </c>
      <c r="G1390" t="s">
        <v>8</v>
      </c>
    </row>
    <row r="1391" spans="1:7" x14ac:dyDescent="0.3">
      <c r="A1391" t="s">
        <v>30</v>
      </c>
      <c r="B1391" s="1">
        <v>45777</v>
      </c>
      <c r="C1391">
        <v>564008</v>
      </c>
      <c r="D1391">
        <v>16.117999999999999</v>
      </c>
      <c r="E1391" t="s">
        <v>6</v>
      </c>
      <c r="F1391" t="s">
        <v>55</v>
      </c>
      <c r="G1391" t="s">
        <v>8</v>
      </c>
    </row>
    <row r="1392" spans="1:7" x14ac:dyDescent="0.3">
      <c r="A1392" t="s">
        <v>30</v>
      </c>
      <c r="B1392" s="1">
        <v>45777</v>
      </c>
      <c r="C1392">
        <v>564020</v>
      </c>
      <c r="D1392">
        <v>16.654</v>
      </c>
      <c r="E1392" t="s">
        <v>6</v>
      </c>
      <c r="F1392" t="s">
        <v>57</v>
      </c>
      <c r="G1392" t="s">
        <v>8</v>
      </c>
    </row>
    <row r="1393" spans="1:7" x14ac:dyDescent="0.3">
      <c r="A1393" t="s">
        <v>30</v>
      </c>
      <c r="B1393" s="1">
        <v>45777</v>
      </c>
      <c r="C1393">
        <v>570002</v>
      </c>
      <c r="D1393">
        <v>22.545999999999999</v>
      </c>
      <c r="E1393" t="s">
        <v>6</v>
      </c>
      <c r="F1393" t="s">
        <v>66</v>
      </c>
      <c r="G1393" t="s">
        <v>8</v>
      </c>
    </row>
    <row r="1394" spans="1:7" x14ac:dyDescent="0.3">
      <c r="A1394" t="s">
        <v>31</v>
      </c>
      <c r="B1394" s="1">
        <v>45777</v>
      </c>
      <c r="C1394">
        <v>210002</v>
      </c>
      <c r="D1394">
        <v>-23025.986000000001</v>
      </c>
      <c r="E1394" t="s">
        <v>4</v>
      </c>
      <c r="F1394" t="s">
        <v>42</v>
      </c>
      <c r="G1394" t="s">
        <v>8</v>
      </c>
    </row>
    <row r="1395" spans="1:7" x14ac:dyDescent="0.3">
      <c r="A1395" t="s">
        <v>31</v>
      </c>
      <c r="B1395" s="1">
        <v>45777</v>
      </c>
      <c r="C1395">
        <v>220006</v>
      </c>
      <c r="D1395">
        <v>-163123.85699999999</v>
      </c>
      <c r="E1395" t="s">
        <v>4</v>
      </c>
      <c r="F1395" t="s">
        <v>42</v>
      </c>
      <c r="G1395" t="s">
        <v>8</v>
      </c>
    </row>
    <row r="1396" spans="1:7" x14ac:dyDescent="0.3">
      <c r="A1396" t="s">
        <v>31</v>
      </c>
      <c r="B1396" s="1">
        <v>45777</v>
      </c>
      <c r="C1396">
        <v>240002</v>
      </c>
      <c r="D1396">
        <v>-6437.7730000000001</v>
      </c>
      <c r="E1396" t="s">
        <v>4</v>
      </c>
      <c r="F1396" t="s">
        <v>43</v>
      </c>
      <c r="G1396" t="s">
        <v>8</v>
      </c>
    </row>
    <row r="1397" spans="1:7" x14ac:dyDescent="0.3">
      <c r="A1397" t="s">
        <v>31</v>
      </c>
      <c r="B1397" s="1">
        <v>45777</v>
      </c>
      <c r="C1397">
        <v>240003</v>
      </c>
      <c r="D1397">
        <v>-634.87099999999998</v>
      </c>
      <c r="E1397" t="s">
        <v>4</v>
      </c>
      <c r="F1397" t="s">
        <v>43</v>
      </c>
      <c r="G1397" t="s">
        <v>8</v>
      </c>
    </row>
    <row r="1398" spans="1:7" x14ac:dyDescent="0.3">
      <c r="A1398" t="s">
        <v>31</v>
      </c>
      <c r="B1398" s="1">
        <v>45777</v>
      </c>
      <c r="C1398">
        <v>240009</v>
      </c>
      <c r="D1398">
        <v>-1060.9280000000001</v>
      </c>
      <c r="E1398" t="s">
        <v>4</v>
      </c>
      <c r="F1398" t="s">
        <v>43</v>
      </c>
      <c r="G1398" t="s">
        <v>8</v>
      </c>
    </row>
    <row r="1399" spans="1:7" x14ac:dyDescent="0.3">
      <c r="A1399" t="s">
        <v>31</v>
      </c>
      <c r="B1399" s="1">
        <v>45777</v>
      </c>
      <c r="C1399">
        <v>242003</v>
      </c>
      <c r="D1399">
        <v>-151045.70199999999</v>
      </c>
      <c r="E1399" t="s">
        <v>4</v>
      </c>
      <c r="F1399" t="s">
        <v>43</v>
      </c>
      <c r="G1399" t="s">
        <v>8</v>
      </c>
    </row>
    <row r="1400" spans="1:7" x14ac:dyDescent="0.3">
      <c r="A1400" t="s">
        <v>31</v>
      </c>
      <c r="B1400" s="1">
        <v>45777</v>
      </c>
      <c r="C1400">
        <v>242011</v>
      </c>
      <c r="D1400">
        <v>-26193.077000000001</v>
      </c>
      <c r="E1400" t="s">
        <v>4</v>
      </c>
      <c r="F1400" t="s">
        <v>43</v>
      </c>
      <c r="G1400" t="s">
        <v>8</v>
      </c>
    </row>
    <row r="1401" spans="1:7" x14ac:dyDescent="0.3">
      <c r="A1401" t="s">
        <v>31</v>
      </c>
      <c r="B1401" s="1">
        <v>45777</v>
      </c>
      <c r="C1401">
        <v>242018</v>
      </c>
      <c r="D1401">
        <v>-4258.1270000000004</v>
      </c>
      <c r="E1401" t="s">
        <v>4</v>
      </c>
      <c r="F1401" t="s">
        <v>43</v>
      </c>
      <c r="G1401" t="s">
        <v>8</v>
      </c>
    </row>
    <row r="1402" spans="1:7" x14ac:dyDescent="0.3">
      <c r="A1402" t="s">
        <v>31</v>
      </c>
      <c r="B1402" s="1">
        <v>45777</v>
      </c>
      <c r="C1402">
        <v>242027</v>
      </c>
      <c r="D1402">
        <v>-64475.141000000003</v>
      </c>
      <c r="E1402" t="s">
        <v>4</v>
      </c>
      <c r="F1402" t="s">
        <v>43</v>
      </c>
      <c r="G1402" t="s">
        <v>8</v>
      </c>
    </row>
    <row r="1403" spans="1:7" x14ac:dyDescent="0.3">
      <c r="A1403" t="s">
        <v>31</v>
      </c>
      <c r="B1403" s="1">
        <v>45777</v>
      </c>
      <c r="C1403">
        <v>242030</v>
      </c>
      <c r="D1403">
        <v>-15126.203</v>
      </c>
      <c r="E1403" t="s">
        <v>4</v>
      </c>
      <c r="F1403" t="s">
        <v>43</v>
      </c>
      <c r="G1403" t="s">
        <v>8</v>
      </c>
    </row>
    <row r="1404" spans="1:7" x14ac:dyDescent="0.3">
      <c r="A1404" t="s">
        <v>31</v>
      </c>
      <c r="B1404" s="1">
        <v>45777</v>
      </c>
      <c r="C1404">
        <v>242038</v>
      </c>
      <c r="D1404">
        <v>-426.95400000000001</v>
      </c>
      <c r="E1404" t="s">
        <v>4</v>
      </c>
      <c r="F1404" t="s">
        <v>43</v>
      </c>
      <c r="G1404" t="s">
        <v>8</v>
      </c>
    </row>
    <row r="1405" spans="1:7" x14ac:dyDescent="0.3">
      <c r="A1405" t="s">
        <v>31</v>
      </c>
      <c r="B1405" s="1">
        <v>45777</v>
      </c>
      <c r="C1405">
        <v>242041</v>
      </c>
      <c r="D1405">
        <v>-3021.5450000000001</v>
      </c>
      <c r="E1405" t="s">
        <v>4</v>
      </c>
      <c r="F1405" t="s">
        <v>43</v>
      </c>
      <c r="G1405" t="s">
        <v>8</v>
      </c>
    </row>
    <row r="1406" spans="1:7" x14ac:dyDescent="0.3">
      <c r="A1406" t="s">
        <v>31</v>
      </c>
      <c r="B1406" s="1">
        <v>45777</v>
      </c>
      <c r="C1406">
        <v>243002</v>
      </c>
      <c r="D1406">
        <v>-4547.8950000000004</v>
      </c>
      <c r="E1406" t="s">
        <v>4</v>
      </c>
      <c r="F1406" t="s">
        <v>43</v>
      </c>
      <c r="G1406" t="s">
        <v>8</v>
      </c>
    </row>
    <row r="1407" spans="1:7" x14ac:dyDescent="0.3">
      <c r="A1407" t="s">
        <v>31</v>
      </c>
      <c r="B1407" s="1">
        <v>45777</v>
      </c>
      <c r="C1407">
        <v>243010</v>
      </c>
      <c r="D1407">
        <v>-2944.4589999999998</v>
      </c>
      <c r="E1407" t="s">
        <v>4</v>
      </c>
      <c r="F1407" t="s">
        <v>43</v>
      </c>
      <c r="G1407" t="s">
        <v>8</v>
      </c>
    </row>
    <row r="1408" spans="1:7" x14ac:dyDescent="0.3">
      <c r="A1408" t="s">
        <v>31</v>
      </c>
      <c r="B1408" s="1">
        <v>45777</v>
      </c>
      <c r="C1408">
        <v>245004</v>
      </c>
      <c r="D1408">
        <v>-56.287999999999997</v>
      </c>
      <c r="E1408" t="s">
        <v>4</v>
      </c>
      <c r="F1408" t="s">
        <v>43</v>
      </c>
      <c r="G1408" t="s">
        <v>8</v>
      </c>
    </row>
    <row r="1409" spans="1:7" x14ac:dyDescent="0.3">
      <c r="A1409" t="s">
        <v>31</v>
      </c>
      <c r="B1409" s="1">
        <v>45777</v>
      </c>
      <c r="C1409">
        <v>245010</v>
      </c>
      <c r="D1409">
        <v>-9612.5429999999997</v>
      </c>
      <c r="E1409" t="s">
        <v>4</v>
      </c>
      <c r="F1409" t="s">
        <v>44</v>
      </c>
      <c r="G1409" t="s">
        <v>8</v>
      </c>
    </row>
    <row r="1410" spans="1:7" x14ac:dyDescent="0.3">
      <c r="A1410" t="s">
        <v>31</v>
      </c>
      <c r="B1410" s="1">
        <v>45777</v>
      </c>
      <c r="C1410">
        <v>245018</v>
      </c>
      <c r="D1410">
        <v>-11431.191000000001</v>
      </c>
      <c r="E1410" t="s">
        <v>4</v>
      </c>
      <c r="F1410" t="s">
        <v>43</v>
      </c>
      <c r="G1410" t="s">
        <v>8</v>
      </c>
    </row>
    <row r="1411" spans="1:7" x14ac:dyDescent="0.3">
      <c r="A1411" t="s">
        <v>31</v>
      </c>
      <c r="B1411" s="1">
        <v>45777</v>
      </c>
      <c r="C1411">
        <v>245049</v>
      </c>
      <c r="D1411">
        <v>-0.36499999999999999</v>
      </c>
      <c r="E1411" t="s">
        <v>4</v>
      </c>
      <c r="F1411" t="s">
        <v>43</v>
      </c>
      <c r="G1411" t="s">
        <v>8</v>
      </c>
    </row>
    <row r="1412" spans="1:7" x14ac:dyDescent="0.3">
      <c r="A1412" t="s">
        <v>31</v>
      </c>
      <c r="B1412" s="1">
        <v>45777</v>
      </c>
      <c r="C1412">
        <v>245055</v>
      </c>
      <c r="D1412">
        <v>-11139.18</v>
      </c>
      <c r="E1412" t="s">
        <v>4</v>
      </c>
      <c r="F1412" t="s">
        <v>43</v>
      </c>
      <c r="G1412" t="s">
        <v>8</v>
      </c>
    </row>
    <row r="1413" spans="1:7" x14ac:dyDescent="0.3">
      <c r="A1413" t="s">
        <v>31</v>
      </c>
      <c r="B1413" s="1">
        <v>45777</v>
      </c>
      <c r="C1413">
        <v>245056</v>
      </c>
      <c r="D1413">
        <v>-82.74</v>
      </c>
      <c r="E1413" t="s">
        <v>4</v>
      </c>
      <c r="F1413" t="s">
        <v>49</v>
      </c>
      <c r="G1413" t="s">
        <v>8</v>
      </c>
    </row>
    <row r="1414" spans="1:7" x14ac:dyDescent="0.3">
      <c r="A1414" t="s">
        <v>31</v>
      </c>
      <c r="B1414" s="1">
        <v>45777</v>
      </c>
      <c r="C1414">
        <v>245062</v>
      </c>
      <c r="D1414">
        <v>-2978.335</v>
      </c>
      <c r="E1414" t="s">
        <v>4</v>
      </c>
      <c r="F1414" t="s">
        <v>43</v>
      </c>
      <c r="G1414" t="s">
        <v>8</v>
      </c>
    </row>
    <row r="1415" spans="1:7" x14ac:dyDescent="0.3">
      <c r="A1415" t="s">
        <v>31</v>
      </c>
      <c r="B1415" s="1">
        <v>45777</v>
      </c>
      <c r="C1415">
        <v>250003</v>
      </c>
      <c r="D1415">
        <v>-954.12300000000005</v>
      </c>
      <c r="E1415" t="s">
        <v>4</v>
      </c>
      <c r="F1415" t="s">
        <v>45</v>
      </c>
      <c r="G1415" t="s">
        <v>8</v>
      </c>
    </row>
    <row r="1416" spans="1:7" x14ac:dyDescent="0.3">
      <c r="A1416" t="s">
        <v>31</v>
      </c>
      <c r="B1416" s="1">
        <v>45777</v>
      </c>
      <c r="C1416">
        <v>250007</v>
      </c>
      <c r="D1416">
        <v>7862.0159999999996</v>
      </c>
      <c r="E1416" t="s">
        <v>4</v>
      </c>
      <c r="F1416" t="s">
        <v>43</v>
      </c>
      <c r="G1416" t="s">
        <v>8</v>
      </c>
    </row>
    <row r="1417" spans="1:7" x14ac:dyDescent="0.3">
      <c r="A1417" t="s">
        <v>31</v>
      </c>
      <c r="B1417" s="1">
        <v>45777</v>
      </c>
      <c r="C1417">
        <v>251002</v>
      </c>
      <c r="D1417">
        <v>-110133.34299999999</v>
      </c>
      <c r="E1417" t="s">
        <v>4</v>
      </c>
      <c r="F1417" t="s">
        <v>45</v>
      </c>
      <c r="G1417" t="s">
        <v>8</v>
      </c>
    </row>
    <row r="1418" spans="1:7" x14ac:dyDescent="0.3">
      <c r="A1418" t="s">
        <v>31</v>
      </c>
      <c r="B1418" s="1">
        <v>45777</v>
      </c>
      <c r="C1418">
        <v>251005</v>
      </c>
      <c r="D1418">
        <v>3247.4679999999998</v>
      </c>
      <c r="E1418" t="s">
        <v>4</v>
      </c>
      <c r="F1418" t="s">
        <v>46</v>
      </c>
      <c r="G1418" t="s">
        <v>8</v>
      </c>
    </row>
    <row r="1419" spans="1:7" x14ac:dyDescent="0.3">
      <c r="A1419" t="s">
        <v>31</v>
      </c>
      <c r="B1419" s="1">
        <v>45777</v>
      </c>
      <c r="C1419">
        <v>257005</v>
      </c>
      <c r="D1419">
        <v>770.72299999999996</v>
      </c>
      <c r="E1419" t="s">
        <v>4</v>
      </c>
      <c r="F1419" t="s">
        <v>45</v>
      </c>
      <c r="G1419" t="s">
        <v>8</v>
      </c>
    </row>
    <row r="1420" spans="1:7" x14ac:dyDescent="0.3">
      <c r="A1420" t="s">
        <v>31</v>
      </c>
      <c r="B1420" s="1">
        <v>45777</v>
      </c>
      <c r="C1420">
        <v>257027</v>
      </c>
      <c r="D1420">
        <v>-28160.513999999999</v>
      </c>
      <c r="E1420" t="s">
        <v>4</v>
      </c>
      <c r="F1420" t="s">
        <v>45</v>
      </c>
      <c r="G1420" t="s">
        <v>8</v>
      </c>
    </row>
    <row r="1421" spans="1:7" x14ac:dyDescent="0.3">
      <c r="A1421" t="s">
        <v>31</v>
      </c>
      <c r="B1421" s="1">
        <v>45777</v>
      </c>
      <c r="C1421">
        <v>260004</v>
      </c>
      <c r="D1421">
        <v>-44147.071000000004</v>
      </c>
      <c r="E1421" t="s">
        <v>4</v>
      </c>
      <c r="F1421" t="s">
        <v>45</v>
      </c>
      <c r="G1421" t="s">
        <v>8</v>
      </c>
    </row>
    <row r="1422" spans="1:7" x14ac:dyDescent="0.3">
      <c r="A1422" t="s">
        <v>31</v>
      </c>
      <c r="B1422" s="1">
        <v>45777</v>
      </c>
      <c r="C1422">
        <v>300008</v>
      </c>
      <c r="D1422">
        <v>5448.0969999999998</v>
      </c>
      <c r="E1422" t="s">
        <v>4</v>
      </c>
      <c r="F1422" t="s">
        <v>65</v>
      </c>
      <c r="G1422" t="s">
        <v>8</v>
      </c>
    </row>
    <row r="1423" spans="1:7" x14ac:dyDescent="0.3">
      <c r="A1423" t="s">
        <v>31</v>
      </c>
      <c r="B1423" s="1">
        <v>45777</v>
      </c>
      <c r="C1423">
        <v>300011</v>
      </c>
      <c r="D1423">
        <v>36.036000000000001</v>
      </c>
      <c r="E1423" t="s">
        <v>4</v>
      </c>
      <c r="F1423" t="s">
        <v>65</v>
      </c>
      <c r="G1423" t="s">
        <v>8</v>
      </c>
    </row>
    <row r="1424" spans="1:7" x14ac:dyDescent="0.3">
      <c r="A1424" t="s">
        <v>31</v>
      </c>
      <c r="B1424" s="1">
        <v>45777</v>
      </c>
      <c r="C1424">
        <v>300012</v>
      </c>
      <c r="D1424">
        <v>1727.316</v>
      </c>
      <c r="E1424" t="s">
        <v>4</v>
      </c>
      <c r="F1424" t="s">
        <v>65</v>
      </c>
      <c r="G1424" t="s">
        <v>8</v>
      </c>
    </row>
    <row r="1425" spans="1:7" x14ac:dyDescent="0.3">
      <c r="A1425" t="s">
        <v>31</v>
      </c>
      <c r="B1425" s="1">
        <v>45777</v>
      </c>
      <c r="C1425">
        <v>300508</v>
      </c>
      <c r="D1425">
        <v>-3280.4169999999999</v>
      </c>
      <c r="E1425" t="s">
        <v>4</v>
      </c>
      <c r="F1425" t="s">
        <v>65</v>
      </c>
      <c r="G1425" t="s">
        <v>8</v>
      </c>
    </row>
    <row r="1426" spans="1:7" x14ac:dyDescent="0.3">
      <c r="A1426" t="s">
        <v>31</v>
      </c>
      <c r="B1426" s="1">
        <v>45777</v>
      </c>
      <c r="C1426">
        <v>300511</v>
      </c>
      <c r="D1426">
        <v>-36.036000000000001</v>
      </c>
      <c r="E1426" t="s">
        <v>4</v>
      </c>
      <c r="F1426" t="s">
        <v>65</v>
      </c>
      <c r="G1426" t="s">
        <v>8</v>
      </c>
    </row>
    <row r="1427" spans="1:7" x14ac:dyDescent="0.3">
      <c r="A1427" t="s">
        <v>31</v>
      </c>
      <c r="B1427" s="1">
        <v>45777</v>
      </c>
      <c r="C1427">
        <v>300512</v>
      </c>
      <c r="D1427">
        <v>-1727.316</v>
      </c>
      <c r="E1427" t="s">
        <v>4</v>
      </c>
      <c r="F1427" t="s">
        <v>65</v>
      </c>
      <c r="G1427" t="s">
        <v>8</v>
      </c>
    </row>
    <row r="1428" spans="1:7" x14ac:dyDescent="0.3">
      <c r="A1428" t="s">
        <v>31</v>
      </c>
      <c r="B1428" s="1">
        <v>45777</v>
      </c>
      <c r="C1428">
        <v>303003</v>
      </c>
      <c r="D1428">
        <v>145.92599999999999</v>
      </c>
      <c r="E1428" t="s">
        <v>4</v>
      </c>
      <c r="F1428" t="s">
        <v>65</v>
      </c>
      <c r="G1428" t="s">
        <v>8</v>
      </c>
    </row>
    <row r="1429" spans="1:7" x14ac:dyDescent="0.3">
      <c r="A1429" t="s">
        <v>31</v>
      </c>
      <c r="B1429" s="1">
        <v>45777</v>
      </c>
      <c r="C1429">
        <v>320002</v>
      </c>
      <c r="D1429">
        <v>8520.7420000000002</v>
      </c>
      <c r="E1429" t="s">
        <v>4</v>
      </c>
      <c r="F1429" t="s">
        <v>46</v>
      </c>
      <c r="G1429" t="s">
        <v>8</v>
      </c>
    </row>
    <row r="1430" spans="1:7" x14ac:dyDescent="0.3">
      <c r="A1430" t="s">
        <v>31</v>
      </c>
      <c r="B1430" s="1">
        <v>45777</v>
      </c>
      <c r="C1430">
        <v>320003</v>
      </c>
      <c r="D1430">
        <v>187170.75099999999</v>
      </c>
      <c r="E1430" t="s">
        <v>4</v>
      </c>
      <c r="F1430" t="s">
        <v>46</v>
      </c>
      <c r="G1430" t="s">
        <v>8</v>
      </c>
    </row>
    <row r="1431" spans="1:7" x14ac:dyDescent="0.3">
      <c r="A1431" t="s">
        <v>31</v>
      </c>
      <c r="B1431" s="1">
        <v>45777</v>
      </c>
      <c r="C1431">
        <v>320004</v>
      </c>
      <c r="D1431">
        <v>6304.5720000000001</v>
      </c>
      <c r="E1431" t="s">
        <v>4</v>
      </c>
      <c r="F1431" t="s">
        <v>46</v>
      </c>
      <c r="G1431" t="s">
        <v>8</v>
      </c>
    </row>
    <row r="1432" spans="1:7" x14ac:dyDescent="0.3">
      <c r="A1432" t="s">
        <v>31</v>
      </c>
      <c r="B1432" s="1">
        <v>45777</v>
      </c>
      <c r="C1432">
        <v>320023</v>
      </c>
      <c r="D1432">
        <v>-1411.0319999999999</v>
      </c>
      <c r="E1432" t="s">
        <v>4</v>
      </c>
      <c r="F1432" t="s">
        <v>46</v>
      </c>
      <c r="G1432" t="s">
        <v>8</v>
      </c>
    </row>
    <row r="1433" spans="1:7" x14ac:dyDescent="0.3">
      <c r="A1433" t="s">
        <v>31</v>
      </c>
      <c r="B1433" s="1">
        <v>45777</v>
      </c>
      <c r="C1433">
        <v>321002</v>
      </c>
      <c r="D1433">
        <v>16921.136999999999</v>
      </c>
      <c r="E1433" t="s">
        <v>4</v>
      </c>
      <c r="F1433" t="s">
        <v>46</v>
      </c>
      <c r="G1433" t="s">
        <v>8</v>
      </c>
    </row>
    <row r="1434" spans="1:7" x14ac:dyDescent="0.3">
      <c r="A1434" t="s">
        <v>31</v>
      </c>
      <c r="B1434" s="1">
        <v>45777</v>
      </c>
      <c r="C1434">
        <v>321004</v>
      </c>
      <c r="D1434">
        <v>1774.568</v>
      </c>
      <c r="E1434" t="s">
        <v>4</v>
      </c>
      <c r="F1434" t="s">
        <v>46</v>
      </c>
      <c r="G1434" t="s">
        <v>8</v>
      </c>
    </row>
    <row r="1435" spans="1:7" x14ac:dyDescent="0.3">
      <c r="A1435" t="s">
        <v>31</v>
      </c>
      <c r="B1435" s="1">
        <v>45777</v>
      </c>
      <c r="C1435">
        <v>321025</v>
      </c>
      <c r="D1435">
        <v>60281.417999999998</v>
      </c>
      <c r="E1435" t="s">
        <v>4</v>
      </c>
      <c r="F1435" t="s">
        <v>46</v>
      </c>
      <c r="G1435" t="s">
        <v>8</v>
      </c>
    </row>
    <row r="1436" spans="1:7" x14ac:dyDescent="0.3">
      <c r="A1436" t="s">
        <v>31</v>
      </c>
      <c r="B1436" s="1">
        <v>45777</v>
      </c>
      <c r="C1436">
        <v>321028</v>
      </c>
      <c r="D1436">
        <v>1077.8530000000001</v>
      </c>
      <c r="E1436" t="s">
        <v>4</v>
      </c>
      <c r="F1436" t="s">
        <v>46</v>
      </c>
      <c r="G1436" t="s">
        <v>8</v>
      </c>
    </row>
    <row r="1437" spans="1:7" x14ac:dyDescent="0.3">
      <c r="A1437" t="s">
        <v>31</v>
      </c>
      <c r="B1437" s="1">
        <v>45777</v>
      </c>
      <c r="C1437">
        <v>321029</v>
      </c>
      <c r="D1437">
        <v>20711.05</v>
      </c>
      <c r="E1437" t="s">
        <v>4</v>
      </c>
      <c r="F1437" t="s">
        <v>46</v>
      </c>
      <c r="G1437" t="s">
        <v>8</v>
      </c>
    </row>
    <row r="1438" spans="1:7" x14ac:dyDescent="0.3">
      <c r="A1438" t="s">
        <v>31</v>
      </c>
      <c r="B1438" s="1">
        <v>45777</v>
      </c>
      <c r="C1438">
        <v>321030</v>
      </c>
      <c r="D1438">
        <v>272.02</v>
      </c>
      <c r="E1438" t="s">
        <v>4</v>
      </c>
      <c r="F1438" t="s">
        <v>46</v>
      </c>
      <c r="G1438" t="s">
        <v>8</v>
      </c>
    </row>
    <row r="1439" spans="1:7" x14ac:dyDescent="0.3">
      <c r="A1439" t="s">
        <v>31</v>
      </c>
      <c r="B1439" s="1">
        <v>45777</v>
      </c>
      <c r="C1439">
        <v>321042</v>
      </c>
      <c r="D1439">
        <v>-21.927</v>
      </c>
      <c r="E1439" t="s">
        <v>4</v>
      </c>
      <c r="F1439" t="s">
        <v>46</v>
      </c>
      <c r="G1439" t="s">
        <v>8</v>
      </c>
    </row>
    <row r="1440" spans="1:7" x14ac:dyDescent="0.3">
      <c r="A1440" t="s">
        <v>31</v>
      </c>
      <c r="B1440" s="1">
        <v>45777</v>
      </c>
      <c r="C1440">
        <v>330116</v>
      </c>
      <c r="D1440">
        <v>-212.636</v>
      </c>
      <c r="E1440" t="s">
        <v>4</v>
      </c>
      <c r="F1440" t="s">
        <v>43</v>
      </c>
      <c r="G1440" t="s">
        <v>8</v>
      </c>
    </row>
    <row r="1441" spans="1:7" x14ac:dyDescent="0.3">
      <c r="A1441" t="s">
        <v>31</v>
      </c>
      <c r="B1441" s="1">
        <v>45777</v>
      </c>
      <c r="C1441">
        <v>330121</v>
      </c>
      <c r="D1441">
        <v>26056.61</v>
      </c>
      <c r="E1441" t="s">
        <v>4</v>
      </c>
      <c r="F1441" t="s">
        <v>43</v>
      </c>
      <c r="G1441" t="s">
        <v>8</v>
      </c>
    </row>
    <row r="1442" spans="1:7" x14ac:dyDescent="0.3">
      <c r="A1442" t="s">
        <v>31</v>
      </c>
      <c r="B1442" s="1">
        <v>45777</v>
      </c>
      <c r="C1442">
        <v>330124</v>
      </c>
      <c r="D1442">
        <v>2107.0129999999999</v>
      </c>
      <c r="E1442" t="s">
        <v>4</v>
      </c>
      <c r="F1442" t="s">
        <v>43</v>
      </c>
      <c r="G1442" t="s">
        <v>8</v>
      </c>
    </row>
    <row r="1443" spans="1:7" x14ac:dyDescent="0.3">
      <c r="A1443" t="s">
        <v>31</v>
      </c>
      <c r="B1443" s="1">
        <v>45777</v>
      </c>
      <c r="C1443">
        <v>330126</v>
      </c>
      <c r="D1443">
        <v>-851.87699999999995</v>
      </c>
      <c r="E1443" t="s">
        <v>4</v>
      </c>
      <c r="F1443" t="s">
        <v>43</v>
      </c>
      <c r="G1443" t="s">
        <v>8</v>
      </c>
    </row>
    <row r="1444" spans="1:7" x14ac:dyDescent="0.3">
      <c r="A1444" t="s">
        <v>31</v>
      </c>
      <c r="B1444" s="1">
        <v>45777</v>
      </c>
      <c r="C1444">
        <v>340210</v>
      </c>
      <c r="D1444">
        <v>165508.992</v>
      </c>
      <c r="E1444" t="s">
        <v>4</v>
      </c>
      <c r="F1444" t="s">
        <v>47</v>
      </c>
      <c r="G1444" t="s">
        <v>8</v>
      </c>
    </row>
    <row r="1445" spans="1:7" x14ac:dyDescent="0.3">
      <c r="A1445" t="s">
        <v>31</v>
      </c>
      <c r="B1445" s="1">
        <v>45777</v>
      </c>
      <c r="C1445">
        <v>340211</v>
      </c>
      <c r="D1445">
        <v>634558.40899999999</v>
      </c>
      <c r="E1445" t="s">
        <v>4</v>
      </c>
      <c r="F1445" t="s">
        <v>47</v>
      </c>
      <c r="G1445" t="s">
        <v>8</v>
      </c>
    </row>
    <row r="1446" spans="1:7" x14ac:dyDescent="0.3">
      <c r="A1446" t="s">
        <v>31</v>
      </c>
      <c r="B1446" s="1">
        <v>45777</v>
      </c>
      <c r="C1446">
        <v>340212</v>
      </c>
      <c r="D1446">
        <v>-800067.40099999995</v>
      </c>
      <c r="E1446" t="s">
        <v>4</v>
      </c>
      <c r="F1446" t="s">
        <v>47</v>
      </c>
      <c r="G1446" t="s">
        <v>8</v>
      </c>
    </row>
    <row r="1447" spans="1:7" x14ac:dyDescent="0.3">
      <c r="A1447" t="s">
        <v>31</v>
      </c>
      <c r="B1447" s="1">
        <v>45777</v>
      </c>
      <c r="C1447">
        <v>340213</v>
      </c>
      <c r="D1447">
        <v>-55.152000000000001</v>
      </c>
      <c r="E1447" t="s">
        <v>4</v>
      </c>
      <c r="F1447" t="s">
        <v>47</v>
      </c>
      <c r="G1447" t="s">
        <v>8</v>
      </c>
    </row>
    <row r="1448" spans="1:7" x14ac:dyDescent="0.3">
      <c r="A1448" t="s">
        <v>31</v>
      </c>
      <c r="B1448" s="1">
        <v>45777</v>
      </c>
      <c r="C1448">
        <v>340214</v>
      </c>
      <c r="D1448">
        <v>57.427999999999997</v>
      </c>
      <c r="E1448" t="s">
        <v>4</v>
      </c>
      <c r="F1448" t="s">
        <v>47</v>
      </c>
      <c r="G1448" t="s">
        <v>8</v>
      </c>
    </row>
    <row r="1449" spans="1:7" x14ac:dyDescent="0.3">
      <c r="A1449" t="s">
        <v>31</v>
      </c>
      <c r="B1449" s="1">
        <v>45777</v>
      </c>
      <c r="C1449">
        <v>340215</v>
      </c>
      <c r="D1449">
        <v>-2.2770000000000001</v>
      </c>
      <c r="E1449" t="s">
        <v>4</v>
      </c>
      <c r="F1449" t="s">
        <v>47</v>
      </c>
      <c r="G1449" t="s">
        <v>8</v>
      </c>
    </row>
    <row r="1450" spans="1:7" x14ac:dyDescent="0.3">
      <c r="A1450" t="s">
        <v>31</v>
      </c>
      <c r="B1450" s="1">
        <v>45777</v>
      </c>
      <c r="C1450">
        <v>340216</v>
      </c>
      <c r="D1450">
        <v>17516.456999999999</v>
      </c>
      <c r="E1450" t="s">
        <v>4</v>
      </c>
      <c r="F1450" t="s">
        <v>47</v>
      </c>
      <c r="G1450" t="s">
        <v>8</v>
      </c>
    </row>
    <row r="1451" spans="1:7" x14ac:dyDescent="0.3">
      <c r="A1451" t="s">
        <v>31</v>
      </c>
      <c r="B1451" s="1">
        <v>45777</v>
      </c>
      <c r="C1451">
        <v>340218</v>
      </c>
      <c r="D1451">
        <v>-17113.870999999999</v>
      </c>
      <c r="E1451" t="s">
        <v>4</v>
      </c>
      <c r="F1451" t="s">
        <v>47</v>
      </c>
      <c r="G1451" t="s">
        <v>8</v>
      </c>
    </row>
    <row r="1452" spans="1:7" x14ac:dyDescent="0.3">
      <c r="A1452" t="s">
        <v>31</v>
      </c>
      <c r="B1452" s="1">
        <v>45777</v>
      </c>
      <c r="C1452">
        <v>340219</v>
      </c>
      <c r="D1452">
        <v>36910.019999999997</v>
      </c>
      <c r="E1452" t="s">
        <v>4</v>
      </c>
      <c r="F1452" t="s">
        <v>47</v>
      </c>
      <c r="G1452" t="s">
        <v>8</v>
      </c>
    </row>
    <row r="1453" spans="1:7" x14ac:dyDescent="0.3">
      <c r="A1453" t="s">
        <v>31</v>
      </c>
      <c r="B1453" s="1">
        <v>45777</v>
      </c>
      <c r="C1453">
        <v>340220</v>
      </c>
      <c r="D1453">
        <v>1402523.686</v>
      </c>
      <c r="E1453" t="s">
        <v>4</v>
      </c>
      <c r="F1453" t="s">
        <v>47</v>
      </c>
      <c r="G1453" t="s">
        <v>8</v>
      </c>
    </row>
    <row r="1454" spans="1:7" x14ac:dyDescent="0.3">
      <c r="A1454" t="s">
        <v>31</v>
      </c>
      <c r="B1454" s="1">
        <v>45777</v>
      </c>
      <c r="C1454">
        <v>340221</v>
      </c>
      <c r="D1454">
        <v>-1354805.1710000001</v>
      </c>
      <c r="E1454" t="s">
        <v>4</v>
      </c>
      <c r="F1454" t="s">
        <v>47</v>
      </c>
      <c r="G1454" t="s">
        <v>8</v>
      </c>
    </row>
    <row r="1455" spans="1:7" x14ac:dyDescent="0.3">
      <c r="A1455" t="s">
        <v>31</v>
      </c>
      <c r="B1455" s="1">
        <v>45777</v>
      </c>
      <c r="C1455">
        <v>340222</v>
      </c>
      <c r="D1455">
        <v>610.34199999999998</v>
      </c>
      <c r="E1455" t="s">
        <v>4</v>
      </c>
      <c r="F1455" t="s">
        <v>47</v>
      </c>
      <c r="G1455" t="s">
        <v>8</v>
      </c>
    </row>
    <row r="1456" spans="1:7" x14ac:dyDescent="0.3">
      <c r="A1456" t="s">
        <v>31</v>
      </c>
      <c r="B1456" s="1">
        <v>45777</v>
      </c>
      <c r="C1456">
        <v>340223</v>
      </c>
      <c r="D1456">
        <v>962105.63199999998</v>
      </c>
      <c r="E1456" t="s">
        <v>4</v>
      </c>
      <c r="F1456" t="s">
        <v>47</v>
      </c>
      <c r="G1456" t="s">
        <v>8</v>
      </c>
    </row>
    <row r="1457" spans="1:7" x14ac:dyDescent="0.3">
      <c r="A1457" t="s">
        <v>31</v>
      </c>
      <c r="B1457" s="1">
        <v>45777</v>
      </c>
      <c r="C1457">
        <v>340224</v>
      </c>
      <c r="D1457">
        <v>-962105.63199999998</v>
      </c>
      <c r="E1457" t="s">
        <v>4</v>
      </c>
      <c r="F1457" t="s">
        <v>47</v>
      </c>
      <c r="G1457" t="s">
        <v>8</v>
      </c>
    </row>
    <row r="1458" spans="1:7" x14ac:dyDescent="0.3">
      <c r="A1458" t="s">
        <v>31</v>
      </c>
      <c r="B1458" s="1">
        <v>45777</v>
      </c>
      <c r="C1458">
        <v>340225</v>
      </c>
      <c r="D1458">
        <v>640.69000000000005</v>
      </c>
      <c r="E1458" t="s">
        <v>4</v>
      </c>
      <c r="F1458" t="s">
        <v>47</v>
      </c>
      <c r="G1458" t="s">
        <v>8</v>
      </c>
    </row>
    <row r="1459" spans="1:7" x14ac:dyDescent="0.3">
      <c r="A1459" t="s">
        <v>31</v>
      </c>
      <c r="B1459" s="1">
        <v>45777</v>
      </c>
      <c r="C1459">
        <v>340226</v>
      </c>
      <c r="D1459">
        <v>427143.93400000001</v>
      </c>
      <c r="E1459" t="s">
        <v>4</v>
      </c>
      <c r="F1459" t="s">
        <v>47</v>
      </c>
      <c r="G1459" t="s">
        <v>8</v>
      </c>
    </row>
    <row r="1460" spans="1:7" x14ac:dyDescent="0.3">
      <c r="A1460" t="s">
        <v>31</v>
      </c>
      <c r="B1460" s="1">
        <v>45777</v>
      </c>
      <c r="C1460">
        <v>340227</v>
      </c>
      <c r="D1460">
        <v>-427143.93400000001</v>
      </c>
      <c r="E1460" t="s">
        <v>4</v>
      </c>
      <c r="F1460" t="s">
        <v>47</v>
      </c>
      <c r="G1460" t="s">
        <v>8</v>
      </c>
    </row>
    <row r="1461" spans="1:7" x14ac:dyDescent="0.3">
      <c r="A1461" t="s">
        <v>31</v>
      </c>
      <c r="B1461" s="1">
        <v>45777</v>
      </c>
      <c r="C1461">
        <v>340228</v>
      </c>
      <c r="D1461">
        <v>104981.126</v>
      </c>
      <c r="E1461" t="s">
        <v>4</v>
      </c>
      <c r="F1461" t="s">
        <v>47</v>
      </c>
      <c r="G1461" t="s">
        <v>8</v>
      </c>
    </row>
    <row r="1462" spans="1:7" x14ac:dyDescent="0.3">
      <c r="A1462" t="s">
        <v>31</v>
      </c>
      <c r="B1462" s="1">
        <v>45777</v>
      </c>
      <c r="C1462">
        <v>340229</v>
      </c>
      <c r="D1462">
        <v>614163.39099999995</v>
      </c>
      <c r="E1462" t="s">
        <v>4</v>
      </c>
      <c r="F1462" t="s">
        <v>47</v>
      </c>
      <c r="G1462" t="s">
        <v>8</v>
      </c>
    </row>
    <row r="1463" spans="1:7" x14ac:dyDescent="0.3">
      <c r="A1463" t="s">
        <v>31</v>
      </c>
      <c r="B1463" s="1">
        <v>45777</v>
      </c>
      <c r="C1463">
        <v>340230</v>
      </c>
      <c r="D1463">
        <v>-641918.27300000004</v>
      </c>
      <c r="E1463" t="s">
        <v>4</v>
      </c>
      <c r="F1463" t="s">
        <v>47</v>
      </c>
      <c r="G1463" t="s">
        <v>8</v>
      </c>
    </row>
    <row r="1464" spans="1:7" x14ac:dyDescent="0.3">
      <c r="A1464" t="s">
        <v>31</v>
      </c>
      <c r="B1464" s="1">
        <v>45777</v>
      </c>
      <c r="C1464">
        <v>340231</v>
      </c>
      <c r="D1464">
        <v>93548.288</v>
      </c>
      <c r="E1464" t="s">
        <v>4</v>
      </c>
      <c r="F1464" t="s">
        <v>47</v>
      </c>
      <c r="G1464" t="s">
        <v>8</v>
      </c>
    </row>
    <row r="1465" spans="1:7" x14ac:dyDescent="0.3">
      <c r="A1465" t="s">
        <v>31</v>
      </c>
      <c r="B1465" s="1">
        <v>45777</v>
      </c>
      <c r="C1465">
        <v>340232</v>
      </c>
      <c r="D1465">
        <v>393981.21799999999</v>
      </c>
      <c r="E1465" t="s">
        <v>4</v>
      </c>
      <c r="F1465" t="s">
        <v>47</v>
      </c>
      <c r="G1465" t="s">
        <v>8</v>
      </c>
    </row>
    <row r="1466" spans="1:7" x14ac:dyDescent="0.3">
      <c r="A1466" t="s">
        <v>31</v>
      </c>
      <c r="B1466" s="1">
        <v>45777</v>
      </c>
      <c r="C1466">
        <v>340233</v>
      </c>
      <c r="D1466">
        <v>-429694.60399999999</v>
      </c>
      <c r="E1466" t="s">
        <v>4</v>
      </c>
      <c r="F1466" t="s">
        <v>47</v>
      </c>
      <c r="G1466" t="s">
        <v>8</v>
      </c>
    </row>
    <row r="1467" spans="1:7" x14ac:dyDescent="0.3">
      <c r="A1467" t="s">
        <v>31</v>
      </c>
      <c r="B1467" s="1">
        <v>45777</v>
      </c>
      <c r="C1467">
        <v>350003</v>
      </c>
      <c r="D1467">
        <v>1305.5319999999999</v>
      </c>
      <c r="E1467" t="s">
        <v>4</v>
      </c>
      <c r="F1467" t="s">
        <v>49</v>
      </c>
      <c r="G1467" t="s">
        <v>8</v>
      </c>
    </row>
    <row r="1468" spans="1:7" x14ac:dyDescent="0.3">
      <c r="A1468" t="s">
        <v>31</v>
      </c>
      <c r="B1468" s="1">
        <v>45777</v>
      </c>
      <c r="C1468">
        <v>350031</v>
      </c>
      <c r="D1468">
        <v>1060.9280000000001</v>
      </c>
      <c r="E1468" t="s">
        <v>4</v>
      </c>
      <c r="F1468" t="s">
        <v>43</v>
      </c>
      <c r="G1468" t="s">
        <v>8</v>
      </c>
    </row>
    <row r="1469" spans="1:7" x14ac:dyDescent="0.3">
      <c r="A1469" t="s">
        <v>31</v>
      </c>
      <c r="B1469" s="1">
        <v>45777</v>
      </c>
      <c r="C1469">
        <v>350034</v>
      </c>
      <c r="D1469">
        <v>82.74</v>
      </c>
      <c r="E1469" t="s">
        <v>4</v>
      </c>
      <c r="F1469" t="s">
        <v>49</v>
      </c>
      <c r="G1469" t="s">
        <v>8</v>
      </c>
    </row>
    <row r="1470" spans="1:7" x14ac:dyDescent="0.3">
      <c r="A1470" t="s">
        <v>31</v>
      </c>
      <c r="B1470" s="1">
        <v>45777</v>
      </c>
      <c r="C1470">
        <v>354012</v>
      </c>
      <c r="D1470">
        <v>14510.55</v>
      </c>
      <c r="E1470" t="s">
        <v>4</v>
      </c>
      <c r="F1470" t="s">
        <v>46</v>
      </c>
      <c r="G1470" t="s">
        <v>8</v>
      </c>
    </row>
    <row r="1471" spans="1:7" x14ac:dyDescent="0.3">
      <c r="A1471" t="s">
        <v>31</v>
      </c>
      <c r="B1471" s="1">
        <v>45777</v>
      </c>
      <c r="C1471">
        <v>354014</v>
      </c>
      <c r="D1471">
        <v>44152.605000000003</v>
      </c>
      <c r="E1471" t="s">
        <v>4</v>
      </c>
      <c r="F1471" t="s">
        <v>46</v>
      </c>
      <c r="G1471" t="s">
        <v>8</v>
      </c>
    </row>
    <row r="1472" spans="1:7" x14ac:dyDescent="0.3">
      <c r="A1472" t="s">
        <v>31</v>
      </c>
      <c r="B1472" s="1">
        <v>45777</v>
      </c>
      <c r="C1472">
        <v>354015</v>
      </c>
      <c r="D1472">
        <v>23623.214</v>
      </c>
      <c r="E1472" t="s">
        <v>4</v>
      </c>
      <c r="F1472" t="s">
        <v>46</v>
      </c>
      <c r="G1472" t="s">
        <v>8</v>
      </c>
    </row>
    <row r="1473" spans="1:7" x14ac:dyDescent="0.3">
      <c r="A1473" t="s">
        <v>31</v>
      </c>
      <c r="B1473" s="1">
        <v>45777</v>
      </c>
      <c r="C1473">
        <v>355002</v>
      </c>
      <c r="D1473">
        <v>1097.98</v>
      </c>
      <c r="E1473" t="s">
        <v>4</v>
      </c>
      <c r="F1473" t="s">
        <v>49</v>
      </c>
      <c r="G1473" t="s">
        <v>8</v>
      </c>
    </row>
    <row r="1474" spans="1:7" x14ac:dyDescent="0.3">
      <c r="A1474" t="s">
        <v>31</v>
      </c>
      <c r="B1474" s="1">
        <v>45777</v>
      </c>
      <c r="C1474">
        <v>355013</v>
      </c>
      <c r="D1474">
        <v>1818.33</v>
      </c>
      <c r="E1474" t="s">
        <v>4</v>
      </c>
      <c r="F1474" t="s">
        <v>49</v>
      </c>
      <c r="G1474" t="s">
        <v>8</v>
      </c>
    </row>
    <row r="1475" spans="1:7" x14ac:dyDescent="0.3">
      <c r="A1475" t="s">
        <v>31</v>
      </c>
      <c r="B1475" s="1">
        <v>45777</v>
      </c>
      <c r="C1475">
        <v>355014</v>
      </c>
      <c r="D1475">
        <v>505.67500000000001</v>
      </c>
      <c r="E1475" t="s">
        <v>4</v>
      </c>
      <c r="F1475" t="s">
        <v>49</v>
      </c>
      <c r="G1475" t="s">
        <v>8</v>
      </c>
    </row>
    <row r="1476" spans="1:7" x14ac:dyDescent="0.3">
      <c r="A1476" t="s">
        <v>31</v>
      </c>
      <c r="B1476" s="1">
        <v>45777</v>
      </c>
      <c r="C1476">
        <v>360022</v>
      </c>
      <c r="D1476">
        <v>4111.2550000000001</v>
      </c>
      <c r="E1476" t="s">
        <v>4</v>
      </c>
      <c r="F1476" t="s">
        <v>58</v>
      </c>
      <c r="G1476" t="s">
        <v>8</v>
      </c>
    </row>
    <row r="1477" spans="1:7" x14ac:dyDescent="0.3">
      <c r="A1477" t="s">
        <v>31</v>
      </c>
      <c r="B1477" s="1">
        <v>45777</v>
      </c>
      <c r="C1477">
        <v>372004</v>
      </c>
      <c r="D1477">
        <v>3394.2620000000002</v>
      </c>
      <c r="E1477" t="s">
        <v>4</v>
      </c>
      <c r="F1477" t="s">
        <v>45</v>
      </c>
      <c r="G1477" t="s">
        <v>8</v>
      </c>
    </row>
    <row r="1478" spans="1:7" x14ac:dyDescent="0.3">
      <c r="A1478" t="s">
        <v>31</v>
      </c>
      <c r="B1478" s="1">
        <v>45777</v>
      </c>
      <c r="C1478">
        <v>400002</v>
      </c>
      <c r="D1478">
        <v>-5537.4870000000001</v>
      </c>
      <c r="E1478" t="s">
        <v>6</v>
      </c>
      <c r="F1478" t="s">
        <v>50</v>
      </c>
      <c r="G1478" t="s">
        <v>8</v>
      </c>
    </row>
    <row r="1479" spans="1:7" x14ac:dyDescent="0.3">
      <c r="A1479" t="s">
        <v>31</v>
      </c>
      <c r="B1479" s="1">
        <v>45777</v>
      </c>
      <c r="C1479">
        <v>400004</v>
      </c>
      <c r="D1479">
        <v>-14004.576999999999</v>
      </c>
      <c r="E1479" t="s">
        <v>6</v>
      </c>
      <c r="F1479" t="s">
        <v>50</v>
      </c>
      <c r="G1479" t="s">
        <v>8</v>
      </c>
    </row>
    <row r="1480" spans="1:7" x14ac:dyDescent="0.3">
      <c r="A1480" t="s">
        <v>31</v>
      </c>
      <c r="B1480" s="1">
        <v>45777</v>
      </c>
      <c r="C1480">
        <v>410002</v>
      </c>
      <c r="D1480">
        <v>-5170.7340000000004</v>
      </c>
      <c r="E1480" t="s">
        <v>6</v>
      </c>
      <c r="F1480" t="s">
        <v>51</v>
      </c>
      <c r="G1480" t="s">
        <v>8</v>
      </c>
    </row>
    <row r="1481" spans="1:7" x14ac:dyDescent="0.3">
      <c r="A1481" t="s">
        <v>31</v>
      </c>
      <c r="B1481" s="1">
        <v>45777</v>
      </c>
      <c r="C1481">
        <v>410036</v>
      </c>
      <c r="D1481">
        <v>-244.67400000000001</v>
      </c>
      <c r="E1481" t="s">
        <v>6</v>
      </c>
      <c r="F1481" t="s">
        <v>51</v>
      </c>
      <c r="G1481" t="s">
        <v>8</v>
      </c>
    </row>
    <row r="1482" spans="1:7" x14ac:dyDescent="0.3">
      <c r="A1482" t="s">
        <v>31</v>
      </c>
      <c r="B1482" s="1">
        <v>45777</v>
      </c>
      <c r="C1482">
        <v>410037</v>
      </c>
      <c r="D1482">
        <v>-4824.5749999999998</v>
      </c>
      <c r="E1482" t="s">
        <v>6</v>
      </c>
      <c r="F1482" t="s">
        <v>51</v>
      </c>
      <c r="G1482" t="s">
        <v>8</v>
      </c>
    </row>
    <row r="1483" spans="1:7" x14ac:dyDescent="0.3">
      <c r="A1483" t="s">
        <v>31</v>
      </c>
      <c r="B1483" s="1">
        <v>45777</v>
      </c>
      <c r="C1483">
        <v>410040</v>
      </c>
      <c r="D1483">
        <v>2.5470000000000002</v>
      </c>
      <c r="E1483" t="s">
        <v>6</v>
      </c>
      <c r="F1483" t="s">
        <v>51</v>
      </c>
      <c r="G1483" t="s">
        <v>8</v>
      </c>
    </row>
    <row r="1484" spans="1:7" x14ac:dyDescent="0.3">
      <c r="A1484" t="s">
        <v>31</v>
      </c>
      <c r="B1484" s="1">
        <v>45777</v>
      </c>
      <c r="C1484">
        <v>415002</v>
      </c>
      <c r="D1484">
        <v>-8861.4760000000006</v>
      </c>
      <c r="E1484" t="s">
        <v>6</v>
      </c>
      <c r="F1484" t="s">
        <v>50</v>
      </c>
      <c r="G1484" t="s">
        <v>8</v>
      </c>
    </row>
    <row r="1485" spans="1:7" x14ac:dyDescent="0.3">
      <c r="A1485" t="s">
        <v>31</v>
      </c>
      <c r="B1485" s="1">
        <v>45777</v>
      </c>
      <c r="C1485">
        <v>415004</v>
      </c>
      <c r="D1485">
        <v>-40254.707999999999</v>
      </c>
      <c r="E1485" t="s">
        <v>6</v>
      </c>
      <c r="F1485" t="s">
        <v>50</v>
      </c>
      <c r="G1485" t="s">
        <v>8</v>
      </c>
    </row>
    <row r="1486" spans="1:7" x14ac:dyDescent="0.3">
      <c r="A1486" t="s">
        <v>31</v>
      </c>
      <c r="B1486" s="1">
        <v>45777</v>
      </c>
      <c r="C1486">
        <v>421002</v>
      </c>
      <c r="D1486">
        <v>-88.873000000000005</v>
      </c>
      <c r="E1486" t="s">
        <v>6</v>
      </c>
      <c r="F1486" t="s">
        <v>52</v>
      </c>
      <c r="G1486" t="s">
        <v>8</v>
      </c>
    </row>
    <row r="1487" spans="1:7" x14ac:dyDescent="0.3">
      <c r="A1487" t="s">
        <v>31</v>
      </c>
      <c r="B1487" s="1">
        <v>45777</v>
      </c>
      <c r="C1487">
        <v>421003</v>
      </c>
      <c r="D1487">
        <v>6606.4750000000004</v>
      </c>
      <c r="E1487" t="s">
        <v>6</v>
      </c>
      <c r="F1487" t="s">
        <v>52</v>
      </c>
      <c r="G1487" t="s">
        <v>8</v>
      </c>
    </row>
    <row r="1488" spans="1:7" x14ac:dyDescent="0.3">
      <c r="A1488" t="s">
        <v>31</v>
      </c>
      <c r="B1488" s="1">
        <v>45777</v>
      </c>
      <c r="C1488">
        <v>421004</v>
      </c>
      <c r="D1488">
        <v>-1933.856</v>
      </c>
      <c r="E1488" t="s">
        <v>6</v>
      </c>
      <c r="F1488" t="s">
        <v>52</v>
      </c>
      <c r="G1488" t="s">
        <v>8</v>
      </c>
    </row>
    <row r="1489" spans="1:7" x14ac:dyDescent="0.3">
      <c r="A1489" t="s">
        <v>31</v>
      </c>
      <c r="B1489" s="1">
        <v>45777</v>
      </c>
      <c r="C1489">
        <v>421007</v>
      </c>
      <c r="D1489">
        <v>-4869.2550000000001</v>
      </c>
      <c r="E1489" t="s">
        <v>6</v>
      </c>
      <c r="F1489" t="s">
        <v>52</v>
      </c>
      <c r="G1489" t="s">
        <v>8</v>
      </c>
    </row>
    <row r="1490" spans="1:7" x14ac:dyDescent="0.3">
      <c r="A1490" t="s">
        <v>31</v>
      </c>
      <c r="B1490" s="1">
        <v>45777</v>
      </c>
      <c r="C1490">
        <v>510002</v>
      </c>
      <c r="D1490">
        <v>29156.749</v>
      </c>
      <c r="E1490" t="s">
        <v>6</v>
      </c>
      <c r="F1490" t="s">
        <v>53</v>
      </c>
      <c r="G1490" t="s">
        <v>8</v>
      </c>
    </row>
    <row r="1491" spans="1:7" x14ac:dyDescent="0.3">
      <c r="A1491" t="s">
        <v>31</v>
      </c>
      <c r="B1491" s="1">
        <v>45777</v>
      </c>
      <c r="C1491">
        <v>510005</v>
      </c>
      <c r="D1491">
        <v>-4046.2779999999998</v>
      </c>
      <c r="E1491" t="s">
        <v>6</v>
      </c>
      <c r="F1491" t="s">
        <v>53</v>
      </c>
      <c r="G1491" t="s">
        <v>8</v>
      </c>
    </row>
    <row r="1492" spans="1:7" x14ac:dyDescent="0.3">
      <c r="A1492" t="s">
        <v>31</v>
      </c>
      <c r="B1492" s="1">
        <v>45777</v>
      </c>
      <c r="C1492">
        <v>510007</v>
      </c>
      <c r="D1492">
        <v>2978.335</v>
      </c>
      <c r="E1492" t="s">
        <v>6</v>
      </c>
      <c r="F1492" t="s">
        <v>53</v>
      </c>
      <c r="G1492" t="s">
        <v>8</v>
      </c>
    </row>
    <row r="1493" spans="1:7" x14ac:dyDescent="0.3">
      <c r="A1493" t="s">
        <v>31</v>
      </c>
      <c r="B1493" s="1">
        <v>45777</v>
      </c>
      <c r="C1493">
        <v>510012</v>
      </c>
      <c r="D1493">
        <v>804.91499999999996</v>
      </c>
      <c r="E1493" t="s">
        <v>6</v>
      </c>
      <c r="F1493" t="s">
        <v>53</v>
      </c>
      <c r="G1493" t="s">
        <v>8</v>
      </c>
    </row>
    <row r="1494" spans="1:7" x14ac:dyDescent="0.3">
      <c r="A1494" t="s">
        <v>31</v>
      </c>
      <c r="B1494" s="1">
        <v>45777</v>
      </c>
      <c r="C1494">
        <v>510018</v>
      </c>
      <c r="D1494">
        <v>206.62</v>
      </c>
      <c r="E1494" t="s">
        <v>6</v>
      </c>
      <c r="F1494" t="s">
        <v>53</v>
      </c>
      <c r="G1494" t="s">
        <v>8</v>
      </c>
    </row>
    <row r="1495" spans="1:7" x14ac:dyDescent="0.3">
      <c r="A1495" t="s">
        <v>31</v>
      </c>
      <c r="B1495" s="1">
        <v>45777</v>
      </c>
      <c r="C1495">
        <v>510059</v>
      </c>
      <c r="D1495">
        <v>5713.6850000000004</v>
      </c>
      <c r="E1495" t="s">
        <v>6</v>
      </c>
      <c r="F1495" t="s">
        <v>53</v>
      </c>
      <c r="G1495" t="s">
        <v>8</v>
      </c>
    </row>
    <row r="1496" spans="1:7" x14ac:dyDescent="0.3">
      <c r="A1496" t="s">
        <v>31</v>
      </c>
      <c r="B1496" s="1">
        <v>45777</v>
      </c>
      <c r="C1496">
        <v>510064</v>
      </c>
      <c r="D1496">
        <v>573.18600000000004</v>
      </c>
      <c r="E1496" t="s">
        <v>6</v>
      </c>
      <c r="F1496" t="s">
        <v>53</v>
      </c>
      <c r="G1496" t="s">
        <v>8</v>
      </c>
    </row>
    <row r="1497" spans="1:7" x14ac:dyDescent="0.3">
      <c r="A1497" t="s">
        <v>31</v>
      </c>
      <c r="B1497" s="1">
        <v>45777</v>
      </c>
      <c r="C1497">
        <v>520011</v>
      </c>
      <c r="D1497">
        <v>5616.1009999999997</v>
      </c>
      <c r="E1497" t="s">
        <v>6</v>
      </c>
      <c r="F1497" t="s">
        <v>53</v>
      </c>
      <c r="G1497" t="s">
        <v>8</v>
      </c>
    </row>
    <row r="1498" spans="1:7" x14ac:dyDescent="0.3">
      <c r="A1498" t="s">
        <v>31</v>
      </c>
      <c r="B1498" s="1">
        <v>45777</v>
      </c>
      <c r="C1498">
        <v>520020</v>
      </c>
      <c r="D1498">
        <v>-1876.84</v>
      </c>
      <c r="E1498" t="s">
        <v>6</v>
      </c>
      <c r="F1498" t="s">
        <v>53</v>
      </c>
      <c r="G1498" t="s">
        <v>8</v>
      </c>
    </row>
    <row r="1499" spans="1:7" x14ac:dyDescent="0.3">
      <c r="A1499" t="s">
        <v>31</v>
      </c>
      <c r="B1499" s="1">
        <v>45777</v>
      </c>
      <c r="C1499">
        <v>520021</v>
      </c>
      <c r="D1499">
        <v>25.358000000000001</v>
      </c>
      <c r="E1499" t="s">
        <v>6</v>
      </c>
      <c r="F1499" t="s">
        <v>60</v>
      </c>
      <c r="G1499" t="s">
        <v>8</v>
      </c>
    </row>
    <row r="1500" spans="1:7" x14ac:dyDescent="0.3">
      <c r="A1500" t="s">
        <v>31</v>
      </c>
      <c r="B1500" s="1">
        <v>45777</v>
      </c>
      <c r="C1500">
        <v>541004</v>
      </c>
      <c r="D1500">
        <v>214.602</v>
      </c>
      <c r="E1500" t="s">
        <v>6</v>
      </c>
      <c r="F1500" t="s">
        <v>61</v>
      </c>
      <c r="G1500" t="s">
        <v>8</v>
      </c>
    </row>
    <row r="1501" spans="1:7" x14ac:dyDescent="0.3">
      <c r="A1501" t="s">
        <v>31</v>
      </c>
      <c r="B1501" s="1">
        <v>45777</v>
      </c>
      <c r="C1501">
        <v>541009</v>
      </c>
      <c r="D1501">
        <v>303.613</v>
      </c>
      <c r="E1501" t="s">
        <v>6</v>
      </c>
      <c r="F1501" t="s">
        <v>61</v>
      </c>
      <c r="G1501" t="s">
        <v>8</v>
      </c>
    </row>
    <row r="1502" spans="1:7" x14ac:dyDescent="0.3">
      <c r="A1502" t="s">
        <v>31</v>
      </c>
      <c r="B1502" s="1">
        <v>45777</v>
      </c>
      <c r="C1502">
        <v>541010</v>
      </c>
      <c r="D1502">
        <v>1853.5029999999999</v>
      </c>
      <c r="E1502" t="s">
        <v>6</v>
      </c>
      <c r="F1502" t="s">
        <v>61</v>
      </c>
      <c r="G1502" t="s">
        <v>8</v>
      </c>
    </row>
    <row r="1503" spans="1:7" x14ac:dyDescent="0.3">
      <c r="A1503" t="s">
        <v>31</v>
      </c>
      <c r="B1503" s="1">
        <v>45777</v>
      </c>
      <c r="C1503">
        <v>541013</v>
      </c>
      <c r="D1503">
        <v>9.6739999999999995</v>
      </c>
      <c r="E1503" t="s">
        <v>6</v>
      </c>
      <c r="F1503" t="s">
        <v>61</v>
      </c>
      <c r="G1503" t="s">
        <v>8</v>
      </c>
    </row>
    <row r="1504" spans="1:7" x14ac:dyDescent="0.3">
      <c r="A1504" t="s">
        <v>31</v>
      </c>
      <c r="B1504" s="1">
        <v>45777</v>
      </c>
      <c r="C1504">
        <v>546002</v>
      </c>
      <c r="D1504">
        <v>47748.171000000002</v>
      </c>
      <c r="E1504" t="s">
        <v>6</v>
      </c>
      <c r="F1504" t="s">
        <v>51</v>
      </c>
      <c r="G1504" t="s">
        <v>8</v>
      </c>
    </row>
    <row r="1505" spans="1:7" x14ac:dyDescent="0.3">
      <c r="A1505" t="s">
        <v>31</v>
      </c>
      <c r="B1505" s="1">
        <v>45777</v>
      </c>
      <c r="C1505">
        <v>546013</v>
      </c>
      <c r="D1505">
        <v>2614.2950000000001</v>
      </c>
      <c r="E1505" t="s">
        <v>6</v>
      </c>
      <c r="F1505" t="s">
        <v>51</v>
      </c>
      <c r="G1505" t="s">
        <v>8</v>
      </c>
    </row>
    <row r="1506" spans="1:7" x14ac:dyDescent="0.3">
      <c r="A1506" t="s">
        <v>31</v>
      </c>
      <c r="B1506" s="1">
        <v>45777</v>
      </c>
      <c r="C1506">
        <v>546019</v>
      </c>
      <c r="D1506">
        <v>754.65200000000004</v>
      </c>
      <c r="E1506" t="s">
        <v>6</v>
      </c>
      <c r="F1506" t="s">
        <v>51</v>
      </c>
      <c r="G1506" t="s">
        <v>8</v>
      </c>
    </row>
    <row r="1507" spans="1:7" x14ac:dyDescent="0.3">
      <c r="A1507" t="s">
        <v>31</v>
      </c>
      <c r="B1507" s="1">
        <v>45777</v>
      </c>
      <c r="C1507">
        <v>546035</v>
      </c>
      <c r="D1507">
        <v>4993.0320000000002</v>
      </c>
      <c r="E1507" t="s">
        <v>6</v>
      </c>
      <c r="F1507" t="s">
        <v>51</v>
      </c>
      <c r="G1507" t="s">
        <v>8</v>
      </c>
    </row>
    <row r="1508" spans="1:7" x14ac:dyDescent="0.3">
      <c r="A1508" t="s">
        <v>31</v>
      </c>
      <c r="B1508" s="1">
        <v>45777</v>
      </c>
      <c r="C1508">
        <v>546040</v>
      </c>
      <c r="D1508">
        <v>5036.4449999999997</v>
      </c>
      <c r="E1508" t="s">
        <v>6</v>
      </c>
      <c r="F1508" t="s">
        <v>51</v>
      </c>
      <c r="G1508" t="s">
        <v>8</v>
      </c>
    </row>
    <row r="1509" spans="1:7" x14ac:dyDescent="0.3">
      <c r="A1509" t="s">
        <v>31</v>
      </c>
      <c r="B1509" s="1">
        <v>45777</v>
      </c>
      <c r="C1509">
        <v>547002</v>
      </c>
      <c r="D1509">
        <v>-1093.748</v>
      </c>
      <c r="E1509" t="s">
        <v>6</v>
      </c>
      <c r="F1509" t="s">
        <v>54</v>
      </c>
      <c r="G1509" t="s">
        <v>8</v>
      </c>
    </row>
    <row r="1510" spans="1:7" x14ac:dyDescent="0.3">
      <c r="A1510" t="s">
        <v>31</v>
      </c>
      <c r="B1510" s="1">
        <v>45777</v>
      </c>
      <c r="C1510">
        <v>547011</v>
      </c>
      <c r="D1510">
        <v>16.420999999999999</v>
      </c>
      <c r="E1510" t="s">
        <v>6</v>
      </c>
      <c r="F1510" t="s">
        <v>54</v>
      </c>
      <c r="G1510" t="s">
        <v>8</v>
      </c>
    </row>
    <row r="1511" spans="1:7" x14ac:dyDescent="0.3">
      <c r="A1511" t="s">
        <v>31</v>
      </c>
      <c r="B1511" s="1">
        <v>45777</v>
      </c>
      <c r="C1511">
        <v>551003</v>
      </c>
      <c r="D1511">
        <v>5369.66</v>
      </c>
      <c r="E1511" t="s">
        <v>6</v>
      </c>
      <c r="F1511" t="s">
        <v>63</v>
      </c>
      <c r="G1511" t="s">
        <v>8</v>
      </c>
    </row>
    <row r="1512" spans="1:7" x14ac:dyDescent="0.3">
      <c r="A1512" t="s">
        <v>31</v>
      </c>
      <c r="B1512" s="1">
        <v>45777</v>
      </c>
      <c r="C1512">
        <v>551008</v>
      </c>
      <c r="D1512">
        <v>29.457999999999998</v>
      </c>
      <c r="E1512" t="s">
        <v>6</v>
      </c>
      <c r="F1512" t="s">
        <v>63</v>
      </c>
      <c r="G1512" t="s">
        <v>8</v>
      </c>
    </row>
    <row r="1513" spans="1:7" x14ac:dyDescent="0.3">
      <c r="A1513" t="s">
        <v>31</v>
      </c>
      <c r="B1513" s="1">
        <v>45777</v>
      </c>
      <c r="C1513">
        <v>552502</v>
      </c>
      <c r="D1513">
        <v>554.31700000000001</v>
      </c>
      <c r="E1513" t="s">
        <v>6</v>
      </c>
      <c r="F1513" t="s">
        <v>55</v>
      </c>
      <c r="G1513" t="s">
        <v>8</v>
      </c>
    </row>
    <row r="1514" spans="1:7" x14ac:dyDescent="0.3">
      <c r="A1514" t="s">
        <v>31</v>
      </c>
      <c r="B1514" s="1">
        <v>45777</v>
      </c>
      <c r="C1514">
        <v>556002</v>
      </c>
      <c r="D1514">
        <v>-1179.0070000000001</v>
      </c>
      <c r="E1514" t="s">
        <v>6</v>
      </c>
      <c r="F1514" t="s">
        <v>60</v>
      </c>
      <c r="G1514" t="s">
        <v>8</v>
      </c>
    </row>
    <row r="1515" spans="1:7" x14ac:dyDescent="0.3">
      <c r="A1515" t="s">
        <v>31</v>
      </c>
      <c r="B1515" s="1">
        <v>45777</v>
      </c>
      <c r="C1515">
        <v>556004</v>
      </c>
      <c r="D1515">
        <v>-13.736000000000001</v>
      </c>
      <c r="E1515" t="s">
        <v>6</v>
      </c>
      <c r="F1515" t="s">
        <v>55</v>
      </c>
      <c r="G1515" t="s">
        <v>8</v>
      </c>
    </row>
    <row r="1516" spans="1:7" x14ac:dyDescent="0.3">
      <c r="A1516" t="s">
        <v>31</v>
      </c>
      <c r="B1516" s="1">
        <v>45777</v>
      </c>
      <c r="C1516">
        <v>557002</v>
      </c>
      <c r="D1516">
        <v>-218.44</v>
      </c>
      <c r="E1516" t="s">
        <v>6</v>
      </c>
      <c r="F1516" t="s">
        <v>56</v>
      </c>
      <c r="G1516" t="s">
        <v>8</v>
      </c>
    </row>
    <row r="1517" spans="1:7" x14ac:dyDescent="0.3">
      <c r="A1517" t="s">
        <v>31</v>
      </c>
      <c r="B1517" s="1">
        <v>45777</v>
      </c>
      <c r="C1517">
        <v>558006</v>
      </c>
      <c r="D1517">
        <v>-627.53899999999999</v>
      </c>
      <c r="E1517" t="s">
        <v>6</v>
      </c>
      <c r="F1517" t="s">
        <v>57</v>
      </c>
      <c r="G1517" t="s">
        <v>8</v>
      </c>
    </row>
    <row r="1518" spans="1:7" x14ac:dyDescent="0.3">
      <c r="A1518" t="s">
        <v>31</v>
      </c>
      <c r="B1518" s="1">
        <v>45777</v>
      </c>
      <c r="C1518">
        <v>558012</v>
      </c>
      <c r="D1518">
        <v>358.96100000000001</v>
      </c>
      <c r="E1518" t="s">
        <v>6</v>
      </c>
      <c r="F1518" t="s">
        <v>60</v>
      </c>
      <c r="G1518" t="s">
        <v>8</v>
      </c>
    </row>
    <row r="1519" spans="1:7" x14ac:dyDescent="0.3">
      <c r="A1519" t="s">
        <v>31</v>
      </c>
      <c r="B1519" s="1">
        <v>45777</v>
      </c>
      <c r="C1519">
        <v>559002</v>
      </c>
      <c r="D1519">
        <v>-9.3960000000000008</v>
      </c>
      <c r="E1519" t="s">
        <v>6</v>
      </c>
      <c r="F1519" t="s">
        <v>60</v>
      </c>
      <c r="G1519" t="s">
        <v>8</v>
      </c>
    </row>
    <row r="1520" spans="1:7" x14ac:dyDescent="0.3">
      <c r="A1520" t="s">
        <v>31</v>
      </c>
      <c r="B1520" s="1">
        <v>45777</v>
      </c>
      <c r="C1520">
        <v>560008</v>
      </c>
      <c r="D1520">
        <v>-1688.5719999999999</v>
      </c>
      <c r="E1520" t="s">
        <v>6</v>
      </c>
      <c r="F1520" t="s">
        <v>56</v>
      </c>
      <c r="G1520" t="s">
        <v>8</v>
      </c>
    </row>
    <row r="1521" spans="1:7" x14ac:dyDescent="0.3">
      <c r="A1521" t="s">
        <v>31</v>
      </c>
      <c r="B1521" s="1">
        <v>45777</v>
      </c>
      <c r="C1521">
        <v>564020</v>
      </c>
      <c r="D1521">
        <v>56.933</v>
      </c>
      <c r="E1521" t="s">
        <v>6</v>
      </c>
      <c r="F1521" t="s">
        <v>57</v>
      </c>
      <c r="G1521" t="s">
        <v>8</v>
      </c>
    </row>
    <row r="1522" spans="1:7" x14ac:dyDescent="0.3">
      <c r="A1522" t="s">
        <v>31</v>
      </c>
      <c r="B1522" s="1">
        <v>45777</v>
      </c>
      <c r="C1522">
        <v>570002</v>
      </c>
      <c r="D1522">
        <v>63.875999999999998</v>
      </c>
      <c r="E1522" t="s">
        <v>6</v>
      </c>
      <c r="F1522" t="s">
        <v>66</v>
      </c>
      <c r="G1522" t="s">
        <v>8</v>
      </c>
    </row>
    <row r="1523" spans="1:7" x14ac:dyDescent="0.3">
      <c r="A1523" t="s">
        <v>32</v>
      </c>
      <c r="B1523" s="1">
        <v>45777</v>
      </c>
      <c r="C1523">
        <v>210002</v>
      </c>
      <c r="D1523">
        <v>-6523115.551</v>
      </c>
      <c r="E1523" t="s">
        <v>4</v>
      </c>
      <c r="F1523" t="s">
        <v>42</v>
      </c>
      <c r="G1523" t="s">
        <v>7</v>
      </c>
    </row>
    <row r="1524" spans="1:7" x14ac:dyDescent="0.3">
      <c r="A1524" t="s">
        <v>32</v>
      </c>
      <c r="B1524" s="1">
        <v>45777</v>
      </c>
      <c r="C1524">
        <v>220003</v>
      </c>
      <c r="D1524">
        <v>3977025.9780000001</v>
      </c>
      <c r="E1524" t="s">
        <v>4</v>
      </c>
      <c r="F1524" t="s">
        <v>42</v>
      </c>
      <c r="G1524" t="s">
        <v>7</v>
      </c>
    </row>
    <row r="1525" spans="1:7" x14ac:dyDescent="0.3">
      <c r="A1525" t="s">
        <v>32</v>
      </c>
      <c r="B1525" s="1">
        <v>45777</v>
      </c>
      <c r="C1525">
        <v>220004</v>
      </c>
      <c r="D1525">
        <v>-3721.1480000000001</v>
      </c>
      <c r="E1525" t="s">
        <v>4</v>
      </c>
      <c r="F1525" t="s">
        <v>42</v>
      </c>
      <c r="G1525" t="s">
        <v>7</v>
      </c>
    </row>
    <row r="1526" spans="1:7" x14ac:dyDescent="0.3">
      <c r="A1526" t="s">
        <v>32</v>
      </c>
      <c r="B1526" s="1">
        <v>45777</v>
      </c>
      <c r="C1526">
        <v>220006</v>
      </c>
      <c r="D1526">
        <v>-6698559.0290000001</v>
      </c>
      <c r="E1526" t="s">
        <v>4</v>
      </c>
      <c r="F1526" t="s">
        <v>42</v>
      </c>
      <c r="G1526" t="s">
        <v>7</v>
      </c>
    </row>
    <row r="1527" spans="1:7" x14ac:dyDescent="0.3">
      <c r="A1527" t="s">
        <v>32</v>
      </c>
      <c r="B1527" s="1">
        <v>45777</v>
      </c>
      <c r="C1527">
        <v>234003</v>
      </c>
      <c r="D1527">
        <v>-209525.22099999999</v>
      </c>
      <c r="E1527" t="s">
        <v>4</v>
      </c>
      <c r="F1527" t="s">
        <v>43</v>
      </c>
      <c r="G1527" t="s">
        <v>7</v>
      </c>
    </row>
    <row r="1528" spans="1:7" x14ac:dyDescent="0.3">
      <c r="A1528" t="s">
        <v>32</v>
      </c>
      <c r="B1528" s="1">
        <v>45777</v>
      </c>
      <c r="C1528">
        <v>240002</v>
      </c>
      <c r="D1528">
        <v>-117152.58900000001</v>
      </c>
      <c r="E1528" t="s">
        <v>4</v>
      </c>
      <c r="F1528" t="s">
        <v>43</v>
      </c>
      <c r="G1528" t="s">
        <v>7</v>
      </c>
    </row>
    <row r="1529" spans="1:7" x14ac:dyDescent="0.3">
      <c r="A1529" t="s">
        <v>32</v>
      </c>
      <c r="B1529" s="1">
        <v>45777</v>
      </c>
      <c r="C1529">
        <v>240009</v>
      </c>
      <c r="D1529">
        <v>-10658.26</v>
      </c>
      <c r="E1529" t="s">
        <v>4</v>
      </c>
      <c r="F1529" t="s">
        <v>43</v>
      </c>
      <c r="G1529" t="s">
        <v>7</v>
      </c>
    </row>
    <row r="1530" spans="1:7" x14ac:dyDescent="0.3">
      <c r="A1530" t="s">
        <v>32</v>
      </c>
      <c r="B1530" s="1">
        <v>45777</v>
      </c>
      <c r="C1530">
        <v>242003</v>
      </c>
      <c r="D1530">
        <v>-827409.59499999997</v>
      </c>
      <c r="E1530" t="s">
        <v>4</v>
      </c>
      <c r="F1530" t="s">
        <v>43</v>
      </c>
      <c r="G1530" t="s">
        <v>7</v>
      </c>
    </row>
    <row r="1531" spans="1:7" x14ac:dyDescent="0.3">
      <c r="A1531" t="s">
        <v>32</v>
      </c>
      <c r="B1531" s="1">
        <v>45777</v>
      </c>
      <c r="C1531">
        <v>242007</v>
      </c>
      <c r="D1531">
        <v>4929.4740000000002</v>
      </c>
      <c r="E1531" t="s">
        <v>4</v>
      </c>
      <c r="F1531" t="s">
        <v>43</v>
      </c>
      <c r="G1531" t="s">
        <v>7</v>
      </c>
    </row>
    <row r="1532" spans="1:7" x14ac:dyDescent="0.3">
      <c r="A1532" t="s">
        <v>32</v>
      </c>
      <c r="B1532" s="1">
        <v>45777</v>
      </c>
      <c r="C1532">
        <v>242011</v>
      </c>
      <c r="D1532">
        <v>190.625</v>
      </c>
      <c r="E1532" t="s">
        <v>4</v>
      </c>
      <c r="F1532" t="s">
        <v>43</v>
      </c>
      <c r="G1532" t="s">
        <v>7</v>
      </c>
    </row>
    <row r="1533" spans="1:7" x14ac:dyDescent="0.3">
      <c r="A1533" t="s">
        <v>32</v>
      </c>
      <c r="B1533" s="1">
        <v>45777</v>
      </c>
      <c r="C1533">
        <v>242012</v>
      </c>
      <c r="D1533">
        <v>-1007336.486</v>
      </c>
      <c r="E1533" t="s">
        <v>4</v>
      </c>
      <c r="F1533" t="s">
        <v>43</v>
      </c>
      <c r="G1533" t="s">
        <v>7</v>
      </c>
    </row>
    <row r="1534" spans="1:7" x14ac:dyDescent="0.3">
      <c r="A1534" t="s">
        <v>32</v>
      </c>
      <c r="B1534" s="1">
        <v>45777</v>
      </c>
      <c r="C1534">
        <v>242013</v>
      </c>
      <c r="D1534">
        <v>-653448.4</v>
      </c>
      <c r="E1534" t="s">
        <v>4</v>
      </c>
      <c r="F1534" t="s">
        <v>43</v>
      </c>
      <c r="G1534" t="s">
        <v>7</v>
      </c>
    </row>
    <row r="1535" spans="1:7" x14ac:dyDescent="0.3">
      <c r="A1535" t="s">
        <v>32</v>
      </c>
      <c r="B1535" s="1">
        <v>45777</v>
      </c>
      <c r="C1535">
        <v>242014</v>
      </c>
      <c r="D1535">
        <v>-186910.016</v>
      </c>
      <c r="E1535" t="s">
        <v>4</v>
      </c>
      <c r="F1535" t="s">
        <v>43</v>
      </c>
      <c r="G1535" t="s">
        <v>7</v>
      </c>
    </row>
    <row r="1536" spans="1:7" x14ac:dyDescent="0.3">
      <c r="A1536" t="s">
        <v>32</v>
      </c>
      <c r="B1536" s="1">
        <v>45777</v>
      </c>
      <c r="C1536">
        <v>242017</v>
      </c>
      <c r="D1536">
        <v>-27221.718000000001</v>
      </c>
      <c r="E1536" t="s">
        <v>4</v>
      </c>
      <c r="F1536" t="s">
        <v>43</v>
      </c>
      <c r="G1536" t="s">
        <v>7</v>
      </c>
    </row>
    <row r="1537" spans="1:7" x14ac:dyDescent="0.3">
      <c r="A1537" t="s">
        <v>32</v>
      </c>
      <c r="B1537" s="1">
        <v>45777</v>
      </c>
      <c r="C1537">
        <v>242019</v>
      </c>
      <c r="D1537">
        <v>-3830.855</v>
      </c>
      <c r="E1537" t="s">
        <v>4</v>
      </c>
      <c r="F1537" t="s">
        <v>43</v>
      </c>
      <c r="G1537" t="s">
        <v>7</v>
      </c>
    </row>
    <row r="1538" spans="1:7" x14ac:dyDescent="0.3">
      <c r="A1538" t="s">
        <v>32</v>
      </c>
      <c r="B1538" s="1">
        <v>45777</v>
      </c>
      <c r="C1538">
        <v>242022</v>
      </c>
      <c r="D1538">
        <v>-13846.246999999999</v>
      </c>
      <c r="E1538" t="s">
        <v>4</v>
      </c>
      <c r="F1538" t="s">
        <v>43</v>
      </c>
      <c r="G1538" t="s">
        <v>7</v>
      </c>
    </row>
    <row r="1539" spans="1:7" x14ac:dyDescent="0.3">
      <c r="A1539" t="s">
        <v>32</v>
      </c>
      <c r="B1539" s="1">
        <v>45777</v>
      </c>
      <c r="C1539">
        <v>242023</v>
      </c>
      <c r="D1539">
        <v>-11.723000000000001</v>
      </c>
      <c r="E1539" t="s">
        <v>4</v>
      </c>
      <c r="F1539" t="s">
        <v>43</v>
      </c>
      <c r="G1539" t="s">
        <v>7</v>
      </c>
    </row>
    <row r="1540" spans="1:7" x14ac:dyDescent="0.3">
      <c r="A1540" t="s">
        <v>32</v>
      </c>
      <c r="B1540" s="1">
        <v>45777</v>
      </c>
      <c r="C1540">
        <v>242027</v>
      </c>
      <c r="D1540">
        <v>-77522.611999999994</v>
      </c>
      <c r="E1540" t="s">
        <v>4</v>
      </c>
      <c r="F1540" t="s">
        <v>43</v>
      </c>
      <c r="G1540" t="s">
        <v>7</v>
      </c>
    </row>
    <row r="1541" spans="1:7" x14ac:dyDescent="0.3">
      <c r="A1541" t="s">
        <v>32</v>
      </c>
      <c r="B1541" s="1">
        <v>45777</v>
      </c>
      <c r="C1541">
        <v>242030</v>
      </c>
      <c r="D1541">
        <v>-347680.386</v>
      </c>
      <c r="E1541" t="s">
        <v>4</v>
      </c>
      <c r="F1541" t="s">
        <v>43</v>
      </c>
      <c r="G1541" t="s">
        <v>7</v>
      </c>
    </row>
    <row r="1542" spans="1:7" x14ac:dyDescent="0.3">
      <c r="A1542" t="s">
        <v>32</v>
      </c>
      <c r="B1542" s="1">
        <v>45777</v>
      </c>
      <c r="C1542">
        <v>242036</v>
      </c>
      <c r="D1542">
        <v>-4270.8010000000004</v>
      </c>
      <c r="E1542" t="s">
        <v>4</v>
      </c>
      <c r="F1542" t="s">
        <v>43</v>
      </c>
      <c r="G1542" t="s">
        <v>7</v>
      </c>
    </row>
    <row r="1543" spans="1:7" x14ac:dyDescent="0.3">
      <c r="A1543" t="s">
        <v>32</v>
      </c>
      <c r="B1543" s="1">
        <v>45777</v>
      </c>
      <c r="C1543">
        <v>242037</v>
      </c>
      <c r="D1543">
        <v>-24089.486000000001</v>
      </c>
      <c r="E1543" t="s">
        <v>4</v>
      </c>
      <c r="F1543" t="s">
        <v>43</v>
      </c>
      <c r="G1543" t="s">
        <v>7</v>
      </c>
    </row>
    <row r="1544" spans="1:7" x14ac:dyDescent="0.3">
      <c r="A1544" t="s">
        <v>32</v>
      </c>
      <c r="B1544" s="1">
        <v>45777</v>
      </c>
      <c r="C1544">
        <v>242038</v>
      </c>
      <c r="D1544">
        <v>1375.9860000000001</v>
      </c>
      <c r="E1544" t="s">
        <v>4</v>
      </c>
      <c r="F1544" t="s">
        <v>43</v>
      </c>
      <c r="G1544" t="s">
        <v>7</v>
      </c>
    </row>
    <row r="1545" spans="1:7" x14ac:dyDescent="0.3">
      <c r="A1545" t="s">
        <v>32</v>
      </c>
      <c r="B1545" s="1">
        <v>45777</v>
      </c>
      <c r="C1545">
        <v>242039</v>
      </c>
      <c r="D1545">
        <v>-17282.022000000001</v>
      </c>
      <c r="E1545" t="s">
        <v>4</v>
      </c>
      <c r="F1545" t="s">
        <v>43</v>
      </c>
      <c r="G1545" t="s">
        <v>7</v>
      </c>
    </row>
    <row r="1546" spans="1:7" x14ac:dyDescent="0.3">
      <c r="A1546" t="s">
        <v>32</v>
      </c>
      <c r="B1546" s="1">
        <v>45777</v>
      </c>
      <c r="C1546">
        <v>242041</v>
      </c>
      <c r="D1546">
        <v>16103.859</v>
      </c>
      <c r="E1546" t="s">
        <v>4</v>
      </c>
      <c r="F1546" t="s">
        <v>43</v>
      </c>
      <c r="G1546" t="s">
        <v>7</v>
      </c>
    </row>
    <row r="1547" spans="1:7" x14ac:dyDescent="0.3">
      <c r="A1547" t="s">
        <v>32</v>
      </c>
      <c r="B1547" s="1">
        <v>45777</v>
      </c>
      <c r="C1547">
        <v>242044</v>
      </c>
      <c r="D1547">
        <v>-4861.6670000000004</v>
      </c>
      <c r="E1547" t="s">
        <v>4</v>
      </c>
      <c r="F1547" t="s">
        <v>43</v>
      </c>
      <c r="G1547" t="s">
        <v>7</v>
      </c>
    </row>
    <row r="1548" spans="1:7" x14ac:dyDescent="0.3">
      <c r="A1548" t="s">
        <v>32</v>
      </c>
      <c r="B1548" s="1">
        <v>45777</v>
      </c>
      <c r="C1548">
        <v>243002</v>
      </c>
      <c r="D1548">
        <v>-166812.122</v>
      </c>
      <c r="E1548" t="s">
        <v>4</v>
      </c>
      <c r="F1548" t="s">
        <v>43</v>
      </c>
      <c r="G1548" t="s">
        <v>7</v>
      </c>
    </row>
    <row r="1549" spans="1:7" x14ac:dyDescent="0.3">
      <c r="A1549" t="s">
        <v>32</v>
      </c>
      <c r="B1549" s="1">
        <v>45777</v>
      </c>
      <c r="C1549">
        <v>243003</v>
      </c>
      <c r="D1549">
        <v>-328561.64799999999</v>
      </c>
      <c r="E1549" t="s">
        <v>4</v>
      </c>
      <c r="F1549" t="s">
        <v>43</v>
      </c>
      <c r="G1549" t="s">
        <v>7</v>
      </c>
    </row>
    <row r="1550" spans="1:7" x14ac:dyDescent="0.3">
      <c r="A1550" t="s">
        <v>32</v>
      </c>
      <c r="B1550" s="1">
        <v>45777</v>
      </c>
      <c r="C1550">
        <v>243009</v>
      </c>
      <c r="D1550">
        <v>-2221.2139999999999</v>
      </c>
      <c r="E1550" t="s">
        <v>4</v>
      </c>
      <c r="F1550" t="s">
        <v>43</v>
      </c>
      <c r="G1550" t="s">
        <v>7</v>
      </c>
    </row>
    <row r="1551" spans="1:7" x14ac:dyDescent="0.3">
      <c r="A1551" t="s">
        <v>32</v>
      </c>
      <c r="B1551" s="1">
        <v>45777</v>
      </c>
      <c r="C1551">
        <v>245010</v>
      </c>
      <c r="D1551">
        <v>-126227.209</v>
      </c>
      <c r="E1551" t="s">
        <v>4</v>
      </c>
      <c r="F1551" t="s">
        <v>44</v>
      </c>
      <c r="G1551" t="s">
        <v>7</v>
      </c>
    </row>
    <row r="1552" spans="1:7" x14ac:dyDescent="0.3">
      <c r="A1552" t="s">
        <v>32</v>
      </c>
      <c r="B1552" s="1">
        <v>45777</v>
      </c>
      <c r="C1552">
        <v>245018</v>
      </c>
      <c r="D1552">
        <v>-19901.224999999999</v>
      </c>
      <c r="E1552" t="s">
        <v>4</v>
      </c>
      <c r="F1552" t="s">
        <v>43</v>
      </c>
      <c r="G1552" t="s">
        <v>7</v>
      </c>
    </row>
    <row r="1553" spans="1:7" x14ac:dyDescent="0.3">
      <c r="A1553" t="s">
        <v>32</v>
      </c>
      <c r="B1553" s="1">
        <v>45777</v>
      </c>
      <c r="C1553">
        <v>245049</v>
      </c>
      <c r="D1553">
        <v>-130790.507</v>
      </c>
      <c r="E1553" t="s">
        <v>4</v>
      </c>
      <c r="F1553" t="s">
        <v>43</v>
      </c>
      <c r="G1553" t="s">
        <v>7</v>
      </c>
    </row>
    <row r="1554" spans="1:7" x14ac:dyDescent="0.3">
      <c r="A1554" t="s">
        <v>32</v>
      </c>
      <c r="B1554" s="1">
        <v>45777</v>
      </c>
      <c r="C1554">
        <v>245055</v>
      </c>
      <c r="D1554">
        <v>-183195.80600000001</v>
      </c>
      <c r="E1554" t="s">
        <v>4</v>
      </c>
      <c r="F1554" t="s">
        <v>43</v>
      </c>
      <c r="G1554" t="s">
        <v>7</v>
      </c>
    </row>
    <row r="1555" spans="1:7" x14ac:dyDescent="0.3">
      <c r="A1555" t="s">
        <v>32</v>
      </c>
      <c r="B1555" s="1">
        <v>45777</v>
      </c>
      <c r="C1555">
        <v>245056</v>
      </c>
      <c r="D1555">
        <v>-5936.5709999999999</v>
      </c>
      <c r="E1555" t="s">
        <v>4</v>
      </c>
      <c r="F1555" t="s">
        <v>49</v>
      </c>
      <c r="G1555" t="s">
        <v>7</v>
      </c>
    </row>
    <row r="1556" spans="1:7" x14ac:dyDescent="0.3">
      <c r="A1556" t="s">
        <v>32</v>
      </c>
      <c r="B1556" s="1">
        <v>45777</v>
      </c>
      <c r="C1556">
        <v>245062</v>
      </c>
      <c r="D1556">
        <v>-31233.757000000001</v>
      </c>
      <c r="E1556" t="s">
        <v>4</v>
      </c>
      <c r="F1556" t="s">
        <v>43</v>
      </c>
      <c r="G1556" t="s">
        <v>7</v>
      </c>
    </row>
    <row r="1557" spans="1:7" x14ac:dyDescent="0.3">
      <c r="A1557" t="s">
        <v>32</v>
      </c>
      <c r="B1557" s="1">
        <v>45777</v>
      </c>
      <c r="C1557">
        <v>250003</v>
      </c>
      <c r="D1557">
        <v>-56239.891000000003</v>
      </c>
      <c r="E1557" t="s">
        <v>4</v>
      </c>
      <c r="F1557" t="s">
        <v>45</v>
      </c>
      <c r="G1557" t="s">
        <v>7</v>
      </c>
    </row>
    <row r="1558" spans="1:7" x14ac:dyDescent="0.3">
      <c r="A1558" t="s">
        <v>32</v>
      </c>
      <c r="B1558" s="1">
        <v>45777</v>
      </c>
      <c r="C1558">
        <v>250007</v>
      </c>
      <c r="D1558">
        <v>-71431.817999999999</v>
      </c>
      <c r="E1558" t="s">
        <v>4</v>
      </c>
      <c r="F1558" t="s">
        <v>43</v>
      </c>
      <c r="G1558" t="s">
        <v>7</v>
      </c>
    </row>
    <row r="1559" spans="1:7" x14ac:dyDescent="0.3">
      <c r="A1559" t="s">
        <v>32</v>
      </c>
      <c r="B1559" s="1">
        <v>45777</v>
      </c>
      <c r="C1559">
        <v>250009</v>
      </c>
      <c r="D1559">
        <v>-1047.4949999999999</v>
      </c>
      <c r="E1559" t="s">
        <v>4</v>
      </c>
      <c r="F1559" t="s">
        <v>43</v>
      </c>
      <c r="G1559" t="s">
        <v>7</v>
      </c>
    </row>
    <row r="1560" spans="1:7" x14ac:dyDescent="0.3">
      <c r="A1560" t="s">
        <v>32</v>
      </c>
      <c r="B1560" s="1">
        <v>45777</v>
      </c>
      <c r="C1560">
        <v>251002</v>
      </c>
      <c r="D1560">
        <v>-404631.66700000002</v>
      </c>
      <c r="E1560" t="s">
        <v>4</v>
      </c>
      <c r="F1560" t="s">
        <v>45</v>
      </c>
      <c r="G1560" t="s">
        <v>7</v>
      </c>
    </row>
    <row r="1561" spans="1:7" x14ac:dyDescent="0.3">
      <c r="A1561" t="s">
        <v>32</v>
      </c>
      <c r="B1561" s="1">
        <v>45777</v>
      </c>
      <c r="C1561">
        <v>256037</v>
      </c>
      <c r="D1561">
        <v>-15402.328</v>
      </c>
      <c r="E1561" t="s">
        <v>4</v>
      </c>
      <c r="F1561" t="s">
        <v>43</v>
      </c>
      <c r="G1561" t="s">
        <v>7</v>
      </c>
    </row>
    <row r="1562" spans="1:7" x14ac:dyDescent="0.3">
      <c r="A1562" t="s">
        <v>32</v>
      </c>
      <c r="B1562" s="1">
        <v>45777</v>
      </c>
      <c r="C1562">
        <v>257008</v>
      </c>
      <c r="D1562">
        <v>-8064.97</v>
      </c>
      <c r="E1562" t="s">
        <v>4</v>
      </c>
      <c r="F1562" t="s">
        <v>45</v>
      </c>
      <c r="G1562" t="s">
        <v>7</v>
      </c>
    </row>
    <row r="1563" spans="1:7" x14ac:dyDescent="0.3">
      <c r="A1563" t="s">
        <v>32</v>
      </c>
      <c r="B1563" s="1">
        <v>45777</v>
      </c>
      <c r="C1563">
        <v>257009</v>
      </c>
      <c r="D1563">
        <v>-26957.137999999999</v>
      </c>
      <c r="E1563" t="s">
        <v>4</v>
      </c>
      <c r="F1563" t="s">
        <v>45</v>
      </c>
      <c r="G1563" t="s">
        <v>7</v>
      </c>
    </row>
    <row r="1564" spans="1:7" x14ac:dyDescent="0.3">
      <c r="A1564" t="s">
        <v>32</v>
      </c>
      <c r="B1564" s="1">
        <v>45777</v>
      </c>
      <c r="C1564">
        <v>257011</v>
      </c>
      <c r="D1564">
        <v>-10126.203</v>
      </c>
      <c r="E1564" t="s">
        <v>4</v>
      </c>
      <c r="F1564" t="s">
        <v>45</v>
      </c>
      <c r="G1564" t="s">
        <v>7</v>
      </c>
    </row>
    <row r="1565" spans="1:7" x14ac:dyDescent="0.3">
      <c r="A1565" t="s">
        <v>32</v>
      </c>
      <c r="B1565" s="1">
        <v>45777</v>
      </c>
      <c r="C1565">
        <v>257022</v>
      </c>
      <c r="D1565">
        <v>5731.13</v>
      </c>
      <c r="E1565" t="s">
        <v>4</v>
      </c>
      <c r="F1565" t="s">
        <v>45</v>
      </c>
      <c r="G1565" t="s">
        <v>7</v>
      </c>
    </row>
    <row r="1566" spans="1:7" x14ac:dyDescent="0.3">
      <c r="A1566" t="s">
        <v>32</v>
      </c>
      <c r="B1566" s="1">
        <v>45777</v>
      </c>
      <c r="C1566">
        <v>257028</v>
      </c>
      <c r="D1566">
        <v>-113273.32799999999</v>
      </c>
      <c r="E1566" t="s">
        <v>4</v>
      </c>
      <c r="F1566" t="s">
        <v>45</v>
      </c>
      <c r="G1566" t="s">
        <v>7</v>
      </c>
    </row>
    <row r="1567" spans="1:7" x14ac:dyDescent="0.3">
      <c r="A1567" t="s">
        <v>32</v>
      </c>
      <c r="B1567" s="1">
        <v>45777</v>
      </c>
      <c r="C1567">
        <v>260004</v>
      </c>
      <c r="D1567">
        <v>281.88900000000001</v>
      </c>
      <c r="E1567" t="s">
        <v>4</v>
      </c>
      <c r="F1567" t="s">
        <v>45</v>
      </c>
      <c r="G1567" t="s">
        <v>7</v>
      </c>
    </row>
    <row r="1568" spans="1:7" x14ac:dyDescent="0.3">
      <c r="A1568" t="s">
        <v>32</v>
      </c>
      <c r="B1568" s="1">
        <v>45777</v>
      </c>
      <c r="C1568">
        <v>270024</v>
      </c>
      <c r="D1568">
        <v>-27184.754000000001</v>
      </c>
      <c r="E1568" t="s">
        <v>4</v>
      </c>
      <c r="F1568" t="s">
        <v>58</v>
      </c>
      <c r="G1568" t="s">
        <v>7</v>
      </c>
    </row>
    <row r="1569" spans="1:7" x14ac:dyDescent="0.3">
      <c r="A1569" t="s">
        <v>32</v>
      </c>
      <c r="B1569" s="1">
        <v>45777</v>
      </c>
      <c r="C1569">
        <v>270025</v>
      </c>
      <c r="D1569">
        <v>-212751.77799999999</v>
      </c>
      <c r="E1569" t="s">
        <v>4</v>
      </c>
      <c r="F1569" t="s">
        <v>58</v>
      </c>
      <c r="G1569" t="s">
        <v>7</v>
      </c>
    </row>
    <row r="1570" spans="1:7" x14ac:dyDescent="0.3">
      <c r="A1570" t="s">
        <v>32</v>
      </c>
      <c r="B1570" s="1">
        <v>45777</v>
      </c>
      <c r="C1570">
        <v>270026</v>
      </c>
      <c r="D1570">
        <v>-80669.758000000002</v>
      </c>
      <c r="E1570" t="s">
        <v>4</v>
      </c>
      <c r="F1570" t="s">
        <v>58</v>
      </c>
      <c r="G1570" t="s">
        <v>7</v>
      </c>
    </row>
    <row r="1571" spans="1:7" x14ac:dyDescent="0.3">
      <c r="A1571" t="s">
        <v>32</v>
      </c>
      <c r="B1571" s="1">
        <v>45777</v>
      </c>
      <c r="C1571">
        <v>300004</v>
      </c>
      <c r="D1571">
        <v>12975.514999999999</v>
      </c>
      <c r="E1571" t="s">
        <v>4</v>
      </c>
      <c r="F1571" t="s">
        <v>65</v>
      </c>
      <c r="G1571" t="s">
        <v>7</v>
      </c>
    </row>
    <row r="1572" spans="1:7" x14ac:dyDescent="0.3">
      <c r="A1572" t="s">
        <v>32</v>
      </c>
      <c r="B1572" s="1">
        <v>45777</v>
      </c>
      <c r="C1572">
        <v>300005</v>
      </c>
      <c r="D1572">
        <v>56574.453000000001</v>
      </c>
      <c r="E1572" t="s">
        <v>4</v>
      </c>
      <c r="F1572" t="s">
        <v>65</v>
      </c>
      <c r="G1572" t="s">
        <v>7</v>
      </c>
    </row>
    <row r="1573" spans="1:7" x14ac:dyDescent="0.3">
      <c r="A1573" t="s">
        <v>32</v>
      </c>
      <c r="B1573" s="1">
        <v>45777</v>
      </c>
      <c r="C1573">
        <v>300008</v>
      </c>
      <c r="D1573">
        <v>209168.39600000001</v>
      </c>
      <c r="E1573" t="s">
        <v>4</v>
      </c>
      <c r="F1573" t="s">
        <v>65</v>
      </c>
      <c r="G1573" t="s">
        <v>7</v>
      </c>
    </row>
    <row r="1574" spans="1:7" x14ac:dyDescent="0.3">
      <c r="A1574" t="s">
        <v>32</v>
      </c>
      <c r="B1574" s="1">
        <v>45777</v>
      </c>
      <c r="C1574">
        <v>300009</v>
      </c>
      <c r="D1574">
        <v>4736.1949999999997</v>
      </c>
      <c r="E1574" t="s">
        <v>4</v>
      </c>
      <c r="F1574" t="s">
        <v>65</v>
      </c>
      <c r="G1574" t="s">
        <v>7</v>
      </c>
    </row>
    <row r="1575" spans="1:7" x14ac:dyDescent="0.3">
      <c r="A1575" t="s">
        <v>32</v>
      </c>
      <c r="B1575" s="1">
        <v>45777</v>
      </c>
      <c r="C1575">
        <v>300011</v>
      </c>
      <c r="D1575">
        <v>1008.559</v>
      </c>
      <c r="E1575" t="s">
        <v>4</v>
      </c>
      <c r="F1575" t="s">
        <v>65</v>
      </c>
      <c r="G1575" t="s">
        <v>7</v>
      </c>
    </row>
    <row r="1576" spans="1:7" x14ac:dyDescent="0.3">
      <c r="A1576" t="s">
        <v>32</v>
      </c>
      <c r="B1576" s="1">
        <v>45777</v>
      </c>
      <c r="C1576">
        <v>300012</v>
      </c>
      <c r="D1576">
        <v>53327.038</v>
      </c>
      <c r="E1576" t="s">
        <v>4</v>
      </c>
      <c r="F1576" t="s">
        <v>65</v>
      </c>
      <c r="G1576" t="s">
        <v>7</v>
      </c>
    </row>
    <row r="1577" spans="1:7" x14ac:dyDescent="0.3">
      <c r="A1577" t="s">
        <v>32</v>
      </c>
      <c r="B1577" s="1">
        <v>45777</v>
      </c>
      <c r="C1577">
        <v>300014</v>
      </c>
      <c r="D1577">
        <v>21428.562999999998</v>
      </c>
      <c r="E1577" t="s">
        <v>4</v>
      </c>
      <c r="F1577" t="s">
        <v>65</v>
      </c>
      <c r="G1577" t="s">
        <v>7</v>
      </c>
    </row>
    <row r="1578" spans="1:7" x14ac:dyDescent="0.3">
      <c r="A1578" t="s">
        <v>32</v>
      </c>
      <c r="B1578" s="1">
        <v>45777</v>
      </c>
      <c r="C1578">
        <v>300504</v>
      </c>
      <c r="D1578">
        <v>-11895.975</v>
      </c>
      <c r="E1578" t="s">
        <v>4</v>
      </c>
      <c r="F1578" t="s">
        <v>65</v>
      </c>
      <c r="G1578" t="s">
        <v>7</v>
      </c>
    </row>
    <row r="1579" spans="1:7" x14ac:dyDescent="0.3">
      <c r="A1579" t="s">
        <v>32</v>
      </c>
      <c r="B1579" s="1">
        <v>45777</v>
      </c>
      <c r="C1579">
        <v>300505</v>
      </c>
      <c r="D1579">
        <v>-47626.521000000001</v>
      </c>
      <c r="E1579" t="s">
        <v>4</v>
      </c>
      <c r="F1579" t="s">
        <v>65</v>
      </c>
      <c r="G1579" t="s">
        <v>7</v>
      </c>
    </row>
    <row r="1580" spans="1:7" x14ac:dyDescent="0.3">
      <c r="A1580" t="s">
        <v>32</v>
      </c>
      <c r="B1580" s="1">
        <v>45777</v>
      </c>
      <c r="C1580">
        <v>300508</v>
      </c>
      <c r="D1580">
        <v>-149025.25099999999</v>
      </c>
      <c r="E1580" t="s">
        <v>4</v>
      </c>
      <c r="F1580" t="s">
        <v>65</v>
      </c>
      <c r="G1580" t="s">
        <v>7</v>
      </c>
    </row>
    <row r="1581" spans="1:7" x14ac:dyDescent="0.3">
      <c r="A1581" t="s">
        <v>32</v>
      </c>
      <c r="B1581" s="1">
        <v>45777</v>
      </c>
      <c r="C1581">
        <v>300509</v>
      </c>
      <c r="D1581">
        <v>-4694.0680000000002</v>
      </c>
      <c r="E1581" t="s">
        <v>4</v>
      </c>
      <c r="F1581" t="s">
        <v>65</v>
      </c>
      <c r="G1581" t="s">
        <v>7</v>
      </c>
    </row>
    <row r="1582" spans="1:7" x14ac:dyDescent="0.3">
      <c r="A1582" t="s">
        <v>32</v>
      </c>
      <c r="B1582" s="1">
        <v>45777</v>
      </c>
      <c r="C1582">
        <v>300511</v>
      </c>
      <c r="D1582">
        <v>-982.21600000000001</v>
      </c>
      <c r="E1582" t="s">
        <v>4</v>
      </c>
      <c r="F1582" t="s">
        <v>65</v>
      </c>
      <c r="G1582" t="s">
        <v>7</v>
      </c>
    </row>
    <row r="1583" spans="1:7" x14ac:dyDescent="0.3">
      <c r="A1583" t="s">
        <v>32</v>
      </c>
      <c r="B1583" s="1">
        <v>45777</v>
      </c>
      <c r="C1583">
        <v>300512</v>
      </c>
      <c r="D1583">
        <v>-51498.411999999997</v>
      </c>
      <c r="E1583" t="s">
        <v>4</v>
      </c>
      <c r="F1583" t="s">
        <v>65</v>
      </c>
      <c r="G1583" t="s">
        <v>7</v>
      </c>
    </row>
    <row r="1584" spans="1:7" x14ac:dyDescent="0.3">
      <c r="A1584" t="s">
        <v>32</v>
      </c>
      <c r="B1584" s="1">
        <v>45777</v>
      </c>
      <c r="C1584">
        <v>300514</v>
      </c>
      <c r="D1584">
        <v>-20569.633999999998</v>
      </c>
      <c r="E1584" t="s">
        <v>4</v>
      </c>
      <c r="F1584" t="s">
        <v>65</v>
      </c>
      <c r="G1584" t="s">
        <v>7</v>
      </c>
    </row>
    <row r="1585" spans="1:7" x14ac:dyDescent="0.3">
      <c r="A1585" t="s">
        <v>32</v>
      </c>
      <c r="B1585" s="1">
        <v>45777</v>
      </c>
      <c r="C1585">
        <v>301002</v>
      </c>
      <c r="D1585">
        <v>36065.826999999997</v>
      </c>
      <c r="E1585" t="s">
        <v>4</v>
      </c>
      <c r="F1585" t="s">
        <v>68</v>
      </c>
      <c r="G1585" t="s">
        <v>7</v>
      </c>
    </row>
    <row r="1586" spans="1:7" x14ac:dyDescent="0.3">
      <c r="A1586" t="s">
        <v>32</v>
      </c>
      <c r="B1586" s="1">
        <v>45777</v>
      </c>
      <c r="C1586">
        <v>301004</v>
      </c>
      <c r="D1586">
        <v>75635.395999999993</v>
      </c>
      <c r="E1586" t="s">
        <v>4</v>
      </c>
      <c r="F1586" t="s">
        <v>65</v>
      </c>
      <c r="G1586" t="s">
        <v>7</v>
      </c>
    </row>
    <row r="1587" spans="1:7" x14ac:dyDescent="0.3">
      <c r="A1587" t="s">
        <v>32</v>
      </c>
      <c r="B1587" s="1">
        <v>45777</v>
      </c>
      <c r="C1587">
        <v>301005</v>
      </c>
      <c r="D1587">
        <v>29315.252</v>
      </c>
      <c r="E1587" t="s">
        <v>4</v>
      </c>
      <c r="F1587" t="s">
        <v>65</v>
      </c>
      <c r="G1587" t="s">
        <v>7</v>
      </c>
    </row>
    <row r="1588" spans="1:7" x14ac:dyDescent="0.3">
      <c r="A1588" t="s">
        <v>32</v>
      </c>
      <c r="B1588" s="1">
        <v>45777</v>
      </c>
      <c r="C1588">
        <v>301502</v>
      </c>
      <c r="D1588">
        <v>-36065.826999999997</v>
      </c>
      <c r="E1588" t="s">
        <v>4</v>
      </c>
      <c r="F1588" t="s">
        <v>68</v>
      </c>
      <c r="G1588" t="s">
        <v>7</v>
      </c>
    </row>
    <row r="1589" spans="1:7" x14ac:dyDescent="0.3">
      <c r="A1589" t="s">
        <v>32</v>
      </c>
      <c r="B1589" s="1">
        <v>45777</v>
      </c>
      <c r="C1589">
        <v>301504</v>
      </c>
      <c r="D1589">
        <v>-75635.395999999993</v>
      </c>
      <c r="E1589" t="s">
        <v>4</v>
      </c>
      <c r="F1589" t="s">
        <v>65</v>
      </c>
      <c r="G1589" t="s">
        <v>7</v>
      </c>
    </row>
    <row r="1590" spans="1:7" x14ac:dyDescent="0.3">
      <c r="A1590" t="s">
        <v>32</v>
      </c>
      <c r="B1590" s="1">
        <v>45777</v>
      </c>
      <c r="C1590">
        <v>301505</v>
      </c>
      <c r="D1590">
        <v>-29315.252</v>
      </c>
      <c r="E1590" t="s">
        <v>4</v>
      </c>
      <c r="F1590" t="s">
        <v>65</v>
      </c>
      <c r="G1590" t="s">
        <v>7</v>
      </c>
    </row>
    <row r="1591" spans="1:7" x14ac:dyDescent="0.3">
      <c r="A1591" t="s">
        <v>32</v>
      </c>
      <c r="B1591" s="1">
        <v>45777</v>
      </c>
      <c r="C1591">
        <v>303004</v>
      </c>
      <c r="D1591">
        <v>1.5660000000000001</v>
      </c>
      <c r="E1591" t="s">
        <v>4</v>
      </c>
      <c r="F1591" t="s">
        <v>65</v>
      </c>
      <c r="G1591" t="s">
        <v>7</v>
      </c>
    </row>
    <row r="1592" spans="1:7" x14ac:dyDescent="0.3">
      <c r="A1592" t="s">
        <v>32</v>
      </c>
      <c r="B1592" s="1">
        <v>45777</v>
      </c>
      <c r="C1592">
        <v>304002</v>
      </c>
      <c r="D1592">
        <v>309516.55900000001</v>
      </c>
      <c r="E1592" t="s">
        <v>4</v>
      </c>
      <c r="F1592" t="s">
        <v>65</v>
      </c>
      <c r="G1592" t="s">
        <v>7</v>
      </c>
    </row>
    <row r="1593" spans="1:7" x14ac:dyDescent="0.3">
      <c r="A1593" t="s">
        <v>32</v>
      </c>
      <c r="B1593" s="1">
        <v>45777</v>
      </c>
      <c r="C1593">
        <v>304502</v>
      </c>
      <c r="D1593">
        <v>-120517.201</v>
      </c>
      <c r="E1593" t="s">
        <v>4</v>
      </c>
      <c r="F1593" t="s">
        <v>65</v>
      </c>
      <c r="G1593" t="s">
        <v>7</v>
      </c>
    </row>
    <row r="1594" spans="1:7" x14ac:dyDescent="0.3">
      <c r="A1594" t="s">
        <v>32</v>
      </c>
      <c r="B1594" s="1">
        <v>45777</v>
      </c>
      <c r="C1594">
        <v>310010</v>
      </c>
      <c r="D1594">
        <v>4461025.5360000003</v>
      </c>
      <c r="E1594" t="s">
        <v>4</v>
      </c>
      <c r="F1594" t="s">
        <v>42</v>
      </c>
      <c r="G1594" t="s">
        <v>7</v>
      </c>
    </row>
    <row r="1595" spans="1:7" x14ac:dyDescent="0.3">
      <c r="A1595" t="s">
        <v>32</v>
      </c>
      <c r="B1595" s="1">
        <v>45777</v>
      </c>
      <c r="C1595">
        <v>310021</v>
      </c>
      <c r="D1595">
        <v>172123.58600000001</v>
      </c>
      <c r="E1595" t="s">
        <v>4</v>
      </c>
      <c r="F1595" t="s">
        <v>42</v>
      </c>
      <c r="G1595" t="s">
        <v>7</v>
      </c>
    </row>
    <row r="1596" spans="1:7" x14ac:dyDescent="0.3">
      <c r="A1596" t="s">
        <v>32</v>
      </c>
      <c r="B1596" s="1">
        <v>45777</v>
      </c>
      <c r="C1596">
        <v>310032</v>
      </c>
      <c r="D1596">
        <v>289.91300000000001</v>
      </c>
      <c r="E1596" t="s">
        <v>4</v>
      </c>
      <c r="F1596" t="s">
        <v>42</v>
      </c>
      <c r="G1596" t="s">
        <v>7</v>
      </c>
    </row>
    <row r="1597" spans="1:7" x14ac:dyDescent="0.3">
      <c r="A1597" t="s">
        <v>32</v>
      </c>
      <c r="B1597" s="1">
        <v>45777</v>
      </c>
      <c r="C1597">
        <v>320002</v>
      </c>
      <c r="D1597">
        <v>112868.461</v>
      </c>
      <c r="E1597" t="s">
        <v>4</v>
      </c>
      <c r="F1597" t="s">
        <v>46</v>
      </c>
      <c r="G1597" t="s">
        <v>7</v>
      </c>
    </row>
    <row r="1598" spans="1:7" x14ac:dyDescent="0.3">
      <c r="A1598" t="s">
        <v>32</v>
      </c>
      <c r="B1598" s="1">
        <v>45777</v>
      </c>
      <c r="C1598">
        <v>320003</v>
      </c>
      <c r="D1598">
        <v>3602822.4360000002</v>
      </c>
      <c r="E1598" t="s">
        <v>4</v>
      </c>
      <c r="F1598" t="s">
        <v>46</v>
      </c>
      <c r="G1598" t="s">
        <v>7</v>
      </c>
    </row>
    <row r="1599" spans="1:7" x14ac:dyDescent="0.3">
      <c r="A1599" t="s">
        <v>32</v>
      </c>
      <c r="B1599" s="1">
        <v>45777</v>
      </c>
      <c r="C1599">
        <v>320013</v>
      </c>
      <c r="D1599">
        <v>32787.519999999997</v>
      </c>
      <c r="E1599" t="s">
        <v>4</v>
      </c>
      <c r="F1599" t="s">
        <v>46</v>
      </c>
      <c r="G1599" t="s">
        <v>7</v>
      </c>
    </row>
    <row r="1600" spans="1:7" x14ac:dyDescent="0.3">
      <c r="A1600" t="s">
        <v>32</v>
      </c>
      <c r="B1600" s="1">
        <v>45777</v>
      </c>
      <c r="C1600">
        <v>320023</v>
      </c>
      <c r="D1600">
        <v>-75685.919999999998</v>
      </c>
      <c r="E1600" t="s">
        <v>4</v>
      </c>
      <c r="F1600" t="s">
        <v>46</v>
      </c>
      <c r="G1600" t="s">
        <v>7</v>
      </c>
    </row>
    <row r="1601" spans="1:7" x14ac:dyDescent="0.3">
      <c r="A1601" t="s">
        <v>32</v>
      </c>
      <c r="B1601" s="1">
        <v>45777</v>
      </c>
      <c r="C1601">
        <v>321010</v>
      </c>
      <c r="D1601">
        <v>431.61599999999999</v>
      </c>
      <c r="E1601" t="s">
        <v>4</v>
      </c>
      <c r="F1601" t="s">
        <v>46</v>
      </c>
      <c r="G1601" t="s">
        <v>7</v>
      </c>
    </row>
    <row r="1602" spans="1:7" x14ac:dyDescent="0.3">
      <c r="A1602" t="s">
        <v>32</v>
      </c>
      <c r="B1602" s="1">
        <v>45777</v>
      </c>
      <c r="C1602">
        <v>321012</v>
      </c>
      <c r="D1602">
        <v>371147.353</v>
      </c>
      <c r="E1602" t="s">
        <v>4</v>
      </c>
      <c r="F1602" t="s">
        <v>46</v>
      </c>
      <c r="G1602" t="s">
        <v>7</v>
      </c>
    </row>
    <row r="1603" spans="1:7" x14ac:dyDescent="0.3">
      <c r="A1603" t="s">
        <v>32</v>
      </c>
      <c r="B1603" s="1">
        <v>45777</v>
      </c>
      <c r="C1603">
        <v>321013</v>
      </c>
      <c r="D1603">
        <v>337056.56800000003</v>
      </c>
      <c r="E1603" t="s">
        <v>4</v>
      </c>
      <c r="F1603" t="s">
        <v>46</v>
      </c>
      <c r="G1603" t="s">
        <v>7</v>
      </c>
    </row>
    <row r="1604" spans="1:7" x14ac:dyDescent="0.3">
      <c r="A1604" t="s">
        <v>32</v>
      </c>
      <c r="B1604" s="1">
        <v>45777</v>
      </c>
      <c r="C1604">
        <v>321014</v>
      </c>
      <c r="D1604">
        <v>25016.121999999999</v>
      </c>
      <c r="E1604" t="s">
        <v>4</v>
      </c>
      <c r="F1604" t="s">
        <v>46</v>
      </c>
      <c r="G1604" t="s">
        <v>7</v>
      </c>
    </row>
    <row r="1605" spans="1:7" x14ac:dyDescent="0.3">
      <c r="A1605" t="s">
        <v>32</v>
      </c>
      <c r="B1605" s="1">
        <v>45777</v>
      </c>
      <c r="C1605">
        <v>321021</v>
      </c>
      <c r="D1605">
        <v>-213.90600000000001</v>
      </c>
      <c r="E1605" t="s">
        <v>4</v>
      </c>
      <c r="F1605" t="s">
        <v>46</v>
      </c>
      <c r="G1605" t="s">
        <v>7</v>
      </c>
    </row>
    <row r="1606" spans="1:7" x14ac:dyDescent="0.3">
      <c r="A1606" t="s">
        <v>32</v>
      </c>
      <c r="B1606" s="1">
        <v>45777</v>
      </c>
      <c r="C1606">
        <v>321025</v>
      </c>
      <c r="D1606">
        <v>106835.93399999999</v>
      </c>
      <c r="E1606" t="s">
        <v>4</v>
      </c>
      <c r="F1606" t="s">
        <v>46</v>
      </c>
      <c r="G1606" t="s">
        <v>7</v>
      </c>
    </row>
    <row r="1607" spans="1:7" x14ac:dyDescent="0.3">
      <c r="A1607" t="s">
        <v>32</v>
      </c>
      <c r="B1607" s="1">
        <v>45777</v>
      </c>
      <c r="C1607">
        <v>321029</v>
      </c>
      <c r="D1607">
        <v>704978.20499999996</v>
      </c>
      <c r="E1607" t="s">
        <v>4</v>
      </c>
      <c r="F1607" t="s">
        <v>46</v>
      </c>
      <c r="G1607" t="s">
        <v>7</v>
      </c>
    </row>
    <row r="1608" spans="1:7" x14ac:dyDescent="0.3">
      <c r="A1608" t="s">
        <v>32</v>
      </c>
      <c r="B1608" s="1">
        <v>45777</v>
      </c>
      <c r="C1608">
        <v>321030</v>
      </c>
      <c r="D1608">
        <v>863.41099999999994</v>
      </c>
      <c r="E1608" t="s">
        <v>4</v>
      </c>
      <c r="F1608" t="s">
        <v>46</v>
      </c>
      <c r="G1608" t="s">
        <v>7</v>
      </c>
    </row>
    <row r="1609" spans="1:7" x14ac:dyDescent="0.3">
      <c r="A1609" t="s">
        <v>32</v>
      </c>
      <c r="B1609" s="1">
        <v>45777</v>
      </c>
      <c r="C1609">
        <v>321031</v>
      </c>
      <c r="D1609">
        <v>26803.362000000001</v>
      </c>
      <c r="E1609" t="s">
        <v>4</v>
      </c>
      <c r="F1609" t="s">
        <v>46</v>
      </c>
      <c r="G1609" t="s">
        <v>7</v>
      </c>
    </row>
    <row r="1610" spans="1:7" x14ac:dyDescent="0.3">
      <c r="A1610" t="s">
        <v>32</v>
      </c>
      <c r="B1610" s="1">
        <v>45777</v>
      </c>
      <c r="C1610">
        <v>321041</v>
      </c>
      <c r="D1610">
        <v>16557.811000000002</v>
      </c>
      <c r="E1610" t="s">
        <v>4</v>
      </c>
      <c r="F1610" t="s">
        <v>46</v>
      </c>
      <c r="G1610" t="s">
        <v>7</v>
      </c>
    </row>
    <row r="1611" spans="1:7" x14ac:dyDescent="0.3">
      <c r="A1611" t="s">
        <v>32</v>
      </c>
      <c r="B1611" s="1">
        <v>45777</v>
      </c>
      <c r="C1611">
        <v>321042</v>
      </c>
      <c r="D1611">
        <v>-5.1470000000000002</v>
      </c>
      <c r="E1611" t="s">
        <v>4</v>
      </c>
      <c r="F1611" t="s">
        <v>46</v>
      </c>
      <c r="G1611" t="s">
        <v>7</v>
      </c>
    </row>
    <row r="1612" spans="1:7" x14ac:dyDescent="0.3">
      <c r="A1612" t="s">
        <v>32</v>
      </c>
      <c r="B1612" s="1">
        <v>45777</v>
      </c>
      <c r="C1612">
        <v>330002</v>
      </c>
      <c r="D1612">
        <v>-3739.9749999999999</v>
      </c>
      <c r="E1612" t="s">
        <v>4</v>
      </c>
      <c r="F1612" t="s">
        <v>43</v>
      </c>
      <c r="G1612" t="s">
        <v>7</v>
      </c>
    </row>
    <row r="1613" spans="1:7" x14ac:dyDescent="0.3">
      <c r="A1613" t="s">
        <v>32</v>
      </c>
      <c r="B1613" s="1">
        <v>45777</v>
      </c>
      <c r="C1613">
        <v>330034</v>
      </c>
      <c r="D1613">
        <v>716.01099999999997</v>
      </c>
      <c r="E1613" t="s">
        <v>4</v>
      </c>
      <c r="F1613" t="s">
        <v>43</v>
      </c>
      <c r="G1613" t="s">
        <v>7</v>
      </c>
    </row>
    <row r="1614" spans="1:7" x14ac:dyDescent="0.3">
      <c r="A1614" t="s">
        <v>32</v>
      </c>
      <c r="B1614" s="1">
        <v>45777</v>
      </c>
      <c r="C1614">
        <v>330040</v>
      </c>
      <c r="D1614">
        <v>-3669.3939999999998</v>
      </c>
      <c r="E1614" t="s">
        <v>4</v>
      </c>
      <c r="F1614" t="s">
        <v>43</v>
      </c>
      <c r="G1614" t="s">
        <v>7</v>
      </c>
    </row>
    <row r="1615" spans="1:7" x14ac:dyDescent="0.3">
      <c r="A1615" t="s">
        <v>32</v>
      </c>
      <c r="B1615" s="1">
        <v>45777</v>
      </c>
      <c r="C1615">
        <v>330115</v>
      </c>
      <c r="D1615">
        <v>13572.237999999999</v>
      </c>
      <c r="E1615" t="s">
        <v>4</v>
      </c>
      <c r="F1615" t="s">
        <v>43</v>
      </c>
      <c r="G1615" t="s">
        <v>7</v>
      </c>
    </row>
    <row r="1616" spans="1:7" x14ac:dyDescent="0.3">
      <c r="A1616" t="s">
        <v>32</v>
      </c>
      <c r="B1616" s="1">
        <v>45777</v>
      </c>
      <c r="C1616">
        <v>340003</v>
      </c>
      <c r="D1616">
        <v>4457.415</v>
      </c>
      <c r="E1616" t="s">
        <v>4</v>
      </c>
      <c r="F1616" t="s">
        <v>47</v>
      </c>
      <c r="G1616" t="s">
        <v>7</v>
      </c>
    </row>
    <row r="1617" spans="1:7" x14ac:dyDescent="0.3">
      <c r="A1617" t="s">
        <v>32</v>
      </c>
      <c r="B1617" s="1">
        <v>45777</v>
      </c>
      <c r="C1617">
        <v>340053</v>
      </c>
      <c r="D1617">
        <v>2715515.906</v>
      </c>
      <c r="E1617" t="s">
        <v>4</v>
      </c>
      <c r="F1617" t="s">
        <v>47</v>
      </c>
      <c r="G1617" t="s">
        <v>7</v>
      </c>
    </row>
    <row r="1618" spans="1:7" x14ac:dyDescent="0.3">
      <c r="A1618" t="s">
        <v>32</v>
      </c>
      <c r="B1618" s="1">
        <v>45777</v>
      </c>
      <c r="C1618">
        <v>340054</v>
      </c>
      <c r="D1618">
        <v>-2703806.818</v>
      </c>
      <c r="E1618" t="s">
        <v>4</v>
      </c>
      <c r="F1618" t="s">
        <v>47</v>
      </c>
      <c r="G1618" t="s">
        <v>7</v>
      </c>
    </row>
    <row r="1619" spans="1:7" x14ac:dyDescent="0.3">
      <c r="A1619" t="s">
        <v>32</v>
      </c>
      <c r="B1619" s="1">
        <v>45777</v>
      </c>
      <c r="C1619">
        <v>340102</v>
      </c>
      <c r="D1619">
        <v>474497.12800000003</v>
      </c>
      <c r="E1619" t="s">
        <v>4</v>
      </c>
      <c r="F1619" t="s">
        <v>47</v>
      </c>
      <c r="G1619" t="s">
        <v>7</v>
      </c>
    </row>
    <row r="1620" spans="1:7" x14ac:dyDescent="0.3">
      <c r="A1620" t="s">
        <v>32</v>
      </c>
      <c r="B1620" s="1">
        <v>45777</v>
      </c>
      <c r="C1620">
        <v>340103</v>
      </c>
      <c r="D1620">
        <v>83760796.335999995</v>
      </c>
      <c r="E1620" t="s">
        <v>4</v>
      </c>
      <c r="F1620" t="s">
        <v>47</v>
      </c>
      <c r="G1620" t="s">
        <v>7</v>
      </c>
    </row>
    <row r="1621" spans="1:7" x14ac:dyDescent="0.3">
      <c r="A1621" t="s">
        <v>32</v>
      </c>
      <c r="B1621" s="1">
        <v>45777</v>
      </c>
      <c r="C1621">
        <v>340104</v>
      </c>
      <c r="D1621">
        <v>-83653602.180000007</v>
      </c>
      <c r="E1621" t="s">
        <v>4</v>
      </c>
      <c r="F1621" t="s">
        <v>47</v>
      </c>
      <c r="G1621" t="s">
        <v>7</v>
      </c>
    </row>
    <row r="1622" spans="1:7" x14ac:dyDescent="0.3">
      <c r="A1622" t="s">
        <v>32</v>
      </c>
      <c r="B1622" s="1">
        <v>45777</v>
      </c>
      <c r="C1622">
        <v>345019</v>
      </c>
      <c r="D1622">
        <v>48011.817000000003</v>
      </c>
      <c r="E1622" t="s">
        <v>4</v>
      </c>
      <c r="F1622" t="s">
        <v>47</v>
      </c>
      <c r="G1622" t="s">
        <v>7</v>
      </c>
    </row>
    <row r="1623" spans="1:7" x14ac:dyDescent="0.3">
      <c r="A1623" t="s">
        <v>32</v>
      </c>
      <c r="B1623" s="1">
        <v>45777</v>
      </c>
      <c r="C1623">
        <v>345020</v>
      </c>
      <c r="D1623">
        <v>4033582.3849999998</v>
      </c>
      <c r="E1623" t="s">
        <v>4</v>
      </c>
      <c r="F1623" t="s">
        <v>47</v>
      </c>
      <c r="G1623" t="s">
        <v>7</v>
      </c>
    </row>
    <row r="1624" spans="1:7" x14ac:dyDescent="0.3">
      <c r="A1624" t="s">
        <v>32</v>
      </c>
      <c r="B1624" s="1">
        <v>45777</v>
      </c>
      <c r="C1624">
        <v>345021</v>
      </c>
      <c r="D1624">
        <v>-3987205.1869999999</v>
      </c>
      <c r="E1624" t="s">
        <v>4</v>
      </c>
      <c r="F1624" t="s">
        <v>47</v>
      </c>
      <c r="G1624" t="s">
        <v>7</v>
      </c>
    </row>
    <row r="1625" spans="1:7" x14ac:dyDescent="0.3">
      <c r="A1625" t="s">
        <v>32</v>
      </c>
      <c r="B1625" s="1">
        <v>45777</v>
      </c>
      <c r="C1625">
        <v>345022</v>
      </c>
      <c r="D1625">
        <v>11589.874</v>
      </c>
      <c r="E1625" t="s">
        <v>4</v>
      </c>
      <c r="F1625" t="s">
        <v>47</v>
      </c>
      <c r="G1625" t="s">
        <v>7</v>
      </c>
    </row>
    <row r="1626" spans="1:7" x14ac:dyDescent="0.3">
      <c r="A1626" t="s">
        <v>32</v>
      </c>
      <c r="B1626" s="1">
        <v>45777</v>
      </c>
      <c r="C1626">
        <v>350002</v>
      </c>
      <c r="D1626">
        <v>2512.3589999999999</v>
      </c>
      <c r="E1626" t="s">
        <v>4</v>
      </c>
      <c r="F1626" t="s">
        <v>49</v>
      </c>
      <c r="G1626" t="s">
        <v>7</v>
      </c>
    </row>
    <row r="1627" spans="1:7" x14ac:dyDescent="0.3">
      <c r="A1627" t="s">
        <v>32</v>
      </c>
      <c r="B1627" s="1">
        <v>45777</v>
      </c>
      <c r="C1627">
        <v>350003</v>
      </c>
      <c r="D1627">
        <v>5208.2079999999996</v>
      </c>
      <c r="E1627" t="s">
        <v>4</v>
      </c>
      <c r="F1627" t="s">
        <v>49</v>
      </c>
      <c r="G1627" t="s">
        <v>7</v>
      </c>
    </row>
    <row r="1628" spans="1:7" x14ac:dyDescent="0.3">
      <c r="A1628" t="s">
        <v>32</v>
      </c>
      <c r="B1628" s="1">
        <v>45777</v>
      </c>
      <c r="C1628">
        <v>350031</v>
      </c>
      <c r="D1628">
        <v>10658.26</v>
      </c>
      <c r="E1628" t="s">
        <v>4</v>
      </c>
      <c r="F1628" t="s">
        <v>43</v>
      </c>
      <c r="G1628" t="s">
        <v>7</v>
      </c>
    </row>
    <row r="1629" spans="1:7" x14ac:dyDescent="0.3">
      <c r="A1629" t="s">
        <v>32</v>
      </c>
      <c r="B1629" s="1">
        <v>45777</v>
      </c>
      <c r="C1629">
        <v>350034</v>
      </c>
      <c r="D1629">
        <v>5936.5709999999999</v>
      </c>
      <c r="E1629" t="s">
        <v>4</v>
      </c>
      <c r="F1629" t="s">
        <v>49</v>
      </c>
      <c r="G1629" t="s">
        <v>7</v>
      </c>
    </row>
    <row r="1630" spans="1:7" x14ac:dyDescent="0.3">
      <c r="A1630" t="s">
        <v>32</v>
      </c>
      <c r="B1630" s="1">
        <v>45777</v>
      </c>
      <c r="C1630">
        <v>351004</v>
      </c>
      <c r="D1630">
        <v>4738.0720000000001</v>
      </c>
      <c r="E1630" t="s">
        <v>4</v>
      </c>
      <c r="F1630" t="s">
        <v>45</v>
      </c>
      <c r="G1630" t="s">
        <v>7</v>
      </c>
    </row>
    <row r="1631" spans="1:7" x14ac:dyDescent="0.3">
      <c r="A1631" t="s">
        <v>32</v>
      </c>
      <c r="B1631" s="1">
        <v>45777</v>
      </c>
      <c r="C1631">
        <v>352002</v>
      </c>
      <c r="D1631">
        <v>1542.9059999999999</v>
      </c>
      <c r="E1631" t="s">
        <v>4</v>
      </c>
      <c r="F1631" t="s">
        <v>48</v>
      </c>
      <c r="G1631" t="s">
        <v>7</v>
      </c>
    </row>
    <row r="1632" spans="1:7" x14ac:dyDescent="0.3">
      <c r="A1632" t="s">
        <v>32</v>
      </c>
      <c r="B1632" s="1">
        <v>45777</v>
      </c>
      <c r="C1632">
        <v>352006</v>
      </c>
      <c r="D1632">
        <v>-3.0510000000000002</v>
      </c>
      <c r="E1632" t="s">
        <v>4</v>
      </c>
      <c r="F1632" t="s">
        <v>48</v>
      </c>
      <c r="G1632" t="s">
        <v>7</v>
      </c>
    </row>
    <row r="1633" spans="1:7" x14ac:dyDescent="0.3">
      <c r="A1633" t="s">
        <v>32</v>
      </c>
      <c r="B1633" s="1">
        <v>45777</v>
      </c>
      <c r="C1633">
        <v>354012</v>
      </c>
      <c r="D1633">
        <v>2678889.8330000001</v>
      </c>
      <c r="E1633" t="s">
        <v>4</v>
      </c>
      <c r="F1633" t="s">
        <v>46</v>
      </c>
      <c r="G1633" t="s">
        <v>7</v>
      </c>
    </row>
    <row r="1634" spans="1:7" x14ac:dyDescent="0.3">
      <c r="A1634" t="s">
        <v>32</v>
      </c>
      <c r="B1634" s="1">
        <v>45777</v>
      </c>
      <c r="C1634">
        <v>354013</v>
      </c>
      <c r="D1634">
        <v>43418.137000000002</v>
      </c>
      <c r="E1634" t="s">
        <v>4</v>
      </c>
      <c r="F1634" t="s">
        <v>46</v>
      </c>
      <c r="G1634" t="s">
        <v>7</v>
      </c>
    </row>
    <row r="1635" spans="1:7" x14ac:dyDescent="0.3">
      <c r="A1635" t="s">
        <v>32</v>
      </c>
      <c r="B1635" s="1">
        <v>45777</v>
      </c>
      <c r="C1635">
        <v>354014</v>
      </c>
      <c r="D1635">
        <v>438349.701</v>
      </c>
      <c r="E1635" t="s">
        <v>4</v>
      </c>
      <c r="F1635" t="s">
        <v>46</v>
      </c>
      <c r="G1635" t="s">
        <v>7</v>
      </c>
    </row>
    <row r="1636" spans="1:7" x14ac:dyDescent="0.3">
      <c r="A1636" t="s">
        <v>32</v>
      </c>
      <c r="B1636" s="1">
        <v>45777</v>
      </c>
      <c r="C1636">
        <v>355002</v>
      </c>
      <c r="D1636">
        <v>12547.387000000001</v>
      </c>
      <c r="E1636" t="s">
        <v>4</v>
      </c>
      <c r="F1636" t="s">
        <v>49</v>
      </c>
      <c r="G1636" t="s">
        <v>7</v>
      </c>
    </row>
    <row r="1637" spans="1:7" x14ac:dyDescent="0.3">
      <c r="A1637" t="s">
        <v>32</v>
      </c>
      <c r="B1637" s="1">
        <v>45777</v>
      </c>
      <c r="C1637">
        <v>355013</v>
      </c>
      <c r="D1637">
        <v>137601.117</v>
      </c>
      <c r="E1637" t="s">
        <v>4</v>
      </c>
      <c r="F1637" t="s">
        <v>49</v>
      </c>
      <c r="G1637" t="s">
        <v>7</v>
      </c>
    </row>
    <row r="1638" spans="1:7" x14ac:dyDescent="0.3">
      <c r="A1638" t="s">
        <v>32</v>
      </c>
      <c r="B1638" s="1">
        <v>45777</v>
      </c>
      <c r="C1638">
        <v>355014</v>
      </c>
      <c r="D1638">
        <v>93870.601999999999</v>
      </c>
      <c r="E1638" t="s">
        <v>4</v>
      </c>
      <c r="F1638" t="s">
        <v>49</v>
      </c>
      <c r="G1638" t="s">
        <v>7</v>
      </c>
    </row>
    <row r="1639" spans="1:7" x14ac:dyDescent="0.3">
      <c r="A1639" t="s">
        <v>32</v>
      </c>
      <c r="B1639" s="1">
        <v>45777</v>
      </c>
      <c r="C1639">
        <v>360021</v>
      </c>
      <c r="D1639">
        <v>-51.637</v>
      </c>
      <c r="E1639" t="s">
        <v>4</v>
      </c>
      <c r="F1639" t="s">
        <v>45</v>
      </c>
      <c r="G1639" t="s">
        <v>7</v>
      </c>
    </row>
    <row r="1640" spans="1:7" x14ac:dyDescent="0.3">
      <c r="A1640" t="s">
        <v>32</v>
      </c>
      <c r="B1640" s="1">
        <v>45777</v>
      </c>
      <c r="C1640">
        <v>360026</v>
      </c>
      <c r="D1640">
        <v>218532.66899999999</v>
      </c>
      <c r="E1640" t="s">
        <v>4</v>
      </c>
      <c r="F1640" t="s">
        <v>58</v>
      </c>
      <c r="G1640" t="s">
        <v>7</v>
      </c>
    </row>
    <row r="1641" spans="1:7" x14ac:dyDescent="0.3">
      <c r="A1641" t="s">
        <v>32</v>
      </c>
      <c r="B1641" s="1">
        <v>45777</v>
      </c>
      <c r="C1641">
        <v>360028</v>
      </c>
      <c r="D1641">
        <v>99592.914000000004</v>
      </c>
      <c r="E1641" t="s">
        <v>4</v>
      </c>
      <c r="F1641" t="s">
        <v>58</v>
      </c>
      <c r="G1641" t="s">
        <v>7</v>
      </c>
    </row>
    <row r="1642" spans="1:7" x14ac:dyDescent="0.3">
      <c r="A1642" t="s">
        <v>32</v>
      </c>
      <c r="B1642" s="1">
        <v>45777</v>
      </c>
      <c r="C1642">
        <v>360030</v>
      </c>
      <c r="D1642">
        <v>69470.016000000003</v>
      </c>
      <c r="E1642" t="s">
        <v>4</v>
      </c>
      <c r="F1642" t="s">
        <v>58</v>
      </c>
      <c r="G1642" t="s">
        <v>7</v>
      </c>
    </row>
    <row r="1643" spans="1:7" x14ac:dyDescent="0.3">
      <c r="A1643" t="s">
        <v>32</v>
      </c>
      <c r="B1643" s="1">
        <v>45777</v>
      </c>
      <c r="C1643">
        <v>364502</v>
      </c>
      <c r="D1643">
        <v>174079.18100000001</v>
      </c>
      <c r="E1643" t="s">
        <v>4</v>
      </c>
      <c r="F1643" t="s">
        <v>58</v>
      </c>
      <c r="G1643" t="s">
        <v>7</v>
      </c>
    </row>
    <row r="1644" spans="1:7" x14ac:dyDescent="0.3">
      <c r="A1644" t="s">
        <v>32</v>
      </c>
      <c r="B1644" s="1">
        <v>45777</v>
      </c>
      <c r="C1644">
        <v>400002</v>
      </c>
      <c r="D1644">
        <v>-23682.626</v>
      </c>
      <c r="E1644" t="s">
        <v>6</v>
      </c>
      <c r="F1644" t="s">
        <v>50</v>
      </c>
      <c r="G1644" t="s">
        <v>7</v>
      </c>
    </row>
    <row r="1645" spans="1:7" x14ac:dyDescent="0.3">
      <c r="A1645" t="s">
        <v>32</v>
      </c>
      <c r="B1645" s="1">
        <v>45777</v>
      </c>
      <c r="C1645">
        <v>400004</v>
      </c>
      <c r="D1645">
        <v>-15056.953</v>
      </c>
      <c r="E1645" t="s">
        <v>6</v>
      </c>
      <c r="F1645" t="s">
        <v>50</v>
      </c>
      <c r="G1645" t="s">
        <v>7</v>
      </c>
    </row>
    <row r="1646" spans="1:7" x14ac:dyDescent="0.3">
      <c r="A1646" t="s">
        <v>32</v>
      </c>
      <c r="B1646" s="1">
        <v>45777</v>
      </c>
      <c r="C1646">
        <v>410006</v>
      </c>
      <c r="D1646">
        <v>-28528.323</v>
      </c>
      <c r="E1646" t="s">
        <v>6</v>
      </c>
      <c r="F1646" t="s">
        <v>51</v>
      </c>
      <c r="G1646" t="s">
        <v>7</v>
      </c>
    </row>
    <row r="1647" spans="1:7" x14ac:dyDescent="0.3">
      <c r="A1647" t="s">
        <v>32</v>
      </c>
      <c r="B1647" s="1">
        <v>45777</v>
      </c>
      <c r="C1647">
        <v>410009</v>
      </c>
      <c r="D1647">
        <v>-1173.116</v>
      </c>
      <c r="E1647" t="s">
        <v>6</v>
      </c>
      <c r="F1647" t="s">
        <v>51</v>
      </c>
      <c r="G1647" t="s">
        <v>7</v>
      </c>
    </row>
    <row r="1648" spans="1:7" x14ac:dyDescent="0.3">
      <c r="A1648" t="s">
        <v>32</v>
      </c>
      <c r="B1648" s="1">
        <v>45777</v>
      </c>
      <c r="C1648">
        <v>410015</v>
      </c>
      <c r="D1648">
        <v>-25903.84</v>
      </c>
      <c r="E1648" t="s">
        <v>6</v>
      </c>
      <c r="F1648" t="s">
        <v>51</v>
      </c>
      <c r="G1648" t="s">
        <v>7</v>
      </c>
    </row>
    <row r="1649" spans="1:7" x14ac:dyDescent="0.3">
      <c r="A1649" t="s">
        <v>32</v>
      </c>
      <c r="B1649" s="1">
        <v>45777</v>
      </c>
      <c r="C1649">
        <v>410032</v>
      </c>
      <c r="D1649">
        <v>-14824.223</v>
      </c>
      <c r="E1649" t="s">
        <v>6</v>
      </c>
      <c r="F1649" t="s">
        <v>51</v>
      </c>
      <c r="G1649" t="s">
        <v>7</v>
      </c>
    </row>
    <row r="1650" spans="1:7" x14ac:dyDescent="0.3">
      <c r="A1650" t="s">
        <v>32</v>
      </c>
      <c r="B1650" s="1">
        <v>45777</v>
      </c>
      <c r="C1650">
        <v>410037</v>
      </c>
      <c r="D1650">
        <v>-121379.69899999999</v>
      </c>
      <c r="E1650" t="s">
        <v>6</v>
      </c>
      <c r="F1650" t="s">
        <v>51</v>
      </c>
      <c r="G1650" t="s">
        <v>7</v>
      </c>
    </row>
    <row r="1651" spans="1:7" x14ac:dyDescent="0.3">
      <c r="A1651" t="s">
        <v>32</v>
      </c>
      <c r="B1651" s="1">
        <v>45777</v>
      </c>
      <c r="C1651">
        <v>410039</v>
      </c>
      <c r="D1651">
        <v>-2615.578</v>
      </c>
      <c r="E1651" t="s">
        <v>6</v>
      </c>
      <c r="F1651" t="s">
        <v>51</v>
      </c>
      <c r="G1651" t="s">
        <v>7</v>
      </c>
    </row>
    <row r="1652" spans="1:7" x14ac:dyDescent="0.3">
      <c r="A1652" t="s">
        <v>32</v>
      </c>
      <c r="B1652" s="1">
        <v>45777</v>
      </c>
      <c r="C1652">
        <v>415002</v>
      </c>
      <c r="D1652">
        <v>-868092.30299999996</v>
      </c>
      <c r="E1652" t="s">
        <v>6</v>
      </c>
      <c r="F1652" t="s">
        <v>50</v>
      </c>
      <c r="G1652" t="s">
        <v>7</v>
      </c>
    </row>
    <row r="1653" spans="1:7" x14ac:dyDescent="0.3">
      <c r="A1653" t="s">
        <v>32</v>
      </c>
      <c r="B1653" s="1">
        <v>45777</v>
      </c>
      <c r="C1653">
        <v>415004</v>
      </c>
      <c r="D1653">
        <v>-855900.50399999996</v>
      </c>
      <c r="E1653" t="s">
        <v>6</v>
      </c>
      <c r="F1653" t="s">
        <v>50</v>
      </c>
      <c r="G1653" t="s">
        <v>7</v>
      </c>
    </row>
    <row r="1654" spans="1:7" x14ac:dyDescent="0.3">
      <c r="A1654" t="s">
        <v>32</v>
      </c>
      <c r="B1654" s="1">
        <v>45777</v>
      </c>
      <c r="C1654">
        <v>418002</v>
      </c>
      <c r="D1654">
        <v>-2933.42</v>
      </c>
      <c r="E1654" t="s">
        <v>6</v>
      </c>
      <c r="F1654" t="s">
        <v>50</v>
      </c>
      <c r="G1654" t="s">
        <v>7</v>
      </c>
    </row>
    <row r="1655" spans="1:7" x14ac:dyDescent="0.3">
      <c r="A1655" t="s">
        <v>32</v>
      </c>
      <c r="B1655" s="1">
        <v>45777</v>
      </c>
      <c r="C1655">
        <v>418003</v>
      </c>
      <c r="D1655">
        <v>-3948.7069999999999</v>
      </c>
      <c r="E1655" t="s">
        <v>6</v>
      </c>
      <c r="F1655" t="s">
        <v>51</v>
      </c>
      <c r="G1655" t="s">
        <v>7</v>
      </c>
    </row>
    <row r="1656" spans="1:7" x14ac:dyDescent="0.3">
      <c r="A1656" t="s">
        <v>32</v>
      </c>
      <c r="B1656" s="1">
        <v>45777</v>
      </c>
      <c r="C1656">
        <v>420003</v>
      </c>
      <c r="D1656">
        <v>-293.11200000000002</v>
      </c>
      <c r="E1656" t="s">
        <v>6</v>
      </c>
      <c r="F1656" t="s">
        <v>52</v>
      </c>
      <c r="G1656" t="s">
        <v>7</v>
      </c>
    </row>
    <row r="1657" spans="1:7" x14ac:dyDescent="0.3">
      <c r="A1657" t="s">
        <v>32</v>
      </c>
      <c r="B1657" s="1">
        <v>45777</v>
      </c>
      <c r="C1657">
        <v>420004</v>
      </c>
      <c r="D1657">
        <v>-36.953000000000003</v>
      </c>
      <c r="E1657" t="s">
        <v>6</v>
      </c>
      <c r="F1657" t="s">
        <v>52</v>
      </c>
      <c r="G1657" t="s">
        <v>7</v>
      </c>
    </row>
    <row r="1658" spans="1:7" x14ac:dyDescent="0.3">
      <c r="A1658" t="s">
        <v>32</v>
      </c>
      <c r="B1658" s="1">
        <v>45777</v>
      </c>
      <c r="C1658">
        <v>421003</v>
      </c>
      <c r="D1658">
        <v>-13066.297</v>
      </c>
      <c r="E1658" t="s">
        <v>6</v>
      </c>
      <c r="F1658" t="s">
        <v>52</v>
      </c>
      <c r="G1658" t="s">
        <v>7</v>
      </c>
    </row>
    <row r="1659" spans="1:7" x14ac:dyDescent="0.3">
      <c r="A1659" t="s">
        <v>32</v>
      </c>
      <c r="B1659" s="1">
        <v>45777</v>
      </c>
      <c r="C1659">
        <v>421007</v>
      </c>
      <c r="D1659">
        <v>5.6120000000000001</v>
      </c>
      <c r="E1659" t="s">
        <v>6</v>
      </c>
      <c r="F1659" t="s">
        <v>52</v>
      </c>
      <c r="G1659" t="s">
        <v>7</v>
      </c>
    </row>
    <row r="1660" spans="1:7" x14ac:dyDescent="0.3">
      <c r="A1660" t="s">
        <v>32</v>
      </c>
      <c r="B1660" s="1">
        <v>45777</v>
      </c>
      <c r="C1660">
        <v>510002</v>
      </c>
      <c r="D1660">
        <v>323551.16800000001</v>
      </c>
      <c r="E1660" t="s">
        <v>6</v>
      </c>
      <c r="F1660" t="s">
        <v>53</v>
      </c>
      <c r="G1660" t="s">
        <v>7</v>
      </c>
    </row>
    <row r="1661" spans="1:7" x14ac:dyDescent="0.3">
      <c r="A1661" t="s">
        <v>32</v>
      </c>
      <c r="B1661" s="1">
        <v>45777</v>
      </c>
      <c r="C1661">
        <v>510005</v>
      </c>
      <c r="D1661">
        <v>16384.877</v>
      </c>
      <c r="E1661" t="s">
        <v>6</v>
      </c>
      <c r="F1661" t="s">
        <v>53</v>
      </c>
      <c r="G1661" t="s">
        <v>7</v>
      </c>
    </row>
    <row r="1662" spans="1:7" x14ac:dyDescent="0.3">
      <c r="A1662" t="s">
        <v>32</v>
      </c>
      <c r="B1662" s="1">
        <v>45777</v>
      </c>
      <c r="C1662">
        <v>510007</v>
      </c>
      <c r="D1662">
        <v>31233.757000000001</v>
      </c>
      <c r="E1662" t="s">
        <v>6</v>
      </c>
      <c r="F1662" t="s">
        <v>53</v>
      </c>
      <c r="G1662" t="s">
        <v>7</v>
      </c>
    </row>
    <row r="1663" spans="1:7" x14ac:dyDescent="0.3">
      <c r="A1663" t="s">
        <v>32</v>
      </c>
      <c r="B1663" s="1">
        <v>45777</v>
      </c>
      <c r="C1663">
        <v>510010</v>
      </c>
      <c r="D1663">
        <v>3297.2289999999998</v>
      </c>
      <c r="E1663" t="s">
        <v>6</v>
      </c>
      <c r="F1663" t="s">
        <v>53</v>
      </c>
      <c r="G1663" t="s">
        <v>7</v>
      </c>
    </row>
    <row r="1664" spans="1:7" x14ac:dyDescent="0.3">
      <c r="A1664" t="s">
        <v>32</v>
      </c>
      <c r="B1664" s="1">
        <v>45777</v>
      </c>
      <c r="C1664">
        <v>510012</v>
      </c>
      <c r="D1664">
        <v>3732.422</v>
      </c>
      <c r="E1664" t="s">
        <v>6</v>
      </c>
      <c r="F1664" t="s">
        <v>53</v>
      </c>
      <c r="G1664" t="s">
        <v>7</v>
      </c>
    </row>
    <row r="1665" spans="1:7" x14ac:dyDescent="0.3">
      <c r="A1665" t="s">
        <v>32</v>
      </c>
      <c r="B1665" s="1">
        <v>45777</v>
      </c>
      <c r="C1665">
        <v>510015</v>
      </c>
      <c r="D1665">
        <v>26557.145</v>
      </c>
      <c r="E1665" t="s">
        <v>6</v>
      </c>
      <c r="F1665" t="s">
        <v>53</v>
      </c>
      <c r="G1665" t="s">
        <v>7</v>
      </c>
    </row>
    <row r="1666" spans="1:7" x14ac:dyDescent="0.3">
      <c r="A1666" t="s">
        <v>32</v>
      </c>
      <c r="B1666" s="1">
        <v>45777</v>
      </c>
      <c r="C1666">
        <v>510018</v>
      </c>
      <c r="D1666">
        <v>30747.969000000001</v>
      </c>
      <c r="E1666" t="s">
        <v>6</v>
      </c>
      <c r="F1666" t="s">
        <v>53</v>
      </c>
      <c r="G1666" t="s">
        <v>7</v>
      </c>
    </row>
    <row r="1667" spans="1:7" x14ac:dyDescent="0.3">
      <c r="A1667" t="s">
        <v>32</v>
      </c>
      <c r="B1667" s="1">
        <v>45777</v>
      </c>
      <c r="C1667">
        <v>510059</v>
      </c>
      <c r="D1667">
        <v>2041.0029999999999</v>
      </c>
      <c r="E1667" t="s">
        <v>6</v>
      </c>
      <c r="F1667" t="s">
        <v>53</v>
      </c>
      <c r="G1667" t="s">
        <v>7</v>
      </c>
    </row>
    <row r="1668" spans="1:7" x14ac:dyDescent="0.3">
      <c r="A1668" t="s">
        <v>32</v>
      </c>
      <c r="B1668" s="1">
        <v>45777</v>
      </c>
      <c r="C1668">
        <v>510062</v>
      </c>
      <c r="D1668">
        <v>11419.288</v>
      </c>
      <c r="E1668" t="s">
        <v>6</v>
      </c>
      <c r="F1668" t="s">
        <v>53</v>
      </c>
      <c r="G1668" t="s">
        <v>7</v>
      </c>
    </row>
    <row r="1669" spans="1:7" x14ac:dyDescent="0.3">
      <c r="A1669" t="s">
        <v>32</v>
      </c>
      <c r="B1669" s="1">
        <v>45777</v>
      </c>
      <c r="C1669">
        <v>510065</v>
      </c>
      <c r="D1669">
        <v>4796.8760000000002</v>
      </c>
      <c r="E1669" t="s">
        <v>6</v>
      </c>
      <c r="F1669" t="s">
        <v>53</v>
      </c>
      <c r="G1669" t="s">
        <v>7</v>
      </c>
    </row>
    <row r="1670" spans="1:7" x14ac:dyDescent="0.3">
      <c r="A1670" t="s">
        <v>32</v>
      </c>
      <c r="B1670" s="1">
        <v>45777</v>
      </c>
      <c r="C1670">
        <v>520020</v>
      </c>
      <c r="D1670">
        <v>5737.4530000000004</v>
      </c>
      <c r="E1670" t="s">
        <v>6</v>
      </c>
      <c r="F1670" t="s">
        <v>53</v>
      </c>
      <c r="G1670" t="s">
        <v>7</v>
      </c>
    </row>
    <row r="1671" spans="1:7" x14ac:dyDescent="0.3">
      <c r="A1671" t="s">
        <v>32</v>
      </c>
      <c r="B1671" s="1">
        <v>45777</v>
      </c>
      <c r="C1671">
        <v>520021</v>
      </c>
      <c r="D1671">
        <v>308.26600000000002</v>
      </c>
      <c r="E1671" t="s">
        <v>6</v>
      </c>
      <c r="F1671" t="s">
        <v>60</v>
      </c>
      <c r="G1671" t="s">
        <v>7</v>
      </c>
    </row>
    <row r="1672" spans="1:7" x14ac:dyDescent="0.3">
      <c r="A1672" t="s">
        <v>32</v>
      </c>
      <c r="B1672" s="1">
        <v>45777</v>
      </c>
      <c r="C1672">
        <v>540008</v>
      </c>
      <c r="D1672">
        <v>592.89400000000001</v>
      </c>
      <c r="E1672" t="s">
        <v>6</v>
      </c>
      <c r="F1672" t="s">
        <v>67</v>
      </c>
      <c r="G1672" t="s">
        <v>7</v>
      </c>
    </row>
    <row r="1673" spans="1:7" x14ac:dyDescent="0.3">
      <c r="A1673" t="s">
        <v>32</v>
      </c>
      <c r="B1673" s="1">
        <v>45777</v>
      </c>
      <c r="C1673">
        <v>541002</v>
      </c>
      <c r="D1673">
        <v>27521.484</v>
      </c>
      <c r="E1673" t="s">
        <v>6</v>
      </c>
      <c r="F1673" t="s">
        <v>61</v>
      </c>
      <c r="G1673" t="s">
        <v>7</v>
      </c>
    </row>
    <row r="1674" spans="1:7" x14ac:dyDescent="0.3">
      <c r="A1674" t="s">
        <v>32</v>
      </c>
      <c r="B1674" s="1">
        <v>45777</v>
      </c>
      <c r="C1674">
        <v>541004</v>
      </c>
      <c r="D1674">
        <v>2373.34</v>
      </c>
      <c r="E1674" t="s">
        <v>6</v>
      </c>
      <c r="F1674" t="s">
        <v>61</v>
      </c>
      <c r="G1674" t="s">
        <v>7</v>
      </c>
    </row>
    <row r="1675" spans="1:7" x14ac:dyDescent="0.3">
      <c r="A1675" t="s">
        <v>32</v>
      </c>
      <c r="B1675" s="1">
        <v>45777</v>
      </c>
      <c r="C1675">
        <v>541009</v>
      </c>
      <c r="D1675">
        <v>5939.4170000000004</v>
      </c>
      <c r="E1675" t="s">
        <v>6</v>
      </c>
      <c r="F1675" t="s">
        <v>61</v>
      </c>
      <c r="G1675" t="s">
        <v>7</v>
      </c>
    </row>
    <row r="1676" spans="1:7" x14ac:dyDescent="0.3">
      <c r="A1676" t="s">
        <v>32</v>
      </c>
      <c r="B1676" s="1">
        <v>45777</v>
      </c>
      <c r="C1676">
        <v>541010</v>
      </c>
      <c r="D1676">
        <v>1751.057</v>
      </c>
      <c r="E1676" t="s">
        <v>6</v>
      </c>
      <c r="F1676" t="s">
        <v>61</v>
      </c>
      <c r="G1676" t="s">
        <v>7</v>
      </c>
    </row>
    <row r="1677" spans="1:7" x14ac:dyDescent="0.3">
      <c r="A1677" t="s">
        <v>32</v>
      </c>
      <c r="B1677" s="1">
        <v>45777</v>
      </c>
      <c r="C1677">
        <v>541013</v>
      </c>
      <c r="D1677">
        <v>798.87099999999998</v>
      </c>
      <c r="E1677" t="s">
        <v>6</v>
      </c>
      <c r="F1677" t="s">
        <v>61</v>
      </c>
      <c r="G1677" t="s">
        <v>7</v>
      </c>
    </row>
    <row r="1678" spans="1:7" x14ac:dyDescent="0.3">
      <c r="A1678" t="s">
        <v>32</v>
      </c>
      <c r="B1678" s="1">
        <v>45777</v>
      </c>
      <c r="C1678">
        <v>544006</v>
      </c>
      <c r="D1678">
        <v>6117.0590000000002</v>
      </c>
      <c r="E1678" t="s">
        <v>6</v>
      </c>
      <c r="F1678" t="s">
        <v>61</v>
      </c>
      <c r="G1678" t="s">
        <v>7</v>
      </c>
    </row>
    <row r="1679" spans="1:7" x14ac:dyDescent="0.3">
      <c r="A1679" t="s">
        <v>32</v>
      </c>
      <c r="B1679" s="1">
        <v>45777</v>
      </c>
      <c r="C1679">
        <v>546002</v>
      </c>
      <c r="D1679">
        <v>827409.59499999997</v>
      </c>
      <c r="E1679" t="s">
        <v>6</v>
      </c>
      <c r="F1679" t="s">
        <v>51</v>
      </c>
      <c r="G1679" t="s">
        <v>7</v>
      </c>
    </row>
    <row r="1680" spans="1:7" x14ac:dyDescent="0.3">
      <c r="A1680" t="s">
        <v>32</v>
      </c>
      <c r="B1680" s="1">
        <v>45777</v>
      </c>
      <c r="C1680">
        <v>546005</v>
      </c>
      <c r="D1680">
        <v>2733.84</v>
      </c>
      <c r="E1680" t="s">
        <v>6</v>
      </c>
      <c r="F1680" t="s">
        <v>51</v>
      </c>
      <c r="G1680" t="s">
        <v>7</v>
      </c>
    </row>
    <row r="1681" spans="1:7" x14ac:dyDescent="0.3">
      <c r="A1681" t="s">
        <v>32</v>
      </c>
      <c r="B1681" s="1">
        <v>45777</v>
      </c>
      <c r="C1681">
        <v>546008</v>
      </c>
      <c r="D1681">
        <v>20420.517</v>
      </c>
      <c r="E1681" t="s">
        <v>6</v>
      </c>
      <c r="F1681" t="s">
        <v>51</v>
      </c>
      <c r="G1681" t="s">
        <v>7</v>
      </c>
    </row>
    <row r="1682" spans="1:7" x14ac:dyDescent="0.3">
      <c r="A1682" t="s">
        <v>32</v>
      </c>
      <c r="B1682" s="1">
        <v>45777</v>
      </c>
      <c r="C1682">
        <v>546012</v>
      </c>
      <c r="D1682">
        <v>3694.7579999999998</v>
      </c>
      <c r="E1682" t="s">
        <v>6</v>
      </c>
      <c r="F1682" t="s">
        <v>51</v>
      </c>
      <c r="G1682" t="s">
        <v>7</v>
      </c>
    </row>
    <row r="1683" spans="1:7" x14ac:dyDescent="0.3">
      <c r="A1683" t="s">
        <v>32</v>
      </c>
      <c r="B1683" s="1">
        <v>45777</v>
      </c>
      <c r="C1683">
        <v>546015</v>
      </c>
      <c r="D1683">
        <v>71043.270999999993</v>
      </c>
      <c r="E1683" t="s">
        <v>6</v>
      </c>
      <c r="F1683" t="s">
        <v>51</v>
      </c>
      <c r="G1683" t="s">
        <v>7</v>
      </c>
    </row>
    <row r="1684" spans="1:7" x14ac:dyDescent="0.3">
      <c r="A1684" t="s">
        <v>32</v>
      </c>
      <c r="B1684" s="1">
        <v>45777</v>
      </c>
      <c r="C1684">
        <v>546016</v>
      </c>
      <c r="D1684">
        <v>4902.0829999999996</v>
      </c>
      <c r="E1684" t="s">
        <v>6</v>
      </c>
      <c r="F1684" t="s">
        <v>51</v>
      </c>
      <c r="G1684" t="s">
        <v>7</v>
      </c>
    </row>
    <row r="1685" spans="1:7" x14ac:dyDescent="0.3">
      <c r="A1685" t="s">
        <v>32</v>
      </c>
      <c r="B1685" s="1">
        <v>45777</v>
      </c>
      <c r="C1685">
        <v>546018</v>
      </c>
      <c r="D1685">
        <v>926.63099999999997</v>
      </c>
      <c r="E1685" t="s">
        <v>6</v>
      </c>
      <c r="F1685" t="s">
        <v>51</v>
      </c>
      <c r="G1685" t="s">
        <v>7</v>
      </c>
    </row>
    <row r="1686" spans="1:7" x14ac:dyDescent="0.3">
      <c r="A1686" t="s">
        <v>32</v>
      </c>
      <c r="B1686" s="1">
        <v>45777</v>
      </c>
      <c r="C1686">
        <v>546022</v>
      </c>
      <c r="D1686">
        <v>13798.654</v>
      </c>
      <c r="E1686" t="s">
        <v>6</v>
      </c>
      <c r="F1686" t="s">
        <v>51</v>
      </c>
      <c r="G1686" t="s">
        <v>7</v>
      </c>
    </row>
    <row r="1687" spans="1:7" x14ac:dyDescent="0.3">
      <c r="A1687" t="s">
        <v>32</v>
      </c>
      <c r="B1687" s="1">
        <v>45777</v>
      </c>
      <c r="C1687">
        <v>546035</v>
      </c>
      <c r="D1687">
        <v>3590.17</v>
      </c>
      <c r="E1687" t="s">
        <v>6</v>
      </c>
      <c r="F1687" t="s">
        <v>51</v>
      </c>
      <c r="G1687" t="s">
        <v>7</v>
      </c>
    </row>
    <row r="1688" spans="1:7" x14ac:dyDescent="0.3">
      <c r="A1688" t="s">
        <v>32</v>
      </c>
      <c r="B1688" s="1">
        <v>45777</v>
      </c>
      <c r="C1688">
        <v>546038</v>
      </c>
      <c r="D1688">
        <v>4291.884</v>
      </c>
      <c r="E1688" t="s">
        <v>6</v>
      </c>
      <c r="F1688" t="s">
        <v>51</v>
      </c>
      <c r="G1688" t="s">
        <v>7</v>
      </c>
    </row>
    <row r="1689" spans="1:7" x14ac:dyDescent="0.3">
      <c r="A1689" t="s">
        <v>32</v>
      </c>
      <c r="B1689" s="1">
        <v>45777</v>
      </c>
      <c r="C1689">
        <v>546040</v>
      </c>
      <c r="D1689">
        <v>46544.508999999998</v>
      </c>
      <c r="E1689" t="s">
        <v>6</v>
      </c>
      <c r="F1689" t="s">
        <v>51</v>
      </c>
      <c r="G1689" t="s">
        <v>7</v>
      </c>
    </row>
    <row r="1690" spans="1:7" x14ac:dyDescent="0.3">
      <c r="A1690" t="s">
        <v>32</v>
      </c>
      <c r="B1690" s="1">
        <v>45777</v>
      </c>
      <c r="C1690">
        <v>546045</v>
      </c>
      <c r="D1690">
        <v>5172.4040000000005</v>
      </c>
      <c r="E1690" t="s">
        <v>6</v>
      </c>
      <c r="F1690" t="s">
        <v>51</v>
      </c>
      <c r="G1690" t="s">
        <v>7</v>
      </c>
    </row>
    <row r="1691" spans="1:7" x14ac:dyDescent="0.3">
      <c r="A1691" t="s">
        <v>32</v>
      </c>
      <c r="B1691" s="1">
        <v>45777</v>
      </c>
      <c r="C1691">
        <v>546047</v>
      </c>
      <c r="D1691">
        <v>877.10799999999995</v>
      </c>
      <c r="E1691" t="s">
        <v>6</v>
      </c>
      <c r="F1691" t="s">
        <v>51</v>
      </c>
      <c r="G1691" t="s">
        <v>7</v>
      </c>
    </row>
    <row r="1692" spans="1:7" x14ac:dyDescent="0.3">
      <c r="A1692" t="s">
        <v>32</v>
      </c>
      <c r="B1692" s="1">
        <v>45777</v>
      </c>
      <c r="C1692">
        <v>547002</v>
      </c>
      <c r="D1692">
        <v>83321.483999999997</v>
      </c>
      <c r="E1692" t="s">
        <v>6</v>
      </c>
      <c r="F1692" t="s">
        <v>54</v>
      </c>
      <c r="G1692" t="s">
        <v>7</v>
      </c>
    </row>
    <row r="1693" spans="1:7" x14ac:dyDescent="0.3">
      <c r="A1693" t="s">
        <v>32</v>
      </c>
      <c r="B1693" s="1">
        <v>45777</v>
      </c>
      <c r="C1693">
        <v>547006</v>
      </c>
      <c r="D1693">
        <v>10819.244000000001</v>
      </c>
      <c r="E1693" t="s">
        <v>6</v>
      </c>
      <c r="F1693" t="s">
        <v>54</v>
      </c>
      <c r="G1693" t="s">
        <v>7</v>
      </c>
    </row>
    <row r="1694" spans="1:7" x14ac:dyDescent="0.3">
      <c r="A1694" t="s">
        <v>32</v>
      </c>
      <c r="B1694" s="1">
        <v>45777</v>
      </c>
      <c r="C1694">
        <v>547011</v>
      </c>
      <c r="D1694">
        <v>254.63300000000001</v>
      </c>
      <c r="E1694" t="s">
        <v>6</v>
      </c>
      <c r="F1694" t="s">
        <v>54</v>
      </c>
      <c r="G1694" t="s">
        <v>7</v>
      </c>
    </row>
    <row r="1695" spans="1:7" x14ac:dyDescent="0.3">
      <c r="A1695" t="s">
        <v>32</v>
      </c>
      <c r="B1695" s="1">
        <v>45777</v>
      </c>
      <c r="C1695">
        <v>550002</v>
      </c>
      <c r="D1695">
        <v>-2669.672</v>
      </c>
      <c r="E1695" t="s">
        <v>6</v>
      </c>
      <c r="F1695" t="s">
        <v>62</v>
      </c>
      <c r="G1695" t="s">
        <v>7</v>
      </c>
    </row>
    <row r="1696" spans="1:7" x14ac:dyDescent="0.3">
      <c r="A1696" t="s">
        <v>32</v>
      </c>
      <c r="B1696" s="1">
        <v>45777</v>
      </c>
      <c r="C1696">
        <v>550003</v>
      </c>
      <c r="D1696">
        <v>246972.535</v>
      </c>
      <c r="E1696" t="s">
        <v>6</v>
      </c>
      <c r="F1696" t="s">
        <v>62</v>
      </c>
      <c r="G1696" t="s">
        <v>7</v>
      </c>
    </row>
    <row r="1697" spans="1:7" x14ac:dyDescent="0.3">
      <c r="A1697" t="s">
        <v>32</v>
      </c>
      <c r="B1697" s="1">
        <v>45777</v>
      </c>
      <c r="C1697">
        <v>551002</v>
      </c>
      <c r="D1697">
        <v>4453.1210000000001</v>
      </c>
      <c r="E1697" t="s">
        <v>6</v>
      </c>
      <c r="F1697" t="s">
        <v>63</v>
      </c>
      <c r="G1697" t="s">
        <v>7</v>
      </c>
    </row>
    <row r="1698" spans="1:7" x14ac:dyDescent="0.3">
      <c r="A1698" t="s">
        <v>32</v>
      </c>
      <c r="B1698" s="1">
        <v>45777</v>
      </c>
      <c r="C1698">
        <v>551003</v>
      </c>
      <c r="D1698">
        <v>2448.75</v>
      </c>
      <c r="E1698" t="s">
        <v>6</v>
      </c>
      <c r="F1698" t="s">
        <v>63</v>
      </c>
      <c r="G1698" t="s">
        <v>7</v>
      </c>
    </row>
    <row r="1699" spans="1:7" x14ac:dyDescent="0.3">
      <c r="A1699" t="s">
        <v>32</v>
      </c>
      <c r="B1699" s="1">
        <v>45777</v>
      </c>
      <c r="C1699">
        <v>551011</v>
      </c>
      <c r="D1699">
        <v>46.835999999999999</v>
      </c>
      <c r="E1699" t="s">
        <v>6</v>
      </c>
      <c r="F1699" t="s">
        <v>61</v>
      </c>
      <c r="G1699" t="s">
        <v>7</v>
      </c>
    </row>
    <row r="1700" spans="1:7" x14ac:dyDescent="0.3">
      <c r="A1700" t="s">
        <v>32</v>
      </c>
      <c r="B1700" s="1">
        <v>45777</v>
      </c>
      <c r="C1700">
        <v>552002</v>
      </c>
      <c r="D1700">
        <v>257.31200000000001</v>
      </c>
      <c r="E1700" t="s">
        <v>6</v>
      </c>
      <c r="F1700" t="s">
        <v>55</v>
      </c>
      <c r="G1700" t="s">
        <v>7</v>
      </c>
    </row>
    <row r="1701" spans="1:7" x14ac:dyDescent="0.3">
      <c r="A1701" t="s">
        <v>32</v>
      </c>
      <c r="B1701" s="1">
        <v>45777</v>
      </c>
      <c r="C1701">
        <v>552502</v>
      </c>
      <c r="D1701">
        <v>1.7929999999999999</v>
      </c>
      <c r="E1701" t="s">
        <v>6</v>
      </c>
      <c r="F1701" t="s">
        <v>55</v>
      </c>
      <c r="G1701" t="s">
        <v>7</v>
      </c>
    </row>
    <row r="1702" spans="1:7" x14ac:dyDescent="0.3">
      <c r="A1702" t="s">
        <v>32</v>
      </c>
      <c r="B1702" s="1">
        <v>45777</v>
      </c>
      <c r="C1702">
        <v>552504</v>
      </c>
      <c r="D1702">
        <v>206.43600000000001</v>
      </c>
      <c r="E1702" t="s">
        <v>6</v>
      </c>
      <c r="F1702" t="s">
        <v>55</v>
      </c>
      <c r="G1702" t="s">
        <v>7</v>
      </c>
    </row>
    <row r="1703" spans="1:7" x14ac:dyDescent="0.3">
      <c r="A1703" t="s">
        <v>32</v>
      </c>
      <c r="B1703" s="1">
        <v>45777</v>
      </c>
      <c r="C1703">
        <v>554005</v>
      </c>
      <c r="D1703">
        <v>117.09099999999999</v>
      </c>
      <c r="E1703" t="s">
        <v>6</v>
      </c>
      <c r="F1703" t="s">
        <v>55</v>
      </c>
      <c r="G1703" t="s">
        <v>7</v>
      </c>
    </row>
    <row r="1704" spans="1:7" x14ac:dyDescent="0.3">
      <c r="A1704" t="s">
        <v>32</v>
      </c>
      <c r="B1704" s="1">
        <v>45777</v>
      </c>
      <c r="C1704">
        <v>554007</v>
      </c>
      <c r="D1704">
        <v>7.3769999999999998</v>
      </c>
      <c r="E1704" t="s">
        <v>6</v>
      </c>
      <c r="F1704" t="s">
        <v>55</v>
      </c>
      <c r="G1704" t="s">
        <v>7</v>
      </c>
    </row>
    <row r="1705" spans="1:7" x14ac:dyDescent="0.3">
      <c r="A1705" t="s">
        <v>32</v>
      </c>
      <c r="B1705" s="1">
        <v>45777</v>
      </c>
      <c r="C1705">
        <v>555007</v>
      </c>
      <c r="D1705">
        <v>1876.1379999999999</v>
      </c>
      <c r="E1705" t="s">
        <v>6</v>
      </c>
      <c r="F1705" t="s">
        <v>55</v>
      </c>
      <c r="G1705" t="s">
        <v>7</v>
      </c>
    </row>
    <row r="1706" spans="1:7" x14ac:dyDescent="0.3">
      <c r="A1706" t="s">
        <v>32</v>
      </c>
      <c r="B1706" s="1">
        <v>45777</v>
      </c>
      <c r="C1706">
        <v>555502</v>
      </c>
      <c r="D1706">
        <v>2549.989</v>
      </c>
      <c r="E1706" t="s">
        <v>6</v>
      </c>
      <c r="F1706" t="s">
        <v>55</v>
      </c>
      <c r="G1706" t="s">
        <v>7</v>
      </c>
    </row>
    <row r="1707" spans="1:7" x14ac:dyDescent="0.3">
      <c r="A1707" t="s">
        <v>32</v>
      </c>
      <c r="B1707" s="1">
        <v>45777</v>
      </c>
      <c r="C1707">
        <v>555508</v>
      </c>
      <c r="D1707">
        <v>174.64500000000001</v>
      </c>
      <c r="E1707" t="s">
        <v>6</v>
      </c>
      <c r="F1707" t="s">
        <v>55</v>
      </c>
      <c r="G1707" t="s">
        <v>7</v>
      </c>
    </row>
    <row r="1708" spans="1:7" x14ac:dyDescent="0.3">
      <c r="A1708" t="s">
        <v>32</v>
      </c>
      <c r="B1708" s="1">
        <v>45777</v>
      </c>
      <c r="C1708">
        <v>556002</v>
      </c>
      <c r="D1708">
        <v>-3899.9270000000001</v>
      </c>
      <c r="E1708" t="s">
        <v>6</v>
      </c>
      <c r="F1708" t="s">
        <v>60</v>
      </c>
      <c r="G1708" t="s">
        <v>7</v>
      </c>
    </row>
    <row r="1709" spans="1:7" x14ac:dyDescent="0.3">
      <c r="A1709" t="s">
        <v>32</v>
      </c>
      <c r="B1709" s="1">
        <v>45777</v>
      </c>
      <c r="C1709">
        <v>556004</v>
      </c>
      <c r="D1709">
        <v>959.95</v>
      </c>
      <c r="E1709" t="s">
        <v>6</v>
      </c>
      <c r="F1709" t="s">
        <v>55</v>
      </c>
      <c r="G1709" t="s">
        <v>7</v>
      </c>
    </row>
    <row r="1710" spans="1:7" x14ac:dyDescent="0.3">
      <c r="A1710" t="s">
        <v>32</v>
      </c>
      <c r="B1710" s="1">
        <v>45777</v>
      </c>
      <c r="C1710">
        <v>557002</v>
      </c>
      <c r="D1710">
        <v>13202.714</v>
      </c>
      <c r="E1710" t="s">
        <v>6</v>
      </c>
      <c r="F1710" t="s">
        <v>56</v>
      </c>
      <c r="G1710" t="s">
        <v>7</v>
      </c>
    </row>
    <row r="1711" spans="1:7" x14ac:dyDescent="0.3">
      <c r="A1711" t="s">
        <v>32</v>
      </c>
      <c r="B1711" s="1">
        <v>45777</v>
      </c>
      <c r="C1711">
        <v>557003</v>
      </c>
      <c r="D1711">
        <v>-14.387</v>
      </c>
      <c r="E1711" t="s">
        <v>6</v>
      </c>
      <c r="F1711" t="s">
        <v>56</v>
      </c>
      <c r="G1711" t="s">
        <v>7</v>
      </c>
    </row>
    <row r="1712" spans="1:7" x14ac:dyDescent="0.3">
      <c r="A1712" t="s">
        <v>32</v>
      </c>
      <c r="B1712" s="1">
        <v>45777</v>
      </c>
      <c r="C1712">
        <v>558003</v>
      </c>
      <c r="D1712">
        <v>2166.181</v>
      </c>
      <c r="E1712" t="s">
        <v>6</v>
      </c>
      <c r="F1712" t="s">
        <v>57</v>
      </c>
      <c r="G1712" t="s">
        <v>7</v>
      </c>
    </row>
    <row r="1713" spans="1:7" x14ac:dyDescent="0.3">
      <c r="A1713" t="s">
        <v>32</v>
      </c>
      <c r="B1713" s="1">
        <v>45777</v>
      </c>
      <c r="C1713">
        <v>558006</v>
      </c>
      <c r="D1713">
        <v>5425.9920000000002</v>
      </c>
      <c r="E1713" t="s">
        <v>6</v>
      </c>
      <c r="F1713" t="s">
        <v>57</v>
      </c>
      <c r="G1713" t="s">
        <v>7</v>
      </c>
    </row>
    <row r="1714" spans="1:7" x14ac:dyDescent="0.3">
      <c r="A1714" t="s">
        <v>32</v>
      </c>
      <c r="B1714" s="1">
        <v>45777</v>
      </c>
      <c r="C1714">
        <v>558012</v>
      </c>
      <c r="D1714">
        <v>364.70299999999997</v>
      </c>
      <c r="E1714" t="s">
        <v>6</v>
      </c>
      <c r="F1714" t="s">
        <v>60</v>
      </c>
      <c r="G1714" t="s">
        <v>7</v>
      </c>
    </row>
    <row r="1715" spans="1:7" x14ac:dyDescent="0.3">
      <c r="A1715" t="s">
        <v>32</v>
      </c>
      <c r="B1715" s="1">
        <v>45777</v>
      </c>
      <c r="C1715">
        <v>559002</v>
      </c>
      <c r="D1715">
        <v>26.087</v>
      </c>
      <c r="E1715" t="s">
        <v>6</v>
      </c>
      <c r="F1715" t="s">
        <v>60</v>
      </c>
      <c r="G1715" t="s">
        <v>7</v>
      </c>
    </row>
    <row r="1716" spans="1:7" x14ac:dyDescent="0.3">
      <c r="A1716" t="s">
        <v>32</v>
      </c>
      <c r="B1716" s="1">
        <v>45777</v>
      </c>
      <c r="C1716">
        <v>564008</v>
      </c>
      <c r="D1716">
        <v>32.023000000000003</v>
      </c>
      <c r="E1716" t="s">
        <v>6</v>
      </c>
      <c r="F1716" t="s">
        <v>55</v>
      </c>
      <c r="G1716" t="s">
        <v>7</v>
      </c>
    </row>
    <row r="1717" spans="1:7" x14ac:dyDescent="0.3">
      <c r="A1717" t="s">
        <v>32</v>
      </c>
      <c r="B1717" s="1">
        <v>45777</v>
      </c>
      <c r="C1717">
        <v>564020</v>
      </c>
      <c r="D1717">
        <v>204.62</v>
      </c>
      <c r="E1717" t="s">
        <v>6</v>
      </c>
      <c r="F1717" t="s">
        <v>57</v>
      </c>
      <c r="G1717" t="s">
        <v>7</v>
      </c>
    </row>
    <row r="1718" spans="1:7" x14ac:dyDescent="0.3">
      <c r="A1718" t="s">
        <v>32</v>
      </c>
      <c r="B1718" s="1">
        <v>45777</v>
      </c>
      <c r="C1718">
        <v>564022</v>
      </c>
      <c r="D1718">
        <v>1292.7380000000001</v>
      </c>
      <c r="E1718" t="s">
        <v>6</v>
      </c>
      <c r="F1718" t="s">
        <v>67</v>
      </c>
      <c r="G1718" t="s">
        <v>7</v>
      </c>
    </row>
    <row r="1719" spans="1:7" x14ac:dyDescent="0.3">
      <c r="A1719" t="s">
        <v>32</v>
      </c>
      <c r="B1719" s="1">
        <v>45777</v>
      </c>
      <c r="C1719">
        <v>570002</v>
      </c>
      <c r="D1719">
        <v>2549.5259999999998</v>
      </c>
      <c r="E1719" t="s">
        <v>6</v>
      </c>
      <c r="F1719" t="s">
        <v>66</v>
      </c>
      <c r="G1719" t="s">
        <v>7</v>
      </c>
    </row>
    <row r="1720" spans="1:7" x14ac:dyDescent="0.3">
      <c r="A1720" t="s">
        <v>32</v>
      </c>
      <c r="B1720" s="1">
        <v>45777</v>
      </c>
      <c r="C1720">
        <v>570004</v>
      </c>
      <c r="D1720">
        <v>4211.9449999999997</v>
      </c>
      <c r="E1720" t="s">
        <v>6</v>
      </c>
      <c r="F1720" t="s">
        <v>66</v>
      </c>
      <c r="G1720" t="s">
        <v>7</v>
      </c>
    </row>
    <row r="1721" spans="1:7" x14ac:dyDescent="0.3">
      <c r="A1721" t="s">
        <v>33</v>
      </c>
      <c r="B1721" s="1">
        <v>45777</v>
      </c>
      <c r="C1721">
        <v>210002</v>
      </c>
      <c r="D1721">
        <v>-597772.33499999996</v>
      </c>
      <c r="E1721" t="s">
        <v>4</v>
      </c>
      <c r="F1721" t="s">
        <v>42</v>
      </c>
      <c r="G1721" t="s">
        <v>7</v>
      </c>
    </row>
    <row r="1722" spans="1:7" x14ac:dyDescent="0.3">
      <c r="A1722" t="s">
        <v>33</v>
      </c>
      <c r="B1722" s="1">
        <v>45777</v>
      </c>
      <c r="C1722">
        <v>220006</v>
      </c>
      <c r="D1722">
        <v>-303519.68300000002</v>
      </c>
      <c r="E1722" t="s">
        <v>4</v>
      </c>
      <c r="F1722" t="s">
        <v>42</v>
      </c>
      <c r="G1722" t="s">
        <v>7</v>
      </c>
    </row>
    <row r="1723" spans="1:7" x14ac:dyDescent="0.3">
      <c r="A1723" t="s">
        <v>33</v>
      </c>
      <c r="B1723" s="1">
        <v>45777</v>
      </c>
      <c r="C1723">
        <v>220011</v>
      </c>
      <c r="D1723">
        <v>623777.73699999996</v>
      </c>
      <c r="E1723" t="s">
        <v>4</v>
      </c>
      <c r="F1723" t="s">
        <v>42</v>
      </c>
      <c r="G1723" t="s">
        <v>7</v>
      </c>
    </row>
    <row r="1724" spans="1:7" x14ac:dyDescent="0.3">
      <c r="A1724" t="s">
        <v>33</v>
      </c>
      <c r="B1724" s="1">
        <v>45777</v>
      </c>
      <c r="C1724">
        <v>240002</v>
      </c>
      <c r="D1724">
        <v>-720.84500000000003</v>
      </c>
      <c r="E1724" t="s">
        <v>4</v>
      </c>
      <c r="F1724" t="s">
        <v>43</v>
      </c>
      <c r="G1724" t="s">
        <v>7</v>
      </c>
    </row>
    <row r="1725" spans="1:7" x14ac:dyDescent="0.3">
      <c r="A1725" t="s">
        <v>33</v>
      </c>
      <c r="B1725" s="1">
        <v>45777</v>
      </c>
      <c r="C1725">
        <v>240009</v>
      </c>
      <c r="D1725">
        <v>-144.69900000000001</v>
      </c>
      <c r="E1725" t="s">
        <v>4</v>
      </c>
      <c r="F1725" t="s">
        <v>43</v>
      </c>
      <c r="G1725" t="s">
        <v>7</v>
      </c>
    </row>
    <row r="1726" spans="1:7" x14ac:dyDescent="0.3">
      <c r="A1726" t="s">
        <v>33</v>
      </c>
      <c r="B1726" s="1">
        <v>45777</v>
      </c>
      <c r="C1726">
        <v>242003</v>
      </c>
      <c r="D1726">
        <v>-688991.23300000001</v>
      </c>
      <c r="E1726" t="s">
        <v>4</v>
      </c>
      <c r="F1726" t="s">
        <v>43</v>
      </c>
      <c r="G1726" t="s">
        <v>7</v>
      </c>
    </row>
    <row r="1727" spans="1:7" x14ac:dyDescent="0.3">
      <c r="A1727" t="s">
        <v>33</v>
      </c>
      <c r="B1727" s="1">
        <v>45777</v>
      </c>
      <c r="C1727">
        <v>242007</v>
      </c>
      <c r="D1727">
        <v>629.40099999999995</v>
      </c>
      <c r="E1727" t="s">
        <v>4</v>
      </c>
      <c r="F1727" t="s">
        <v>43</v>
      </c>
      <c r="G1727" t="s">
        <v>7</v>
      </c>
    </row>
    <row r="1728" spans="1:7" x14ac:dyDescent="0.3">
      <c r="A1728" t="s">
        <v>33</v>
      </c>
      <c r="B1728" s="1">
        <v>45777</v>
      </c>
      <c r="C1728">
        <v>242011</v>
      </c>
      <c r="D1728">
        <v>-337056.61800000002</v>
      </c>
      <c r="E1728" t="s">
        <v>4</v>
      </c>
      <c r="F1728" t="s">
        <v>43</v>
      </c>
      <c r="G1728" t="s">
        <v>7</v>
      </c>
    </row>
    <row r="1729" spans="1:7" x14ac:dyDescent="0.3">
      <c r="A1729" t="s">
        <v>33</v>
      </c>
      <c r="B1729" s="1">
        <v>45777</v>
      </c>
      <c r="C1729">
        <v>242012</v>
      </c>
      <c r="D1729">
        <v>-495.27100000000002</v>
      </c>
      <c r="E1729" t="s">
        <v>4</v>
      </c>
      <c r="F1729" t="s">
        <v>43</v>
      </c>
      <c r="G1729" t="s">
        <v>7</v>
      </c>
    </row>
    <row r="1730" spans="1:7" x14ac:dyDescent="0.3">
      <c r="A1730" t="s">
        <v>33</v>
      </c>
      <c r="B1730" s="1">
        <v>45777</v>
      </c>
      <c r="C1730">
        <v>242014</v>
      </c>
      <c r="D1730">
        <v>-17708.958999999999</v>
      </c>
      <c r="E1730" t="s">
        <v>4</v>
      </c>
      <c r="F1730" t="s">
        <v>43</v>
      </c>
      <c r="G1730" t="s">
        <v>7</v>
      </c>
    </row>
    <row r="1731" spans="1:7" x14ac:dyDescent="0.3">
      <c r="A1731" t="s">
        <v>33</v>
      </c>
      <c r="B1731" s="1">
        <v>45777</v>
      </c>
      <c r="C1731">
        <v>242027</v>
      </c>
      <c r="D1731">
        <v>-1229.675</v>
      </c>
      <c r="E1731" t="s">
        <v>4</v>
      </c>
      <c r="F1731" t="s">
        <v>43</v>
      </c>
      <c r="G1731" t="s">
        <v>7</v>
      </c>
    </row>
    <row r="1732" spans="1:7" x14ac:dyDescent="0.3">
      <c r="A1732" t="s">
        <v>33</v>
      </c>
      <c r="B1732" s="1">
        <v>45777</v>
      </c>
      <c r="C1732">
        <v>242030</v>
      </c>
      <c r="D1732">
        <v>-46016.328999999998</v>
      </c>
      <c r="E1732" t="s">
        <v>4</v>
      </c>
      <c r="F1732" t="s">
        <v>43</v>
      </c>
      <c r="G1732" t="s">
        <v>7</v>
      </c>
    </row>
    <row r="1733" spans="1:7" x14ac:dyDescent="0.3">
      <c r="A1733" t="s">
        <v>33</v>
      </c>
      <c r="B1733" s="1">
        <v>45777</v>
      </c>
      <c r="C1733">
        <v>242038</v>
      </c>
      <c r="D1733">
        <v>-25.378</v>
      </c>
      <c r="E1733" t="s">
        <v>4</v>
      </c>
      <c r="F1733" t="s">
        <v>43</v>
      </c>
      <c r="G1733" t="s">
        <v>7</v>
      </c>
    </row>
    <row r="1734" spans="1:7" x14ac:dyDescent="0.3">
      <c r="A1734" t="s">
        <v>33</v>
      </c>
      <c r="B1734" s="1">
        <v>45777</v>
      </c>
      <c r="C1734">
        <v>242041</v>
      </c>
      <c r="D1734">
        <v>483.959</v>
      </c>
      <c r="E1734" t="s">
        <v>4</v>
      </c>
      <c r="F1734" t="s">
        <v>43</v>
      </c>
      <c r="G1734" t="s">
        <v>7</v>
      </c>
    </row>
    <row r="1735" spans="1:7" x14ac:dyDescent="0.3">
      <c r="A1735" t="s">
        <v>33</v>
      </c>
      <c r="B1735" s="1">
        <v>45777</v>
      </c>
      <c r="C1735">
        <v>243002</v>
      </c>
      <c r="D1735">
        <v>-1764.6479999999999</v>
      </c>
      <c r="E1735" t="s">
        <v>4</v>
      </c>
      <c r="F1735" t="s">
        <v>43</v>
      </c>
      <c r="G1735" t="s">
        <v>7</v>
      </c>
    </row>
    <row r="1736" spans="1:7" x14ac:dyDescent="0.3">
      <c r="A1736" t="s">
        <v>33</v>
      </c>
      <c r="B1736" s="1">
        <v>45777</v>
      </c>
      <c r="C1736">
        <v>243003</v>
      </c>
      <c r="D1736">
        <v>-24454.429</v>
      </c>
      <c r="E1736" t="s">
        <v>4</v>
      </c>
      <c r="F1736" t="s">
        <v>43</v>
      </c>
      <c r="G1736" t="s">
        <v>7</v>
      </c>
    </row>
    <row r="1737" spans="1:7" x14ac:dyDescent="0.3">
      <c r="A1737" t="s">
        <v>33</v>
      </c>
      <c r="B1737" s="1">
        <v>45777</v>
      </c>
      <c r="C1737">
        <v>243009</v>
      </c>
      <c r="D1737">
        <v>-421.99599999999998</v>
      </c>
      <c r="E1737" t="s">
        <v>4</v>
      </c>
      <c r="F1737" t="s">
        <v>43</v>
      </c>
      <c r="G1737" t="s">
        <v>7</v>
      </c>
    </row>
    <row r="1738" spans="1:7" x14ac:dyDescent="0.3">
      <c r="A1738" t="s">
        <v>33</v>
      </c>
      <c r="B1738" s="1">
        <v>45777</v>
      </c>
      <c r="C1738">
        <v>245010</v>
      </c>
      <c r="D1738">
        <v>-38098.925999999999</v>
      </c>
      <c r="E1738" t="s">
        <v>4</v>
      </c>
      <c r="F1738" t="s">
        <v>44</v>
      </c>
      <c r="G1738" t="s">
        <v>7</v>
      </c>
    </row>
    <row r="1739" spans="1:7" x14ac:dyDescent="0.3">
      <c r="A1739" t="s">
        <v>33</v>
      </c>
      <c r="B1739" s="1">
        <v>45777</v>
      </c>
      <c r="C1739">
        <v>245018</v>
      </c>
      <c r="D1739">
        <v>-7898.4260000000004</v>
      </c>
      <c r="E1739" t="s">
        <v>4</v>
      </c>
      <c r="F1739" t="s">
        <v>43</v>
      </c>
      <c r="G1739" t="s">
        <v>7</v>
      </c>
    </row>
    <row r="1740" spans="1:7" x14ac:dyDescent="0.3">
      <c r="A1740" t="s">
        <v>33</v>
      </c>
      <c r="B1740" s="1">
        <v>45777</v>
      </c>
      <c r="C1740">
        <v>245055</v>
      </c>
      <c r="D1740">
        <v>-59520.832999999999</v>
      </c>
      <c r="E1740" t="s">
        <v>4</v>
      </c>
      <c r="F1740" t="s">
        <v>43</v>
      </c>
      <c r="G1740" t="s">
        <v>7</v>
      </c>
    </row>
    <row r="1741" spans="1:7" x14ac:dyDescent="0.3">
      <c r="A1741" t="s">
        <v>33</v>
      </c>
      <c r="B1741" s="1">
        <v>45777</v>
      </c>
      <c r="C1741">
        <v>245056</v>
      </c>
      <c r="D1741">
        <v>-255.255</v>
      </c>
      <c r="E1741" t="s">
        <v>4</v>
      </c>
      <c r="F1741" t="s">
        <v>49</v>
      </c>
      <c r="G1741" t="s">
        <v>7</v>
      </c>
    </row>
    <row r="1742" spans="1:7" x14ac:dyDescent="0.3">
      <c r="A1742" t="s">
        <v>33</v>
      </c>
      <c r="B1742" s="1">
        <v>45777</v>
      </c>
      <c r="C1742">
        <v>245062</v>
      </c>
      <c r="D1742">
        <v>-8092.2669999999998</v>
      </c>
      <c r="E1742" t="s">
        <v>4</v>
      </c>
      <c r="F1742" t="s">
        <v>43</v>
      </c>
      <c r="G1742" t="s">
        <v>7</v>
      </c>
    </row>
    <row r="1743" spans="1:7" x14ac:dyDescent="0.3">
      <c r="A1743" t="s">
        <v>33</v>
      </c>
      <c r="B1743" s="1">
        <v>45777</v>
      </c>
      <c r="C1743">
        <v>250003</v>
      </c>
      <c r="D1743">
        <v>-9516.2049999999999</v>
      </c>
      <c r="E1743" t="s">
        <v>4</v>
      </c>
      <c r="F1743" t="s">
        <v>45</v>
      </c>
      <c r="G1743" t="s">
        <v>7</v>
      </c>
    </row>
    <row r="1744" spans="1:7" x14ac:dyDescent="0.3">
      <c r="A1744" t="s">
        <v>33</v>
      </c>
      <c r="B1744" s="1">
        <v>45777</v>
      </c>
      <c r="C1744">
        <v>250007</v>
      </c>
      <c r="D1744">
        <v>34171.658000000003</v>
      </c>
      <c r="E1744" t="s">
        <v>4</v>
      </c>
      <c r="F1744" t="s">
        <v>43</v>
      </c>
      <c r="G1744" t="s">
        <v>7</v>
      </c>
    </row>
    <row r="1745" spans="1:7" x14ac:dyDescent="0.3">
      <c r="A1745" t="s">
        <v>33</v>
      </c>
      <c r="B1745" s="1">
        <v>45777</v>
      </c>
      <c r="C1745">
        <v>251002</v>
      </c>
      <c r="D1745">
        <v>-2655.6619999999998</v>
      </c>
      <c r="E1745" t="s">
        <v>4</v>
      </c>
      <c r="F1745" t="s">
        <v>45</v>
      </c>
      <c r="G1745" t="s">
        <v>7</v>
      </c>
    </row>
    <row r="1746" spans="1:7" x14ac:dyDescent="0.3">
      <c r="A1746" t="s">
        <v>33</v>
      </c>
      <c r="B1746" s="1">
        <v>45777</v>
      </c>
      <c r="C1746">
        <v>257008</v>
      </c>
      <c r="D1746">
        <v>-7600.4390000000003</v>
      </c>
      <c r="E1746" t="s">
        <v>4</v>
      </c>
      <c r="F1746" t="s">
        <v>45</v>
      </c>
      <c r="G1746" t="s">
        <v>7</v>
      </c>
    </row>
    <row r="1747" spans="1:7" x14ac:dyDescent="0.3">
      <c r="A1747" t="s">
        <v>33</v>
      </c>
      <c r="B1747" s="1">
        <v>45777</v>
      </c>
      <c r="C1747">
        <v>257009</v>
      </c>
      <c r="D1747">
        <v>-7759.8720000000003</v>
      </c>
      <c r="E1747" t="s">
        <v>4</v>
      </c>
      <c r="F1747" t="s">
        <v>45</v>
      </c>
      <c r="G1747" t="s">
        <v>7</v>
      </c>
    </row>
    <row r="1748" spans="1:7" x14ac:dyDescent="0.3">
      <c r="A1748" t="s">
        <v>33</v>
      </c>
      <c r="B1748" s="1">
        <v>45777</v>
      </c>
      <c r="C1748">
        <v>257011</v>
      </c>
      <c r="D1748">
        <v>-4923.7259999999997</v>
      </c>
      <c r="E1748" t="s">
        <v>4</v>
      </c>
      <c r="F1748" t="s">
        <v>45</v>
      </c>
      <c r="G1748" t="s">
        <v>7</v>
      </c>
    </row>
    <row r="1749" spans="1:7" x14ac:dyDescent="0.3">
      <c r="A1749" t="s">
        <v>33</v>
      </c>
      <c r="B1749" s="1">
        <v>45777</v>
      </c>
      <c r="C1749">
        <v>257028</v>
      </c>
      <c r="D1749">
        <v>-30572.834999999999</v>
      </c>
      <c r="E1749" t="s">
        <v>4</v>
      </c>
      <c r="F1749" t="s">
        <v>45</v>
      </c>
      <c r="G1749" t="s">
        <v>7</v>
      </c>
    </row>
    <row r="1750" spans="1:7" x14ac:dyDescent="0.3">
      <c r="A1750" t="s">
        <v>33</v>
      </c>
      <c r="B1750" s="1">
        <v>45777</v>
      </c>
      <c r="C1750">
        <v>260004</v>
      </c>
      <c r="D1750">
        <v>9686.3780000000006</v>
      </c>
      <c r="E1750" t="s">
        <v>4</v>
      </c>
      <c r="F1750" t="s">
        <v>45</v>
      </c>
      <c r="G1750" t="s">
        <v>7</v>
      </c>
    </row>
    <row r="1751" spans="1:7" x14ac:dyDescent="0.3">
      <c r="A1751" t="s">
        <v>33</v>
      </c>
      <c r="B1751" s="1">
        <v>45777</v>
      </c>
      <c r="C1751">
        <v>270024</v>
      </c>
      <c r="D1751">
        <v>-102.10299999999999</v>
      </c>
      <c r="E1751" t="s">
        <v>4</v>
      </c>
      <c r="F1751" t="s">
        <v>58</v>
      </c>
      <c r="G1751" t="s">
        <v>7</v>
      </c>
    </row>
    <row r="1752" spans="1:7" x14ac:dyDescent="0.3">
      <c r="A1752" t="s">
        <v>33</v>
      </c>
      <c r="B1752" s="1">
        <v>45777</v>
      </c>
      <c r="C1752">
        <v>270025</v>
      </c>
      <c r="D1752">
        <v>-64.400000000000006</v>
      </c>
      <c r="E1752" t="s">
        <v>4</v>
      </c>
      <c r="F1752" t="s">
        <v>58</v>
      </c>
      <c r="G1752" t="s">
        <v>7</v>
      </c>
    </row>
    <row r="1753" spans="1:7" x14ac:dyDescent="0.3">
      <c r="A1753" t="s">
        <v>33</v>
      </c>
      <c r="B1753" s="1">
        <v>45777</v>
      </c>
      <c r="C1753">
        <v>270026</v>
      </c>
      <c r="D1753">
        <v>-72.596000000000004</v>
      </c>
      <c r="E1753" t="s">
        <v>4</v>
      </c>
      <c r="F1753" t="s">
        <v>58</v>
      </c>
      <c r="G1753" t="s">
        <v>7</v>
      </c>
    </row>
    <row r="1754" spans="1:7" x14ac:dyDescent="0.3">
      <c r="A1754" t="s">
        <v>33</v>
      </c>
      <c r="B1754" s="1">
        <v>45777</v>
      </c>
      <c r="C1754">
        <v>300004</v>
      </c>
      <c r="D1754">
        <v>88088.486000000004</v>
      </c>
      <c r="E1754" t="s">
        <v>4</v>
      </c>
      <c r="F1754" t="s">
        <v>65</v>
      </c>
      <c r="G1754" t="s">
        <v>7</v>
      </c>
    </row>
    <row r="1755" spans="1:7" x14ac:dyDescent="0.3">
      <c r="A1755" t="s">
        <v>33</v>
      </c>
      <c r="B1755" s="1">
        <v>45777</v>
      </c>
      <c r="C1755">
        <v>300005</v>
      </c>
      <c r="D1755">
        <v>14682.273999999999</v>
      </c>
      <c r="E1755" t="s">
        <v>4</v>
      </c>
      <c r="F1755" t="s">
        <v>65</v>
      </c>
      <c r="G1755" t="s">
        <v>7</v>
      </c>
    </row>
    <row r="1756" spans="1:7" x14ac:dyDescent="0.3">
      <c r="A1756" t="s">
        <v>33</v>
      </c>
      <c r="B1756" s="1">
        <v>45777</v>
      </c>
      <c r="C1756">
        <v>300008</v>
      </c>
      <c r="D1756">
        <v>18697.935000000001</v>
      </c>
      <c r="E1756" t="s">
        <v>4</v>
      </c>
      <c r="F1756" t="s">
        <v>65</v>
      </c>
      <c r="G1756" t="s">
        <v>7</v>
      </c>
    </row>
    <row r="1757" spans="1:7" x14ac:dyDescent="0.3">
      <c r="A1757" t="s">
        <v>33</v>
      </c>
      <c r="B1757" s="1">
        <v>45777</v>
      </c>
      <c r="C1757">
        <v>300009</v>
      </c>
      <c r="D1757">
        <v>1289.9369999999999</v>
      </c>
      <c r="E1757" t="s">
        <v>4</v>
      </c>
      <c r="F1757" t="s">
        <v>65</v>
      </c>
      <c r="G1757" t="s">
        <v>7</v>
      </c>
    </row>
    <row r="1758" spans="1:7" x14ac:dyDescent="0.3">
      <c r="A1758" t="s">
        <v>33</v>
      </c>
      <c r="B1758" s="1">
        <v>45777</v>
      </c>
      <c r="C1758">
        <v>300011</v>
      </c>
      <c r="D1758">
        <v>2262.1030000000001</v>
      </c>
      <c r="E1758" t="s">
        <v>4</v>
      </c>
      <c r="F1758" t="s">
        <v>65</v>
      </c>
      <c r="G1758" t="s">
        <v>7</v>
      </c>
    </row>
    <row r="1759" spans="1:7" x14ac:dyDescent="0.3">
      <c r="A1759" t="s">
        <v>33</v>
      </c>
      <c r="B1759" s="1">
        <v>45777</v>
      </c>
      <c r="C1759">
        <v>300012</v>
      </c>
      <c r="D1759">
        <v>21962.771000000001</v>
      </c>
      <c r="E1759" t="s">
        <v>4</v>
      </c>
      <c r="F1759" t="s">
        <v>65</v>
      </c>
      <c r="G1759" t="s">
        <v>7</v>
      </c>
    </row>
    <row r="1760" spans="1:7" x14ac:dyDescent="0.3">
      <c r="A1760" t="s">
        <v>33</v>
      </c>
      <c r="B1760" s="1">
        <v>45777</v>
      </c>
      <c r="C1760">
        <v>300014</v>
      </c>
      <c r="D1760">
        <v>3822.252</v>
      </c>
      <c r="E1760" t="s">
        <v>4</v>
      </c>
      <c r="F1760" t="s">
        <v>65</v>
      </c>
      <c r="G1760" t="s">
        <v>7</v>
      </c>
    </row>
    <row r="1761" spans="1:7" x14ac:dyDescent="0.3">
      <c r="A1761" t="s">
        <v>33</v>
      </c>
      <c r="B1761" s="1">
        <v>45777</v>
      </c>
      <c r="C1761">
        <v>300504</v>
      </c>
      <c r="D1761">
        <v>-85841.062999999995</v>
      </c>
      <c r="E1761" t="s">
        <v>4</v>
      </c>
      <c r="F1761" t="s">
        <v>65</v>
      </c>
      <c r="G1761" t="s">
        <v>7</v>
      </c>
    </row>
    <row r="1762" spans="1:7" x14ac:dyDescent="0.3">
      <c r="A1762" t="s">
        <v>33</v>
      </c>
      <c r="B1762" s="1">
        <v>45777</v>
      </c>
      <c r="C1762">
        <v>300505</v>
      </c>
      <c r="D1762">
        <v>-14560.489</v>
      </c>
      <c r="E1762" t="s">
        <v>4</v>
      </c>
      <c r="F1762" t="s">
        <v>65</v>
      </c>
      <c r="G1762" t="s">
        <v>7</v>
      </c>
    </row>
    <row r="1763" spans="1:7" x14ac:dyDescent="0.3">
      <c r="A1763" t="s">
        <v>33</v>
      </c>
      <c r="B1763" s="1">
        <v>45777</v>
      </c>
      <c r="C1763">
        <v>300508</v>
      </c>
      <c r="D1763">
        <v>-18697.482</v>
      </c>
      <c r="E1763" t="s">
        <v>4</v>
      </c>
      <c r="F1763" t="s">
        <v>65</v>
      </c>
      <c r="G1763" t="s">
        <v>7</v>
      </c>
    </row>
    <row r="1764" spans="1:7" x14ac:dyDescent="0.3">
      <c r="A1764" t="s">
        <v>33</v>
      </c>
      <c r="B1764" s="1">
        <v>45777</v>
      </c>
      <c r="C1764">
        <v>300509</v>
      </c>
      <c r="D1764">
        <v>-1289.9369999999999</v>
      </c>
      <c r="E1764" t="s">
        <v>4</v>
      </c>
      <c r="F1764" t="s">
        <v>65</v>
      </c>
      <c r="G1764" t="s">
        <v>7</v>
      </c>
    </row>
    <row r="1765" spans="1:7" x14ac:dyDescent="0.3">
      <c r="A1765" t="s">
        <v>33</v>
      </c>
      <c r="B1765" s="1">
        <v>45777</v>
      </c>
      <c r="C1765">
        <v>300511</v>
      </c>
      <c r="D1765">
        <v>-2253.0569999999998</v>
      </c>
      <c r="E1765" t="s">
        <v>4</v>
      </c>
      <c r="F1765" t="s">
        <v>65</v>
      </c>
      <c r="G1765" t="s">
        <v>7</v>
      </c>
    </row>
    <row r="1766" spans="1:7" x14ac:dyDescent="0.3">
      <c r="A1766" t="s">
        <v>33</v>
      </c>
      <c r="B1766" s="1">
        <v>45777</v>
      </c>
      <c r="C1766">
        <v>300512</v>
      </c>
      <c r="D1766">
        <v>-21931.708999999999</v>
      </c>
      <c r="E1766" t="s">
        <v>4</v>
      </c>
      <c r="F1766" t="s">
        <v>65</v>
      </c>
      <c r="G1766" t="s">
        <v>7</v>
      </c>
    </row>
    <row r="1767" spans="1:7" x14ac:dyDescent="0.3">
      <c r="A1767" t="s">
        <v>33</v>
      </c>
      <c r="B1767" s="1">
        <v>45777</v>
      </c>
      <c r="C1767">
        <v>300514</v>
      </c>
      <c r="D1767">
        <v>-3822.252</v>
      </c>
      <c r="E1767" t="s">
        <v>4</v>
      </c>
      <c r="F1767" t="s">
        <v>65</v>
      </c>
      <c r="G1767" t="s">
        <v>7</v>
      </c>
    </row>
    <row r="1768" spans="1:7" x14ac:dyDescent="0.3">
      <c r="A1768" t="s">
        <v>33</v>
      </c>
      <c r="B1768" s="1">
        <v>45777</v>
      </c>
      <c r="C1768">
        <v>301002</v>
      </c>
      <c r="D1768">
        <v>361775.95</v>
      </c>
      <c r="E1768" t="s">
        <v>4</v>
      </c>
      <c r="F1768" t="s">
        <v>68</v>
      </c>
      <c r="G1768" t="s">
        <v>7</v>
      </c>
    </row>
    <row r="1769" spans="1:7" x14ac:dyDescent="0.3">
      <c r="A1769" t="s">
        <v>33</v>
      </c>
      <c r="B1769" s="1">
        <v>45777</v>
      </c>
      <c r="C1769">
        <v>301004</v>
      </c>
      <c r="D1769">
        <v>25219.597000000002</v>
      </c>
      <c r="E1769" t="s">
        <v>4</v>
      </c>
      <c r="F1769" t="s">
        <v>65</v>
      </c>
      <c r="G1769" t="s">
        <v>7</v>
      </c>
    </row>
    <row r="1770" spans="1:7" x14ac:dyDescent="0.3">
      <c r="A1770" t="s">
        <v>33</v>
      </c>
      <c r="B1770" s="1">
        <v>45777</v>
      </c>
      <c r="C1770">
        <v>301005</v>
      </c>
      <c r="D1770">
        <v>436720.467</v>
      </c>
      <c r="E1770" t="s">
        <v>4</v>
      </c>
      <c r="F1770" t="s">
        <v>65</v>
      </c>
      <c r="G1770" t="s">
        <v>7</v>
      </c>
    </row>
    <row r="1771" spans="1:7" x14ac:dyDescent="0.3">
      <c r="A1771" t="s">
        <v>33</v>
      </c>
      <c r="B1771" s="1">
        <v>45777</v>
      </c>
      <c r="C1771">
        <v>301502</v>
      </c>
      <c r="D1771">
        <v>-361775.95</v>
      </c>
      <c r="E1771" t="s">
        <v>4</v>
      </c>
      <c r="F1771" t="s">
        <v>68</v>
      </c>
      <c r="G1771" t="s">
        <v>7</v>
      </c>
    </row>
    <row r="1772" spans="1:7" x14ac:dyDescent="0.3">
      <c r="A1772" t="s">
        <v>33</v>
      </c>
      <c r="B1772" s="1">
        <v>45777</v>
      </c>
      <c r="C1772">
        <v>301504</v>
      </c>
      <c r="D1772">
        <v>-25219.597000000002</v>
      </c>
      <c r="E1772" t="s">
        <v>4</v>
      </c>
      <c r="F1772" t="s">
        <v>65</v>
      </c>
      <c r="G1772" t="s">
        <v>7</v>
      </c>
    </row>
    <row r="1773" spans="1:7" x14ac:dyDescent="0.3">
      <c r="A1773" t="s">
        <v>33</v>
      </c>
      <c r="B1773" s="1">
        <v>45777</v>
      </c>
      <c r="C1773">
        <v>301505</v>
      </c>
      <c r="D1773">
        <v>-436720.467</v>
      </c>
      <c r="E1773" t="s">
        <v>4</v>
      </c>
      <c r="F1773" t="s">
        <v>65</v>
      </c>
      <c r="G1773" t="s">
        <v>7</v>
      </c>
    </row>
    <row r="1774" spans="1:7" x14ac:dyDescent="0.3">
      <c r="A1774" t="s">
        <v>33</v>
      </c>
      <c r="B1774" s="1">
        <v>45777</v>
      </c>
      <c r="C1774">
        <v>310032</v>
      </c>
      <c r="D1774">
        <v>5.9169999999999998</v>
      </c>
      <c r="E1774" t="s">
        <v>4</v>
      </c>
      <c r="F1774" t="s">
        <v>42</v>
      </c>
      <c r="G1774" t="s">
        <v>7</v>
      </c>
    </row>
    <row r="1775" spans="1:7" x14ac:dyDescent="0.3">
      <c r="A1775" t="s">
        <v>33</v>
      </c>
      <c r="B1775" s="1">
        <v>45777</v>
      </c>
      <c r="C1775">
        <v>320003</v>
      </c>
      <c r="D1775">
        <v>723418.34400000004</v>
      </c>
      <c r="E1775" t="s">
        <v>4</v>
      </c>
      <c r="F1775" t="s">
        <v>46</v>
      </c>
      <c r="G1775" t="s">
        <v>7</v>
      </c>
    </row>
    <row r="1776" spans="1:7" x14ac:dyDescent="0.3">
      <c r="A1776" t="s">
        <v>33</v>
      </c>
      <c r="B1776" s="1">
        <v>45777</v>
      </c>
      <c r="C1776">
        <v>320010</v>
      </c>
      <c r="D1776">
        <v>79237.762000000002</v>
      </c>
      <c r="E1776" t="s">
        <v>4</v>
      </c>
      <c r="F1776" t="s">
        <v>46</v>
      </c>
      <c r="G1776" t="s">
        <v>7</v>
      </c>
    </row>
    <row r="1777" spans="1:7" x14ac:dyDescent="0.3">
      <c r="A1777" t="s">
        <v>33</v>
      </c>
      <c r="B1777" s="1">
        <v>45777</v>
      </c>
      <c r="C1777">
        <v>320023</v>
      </c>
      <c r="D1777">
        <v>-287514.74400000001</v>
      </c>
      <c r="E1777" t="s">
        <v>4</v>
      </c>
      <c r="F1777" t="s">
        <v>46</v>
      </c>
      <c r="G1777" t="s">
        <v>7</v>
      </c>
    </row>
    <row r="1778" spans="1:7" x14ac:dyDescent="0.3">
      <c r="A1778" t="s">
        <v>33</v>
      </c>
      <c r="B1778" s="1">
        <v>45777</v>
      </c>
      <c r="C1778">
        <v>321002</v>
      </c>
      <c r="D1778">
        <v>653448.4</v>
      </c>
      <c r="E1778" t="s">
        <v>4</v>
      </c>
      <c r="F1778" t="s">
        <v>46</v>
      </c>
      <c r="G1778" t="s">
        <v>7</v>
      </c>
    </row>
    <row r="1779" spans="1:7" x14ac:dyDescent="0.3">
      <c r="A1779" t="s">
        <v>33</v>
      </c>
      <c r="B1779" s="1">
        <v>45777</v>
      </c>
      <c r="C1779">
        <v>321004</v>
      </c>
      <c r="D1779">
        <v>302.44600000000003</v>
      </c>
      <c r="E1779" t="s">
        <v>4</v>
      </c>
      <c r="F1779" t="s">
        <v>46</v>
      </c>
      <c r="G1779" t="s">
        <v>7</v>
      </c>
    </row>
    <row r="1780" spans="1:7" x14ac:dyDescent="0.3">
      <c r="A1780" t="s">
        <v>33</v>
      </c>
      <c r="B1780" s="1">
        <v>45777</v>
      </c>
      <c r="C1780">
        <v>321012</v>
      </c>
      <c r="D1780">
        <v>50252.906000000003</v>
      </c>
      <c r="E1780" t="s">
        <v>4</v>
      </c>
      <c r="F1780" t="s">
        <v>46</v>
      </c>
      <c r="G1780" t="s">
        <v>7</v>
      </c>
    </row>
    <row r="1781" spans="1:7" x14ac:dyDescent="0.3">
      <c r="A1781" t="s">
        <v>33</v>
      </c>
      <c r="B1781" s="1">
        <v>45777</v>
      </c>
      <c r="C1781">
        <v>321014</v>
      </c>
      <c r="D1781">
        <v>11507.691000000001</v>
      </c>
      <c r="E1781" t="s">
        <v>4</v>
      </c>
      <c r="F1781" t="s">
        <v>46</v>
      </c>
      <c r="G1781" t="s">
        <v>7</v>
      </c>
    </row>
    <row r="1782" spans="1:7" x14ac:dyDescent="0.3">
      <c r="A1782" t="s">
        <v>33</v>
      </c>
      <c r="B1782" s="1">
        <v>45777</v>
      </c>
      <c r="C1782">
        <v>321021</v>
      </c>
      <c r="D1782">
        <v>10882.981</v>
      </c>
      <c r="E1782" t="s">
        <v>4</v>
      </c>
      <c r="F1782" t="s">
        <v>46</v>
      </c>
      <c r="G1782" t="s">
        <v>7</v>
      </c>
    </row>
    <row r="1783" spans="1:7" x14ac:dyDescent="0.3">
      <c r="A1783" t="s">
        <v>33</v>
      </c>
      <c r="B1783" s="1">
        <v>45777</v>
      </c>
      <c r="C1783">
        <v>321028</v>
      </c>
      <c r="D1783">
        <v>173.53700000000001</v>
      </c>
      <c r="E1783" t="s">
        <v>4</v>
      </c>
      <c r="F1783" t="s">
        <v>46</v>
      </c>
      <c r="G1783" t="s">
        <v>7</v>
      </c>
    </row>
    <row r="1784" spans="1:7" x14ac:dyDescent="0.3">
      <c r="A1784" t="s">
        <v>33</v>
      </c>
      <c r="B1784" s="1">
        <v>45777</v>
      </c>
      <c r="C1784">
        <v>321029</v>
      </c>
      <c r="D1784">
        <v>66543.831000000006</v>
      </c>
      <c r="E1784" t="s">
        <v>4</v>
      </c>
      <c r="F1784" t="s">
        <v>46</v>
      </c>
      <c r="G1784" t="s">
        <v>7</v>
      </c>
    </row>
    <row r="1785" spans="1:7" x14ac:dyDescent="0.3">
      <c r="A1785" t="s">
        <v>33</v>
      </c>
      <c r="B1785" s="1">
        <v>45777</v>
      </c>
      <c r="C1785">
        <v>321036</v>
      </c>
      <c r="D1785">
        <v>-190.625</v>
      </c>
      <c r="E1785" t="s">
        <v>4</v>
      </c>
      <c r="F1785" t="s">
        <v>46</v>
      </c>
      <c r="G1785" t="s">
        <v>7</v>
      </c>
    </row>
    <row r="1786" spans="1:7" x14ac:dyDescent="0.3">
      <c r="A1786" t="s">
        <v>33</v>
      </c>
      <c r="B1786" s="1">
        <v>45777</v>
      </c>
      <c r="C1786">
        <v>330034</v>
      </c>
      <c r="D1786">
        <v>-716.01099999999997</v>
      </c>
      <c r="E1786" t="s">
        <v>4</v>
      </c>
      <c r="F1786" t="s">
        <v>43</v>
      </c>
      <c r="G1786" t="s">
        <v>7</v>
      </c>
    </row>
    <row r="1787" spans="1:7" x14ac:dyDescent="0.3">
      <c r="A1787" t="s">
        <v>33</v>
      </c>
      <c r="B1787" s="1">
        <v>45777</v>
      </c>
      <c r="C1787">
        <v>330052</v>
      </c>
      <c r="D1787">
        <v>-85.048000000000002</v>
      </c>
      <c r="E1787" t="s">
        <v>4</v>
      </c>
      <c r="F1787" t="s">
        <v>43</v>
      </c>
      <c r="G1787" t="s">
        <v>7</v>
      </c>
    </row>
    <row r="1788" spans="1:7" x14ac:dyDescent="0.3">
      <c r="A1788" t="s">
        <v>33</v>
      </c>
      <c r="B1788" s="1">
        <v>45777</v>
      </c>
      <c r="C1788">
        <v>330136</v>
      </c>
      <c r="D1788">
        <v>-3352.5459999999998</v>
      </c>
      <c r="E1788" t="s">
        <v>4</v>
      </c>
      <c r="F1788" t="s">
        <v>43</v>
      </c>
      <c r="G1788" t="s">
        <v>7</v>
      </c>
    </row>
    <row r="1789" spans="1:7" x14ac:dyDescent="0.3">
      <c r="A1789" t="s">
        <v>33</v>
      </c>
      <c r="B1789" s="1">
        <v>45777</v>
      </c>
      <c r="C1789">
        <v>340156</v>
      </c>
      <c r="D1789">
        <v>75907.27</v>
      </c>
      <c r="E1789" t="s">
        <v>4</v>
      </c>
      <c r="F1789" t="s">
        <v>47</v>
      </c>
      <c r="G1789" t="s">
        <v>7</v>
      </c>
    </row>
    <row r="1790" spans="1:7" x14ac:dyDescent="0.3">
      <c r="A1790" t="s">
        <v>33</v>
      </c>
      <c r="B1790" s="1">
        <v>45777</v>
      </c>
      <c r="C1790">
        <v>340157</v>
      </c>
      <c r="D1790">
        <v>16678996.513</v>
      </c>
      <c r="E1790" t="s">
        <v>4</v>
      </c>
      <c r="F1790" t="s">
        <v>47</v>
      </c>
      <c r="G1790" t="s">
        <v>7</v>
      </c>
    </row>
    <row r="1791" spans="1:7" x14ac:dyDescent="0.3">
      <c r="A1791" t="s">
        <v>33</v>
      </c>
      <c r="B1791" s="1">
        <v>45777</v>
      </c>
      <c r="C1791">
        <v>340158</v>
      </c>
      <c r="D1791">
        <v>-16633083.899</v>
      </c>
      <c r="E1791" t="s">
        <v>4</v>
      </c>
      <c r="F1791" t="s">
        <v>47</v>
      </c>
      <c r="G1791" t="s">
        <v>7</v>
      </c>
    </row>
    <row r="1792" spans="1:7" x14ac:dyDescent="0.3">
      <c r="A1792" t="s">
        <v>33</v>
      </c>
      <c r="B1792" s="1">
        <v>45777</v>
      </c>
      <c r="C1792">
        <v>350002</v>
      </c>
      <c r="D1792">
        <v>-46.835999999999999</v>
      </c>
      <c r="E1792" t="s">
        <v>4</v>
      </c>
      <c r="F1792" t="s">
        <v>49</v>
      </c>
      <c r="G1792" t="s">
        <v>7</v>
      </c>
    </row>
    <row r="1793" spans="1:7" x14ac:dyDescent="0.3">
      <c r="A1793" t="s">
        <v>33</v>
      </c>
      <c r="B1793" s="1">
        <v>45777</v>
      </c>
      <c r="C1793">
        <v>350003</v>
      </c>
      <c r="D1793">
        <v>128.327</v>
      </c>
      <c r="E1793" t="s">
        <v>4</v>
      </c>
      <c r="F1793" t="s">
        <v>49</v>
      </c>
      <c r="G1793" t="s">
        <v>7</v>
      </c>
    </row>
    <row r="1794" spans="1:7" x14ac:dyDescent="0.3">
      <c r="A1794" t="s">
        <v>33</v>
      </c>
      <c r="B1794" s="1">
        <v>45777</v>
      </c>
      <c r="C1794">
        <v>350005</v>
      </c>
      <c r="D1794">
        <v>-144.07300000000001</v>
      </c>
      <c r="E1794" t="s">
        <v>4</v>
      </c>
      <c r="F1794" t="s">
        <v>49</v>
      </c>
      <c r="G1794" t="s">
        <v>7</v>
      </c>
    </row>
    <row r="1795" spans="1:7" x14ac:dyDescent="0.3">
      <c r="A1795" t="s">
        <v>33</v>
      </c>
      <c r="B1795" s="1">
        <v>45777</v>
      </c>
      <c r="C1795">
        <v>350031</v>
      </c>
      <c r="D1795">
        <v>144.69900000000001</v>
      </c>
      <c r="E1795" t="s">
        <v>4</v>
      </c>
      <c r="F1795" t="s">
        <v>43</v>
      </c>
      <c r="G1795" t="s">
        <v>7</v>
      </c>
    </row>
    <row r="1796" spans="1:7" x14ac:dyDescent="0.3">
      <c r="A1796" t="s">
        <v>33</v>
      </c>
      <c r="B1796" s="1">
        <v>45777</v>
      </c>
      <c r="C1796">
        <v>350034</v>
      </c>
      <c r="D1796">
        <v>255.255</v>
      </c>
      <c r="E1796" t="s">
        <v>4</v>
      </c>
      <c r="F1796" t="s">
        <v>49</v>
      </c>
      <c r="G1796" t="s">
        <v>7</v>
      </c>
    </row>
    <row r="1797" spans="1:7" x14ac:dyDescent="0.3">
      <c r="A1797" t="s">
        <v>33</v>
      </c>
      <c r="B1797" s="1">
        <v>45777</v>
      </c>
      <c r="C1797">
        <v>351004</v>
      </c>
      <c r="D1797">
        <v>6581.3239999999996</v>
      </c>
      <c r="E1797" t="s">
        <v>4</v>
      </c>
      <c r="F1797" t="s">
        <v>45</v>
      </c>
      <c r="G1797" t="s">
        <v>7</v>
      </c>
    </row>
    <row r="1798" spans="1:7" x14ac:dyDescent="0.3">
      <c r="A1798" t="s">
        <v>33</v>
      </c>
      <c r="B1798" s="1">
        <v>45777</v>
      </c>
      <c r="C1798">
        <v>352002</v>
      </c>
      <c r="D1798">
        <v>1207.1500000000001</v>
      </c>
      <c r="E1798" t="s">
        <v>4</v>
      </c>
      <c r="F1798" t="s">
        <v>48</v>
      </c>
      <c r="G1798" t="s">
        <v>7</v>
      </c>
    </row>
    <row r="1799" spans="1:7" x14ac:dyDescent="0.3">
      <c r="A1799" t="s">
        <v>33</v>
      </c>
      <c r="B1799" s="1">
        <v>45777</v>
      </c>
      <c r="C1799">
        <v>354014</v>
      </c>
      <c r="D1799">
        <v>48687.614999999998</v>
      </c>
      <c r="E1799" t="s">
        <v>4</v>
      </c>
      <c r="F1799" t="s">
        <v>46</v>
      </c>
      <c r="G1799" t="s">
        <v>7</v>
      </c>
    </row>
    <row r="1800" spans="1:7" x14ac:dyDescent="0.3">
      <c r="A1800" t="s">
        <v>33</v>
      </c>
      <c r="B1800" s="1">
        <v>45777</v>
      </c>
      <c r="C1800">
        <v>355002</v>
      </c>
      <c r="D1800">
        <v>614.75099999999998</v>
      </c>
      <c r="E1800" t="s">
        <v>4</v>
      </c>
      <c r="F1800" t="s">
        <v>49</v>
      </c>
      <c r="G1800" t="s">
        <v>7</v>
      </c>
    </row>
    <row r="1801" spans="1:7" x14ac:dyDescent="0.3">
      <c r="A1801" t="s">
        <v>33</v>
      </c>
      <c r="B1801" s="1">
        <v>45777</v>
      </c>
      <c r="C1801">
        <v>360026</v>
      </c>
      <c r="D1801">
        <v>-91524.278999999995</v>
      </c>
      <c r="E1801" t="s">
        <v>4</v>
      </c>
      <c r="F1801" t="s">
        <v>58</v>
      </c>
      <c r="G1801" t="s">
        <v>7</v>
      </c>
    </row>
    <row r="1802" spans="1:7" x14ac:dyDescent="0.3">
      <c r="A1802" t="s">
        <v>33</v>
      </c>
      <c r="B1802" s="1">
        <v>45777</v>
      </c>
      <c r="C1802">
        <v>360028</v>
      </c>
      <c r="D1802">
        <v>-4626.66</v>
      </c>
      <c r="E1802" t="s">
        <v>4</v>
      </c>
      <c r="F1802" t="s">
        <v>58</v>
      </c>
      <c r="G1802" t="s">
        <v>7</v>
      </c>
    </row>
    <row r="1803" spans="1:7" x14ac:dyDescent="0.3">
      <c r="A1803" t="s">
        <v>33</v>
      </c>
      <c r="B1803" s="1">
        <v>45777</v>
      </c>
      <c r="C1803">
        <v>360030</v>
      </c>
      <c r="D1803">
        <v>23.417999999999999</v>
      </c>
      <c r="E1803" t="s">
        <v>4</v>
      </c>
      <c r="F1803" t="s">
        <v>58</v>
      </c>
      <c r="G1803" t="s">
        <v>7</v>
      </c>
    </row>
    <row r="1804" spans="1:7" x14ac:dyDescent="0.3">
      <c r="A1804" t="s">
        <v>33</v>
      </c>
      <c r="B1804" s="1">
        <v>45777</v>
      </c>
      <c r="C1804">
        <v>364502</v>
      </c>
      <c r="D1804">
        <v>91939.434999999998</v>
      </c>
      <c r="E1804" t="s">
        <v>4</v>
      </c>
      <c r="F1804" t="s">
        <v>58</v>
      </c>
      <c r="G1804" t="s">
        <v>7</v>
      </c>
    </row>
    <row r="1805" spans="1:7" x14ac:dyDescent="0.3">
      <c r="A1805" t="s">
        <v>33</v>
      </c>
      <c r="B1805" s="1">
        <v>45777</v>
      </c>
      <c r="C1805">
        <v>410002</v>
      </c>
      <c r="D1805">
        <v>-4902.0829999999996</v>
      </c>
      <c r="E1805" t="s">
        <v>6</v>
      </c>
      <c r="F1805" t="s">
        <v>51</v>
      </c>
      <c r="G1805" t="s">
        <v>7</v>
      </c>
    </row>
    <row r="1806" spans="1:7" x14ac:dyDescent="0.3">
      <c r="A1806" t="s">
        <v>33</v>
      </c>
      <c r="B1806" s="1">
        <v>45777</v>
      </c>
      <c r="C1806">
        <v>410006</v>
      </c>
      <c r="D1806">
        <v>-3587.2260000000001</v>
      </c>
      <c r="E1806" t="s">
        <v>6</v>
      </c>
      <c r="F1806" t="s">
        <v>51</v>
      </c>
      <c r="G1806" t="s">
        <v>7</v>
      </c>
    </row>
    <row r="1807" spans="1:7" x14ac:dyDescent="0.3">
      <c r="A1807" t="s">
        <v>33</v>
      </c>
      <c r="B1807" s="1">
        <v>45777</v>
      </c>
      <c r="C1807">
        <v>410009</v>
      </c>
      <c r="D1807">
        <v>-1239.29</v>
      </c>
      <c r="E1807" t="s">
        <v>6</v>
      </c>
      <c r="F1807" t="s">
        <v>51</v>
      </c>
      <c r="G1807" t="s">
        <v>7</v>
      </c>
    </row>
    <row r="1808" spans="1:7" x14ac:dyDescent="0.3">
      <c r="A1808" t="s">
        <v>33</v>
      </c>
      <c r="B1808" s="1">
        <v>45777</v>
      </c>
      <c r="C1808">
        <v>410037</v>
      </c>
      <c r="D1808">
        <v>-11093.493</v>
      </c>
      <c r="E1808" t="s">
        <v>6</v>
      </c>
      <c r="F1808" t="s">
        <v>51</v>
      </c>
      <c r="G1808" t="s">
        <v>7</v>
      </c>
    </row>
    <row r="1809" spans="1:7" x14ac:dyDescent="0.3">
      <c r="A1809" t="s">
        <v>33</v>
      </c>
      <c r="B1809" s="1">
        <v>45777</v>
      </c>
      <c r="C1809">
        <v>415002</v>
      </c>
      <c r="D1809">
        <v>-73577.611000000004</v>
      </c>
      <c r="E1809" t="s">
        <v>6</v>
      </c>
      <c r="F1809" t="s">
        <v>50</v>
      </c>
      <c r="G1809" t="s">
        <v>7</v>
      </c>
    </row>
    <row r="1810" spans="1:7" x14ac:dyDescent="0.3">
      <c r="A1810" t="s">
        <v>33</v>
      </c>
      <c r="B1810" s="1">
        <v>45777</v>
      </c>
      <c r="C1810">
        <v>415004</v>
      </c>
      <c r="D1810">
        <v>-62106.718000000001</v>
      </c>
      <c r="E1810" t="s">
        <v>6</v>
      </c>
      <c r="F1810" t="s">
        <v>50</v>
      </c>
      <c r="G1810" t="s">
        <v>7</v>
      </c>
    </row>
    <row r="1811" spans="1:7" x14ac:dyDescent="0.3">
      <c r="A1811" t="s">
        <v>33</v>
      </c>
      <c r="B1811" s="1">
        <v>45777</v>
      </c>
      <c r="C1811">
        <v>421003</v>
      </c>
      <c r="D1811">
        <v>-527.98</v>
      </c>
      <c r="E1811" t="s">
        <v>6</v>
      </c>
      <c r="F1811" t="s">
        <v>52</v>
      </c>
      <c r="G1811" t="s">
        <v>7</v>
      </c>
    </row>
    <row r="1812" spans="1:7" x14ac:dyDescent="0.3">
      <c r="A1812" t="s">
        <v>33</v>
      </c>
      <c r="B1812" s="1">
        <v>45777</v>
      </c>
      <c r="C1812">
        <v>510002</v>
      </c>
      <c r="D1812">
        <v>64169.805999999997</v>
      </c>
      <c r="E1812" t="s">
        <v>6</v>
      </c>
      <c r="F1812" t="s">
        <v>53</v>
      </c>
      <c r="G1812" t="s">
        <v>7</v>
      </c>
    </row>
    <row r="1813" spans="1:7" x14ac:dyDescent="0.3">
      <c r="A1813" t="s">
        <v>33</v>
      </c>
      <c r="B1813" s="1">
        <v>45777</v>
      </c>
      <c r="C1813">
        <v>510005</v>
      </c>
      <c r="D1813">
        <v>2588.5279999999998</v>
      </c>
      <c r="E1813" t="s">
        <v>6</v>
      </c>
      <c r="F1813" t="s">
        <v>53</v>
      </c>
      <c r="G1813" t="s">
        <v>7</v>
      </c>
    </row>
    <row r="1814" spans="1:7" x14ac:dyDescent="0.3">
      <c r="A1814" t="s">
        <v>33</v>
      </c>
      <c r="B1814" s="1">
        <v>45777</v>
      </c>
      <c r="C1814">
        <v>510007</v>
      </c>
      <c r="D1814">
        <v>8092.2669999999998</v>
      </c>
      <c r="E1814" t="s">
        <v>6</v>
      </c>
      <c r="F1814" t="s">
        <v>53</v>
      </c>
      <c r="G1814" t="s">
        <v>7</v>
      </c>
    </row>
    <row r="1815" spans="1:7" x14ac:dyDescent="0.3">
      <c r="A1815" t="s">
        <v>33</v>
      </c>
      <c r="B1815" s="1">
        <v>45777</v>
      </c>
      <c r="C1815">
        <v>510010</v>
      </c>
      <c r="D1815">
        <v>1049.1199999999999</v>
      </c>
      <c r="E1815" t="s">
        <v>6</v>
      </c>
      <c r="F1815" t="s">
        <v>53</v>
      </c>
      <c r="G1815" t="s">
        <v>7</v>
      </c>
    </row>
    <row r="1816" spans="1:7" x14ac:dyDescent="0.3">
      <c r="A1816" t="s">
        <v>33</v>
      </c>
      <c r="B1816" s="1">
        <v>45777</v>
      </c>
      <c r="C1816">
        <v>510012</v>
      </c>
      <c r="D1816">
        <v>85.959000000000003</v>
      </c>
      <c r="E1816" t="s">
        <v>6</v>
      </c>
      <c r="F1816" t="s">
        <v>53</v>
      </c>
      <c r="G1816" t="s">
        <v>7</v>
      </c>
    </row>
    <row r="1817" spans="1:7" x14ac:dyDescent="0.3">
      <c r="A1817" t="s">
        <v>33</v>
      </c>
      <c r="B1817" s="1">
        <v>45777</v>
      </c>
      <c r="C1817">
        <v>510015</v>
      </c>
      <c r="D1817">
        <v>4898.2539999999999</v>
      </c>
      <c r="E1817" t="s">
        <v>6</v>
      </c>
      <c r="F1817" t="s">
        <v>53</v>
      </c>
      <c r="G1817" t="s">
        <v>7</v>
      </c>
    </row>
    <row r="1818" spans="1:7" x14ac:dyDescent="0.3">
      <c r="A1818" t="s">
        <v>33</v>
      </c>
      <c r="B1818" s="1">
        <v>45777</v>
      </c>
      <c r="C1818">
        <v>510018</v>
      </c>
      <c r="D1818">
        <v>5843.89</v>
      </c>
      <c r="E1818" t="s">
        <v>6</v>
      </c>
      <c r="F1818" t="s">
        <v>53</v>
      </c>
      <c r="G1818" t="s">
        <v>7</v>
      </c>
    </row>
    <row r="1819" spans="1:7" x14ac:dyDescent="0.3">
      <c r="A1819" t="s">
        <v>33</v>
      </c>
      <c r="B1819" s="1">
        <v>45777</v>
      </c>
      <c r="C1819">
        <v>510059</v>
      </c>
      <c r="D1819">
        <v>282.48399999999998</v>
      </c>
      <c r="E1819" t="s">
        <v>6</v>
      </c>
      <c r="F1819" t="s">
        <v>53</v>
      </c>
      <c r="G1819" t="s">
        <v>7</v>
      </c>
    </row>
    <row r="1820" spans="1:7" x14ac:dyDescent="0.3">
      <c r="A1820" t="s">
        <v>33</v>
      </c>
      <c r="B1820" s="1">
        <v>45777</v>
      </c>
      <c r="C1820">
        <v>510062</v>
      </c>
      <c r="D1820">
        <v>269.30900000000003</v>
      </c>
      <c r="E1820" t="s">
        <v>6</v>
      </c>
      <c r="F1820" t="s">
        <v>53</v>
      </c>
      <c r="G1820" t="s">
        <v>7</v>
      </c>
    </row>
    <row r="1821" spans="1:7" x14ac:dyDescent="0.3">
      <c r="A1821" t="s">
        <v>33</v>
      </c>
      <c r="B1821" s="1">
        <v>45777</v>
      </c>
      <c r="C1821">
        <v>520021</v>
      </c>
      <c r="D1821">
        <v>303.072</v>
      </c>
      <c r="E1821" t="s">
        <v>6</v>
      </c>
      <c r="F1821" t="s">
        <v>60</v>
      </c>
      <c r="G1821" t="s">
        <v>7</v>
      </c>
    </row>
    <row r="1822" spans="1:7" x14ac:dyDescent="0.3">
      <c r="A1822" t="s">
        <v>33</v>
      </c>
      <c r="B1822" s="1">
        <v>45777</v>
      </c>
      <c r="C1822">
        <v>541004</v>
      </c>
      <c r="D1822">
        <v>97.185000000000002</v>
      </c>
      <c r="E1822" t="s">
        <v>6</v>
      </c>
      <c r="F1822" t="s">
        <v>61</v>
      </c>
      <c r="G1822" t="s">
        <v>7</v>
      </c>
    </row>
    <row r="1823" spans="1:7" x14ac:dyDescent="0.3">
      <c r="A1823" t="s">
        <v>33</v>
      </c>
      <c r="B1823" s="1">
        <v>45777</v>
      </c>
      <c r="C1823">
        <v>541010</v>
      </c>
      <c r="D1823">
        <v>603.20399999999995</v>
      </c>
      <c r="E1823" t="s">
        <v>6</v>
      </c>
      <c r="F1823" t="s">
        <v>61</v>
      </c>
      <c r="G1823" t="s">
        <v>7</v>
      </c>
    </row>
    <row r="1824" spans="1:7" x14ac:dyDescent="0.3">
      <c r="A1824" t="s">
        <v>33</v>
      </c>
      <c r="B1824" s="1">
        <v>45777</v>
      </c>
      <c r="C1824">
        <v>541013</v>
      </c>
      <c r="D1824">
        <v>56.609000000000002</v>
      </c>
      <c r="E1824" t="s">
        <v>6</v>
      </c>
      <c r="F1824" t="s">
        <v>61</v>
      </c>
      <c r="G1824" t="s">
        <v>7</v>
      </c>
    </row>
    <row r="1825" spans="1:7" x14ac:dyDescent="0.3">
      <c r="A1825" t="s">
        <v>33</v>
      </c>
      <c r="B1825" s="1">
        <v>45777</v>
      </c>
      <c r="C1825">
        <v>546002</v>
      </c>
      <c r="D1825">
        <v>59001.385000000002</v>
      </c>
      <c r="E1825" t="s">
        <v>6</v>
      </c>
      <c r="F1825" t="s">
        <v>51</v>
      </c>
      <c r="G1825" t="s">
        <v>7</v>
      </c>
    </row>
    <row r="1826" spans="1:7" x14ac:dyDescent="0.3">
      <c r="A1826" t="s">
        <v>33</v>
      </c>
      <c r="B1826" s="1">
        <v>45777</v>
      </c>
      <c r="C1826">
        <v>546008</v>
      </c>
      <c r="D1826">
        <v>2259.9549999999999</v>
      </c>
      <c r="E1826" t="s">
        <v>6</v>
      </c>
      <c r="F1826" t="s">
        <v>51</v>
      </c>
      <c r="G1826" t="s">
        <v>7</v>
      </c>
    </row>
    <row r="1827" spans="1:7" x14ac:dyDescent="0.3">
      <c r="A1827" t="s">
        <v>33</v>
      </c>
      <c r="B1827" s="1">
        <v>45777</v>
      </c>
      <c r="C1827">
        <v>546013</v>
      </c>
      <c r="D1827">
        <v>25903.84</v>
      </c>
      <c r="E1827" t="s">
        <v>6</v>
      </c>
      <c r="F1827" t="s">
        <v>51</v>
      </c>
      <c r="G1827" t="s">
        <v>7</v>
      </c>
    </row>
    <row r="1828" spans="1:7" x14ac:dyDescent="0.3">
      <c r="A1828" t="s">
        <v>33</v>
      </c>
      <c r="B1828" s="1">
        <v>45777</v>
      </c>
      <c r="C1828">
        <v>546015</v>
      </c>
      <c r="D1828">
        <v>131.34</v>
      </c>
      <c r="E1828" t="s">
        <v>6</v>
      </c>
      <c r="F1828" t="s">
        <v>51</v>
      </c>
      <c r="G1828" t="s">
        <v>7</v>
      </c>
    </row>
    <row r="1829" spans="1:7" x14ac:dyDescent="0.3">
      <c r="A1829" t="s">
        <v>33</v>
      </c>
      <c r="B1829" s="1">
        <v>45777</v>
      </c>
      <c r="C1829">
        <v>546035</v>
      </c>
      <c r="D1829">
        <v>-45.143999999999998</v>
      </c>
      <c r="E1829" t="s">
        <v>6</v>
      </c>
      <c r="F1829" t="s">
        <v>51</v>
      </c>
      <c r="G1829" t="s">
        <v>7</v>
      </c>
    </row>
    <row r="1830" spans="1:7" x14ac:dyDescent="0.3">
      <c r="A1830" t="s">
        <v>33</v>
      </c>
      <c r="B1830" s="1">
        <v>45777</v>
      </c>
      <c r="C1830">
        <v>546040</v>
      </c>
      <c r="D1830">
        <v>4947.3239999999996</v>
      </c>
      <c r="E1830" t="s">
        <v>6</v>
      </c>
      <c r="F1830" t="s">
        <v>51</v>
      </c>
      <c r="G1830" t="s">
        <v>7</v>
      </c>
    </row>
    <row r="1831" spans="1:7" x14ac:dyDescent="0.3">
      <c r="A1831" t="s">
        <v>33</v>
      </c>
      <c r="B1831" s="1">
        <v>45777</v>
      </c>
      <c r="C1831">
        <v>550003</v>
      </c>
      <c r="D1831">
        <v>23574.843000000001</v>
      </c>
      <c r="E1831" t="s">
        <v>6</v>
      </c>
      <c r="F1831" t="s">
        <v>62</v>
      </c>
      <c r="G1831" t="s">
        <v>7</v>
      </c>
    </row>
    <row r="1832" spans="1:7" x14ac:dyDescent="0.3">
      <c r="A1832" t="s">
        <v>33</v>
      </c>
      <c r="B1832" s="1">
        <v>45777</v>
      </c>
      <c r="C1832">
        <v>551008</v>
      </c>
      <c r="D1832">
        <v>11.821</v>
      </c>
      <c r="E1832" t="s">
        <v>6</v>
      </c>
      <c r="F1832" t="s">
        <v>63</v>
      </c>
      <c r="G1832" t="s">
        <v>7</v>
      </c>
    </row>
    <row r="1833" spans="1:7" x14ac:dyDescent="0.3">
      <c r="A1833" t="s">
        <v>33</v>
      </c>
      <c r="B1833" s="1">
        <v>45777</v>
      </c>
      <c r="C1833">
        <v>552002</v>
      </c>
      <c r="D1833">
        <v>281.01799999999997</v>
      </c>
      <c r="E1833" t="s">
        <v>6</v>
      </c>
      <c r="F1833" t="s">
        <v>55</v>
      </c>
      <c r="G1833" t="s">
        <v>7</v>
      </c>
    </row>
    <row r="1834" spans="1:7" x14ac:dyDescent="0.3">
      <c r="A1834" t="s">
        <v>33</v>
      </c>
      <c r="B1834" s="1">
        <v>45777</v>
      </c>
      <c r="C1834">
        <v>552504</v>
      </c>
      <c r="D1834">
        <v>-469.44499999999999</v>
      </c>
      <c r="E1834" t="s">
        <v>6</v>
      </c>
      <c r="F1834" t="s">
        <v>55</v>
      </c>
      <c r="G1834" t="s">
        <v>7</v>
      </c>
    </row>
    <row r="1835" spans="1:7" x14ac:dyDescent="0.3">
      <c r="A1835" t="s">
        <v>33</v>
      </c>
      <c r="B1835" s="1">
        <v>45777</v>
      </c>
      <c r="C1835">
        <v>555502</v>
      </c>
      <c r="D1835">
        <v>52.194000000000003</v>
      </c>
      <c r="E1835" t="s">
        <v>6</v>
      </c>
      <c r="F1835" t="s">
        <v>55</v>
      </c>
      <c r="G1835" t="s">
        <v>7</v>
      </c>
    </row>
    <row r="1836" spans="1:7" x14ac:dyDescent="0.3">
      <c r="A1836" t="s">
        <v>33</v>
      </c>
      <c r="B1836" s="1">
        <v>45777</v>
      </c>
      <c r="C1836">
        <v>555508</v>
      </c>
      <c r="D1836">
        <v>34.893000000000001</v>
      </c>
      <c r="E1836" t="s">
        <v>6</v>
      </c>
      <c r="F1836" t="s">
        <v>55</v>
      </c>
      <c r="G1836" t="s">
        <v>7</v>
      </c>
    </row>
    <row r="1837" spans="1:7" x14ac:dyDescent="0.3">
      <c r="A1837" t="s">
        <v>33</v>
      </c>
      <c r="B1837" s="1">
        <v>45777</v>
      </c>
      <c r="C1837">
        <v>556002</v>
      </c>
      <c r="D1837">
        <v>1.756</v>
      </c>
      <c r="E1837" t="s">
        <v>6</v>
      </c>
      <c r="F1837" t="s">
        <v>60</v>
      </c>
      <c r="G1837" t="s">
        <v>7</v>
      </c>
    </row>
    <row r="1838" spans="1:7" x14ac:dyDescent="0.3">
      <c r="A1838" t="s">
        <v>33</v>
      </c>
      <c r="B1838" s="1">
        <v>45777</v>
      </c>
      <c r="C1838">
        <v>556003</v>
      </c>
      <c r="D1838">
        <v>-969.798</v>
      </c>
      <c r="E1838" t="s">
        <v>6</v>
      </c>
      <c r="F1838" t="s">
        <v>55</v>
      </c>
      <c r="G1838" t="s">
        <v>7</v>
      </c>
    </row>
    <row r="1839" spans="1:7" x14ac:dyDescent="0.3">
      <c r="A1839" t="s">
        <v>33</v>
      </c>
      <c r="B1839" s="1">
        <v>45777</v>
      </c>
      <c r="C1839">
        <v>557002</v>
      </c>
      <c r="D1839">
        <v>148.25700000000001</v>
      </c>
      <c r="E1839" t="s">
        <v>6</v>
      </c>
      <c r="F1839" t="s">
        <v>56</v>
      </c>
      <c r="G1839" t="s">
        <v>7</v>
      </c>
    </row>
    <row r="1840" spans="1:7" x14ac:dyDescent="0.3">
      <c r="A1840" t="s">
        <v>33</v>
      </c>
      <c r="B1840" s="1">
        <v>45777</v>
      </c>
      <c r="C1840">
        <v>557003</v>
      </c>
      <c r="D1840">
        <v>802.072</v>
      </c>
      <c r="E1840" t="s">
        <v>6</v>
      </c>
      <c r="F1840" t="s">
        <v>56</v>
      </c>
      <c r="G1840" t="s">
        <v>7</v>
      </c>
    </row>
    <row r="1841" spans="1:7" x14ac:dyDescent="0.3">
      <c r="A1841" t="s">
        <v>33</v>
      </c>
      <c r="B1841" s="1">
        <v>45777</v>
      </c>
      <c r="C1841">
        <v>559002</v>
      </c>
      <c r="D1841">
        <v>29.986000000000001</v>
      </c>
      <c r="E1841" t="s">
        <v>6</v>
      </c>
      <c r="F1841" t="s">
        <v>60</v>
      </c>
      <c r="G1841" t="s">
        <v>7</v>
      </c>
    </row>
    <row r="1842" spans="1:7" x14ac:dyDescent="0.3">
      <c r="A1842" t="s">
        <v>33</v>
      </c>
      <c r="B1842" s="1">
        <v>45777</v>
      </c>
      <c r="C1842">
        <v>564008</v>
      </c>
      <c r="D1842">
        <v>128.80000000000001</v>
      </c>
      <c r="E1842" t="s">
        <v>6</v>
      </c>
      <c r="F1842" t="s">
        <v>55</v>
      </c>
      <c r="G1842" t="s">
        <v>7</v>
      </c>
    </row>
    <row r="1843" spans="1:7" x14ac:dyDescent="0.3">
      <c r="A1843" t="s">
        <v>33</v>
      </c>
      <c r="B1843" s="1">
        <v>45777</v>
      </c>
      <c r="C1843">
        <v>564020</v>
      </c>
      <c r="D1843">
        <v>27.187000000000001</v>
      </c>
      <c r="E1843" t="s">
        <v>6</v>
      </c>
      <c r="F1843" t="s">
        <v>57</v>
      </c>
      <c r="G1843" t="s">
        <v>7</v>
      </c>
    </row>
    <row r="1844" spans="1:7" x14ac:dyDescent="0.3">
      <c r="A1844" t="s">
        <v>33</v>
      </c>
      <c r="B1844" s="1">
        <v>45777</v>
      </c>
      <c r="C1844">
        <v>570002</v>
      </c>
      <c r="D1844">
        <v>164.32300000000001</v>
      </c>
      <c r="E1844" t="s">
        <v>6</v>
      </c>
      <c r="F1844" t="s">
        <v>66</v>
      </c>
      <c r="G1844" t="s">
        <v>7</v>
      </c>
    </row>
    <row r="1845" spans="1:7" x14ac:dyDescent="0.3">
      <c r="A1845" t="s">
        <v>34</v>
      </c>
      <c r="B1845" s="1">
        <v>45777</v>
      </c>
      <c r="C1845">
        <v>210002</v>
      </c>
      <c r="D1845">
        <v>-12879.995999999999</v>
      </c>
      <c r="E1845" t="s">
        <v>4</v>
      </c>
      <c r="F1845" t="s">
        <v>42</v>
      </c>
      <c r="G1845" t="s">
        <v>7</v>
      </c>
    </row>
    <row r="1846" spans="1:7" x14ac:dyDescent="0.3">
      <c r="A1846" t="s">
        <v>34</v>
      </c>
      <c r="B1846" s="1">
        <v>45777</v>
      </c>
      <c r="C1846">
        <v>220006</v>
      </c>
      <c r="D1846">
        <v>-1608107.2339999999</v>
      </c>
      <c r="E1846" t="s">
        <v>4</v>
      </c>
      <c r="F1846" t="s">
        <v>42</v>
      </c>
      <c r="G1846" t="s">
        <v>7</v>
      </c>
    </row>
    <row r="1847" spans="1:7" x14ac:dyDescent="0.3">
      <c r="A1847" t="s">
        <v>34</v>
      </c>
      <c r="B1847" s="1">
        <v>45777</v>
      </c>
      <c r="C1847">
        <v>240002</v>
      </c>
      <c r="D1847">
        <v>-648.41999999999996</v>
      </c>
      <c r="E1847" t="s">
        <v>4</v>
      </c>
      <c r="F1847" t="s">
        <v>43</v>
      </c>
      <c r="G1847" t="s">
        <v>7</v>
      </c>
    </row>
    <row r="1848" spans="1:7" x14ac:dyDescent="0.3">
      <c r="A1848" t="s">
        <v>34</v>
      </c>
      <c r="B1848" s="1">
        <v>45777</v>
      </c>
      <c r="C1848">
        <v>240003</v>
      </c>
      <c r="D1848">
        <v>7.1790000000000003</v>
      </c>
      <c r="E1848" t="s">
        <v>4</v>
      </c>
      <c r="F1848" t="s">
        <v>43</v>
      </c>
      <c r="G1848" t="s">
        <v>7</v>
      </c>
    </row>
    <row r="1849" spans="1:7" x14ac:dyDescent="0.3">
      <c r="A1849" t="s">
        <v>34</v>
      </c>
      <c r="B1849" s="1">
        <v>45777</v>
      </c>
      <c r="C1849">
        <v>240009</v>
      </c>
      <c r="D1849">
        <v>-164.59100000000001</v>
      </c>
      <c r="E1849" t="s">
        <v>4</v>
      </c>
      <c r="F1849" t="s">
        <v>43</v>
      </c>
      <c r="G1849" t="s">
        <v>7</v>
      </c>
    </row>
    <row r="1850" spans="1:7" x14ac:dyDescent="0.3">
      <c r="A1850" t="s">
        <v>34</v>
      </c>
      <c r="B1850" s="1">
        <v>45777</v>
      </c>
      <c r="C1850">
        <v>242003</v>
      </c>
      <c r="D1850">
        <v>-215318.622</v>
      </c>
      <c r="E1850" t="s">
        <v>4</v>
      </c>
      <c r="F1850" t="s">
        <v>43</v>
      </c>
      <c r="G1850" t="s">
        <v>7</v>
      </c>
    </row>
    <row r="1851" spans="1:7" x14ac:dyDescent="0.3">
      <c r="A1851" t="s">
        <v>34</v>
      </c>
      <c r="B1851" s="1">
        <v>45777</v>
      </c>
      <c r="C1851">
        <v>242011</v>
      </c>
      <c r="D1851">
        <v>-371147.353</v>
      </c>
      <c r="E1851" t="s">
        <v>4</v>
      </c>
      <c r="F1851" t="s">
        <v>43</v>
      </c>
      <c r="G1851" t="s">
        <v>7</v>
      </c>
    </row>
    <row r="1852" spans="1:7" x14ac:dyDescent="0.3">
      <c r="A1852" t="s">
        <v>34</v>
      </c>
      <c r="B1852" s="1">
        <v>45777</v>
      </c>
      <c r="C1852">
        <v>242013</v>
      </c>
      <c r="D1852">
        <v>-50252.906000000003</v>
      </c>
      <c r="E1852" t="s">
        <v>4</v>
      </c>
      <c r="F1852" t="s">
        <v>43</v>
      </c>
      <c r="G1852" t="s">
        <v>7</v>
      </c>
    </row>
    <row r="1853" spans="1:7" x14ac:dyDescent="0.3">
      <c r="A1853" t="s">
        <v>34</v>
      </c>
      <c r="B1853" s="1">
        <v>45777</v>
      </c>
      <c r="C1853">
        <v>242014</v>
      </c>
      <c r="D1853">
        <v>-18522.82</v>
      </c>
      <c r="E1853" t="s">
        <v>4</v>
      </c>
      <c r="F1853" t="s">
        <v>43</v>
      </c>
      <c r="G1853" t="s">
        <v>7</v>
      </c>
    </row>
    <row r="1854" spans="1:7" x14ac:dyDescent="0.3">
      <c r="A1854" t="s">
        <v>34</v>
      </c>
      <c r="B1854" s="1">
        <v>45777</v>
      </c>
      <c r="C1854">
        <v>242017</v>
      </c>
      <c r="D1854">
        <v>268.74700000000001</v>
      </c>
      <c r="E1854" t="s">
        <v>4</v>
      </c>
      <c r="F1854" t="s">
        <v>43</v>
      </c>
      <c r="G1854" t="s">
        <v>7</v>
      </c>
    </row>
    <row r="1855" spans="1:7" x14ac:dyDescent="0.3">
      <c r="A1855" t="s">
        <v>34</v>
      </c>
      <c r="B1855" s="1">
        <v>45777</v>
      </c>
      <c r="C1855">
        <v>242023</v>
      </c>
      <c r="D1855">
        <v>-6589.7160000000003</v>
      </c>
      <c r="E1855" t="s">
        <v>4</v>
      </c>
      <c r="F1855" t="s">
        <v>43</v>
      </c>
      <c r="G1855" t="s">
        <v>7</v>
      </c>
    </row>
    <row r="1856" spans="1:7" x14ac:dyDescent="0.3">
      <c r="A1856" t="s">
        <v>34</v>
      </c>
      <c r="B1856" s="1">
        <v>45777</v>
      </c>
      <c r="C1856">
        <v>242027</v>
      </c>
      <c r="D1856">
        <v>-108766.319</v>
      </c>
      <c r="E1856" t="s">
        <v>4</v>
      </c>
      <c r="F1856" t="s">
        <v>43</v>
      </c>
      <c r="G1856" t="s">
        <v>7</v>
      </c>
    </row>
    <row r="1857" spans="1:7" x14ac:dyDescent="0.3">
      <c r="A1857" t="s">
        <v>34</v>
      </c>
      <c r="B1857" s="1">
        <v>45777</v>
      </c>
      <c r="C1857">
        <v>242030</v>
      </c>
      <c r="D1857">
        <v>-65662.805999999997</v>
      </c>
      <c r="E1857" t="s">
        <v>4</v>
      </c>
      <c r="F1857" t="s">
        <v>43</v>
      </c>
      <c r="G1857" t="s">
        <v>7</v>
      </c>
    </row>
    <row r="1858" spans="1:7" x14ac:dyDescent="0.3">
      <c r="A1858" t="s">
        <v>34</v>
      </c>
      <c r="B1858" s="1">
        <v>45777</v>
      </c>
      <c r="C1858">
        <v>242036</v>
      </c>
      <c r="D1858">
        <v>-21.548999999999999</v>
      </c>
      <c r="E1858" t="s">
        <v>4</v>
      </c>
      <c r="F1858" t="s">
        <v>43</v>
      </c>
      <c r="G1858" t="s">
        <v>7</v>
      </c>
    </row>
    <row r="1859" spans="1:7" x14ac:dyDescent="0.3">
      <c r="A1859" t="s">
        <v>34</v>
      </c>
      <c r="B1859" s="1">
        <v>45777</v>
      </c>
      <c r="C1859">
        <v>242038</v>
      </c>
      <c r="D1859">
        <v>-3822.96</v>
      </c>
      <c r="E1859" t="s">
        <v>4</v>
      </c>
      <c r="F1859" t="s">
        <v>43</v>
      </c>
      <c r="G1859" t="s">
        <v>7</v>
      </c>
    </row>
    <row r="1860" spans="1:7" x14ac:dyDescent="0.3">
      <c r="A1860" t="s">
        <v>34</v>
      </c>
      <c r="B1860" s="1">
        <v>45777</v>
      </c>
      <c r="C1860">
        <v>242041</v>
      </c>
      <c r="D1860">
        <v>8679.1479999999992</v>
      </c>
      <c r="E1860" t="s">
        <v>4</v>
      </c>
      <c r="F1860" t="s">
        <v>43</v>
      </c>
      <c r="G1860" t="s">
        <v>7</v>
      </c>
    </row>
    <row r="1861" spans="1:7" x14ac:dyDescent="0.3">
      <c r="A1861" t="s">
        <v>34</v>
      </c>
      <c r="B1861" s="1">
        <v>45777</v>
      </c>
      <c r="C1861">
        <v>243002</v>
      </c>
      <c r="D1861">
        <v>-6630.6980000000003</v>
      </c>
      <c r="E1861" t="s">
        <v>4</v>
      </c>
      <c r="F1861" t="s">
        <v>43</v>
      </c>
      <c r="G1861" t="s">
        <v>7</v>
      </c>
    </row>
    <row r="1862" spans="1:7" x14ac:dyDescent="0.3">
      <c r="A1862" t="s">
        <v>34</v>
      </c>
      <c r="B1862" s="1">
        <v>45777</v>
      </c>
      <c r="C1862">
        <v>243003</v>
      </c>
      <c r="D1862">
        <v>-15063.507</v>
      </c>
      <c r="E1862" t="s">
        <v>4</v>
      </c>
      <c r="F1862" t="s">
        <v>43</v>
      </c>
      <c r="G1862" t="s">
        <v>7</v>
      </c>
    </row>
    <row r="1863" spans="1:7" x14ac:dyDescent="0.3">
      <c r="A1863" t="s">
        <v>34</v>
      </c>
      <c r="B1863" s="1">
        <v>45777</v>
      </c>
      <c r="C1863">
        <v>243009</v>
      </c>
      <c r="D1863">
        <v>-17.564</v>
      </c>
      <c r="E1863" t="s">
        <v>4</v>
      </c>
      <c r="F1863" t="s">
        <v>43</v>
      </c>
      <c r="G1863" t="s">
        <v>7</v>
      </c>
    </row>
    <row r="1864" spans="1:7" x14ac:dyDescent="0.3">
      <c r="A1864" t="s">
        <v>34</v>
      </c>
      <c r="B1864" s="1">
        <v>45777</v>
      </c>
      <c r="C1864">
        <v>243010</v>
      </c>
      <c r="D1864">
        <v>-3591.623</v>
      </c>
      <c r="E1864" t="s">
        <v>4</v>
      </c>
      <c r="F1864" t="s">
        <v>43</v>
      </c>
      <c r="G1864" t="s">
        <v>7</v>
      </c>
    </row>
    <row r="1865" spans="1:7" x14ac:dyDescent="0.3">
      <c r="A1865" t="s">
        <v>34</v>
      </c>
      <c r="B1865" s="1">
        <v>45777</v>
      </c>
      <c r="C1865">
        <v>245010</v>
      </c>
      <c r="D1865">
        <v>-59033.358999999997</v>
      </c>
      <c r="E1865" t="s">
        <v>4</v>
      </c>
      <c r="F1865" t="s">
        <v>44</v>
      </c>
      <c r="G1865" t="s">
        <v>7</v>
      </c>
    </row>
    <row r="1866" spans="1:7" x14ac:dyDescent="0.3">
      <c r="A1866" t="s">
        <v>34</v>
      </c>
      <c r="B1866" s="1">
        <v>45777</v>
      </c>
      <c r="C1866">
        <v>245018</v>
      </c>
      <c r="D1866">
        <v>-39485.574999999997</v>
      </c>
      <c r="E1866" t="s">
        <v>4</v>
      </c>
      <c r="F1866" t="s">
        <v>43</v>
      </c>
      <c r="G1866" t="s">
        <v>7</v>
      </c>
    </row>
    <row r="1867" spans="1:7" x14ac:dyDescent="0.3">
      <c r="A1867" t="s">
        <v>34</v>
      </c>
      <c r="B1867" s="1">
        <v>45777</v>
      </c>
      <c r="C1867">
        <v>245055</v>
      </c>
      <c r="D1867">
        <v>-90540.869000000006</v>
      </c>
      <c r="E1867" t="s">
        <v>4</v>
      </c>
      <c r="F1867" t="s">
        <v>43</v>
      </c>
      <c r="G1867" t="s">
        <v>7</v>
      </c>
    </row>
    <row r="1868" spans="1:7" x14ac:dyDescent="0.3">
      <c r="A1868" t="s">
        <v>34</v>
      </c>
      <c r="B1868" s="1">
        <v>45777</v>
      </c>
      <c r="C1868">
        <v>245056</v>
      </c>
      <c r="D1868">
        <v>-101.09399999999999</v>
      </c>
      <c r="E1868" t="s">
        <v>4</v>
      </c>
      <c r="F1868" t="s">
        <v>49</v>
      </c>
      <c r="G1868" t="s">
        <v>7</v>
      </c>
    </row>
    <row r="1869" spans="1:7" x14ac:dyDescent="0.3">
      <c r="A1869" t="s">
        <v>34</v>
      </c>
      <c r="B1869" s="1">
        <v>45777</v>
      </c>
      <c r="C1869">
        <v>245062</v>
      </c>
      <c r="D1869">
        <v>-13185.602999999999</v>
      </c>
      <c r="E1869" t="s">
        <v>4</v>
      </c>
      <c r="F1869" t="s">
        <v>43</v>
      </c>
      <c r="G1869" t="s">
        <v>7</v>
      </c>
    </row>
    <row r="1870" spans="1:7" x14ac:dyDescent="0.3">
      <c r="A1870" t="s">
        <v>34</v>
      </c>
      <c r="B1870" s="1">
        <v>45777</v>
      </c>
      <c r="C1870">
        <v>250003</v>
      </c>
      <c r="D1870">
        <v>-841.05399999999997</v>
      </c>
      <c r="E1870" t="s">
        <v>4</v>
      </c>
      <c r="F1870" t="s">
        <v>45</v>
      </c>
      <c r="G1870" t="s">
        <v>7</v>
      </c>
    </row>
    <row r="1871" spans="1:7" x14ac:dyDescent="0.3">
      <c r="A1871" t="s">
        <v>34</v>
      </c>
      <c r="B1871" s="1">
        <v>45777</v>
      </c>
      <c r="C1871">
        <v>250007</v>
      </c>
      <c r="D1871">
        <v>-6994.9570000000003</v>
      </c>
      <c r="E1871" t="s">
        <v>4</v>
      </c>
      <c r="F1871" t="s">
        <v>43</v>
      </c>
      <c r="G1871" t="s">
        <v>7</v>
      </c>
    </row>
    <row r="1872" spans="1:7" x14ac:dyDescent="0.3">
      <c r="A1872" t="s">
        <v>34</v>
      </c>
      <c r="B1872" s="1">
        <v>45777</v>
      </c>
      <c r="C1872">
        <v>251002</v>
      </c>
      <c r="D1872">
        <v>-255938.576</v>
      </c>
      <c r="E1872" t="s">
        <v>4</v>
      </c>
      <c r="F1872" t="s">
        <v>45</v>
      </c>
      <c r="G1872" t="s">
        <v>7</v>
      </c>
    </row>
    <row r="1873" spans="1:7" x14ac:dyDescent="0.3">
      <c r="A1873" t="s">
        <v>34</v>
      </c>
      <c r="B1873" s="1">
        <v>45777</v>
      </c>
      <c r="C1873">
        <v>257008</v>
      </c>
      <c r="D1873">
        <v>-835.04200000000003</v>
      </c>
      <c r="E1873" t="s">
        <v>4</v>
      </c>
      <c r="F1873" t="s">
        <v>45</v>
      </c>
      <c r="G1873" t="s">
        <v>7</v>
      </c>
    </row>
    <row r="1874" spans="1:7" x14ac:dyDescent="0.3">
      <c r="A1874" t="s">
        <v>34</v>
      </c>
      <c r="B1874" s="1">
        <v>45777</v>
      </c>
      <c r="C1874">
        <v>257009</v>
      </c>
      <c r="D1874">
        <v>-11124.498</v>
      </c>
      <c r="E1874" t="s">
        <v>4</v>
      </c>
      <c r="F1874" t="s">
        <v>45</v>
      </c>
      <c r="G1874" t="s">
        <v>7</v>
      </c>
    </row>
    <row r="1875" spans="1:7" x14ac:dyDescent="0.3">
      <c r="A1875" t="s">
        <v>34</v>
      </c>
      <c r="B1875" s="1">
        <v>45777</v>
      </c>
      <c r="C1875">
        <v>257011</v>
      </c>
      <c r="D1875">
        <v>-3227.498</v>
      </c>
      <c r="E1875" t="s">
        <v>4</v>
      </c>
      <c r="F1875" t="s">
        <v>45</v>
      </c>
      <c r="G1875" t="s">
        <v>7</v>
      </c>
    </row>
    <row r="1876" spans="1:7" x14ac:dyDescent="0.3">
      <c r="A1876" t="s">
        <v>34</v>
      </c>
      <c r="B1876" s="1">
        <v>45777</v>
      </c>
      <c r="C1876">
        <v>257028</v>
      </c>
      <c r="D1876">
        <v>-34035.724000000002</v>
      </c>
      <c r="E1876" t="s">
        <v>4</v>
      </c>
      <c r="F1876" t="s">
        <v>45</v>
      </c>
      <c r="G1876" t="s">
        <v>7</v>
      </c>
    </row>
    <row r="1877" spans="1:7" x14ac:dyDescent="0.3">
      <c r="A1877" t="s">
        <v>34</v>
      </c>
      <c r="B1877" s="1">
        <v>45777</v>
      </c>
      <c r="C1877">
        <v>260004</v>
      </c>
      <c r="D1877">
        <v>1799.2370000000001</v>
      </c>
      <c r="E1877" t="s">
        <v>4</v>
      </c>
      <c r="F1877" t="s">
        <v>45</v>
      </c>
      <c r="G1877" t="s">
        <v>7</v>
      </c>
    </row>
    <row r="1878" spans="1:7" x14ac:dyDescent="0.3">
      <c r="A1878" t="s">
        <v>34</v>
      </c>
      <c r="B1878" s="1">
        <v>45777</v>
      </c>
      <c r="C1878">
        <v>270024</v>
      </c>
      <c r="D1878">
        <v>-13439.222</v>
      </c>
      <c r="E1878" t="s">
        <v>4</v>
      </c>
      <c r="F1878" t="s">
        <v>58</v>
      </c>
      <c r="G1878" t="s">
        <v>7</v>
      </c>
    </row>
    <row r="1879" spans="1:7" x14ac:dyDescent="0.3">
      <c r="A1879" t="s">
        <v>34</v>
      </c>
      <c r="B1879" s="1">
        <v>45777</v>
      </c>
      <c r="C1879">
        <v>270025</v>
      </c>
      <c r="D1879">
        <v>-121.657</v>
      </c>
      <c r="E1879" t="s">
        <v>4</v>
      </c>
      <c r="F1879" t="s">
        <v>58</v>
      </c>
      <c r="G1879" t="s">
        <v>7</v>
      </c>
    </row>
    <row r="1880" spans="1:7" x14ac:dyDescent="0.3">
      <c r="A1880" t="s">
        <v>34</v>
      </c>
      <c r="B1880" s="1">
        <v>45777</v>
      </c>
      <c r="C1880">
        <v>270026</v>
      </c>
      <c r="D1880">
        <v>-16052.574000000001</v>
      </c>
      <c r="E1880" t="s">
        <v>4</v>
      </c>
      <c r="F1880" t="s">
        <v>58</v>
      </c>
      <c r="G1880" t="s">
        <v>7</v>
      </c>
    </row>
    <row r="1881" spans="1:7" x14ac:dyDescent="0.3">
      <c r="A1881" t="s">
        <v>34</v>
      </c>
      <c r="B1881" s="1">
        <v>45777</v>
      </c>
      <c r="C1881">
        <v>300004</v>
      </c>
      <c r="D1881">
        <v>1618.7429999999999</v>
      </c>
      <c r="E1881" t="s">
        <v>4</v>
      </c>
      <c r="F1881" t="s">
        <v>65</v>
      </c>
      <c r="G1881" t="s">
        <v>7</v>
      </c>
    </row>
    <row r="1882" spans="1:7" x14ac:dyDescent="0.3">
      <c r="A1882" t="s">
        <v>34</v>
      </c>
      <c r="B1882" s="1">
        <v>45777</v>
      </c>
      <c r="C1882">
        <v>300005</v>
      </c>
      <c r="D1882">
        <v>5269.0889999999999</v>
      </c>
      <c r="E1882" t="s">
        <v>4</v>
      </c>
      <c r="F1882" t="s">
        <v>65</v>
      </c>
      <c r="G1882" t="s">
        <v>7</v>
      </c>
    </row>
    <row r="1883" spans="1:7" x14ac:dyDescent="0.3">
      <c r="A1883" t="s">
        <v>34</v>
      </c>
      <c r="B1883" s="1">
        <v>45777</v>
      </c>
      <c r="C1883">
        <v>300008</v>
      </c>
      <c r="D1883">
        <v>15189.058999999999</v>
      </c>
      <c r="E1883" t="s">
        <v>4</v>
      </c>
      <c r="F1883" t="s">
        <v>65</v>
      </c>
      <c r="G1883" t="s">
        <v>7</v>
      </c>
    </row>
    <row r="1884" spans="1:7" x14ac:dyDescent="0.3">
      <c r="A1884" t="s">
        <v>34</v>
      </c>
      <c r="B1884" s="1">
        <v>45777</v>
      </c>
      <c r="C1884">
        <v>300009</v>
      </c>
      <c r="D1884">
        <v>263.67</v>
      </c>
      <c r="E1884" t="s">
        <v>4</v>
      </c>
      <c r="F1884" t="s">
        <v>65</v>
      </c>
      <c r="G1884" t="s">
        <v>7</v>
      </c>
    </row>
    <row r="1885" spans="1:7" x14ac:dyDescent="0.3">
      <c r="A1885" t="s">
        <v>34</v>
      </c>
      <c r="B1885" s="1">
        <v>45777</v>
      </c>
      <c r="C1885">
        <v>300011</v>
      </c>
      <c r="D1885">
        <v>133.179</v>
      </c>
      <c r="E1885" t="s">
        <v>4</v>
      </c>
      <c r="F1885" t="s">
        <v>65</v>
      </c>
      <c r="G1885" t="s">
        <v>7</v>
      </c>
    </row>
    <row r="1886" spans="1:7" x14ac:dyDescent="0.3">
      <c r="A1886" t="s">
        <v>34</v>
      </c>
      <c r="B1886" s="1">
        <v>45777</v>
      </c>
      <c r="C1886">
        <v>300012</v>
      </c>
      <c r="D1886">
        <v>4707.4179999999997</v>
      </c>
      <c r="E1886" t="s">
        <v>4</v>
      </c>
      <c r="F1886" t="s">
        <v>65</v>
      </c>
      <c r="G1886" t="s">
        <v>7</v>
      </c>
    </row>
    <row r="1887" spans="1:7" x14ac:dyDescent="0.3">
      <c r="A1887" t="s">
        <v>34</v>
      </c>
      <c r="B1887" s="1">
        <v>45777</v>
      </c>
      <c r="C1887">
        <v>300504</v>
      </c>
      <c r="D1887">
        <v>-1615.558</v>
      </c>
      <c r="E1887" t="s">
        <v>4</v>
      </c>
      <c r="F1887" t="s">
        <v>65</v>
      </c>
      <c r="G1887" t="s">
        <v>7</v>
      </c>
    </row>
    <row r="1888" spans="1:7" x14ac:dyDescent="0.3">
      <c r="A1888" t="s">
        <v>34</v>
      </c>
      <c r="B1888" s="1">
        <v>45777</v>
      </c>
      <c r="C1888">
        <v>300505</v>
      </c>
      <c r="D1888">
        <v>-5269.0889999999999</v>
      </c>
      <c r="E1888" t="s">
        <v>4</v>
      </c>
      <c r="F1888" t="s">
        <v>65</v>
      </c>
      <c r="G1888" t="s">
        <v>7</v>
      </c>
    </row>
    <row r="1889" spans="1:7" x14ac:dyDescent="0.3">
      <c r="A1889" t="s">
        <v>34</v>
      </c>
      <c r="B1889" s="1">
        <v>45777</v>
      </c>
      <c r="C1889">
        <v>300508</v>
      </c>
      <c r="D1889">
        <v>-15188.448</v>
      </c>
      <c r="E1889" t="s">
        <v>4</v>
      </c>
      <c r="F1889" t="s">
        <v>65</v>
      </c>
      <c r="G1889" t="s">
        <v>7</v>
      </c>
    </row>
    <row r="1890" spans="1:7" x14ac:dyDescent="0.3">
      <c r="A1890" t="s">
        <v>34</v>
      </c>
      <c r="B1890" s="1">
        <v>45777</v>
      </c>
      <c r="C1890">
        <v>300509</v>
      </c>
      <c r="D1890">
        <v>-263.65899999999999</v>
      </c>
      <c r="E1890" t="s">
        <v>4</v>
      </c>
      <c r="F1890" t="s">
        <v>65</v>
      </c>
      <c r="G1890" t="s">
        <v>7</v>
      </c>
    </row>
    <row r="1891" spans="1:7" x14ac:dyDescent="0.3">
      <c r="A1891" t="s">
        <v>34</v>
      </c>
      <c r="B1891" s="1">
        <v>45777</v>
      </c>
      <c r="C1891">
        <v>300511</v>
      </c>
      <c r="D1891">
        <v>-102.657</v>
      </c>
      <c r="E1891" t="s">
        <v>4</v>
      </c>
      <c r="F1891" t="s">
        <v>65</v>
      </c>
      <c r="G1891" t="s">
        <v>7</v>
      </c>
    </row>
    <row r="1892" spans="1:7" x14ac:dyDescent="0.3">
      <c r="A1892" t="s">
        <v>34</v>
      </c>
      <c r="B1892" s="1">
        <v>45777</v>
      </c>
      <c r="C1892">
        <v>300512</v>
      </c>
      <c r="D1892">
        <v>-4707.2179999999998</v>
      </c>
      <c r="E1892" t="s">
        <v>4</v>
      </c>
      <c r="F1892" t="s">
        <v>65</v>
      </c>
      <c r="G1892" t="s">
        <v>7</v>
      </c>
    </row>
    <row r="1893" spans="1:7" x14ac:dyDescent="0.3">
      <c r="A1893" t="s">
        <v>34</v>
      </c>
      <c r="B1893" s="1">
        <v>45777</v>
      </c>
      <c r="C1893">
        <v>301005</v>
      </c>
      <c r="D1893">
        <v>4359.6499999999996</v>
      </c>
      <c r="E1893" t="s">
        <v>4</v>
      </c>
      <c r="F1893" t="s">
        <v>65</v>
      </c>
      <c r="G1893" t="s">
        <v>7</v>
      </c>
    </row>
    <row r="1894" spans="1:7" x14ac:dyDescent="0.3">
      <c r="A1894" t="s">
        <v>34</v>
      </c>
      <c r="B1894" s="1">
        <v>45777</v>
      </c>
      <c r="C1894">
        <v>301505</v>
      </c>
      <c r="D1894">
        <v>-4359.6499999999996</v>
      </c>
      <c r="E1894" t="s">
        <v>4</v>
      </c>
      <c r="F1894" t="s">
        <v>65</v>
      </c>
      <c r="G1894" t="s">
        <v>7</v>
      </c>
    </row>
    <row r="1895" spans="1:7" x14ac:dyDescent="0.3">
      <c r="A1895" t="s">
        <v>34</v>
      </c>
      <c r="B1895" s="1">
        <v>45777</v>
      </c>
      <c r="C1895">
        <v>310019</v>
      </c>
      <c r="D1895">
        <v>0.115</v>
      </c>
      <c r="E1895" t="s">
        <v>4</v>
      </c>
      <c r="F1895" t="s">
        <v>42</v>
      </c>
      <c r="G1895" t="s">
        <v>7</v>
      </c>
    </row>
    <row r="1896" spans="1:7" x14ac:dyDescent="0.3">
      <c r="A1896" t="s">
        <v>34</v>
      </c>
      <c r="B1896" s="1">
        <v>45777</v>
      </c>
      <c r="C1896">
        <v>320002</v>
      </c>
      <c r="D1896">
        <v>1552.2739999999999</v>
      </c>
      <c r="E1896" t="s">
        <v>4</v>
      </c>
      <c r="F1896" t="s">
        <v>46</v>
      </c>
      <c r="G1896" t="s">
        <v>7</v>
      </c>
    </row>
    <row r="1897" spans="1:7" x14ac:dyDescent="0.3">
      <c r="A1897" t="s">
        <v>34</v>
      </c>
      <c r="B1897" s="1">
        <v>45777</v>
      </c>
      <c r="C1897">
        <v>320003</v>
      </c>
      <c r="D1897">
        <v>730164.76</v>
      </c>
      <c r="E1897" t="s">
        <v>4</v>
      </c>
      <c r="F1897" t="s">
        <v>46</v>
      </c>
      <c r="G1897" t="s">
        <v>7</v>
      </c>
    </row>
    <row r="1898" spans="1:7" x14ac:dyDescent="0.3">
      <c r="A1898" t="s">
        <v>34</v>
      </c>
      <c r="B1898" s="1">
        <v>45777</v>
      </c>
      <c r="C1898">
        <v>320016</v>
      </c>
      <c r="D1898">
        <v>13257.146000000001</v>
      </c>
      <c r="E1898" t="s">
        <v>4</v>
      </c>
      <c r="F1898" t="s">
        <v>46</v>
      </c>
      <c r="G1898" t="s">
        <v>7</v>
      </c>
    </row>
    <row r="1899" spans="1:7" x14ac:dyDescent="0.3">
      <c r="A1899" t="s">
        <v>34</v>
      </c>
      <c r="B1899" s="1">
        <v>45777</v>
      </c>
      <c r="C1899">
        <v>320023</v>
      </c>
      <c r="D1899">
        <v>-17402.855</v>
      </c>
      <c r="E1899" t="s">
        <v>4</v>
      </c>
      <c r="F1899" t="s">
        <v>46</v>
      </c>
      <c r="G1899" t="s">
        <v>7</v>
      </c>
    </row>
    <row r="1900" spans="1:7" x14ac:dyDescent="0.3">
      <c r="A1900" t="s">
        <v>34</v>
      </c>
      <c r="B1900" s="1">
        <v>45777</v>
      </c>
      <c r="C1900">
        <v>321002</v>
      </c>
      <c r="D1900">
        <v>1007336.525</v>
      </c>
      <c r="E1900" t="s">
        <v>4</v>
      </c>
      <c r="F1900" t="s">
        <v>46</v>
      </c>
      <c r="G1900" t="s">
        <v>7</v>
      </c>
    </row>
    <row r="1901" spans="1:7" x14ac:dyDescent="0.3">
      <c r="A1901" t="s">
        <v>34</v>
      </c>
      <c r="B1901" s="1">
        <v>45777</v>
      </c>
      <c r="C1901">
        <v>321010</v>
      </c>
      <c r="D1901">
        <v>72.694000000000003</v>
      </c>
      <c r="E1901" t="s">
        <v>4</v>
      </c>
      <c r="F1901" t="s">
        <v>46</v>
      </c>
      <c r="G1901" t="s">
        <v>7</v>
      </c>
    </row>
    <row r="1902" spans="1:7" x14ac:dyDescent="0.3">
      <c r="A1902" t="s">
        <v>34</v>
      </c>
      <c r="B1902" s="1">
        <v>45777</v>
      </c>
      <c r="C1902">
        <v>321013</v>
      </c>
      <c r="D1902">
        <v>495.27100000000002</v>
      </c>
      <c r="E1902" t="s">
        <v>4</v>
      </c>
      <c r="F1902" t="s">
        <v>46</v>
      </c>
      <c r="G1902" t="s">
        <v>7</v>
      </c>
    </row>
    <row r="1903" spans="1:7" x14ac:dyDescent="0.3">
      <c r="A1903" t="s">
        <v>34</v>
      </c>
      <c r="B1903" s="1">
        <v>45777</v>
      </c>
      <c r="C1903">
        <v>321014</v>
      </c>
      <c r="D1903">
        <v>32663.645</v>
      </c>
      <c r="E1903" t="s">
        <v>4</v>
      </c>
      <c r="F1903" t="s">
        <v>46</v>
      </c>
      <c r="G1903" t="s">
        <v>7</v>
      </c>
    </row>
    <row r="1904" spans="1:7" x14ac:dyDescent="0.3">
      <c r="A1904" t="s">
        <v>34</v>
      </c>
      <c r="B1904" s="1">
        <v>45777</v>
      </c>
      <c r="C1904">
        <v>321021</v>
      </c>
      <c r="D1904">
        <v>12538.751</v>
      </c>
      <c r="E1904" t="s">
        <v>4</v>
      </c>
      <c r="F1904" t="s">
        <v>46</v>
      </c>
      <c r="G1904" t="s">
        <v>7</v>
      </c>
    </row>
    <row r="1905" spans="1:7" x14ac:dyDescent="0.3">
      <c r="A1905" t="s">
        <v>34</v>
      </c>
      <c r="B1905" s="1">
        <v>45777</v>
      </c>
      <c r="C1905">
        <v>321025</v>
      </c>
      <c r="D1905">
        <v>41349.521000000001</v>
      </c>
      <c r="E1905" t="s">
        <v>4</v>
      </c>
      <c r="F1905" t="s">
        <v>46</v>
      </c>
      <c r="G1905" t="s">
        <v>7</v>
      </c>
    </row>
    <row r="1906" spans="1:7" x14ac:dyDescent="0.3">
      <c r="A1906" t="s">
        <v>34</v>
      </c>
      <c r="B1906" s="1">
        <v>45777</v>
      </c>
      <c r="C1906">
        <v>321028</v>
      </c>
      <c r="D1906">
        <v>1948.9870000000001</v>
      </c>
      <c r="E1906" t="s">
        <v>4</v>
      </c>
      <c r="F1906" t="s">
        <v>46</v>
      </c>
      <c r="G1906" t="s">
        <v>7</v>
      </c>
    </row>
    <row r="1907" spans="1:7" x14ac:dyDescent="0.3">
      <c r="A1907" t="s">
        <v>34</v>
      </c>
      <c r="B1907" s="1">
        <v>45777</v>
      </c>
      <c r="C1907">
        <v>321029</v>
      </c>
      <c r="D1907">
        <v>47321.66</v>
      </c>
      <c r="E1907" t="s">
        <v>4</v>
      </c>
      <c r="F1907" t="s">
        <v>46</v>
      </c>
      <c r="G1907" t="s">
        <v>7</v>
      </c>
    </row>
    <row r="1908" spans="1:7" x14ac:dyDescent="0.3">
      <c r="A1908" t="s">
        <v>34</v>
      </c>
      <c r="B1908" s="1">
        <v>45777</v>
      </c>
      <c r="C1908">
        <v>321041</v>
      </c>
      <c r="D1908">
        <v>13751.031000000001</v>
      </c>
      <c r="E1908" t="s">
        <v>4</v>
      </c>
      <c r="F1908" t="s">
        <v>46</v>
      </c>
      <c r="G1908" t="s">
        <v>7</v>
      </c>
    </row>
    <row r="1909" spans="1:7" x14ac:dyDescent="0.3">
      <c r="A1909" t="s">
        <v>34</v>
      </c>
      <c r="B1909" s="1">
        <v>45777</v>
      </c>
      <c r="C1909">
        <v>321042</v>
      </c>
      <c r="D1909">
        <v>-62.776000000000003</v>
      </c>
      <c r="E1909" t="s">
        <v>4</v>
      </c>
      <c r="F1909" t="s">
        <v>46</v>
      </c>
      <c r="G1909" t="s">
        <v>7</v>
      </c>
    </row>
    <row r="1910" spans="1:7" x14ac:dyDescent="0.3">
      <c r="A1910" t="s">
        <v>34</v>
      </c>
      <c r="B1910" s="1">
        <v>45777</v>
      </c>
      <c r="C1910">
        <v>330040</v>
      </c>
      <c r="D1910">
        <v>3669.3939999999998</v>
      </c>
      <c r="E1910" t="s">
        <v>4</v>
      </c>
      <c r="F1910" t="s">
        <v>43</v>
      </c>
      <c r="G1910" t="s">
        <v>7</v>
      </c>
    </row>
    <row r="1911" spans="1:7" x14ac:dyDescent="0.3">
      <c r="A1911" t="s">
        <v>34</v>
      </c>
      <c r="B1911" s="1">
        <v>45777</v>
      </c>
      <c r="C1911">
        <v>330051</v>
      </c>
      <c r="D1911">
        <v>-2062.1419999999998</v>
      </c>
      <c r="E1911" t="s">
        <v>4</v>
      </c>
      <c r="F1911" t="s">
        <v>43</v>
      </c>
      <c r="G1911" t="s">
        <v>7</v>
      </c>
    </row>
    <row r="1912" spans="1:7" x14ac:dyDescent="0.3">
      <c r="A1912" t="s">
        <v>34</v>
      </c>
      <c r="B1912" s="1">
        <v>45777</v>
      </c>
      <c r="C1912">
        <v>340062</v>
      </c>
      <c r="D1912">
        <v>327403.49400000001</v>
      </c>
      <c r="E1912" t="s">
        <v>4</v>
      </c>
      <c r="F1912" t="s">
        <v>47</v>
      </c>
      <c r="G1912" t="s">
        <v>7</v>
      </c>
    </row>
    <row r="1913" spans="1:7" x14ac:dyDescent="0.3">
      <c r="A1913" t="s">
        <v>34</v>
      </c>
      <c r="B1913" s="1">
        <v>45777</v>
      </c>
      <c r="C1913">
        <v>340063</v>
      </c>
      <c r="D1913">
        <v>12778294.280999999</v>
      </c>
      <c r="E1913" t="s">
        <v>4</v>
      </c>
      <c r="F1913" t="s">
        <v>47</v>
      </c>
      <c r="G1913" t="s">
        <v>7</v>
      </c>
    </row>
    <row r="1914" spans="1:7" x14ac:dyDescent="0.3">
      <c r="A1914" t="s">
        <v>34</v>
      </c>
      <c r="B1914" s="1">
        <v>45777</v>
      </c>
      <c r="C1914">
        <v>340064</v>
      </c>
      <c r="D1914">
        <v>-12923259.873</v>
      </c>
      <c r="E1914" t="s">
        <v>4</v>
      </c>
      <c r="F1914" t="s">
        <v>47</v>
      </c>
      <c r="G1914" t="s">
        <v>7</v>
      </c>
    </row>
    <row r="1915" spans="1:7" x14ac:dyDescent="0.3">
      <c r="A1915" t="s">
        <v>34</v>
      </c>
      <c r="B1915" s="1">
        <v>45777</v>
      </c>
      <c r="C1915">
        <v>340098</v>
      </c>
      <c r="D1915">
        <v>676.46400000000006</v>
      </c>
      <c r="E1915" t="s">
        <v>4</v>
      </c>
      <c r="F1915" t="s">
        <v>47</v>
      </c>
      <c r="G1915" t="s">
        <v>7</v>
      </c>
    </row>
    <row r="1916" spans="1:7" x14ac:dyDescent="0.3">
      <c r="A1916" t="s">
        <v>34</v>
      </c>
      <c r="B1916" s="1">
        <v>45777</v>
      </c>
      <c r="C1916">
        <v>340162</v>
      </c>
      <c r="D1916">
        <v>69769.130999999994</v>
      </c>
      <c r="E1916" t="s">
        <v>4</v>
      </c>
      <c r="F1916" t="s">
        <v>47</v>
      </c>
      <c r="G1916" t="s">
        <v>7</v>
      </c>
    </row>
    <row r="1917" spans="1:7" x14ac:dyDescent="0.3">
      <c r="A1917" t="s">
        <v>34</v>
      </c>
      <c r="B1917" s="1">
        <v>45777</v>
      </c>
      <c r="C1917">
        <v>340163</v>
      </c>
      <c r="D1917">
        <v>5910462.2510000002</v>
      </c>
      <c r="E1917" t="s">
        <v>4</v>
      </c>
      <c r="F1917" t="s">
        <v>47</v>
      </c>
      <c r="G1917" t="s">
        <v>7</v>
      </c>
    </row>
    <row r="1918" spans="1:7" x14ac:dyDescent="0.3">
      <c r="A1918" t="s">
        <v>34</v>
      </c>
      <c r="B1918" s="1">
        <v>45777</v>
      </c>
      <c r="C1918">
        <v>340164</v>
      </c>
      <c r="D1918">
        <v>-5881595.8559999997</v>
      </c>
      <c r="E1918" t="s">
        <v>4</v>
      </c>
      <c r="F1918" t="s">
        <v>47</v>
      </c>
      <c r="G1918" t="s">
        <v>7</v>
      </c>
    </row>
    <row r="1919" spans="1:7" x14ac:dyDescent="0.3">
      <c r="A1919" t="s">
        <v>34</v>
      </c>
      <c r="B1919" s="1">
        <v>45777</v>
      </c>
      <c r="C1919">
        <v>350002</v>
      </c>
      <c r="D1919">
        <v>234.18199999999999</v>
      </c>
      <c r="E1919" t="s">
        <v>4</v>
      </c>
      <c r="F1919" t="s">
        <v>49</v>
      </c>
      <c r="G1919" t="s">
        <v>7</v>
      </c>
    </row>
    <row r="1920" spans="1:7" x14ac:dyDescent="0.3">
      <c r="A1920" t="s">
        <v>34</v>
      </c>
      <c r="B1920" s="1">
        <v>45777</v>
      </c>
      <c r="C1920">
        <v>350003</v>
      </c>
      <c r="D1920">
        <v>1752.8420000000001</v>
      </c>
      <c r="E1920" t="s">
        <v>4</v>
      </c>
      <c r="F1920" t="s">
        <v>49</v>
      </c>
      <c r="G1920" t="s">
        <v>7</v>
      </c>
    </row>
    <row r="1921" spans="1:7" x14ac:dyDescent="0.3">
      <c r="A1921" t="s">
        <v>34</v>
      </c>
      <c r="B1921" s="1">
        <v>45777</v>
      </c>
      <c r="C1921">
        <v>350031</v>
      </c>
      <c r="D1921">
        <v>164.59100000000001</v>
      </c>
      <c r="E1921" t="s">
        <v>4</v>
      </c>
      <c r="F1921" t="s">
        <v>43</v>
      </c>
      <c r="G1921" t="s">
        <v>7</v>
      </c>
    </row>
    <row r="1922" spans="1:7" x14ac:dyDescent="0.3">
      <c r="A1922" t="s">
        <v>34</v>
      </c>
      <c r="B1922" s="1">
        <v>45777</v>
      </c>
      <c r="C1922">
        <v>350034</v>
      </c>
      <c r="D1922">
        <v>101.09399999999999</v>
      </c>
      <c r="E1922" t="s">
        <v>4</v>
      </c>
      <c r="F1922" t="s">
        <v>49</v>
      </c>
      <c r="G1922" t="s">
        <v>7</v>
      </c>
    </row>
    <row r="1923" spans="1:7" x14ac:dyDescent="0.3">
      <c r="A1923" t="s">
        <v>34</v>
      </c>
      <c r="B1923" s="1">
        <v>45777</v>
      </c>
      <c r="C1923">
        <v>351004</v>
      </c>
      <c r="D1923">
        <v>1494.14</v>
      </c>
      <c r="E1923" t="s">
        <v>4</v>
      </c>
      <c r="F1923" t="s">
        <v>45</v>
      </c>
      <c r="G1923" t="s">
        <v>7</v>
      </c>
    </row>
    <row r="1924" spans="1:7" x14ac:dyDescent="0.3">
      <c r="A1924" t="s">
        <v>34</v>
      </c>
      <c r="B1924" s="1">
        <v>45777</v>
      </c>
      <c r="C1924">
        <v>354012</v>
      </c>
      <c r="D1924">
        <v>541867.86699999997</v>
      </c>
      <c r="E1924" t="s">
        <v>4</v>
      </c>
      <c r="F1924" t="s">
        <v>46</v>
      </c>
      <c r="G1924" t="s">
        <v>7</v>
      </c>
    </row>
    <row r="1925" spans="1:7" x14ac:dyDescent="0.3">
      <c r="A1925" t="s">
        <v>34</v>
      </c>
      <c r="B1925" s="1">
        <v>45777</v>
      </c>
      <c r="C1925">
        <v>354014</v>
      </c>
      <c r="D1925">
        <v>92977.62</v>
      </c>
      <c r="E1925" t="s">
        <v>4</v>
      </c>
      <c r="F1925" t="s">
        <v>46</v>
      </c>
      <c r="G1925" t="s">
        <v>7</v>
      </c>
    </row>
    <row r="1926" spans="1:7" x14ac:dyDescent="0.3">
      <c r="A1926" t="s">
        <v>34</v>
      </c>
      <c r="B1926" s="1">
        <v>45777</v>
      </c>
      <c r="C1926">
        <v>354015</v>
      </c>
      <c r="D1926">
        <v>7374.3069999999998</v>
      </c>
      <c r="E1926" t="s">
        <v>4</v>
      </c>
      <c r="F1926" t="s">
        <v>46</v>
      </c>
      <c r="G1926" t="s">
        <v>7</v>
      </c>
    </row>
    <row r="1927" spans="1:7" x14ac:dyDescent="0.3">
      <c r="A1927" t="s">
        <v>34</v>
      </c>
      <c r="B1927" s="1">
        <v>45777</v>
      </c>
      <c r="C1927">
        <v>360026</v>
      </c>
      <c r="D1927">
        <v>44327.557000000001</v>
      </c>
      <c r="E1927" t="s">
        <v>4</v>
      </c>
      <c r="F1927" t="s">
        <v>58</v>
      </c>
      <c r="G1927" t="s">
        <v>7</v>
      </c>
    </row>
    <row r="1928" spans="1:7" x14ac:dyDescent="0.3">
      <c r="A1928" t="s">
        <v>34</v>
      </c>
      <c r="B1928" s="1">
        <v>45777</v>
      </c>
      <c r="C1928">
        <v>360027</v>
      </c>
      <c r="D1928">
        <v>13195.205</v>
      </c>
      <c r="E1928" t="s">
        <v>4</v>
      </c>
      <c r="F1928" t="s">
        <v>58</v>
      </c>
      <c r="G1928" t="s">
        <v>7</v>
      </c>
    </row>
    <row r="1929" spans="1:7" x14ac:dyDescent="0.3">
      <c r="A1929" t="s">
        <v>34</v>
      </c>
      <c r="B1929" s="1">
        <v>45777</v>
      </c>
      <c r="C1929">
        <v>360028</v>
      </c>
      <c r="D1929">
        <v>1345.05</v>
      </c>
      <c r="E1929" t="s">
        <v>4</v>
      </c>
      <c r="F1929" t="s">
        <v>58</v>
      </c>
      <c r="G1929" t="s">
        <v>7</v>
      </c>
    </row>
    <row r="1930" spans="1:7" x14ac:dyDescent="0.3">
      <c r="A1930" t="s">
        <v>34</v>
      </c>
      <c r="B1930" s="1">
        <v>45777</v>
      </c>
      <c r="C1930">
        <v>360030</v>
      </c>
      <c r="D1930">
        <v>26927.388999999999</v>
      </c>
      <c r="E1930" t="s">
        <v>4</v>
      </c>
      <c r="F1930" t="s">
        <v>58</v>
      </c>
      <c r="G1930" t="s">
        <v>7</v>
      </c>
    </row>
    <row r="1931" spans="1:7" x14ac:dyDescent="0.3">
      <c r="A1931" t="s">
        <v>34</v>
      </c>
      <c r="B1931" s="1">
        <v>45777</v>
      </c>
      <c r="C1931">
        <v>364502</v>
      </c>
      <c r="D1931">
        <v>32924.86</v>
      </c>
      <c r="E1931" t="s">
        <v>4</v>
      </c>
      <c r="F1931" t="s">
        <v>58</v>
      </c>
      <c r="G1931" t="s">
        <v>7</v>
      </c>
    </row>
    <row r="1932" spans="1:7" x14ac:dyDescent="0.3">
      <c r="A1932" t="s">
        <v>34</v>
      </c>
      <c r="B1932" s="1">
        <v>45777</v>
      </c>
      <c r="C1932">
        <v>400002</v>
      </c>
      <c r="D1932">
        <v>13.318</v>
      </c>
      <c r="E1932" t="s">
        <v>6</v>
      </c>
      <c r="F1932" t="s">
        <v>50</v>
      </c>
      <c r="G1932" t="s">
        <v>7</v>
      </c>
    </row>
    <row r="1933" spans="1:7" x14ac:dyDescent="0.3">
      <c r="A1933" t="s">
        <v>34</v>
      </c>
      <c r="B1933" s="1">
        <v>45777</v>
      </c>
      <c r="C1933">
        <v>400004</v>
      </c>
      <c r="D1933">
        <v>7556.6390000000001</v>
      </c>
      <c r="E1933" t="s">
        <v>6</v>
      </c>
      <c r="F1933" t="s">
        <v>50</v>
      </c>
      <c r="G1933" t="s">
        <v>7</v>
      </c>
    </row>
    <row r="1934" spans="1:7" x14ac:dyDescent="0.3">
      <c r="A1934" t="s">
        <v>34</v>
      </c>
      <c r="B1934" s="1">
        <v>45777</v>
      </c>
      <c r="C1934">
        <v>410002</v>
      </c>
      <c r="D1934">
        <v>-71043.270999999993</v>
      </c>
      <c r="E1934" t="s">
        <v>6</v>
      </c>
      <c r="F1934" t="s">
        <v>51</v>
      </c>
      <c r="G1934" t="s">
        <v>7</v>
      </c>
    </row>
    <row r="1935" spans="1:7" x14ac:dyDescent="0.3">
      <c r="A1935" t="s">
        <v>34</v>
      </c>
      <c r="B1935" s="1">
        <v>45777</v>
      </c>
      <c r="C1935">
        <v>410009</v>
      </c>
      <c r="D1935">
        <v>-4346.1869999999999</v>
      </c>
      <c r="E1935" t="s">
        <v>6</v>
      </c>
      <c r="F1935" t="s">
        <v>51</v>
      </c>
      <c r="G1935" t="s">
        <v>7</v>
      </c>
    </row>
    <row r="1936" spans="1:7" x14ac:dyDescent="0.3">
      <c r="A1936" t="s">
        <v>34</v>
      </c>
      <c r="B1936" s="1">
        <v>45777</v>
      </c>
      <c r="C1936">
        <v>410015</v>
      </c>
      <c r="D1936">
        <v>-131.34</v>
      </c>
      <c r="E1936" t="s">
        <v>6</v>
      </c>
      <c r="F1936" t="s">
        <v>51</v>
      </c>
      <c r="G1936" t="s">
        <v>7</v>
      </c>
    </row>
    <row r="1937" spans="1:7" x14ac:dyDescent="0.3">
      <c r="A1937" t="s">
        <v>34</v>
      </c>
      <c r="B1937" s="1">
        <v>45777</v>
      </c>
      <c r="C1937">
        <v>410032</v>
      </c>
      <c r="D1937">
        <v>-1627.1379999999999</v>
      </c>
      <c r="E1937" t="s">
        <v>6</v>
      </c>
      <c r="F1937" t="s">
        <v>51</v>
      </c>
      <c r="G1937" t="s">
        <v>7</v>
      </c>
    </row>
    <row r="1938" spans="1:7" x14ac:dyDescent="0.3">
      <c r="A1938" t="s">
        <v>34</v>
      </c>
      <c r="B1938" s="1">
        <v>45777</v>
      </c>
      <c r="C1938">
        <v>410037</v>
      </c>
      <c r="D1938">
        <v>-6041.0230000000001</v>
      </c>
      <c r="E1938" t="s">
        <v>6</v>
      </c>
      <c r="F1938" t="s">
        <v>51</v>
      </c>
      <c r="G1938" t="s">
        <v>7</v>
      </c>
    </row>
    <row r="1939" spans="1:7" x14ac:dyDescent="0.3">
      <c r="A1939" t="s">
        <v>34</v>
      </c>
      <c r="B1939" s="1">
        <v>45777</v>
      </c>
      <c r="C1939">
        <v>415002</v>
      </c>
      <c r="D1939">
        <v>-22082.896000000001</v>
      </c>
      <c r="E1939" t="s">
        <v>6</v>
      </c>
      <c r="F1939" t="s">
        <v>50</v>
      </c>
      <c r="G1939" t="s">
        <v>7</v>
      </c>
    </row>
    <row r="1940" spans="1:7" x14ac:dyDescent="0.3">
      <c r="A1940" t="s">
        <v>34</v>
      </c>
      <c r="B1940" s="1">
        <v>45777</v>
      </c>
      <c r="C1940">
        <v>415004</v>
      </c>
      <c r="D1940">
        <v>-234207.81700000001</v>
      </c>
      <c r="E1940" t="s">
        <v>6</v>
      </c>
      <c r="F1940" t="s">
        <v>50</v>
      </c>
      <c r="G1940" t="s">
        <v>7</v>
      </c>
    </row>
    <row r="1941" spans="1:7" x14ac:dyDescent="0.3">
      <c r="A1941" t="s">
        <v>34</v>
      </c>
      <c r="B1941" s="1">
        <v>45777</v>
      </c>
      <c r="C1941">
        <v>420004</v>
      </c>
      <c r="D1941">
        <v>-0.13300000000000001</v>
      </c>
      <c r="E1941" t="s">
        <v>6</v>
      </c>
      <c r="F1941" t="s">
        <v>52</v>
      </c>
      <c r="G1941" t="s">
        <v>7</v>
      </c>
    </row>
    <row r="1942" spans="1:7" x14ac:dyDescent="0.3">
      <c r="A1942" t="s">
        <v>34</v>
      </c>
      <c r="B1942" s="1">
        <v>45777</v>
      </c>
      <c r="C1942">
        <v>421003</v>
      </c>
      <c r="D1942">
        <v>-5819.3249999999998</v>
      </c>
      <c r="E1942" t="s">
        <v>6</v>
      </c>
      <c r="F1942" t="s">
        <v>52</v>
      </c>
      <c r="G1942" t="s">
        <v>7</v>
      </c>
    </row>
    <row r="1943" spans="1:7" x14ac:dyDescent="0.3">
      <c r="A1943" t="s">
        <v>34</v>
      </c>
      <c r="B1943" s="1">
        <v>45777</v>
      </c>
      <c r="C1943">
        <v>421007</v>
      </c>
      <c r="D1943">
        <v>47.746000000000002</v>
      </c>
      <c r="E1943" t="s">
        <v>6</v>
      </c>
      <c r="F1943" t="s">
        <v>52</v>
      </c>
      <c r="G1943" t="s">
        <v>7</v>
      </c>
    </row>
    <row r="1944" spans="1:7" x14ac:dyDescent="0.3">
      <c r="A1944" t="s">
        <v>34</v>
      </c>
      <c r="B1944" s="1">
        <v>45777</v>
      </c>
      <c r="C1944">
        <v>510002</v>
      </c>
      <c r="D1944">
        <v>100532.85400000001</v>
      </c>
      <c r="E1944" t="s">
        <v>6</v>
      </c>
      <c r="F1944" t="s">
        <v>53</v>
      </c>
      <c r="G1944" t="s">
        <v>7</v>
      </c>
    </row>
    <row r="1945" spans="1:7" x14ac:dyDescent="0.3">
      <c r="A1945" t="s">
        <v>34</v>
      </c>
      <c r="B1945" s="1">
        <v>45777</v>
      </c>
      <c r="C1945">
        <v>510005</v>
      </c>
      <c r="D1945">
        <v>5350.0370000000003</v>
      </c>
      <c r="E1945" t="s">
        <v>6</v>
      </c>
      <c r="F1945" t="s">
        <v>53</v>
      </c>
      <c r="G1945" t="s">
        <v>7</v>
      </c>
    </row>
    <row r="1946" spans="1:7" x14ac:dyDescent="0.3">
      <c r="A1946" t="s">
        <v>34</v>
      </c>
      <c r="B1946" s="1">
        <v>45777</v>
      </c>
      <c r="C1946">
        <v>510007</v>
      </c>
      <c r="D1946">
        <v>13185.602999999999</v>
      </c>
      <c r="E1946" t="s">
        <v>6</v>
      </c>
      <c r="F1946" t="s">
        <v>53</v>
      </c>
      <c r="G1946" t="s">
        <v>7</v>
      </c>
    </row>
    <row r="1947" spans="1:7" x14ac:dyDescent="0.3">
      <c r="A1947" t="s">
        <v>34</v>
      </c>
      <c r="B1947" s="1">
        <v>45777</v>
      </c>
      <c r="C1947">
        <v>510010</v>
      </c>
      <c r="D1947">
        <v>2234.2869999999998</v>
      </c>
      <c r="E1947" t="s">
        <v>6</v>
      </c>
      <c r="F1947" t="s">
        <v>53</v>
      </c>
      <c r="G1947" t="s">
        <v>7</v>
      </c>
    </row>
    <row r="1948" spans="1:7" x14ac:dyDescent="0.3">
      <c r="A1948" t="s">
        <v>34</v>
      </c>
      <c r="B1948" s="1">
        <v>45777</v>
      </c>
      <c r="C1948">
        <v>510012</v>
      </c>
      <c r="D1948">
        <v>1903.4069999999999</v>
      </c>
      <c r="E1948" t="s">
        <v>6</v>
      </c>
      <c r="F1948" t="s">
        <v>53</v>
      </c>
      <c r="G1948" t="s">
        <v>7</v>
      </c>
    </row>
    <row r="1949" spans="1:7" x14ac:dyDescent="0.3">
      <c r="A1949" t="s">
        <v>34</v>
      </c>
      <c r="B1949" s="1">
        <v>45777</v>
      </c>
      <c r="C1949">
        <v>510015</v>
      </c>
      <c r="D1949">
        <v>7445.0550000000003</v>
      </c>
      <c r="E1949" t="s">
        <v>6</v>
      </c>
      <c r="F1949" t="s">
        <v>53</v>
      </c>
      <c r="G1949" t="s">
        <v>7</v>
      </c>
    </row>
    <row r="1950" spans="1:7" x14ac:dyDescent="0.3">
      <c r="A1950" t="s">
        <v>34</v>
      </c>
      <c r="B1950" s="1">
        <v>45777</v>
      </c>
      <c r="C1950">
        <v>510018</v>
      </c>
      <c r="D1950">
        <v>11021.9</v>
      </c>
      <c r="E1950" t="s">
        <v>6</v>
      </c>
      <c r="F1950" t="s">
        <v>53</v>
      </c>
      <c r="G1950" t="s">
        <v>7</v>
      </c>
    </row>
    <row r="1951" spans="1:7" x14ac:dyDescent="0.3">
      <c r="A1951" t="s">
        <v>34</v>
      </c>
      <c r="B1951" s="1">
        <v>45777</v>
      </c>
      <c r="C1951">
        <v>510059</v>
      </c>
      <c r="D1951">
        <v>1985.5830000000001</v>
      </c>
      <c r="E1951" t="s">
        <v>6</v>
      </c>
      <c r="F1951" t="s">
        <v>53</v>
      </c>
      <c r="G1951" t="s">
        <v>7</v>
      </c>
    </row>
    <row r="1952" spans="1:7" x14ac:dyDescent="0.3">
      <c r="A1952" t="s">
        <v>34</v>
      </c>
      <c r="B1952" s="1">
        <v>45777</v>
      </c>
      <c r="C1952">
        <v>510062</v>
      </c>
      <c r="D1952">
        <v>764.01800000000003</v>
      </c>
      <c r="E1952" t="s">
        <v>6</v>
      </c>
      <c r="F1952" t="s">
        <v>53</v>
      </c>
      <c r="G1952" t="s">
        <v>7</v>
      </c>
    </row>
    <row r="1953" spans="1:7" x14ac:dyDescent="0.3">
      <c r="A1953" t="s">
        <v>34</v>
      </c>
      <c r="B1953" s="1">
        <v>45777</v>
      </c>
      <c r="C1953">
        <v>510065</v>
      </c>
      <c r="D1953">
        <v>141.97900000000001</v>
      </c>
      <c r="E1953" t="s">
        <v>6</v>
      </c>
      <c r="F1953" t="s">
        <v>53</v>
      </c>
      <c r="G1953" t="s">
        <v>7</v>
      </c>
    </row>
    <row r="1954" spans="1:7" x14ac:dyDescent="0.3">
      <c r="A1954" t="s">
        <v>34</v>
      </c>
      <c r="B1954" s="1">
        <v>45777</v>
      </c>
      <c r="C1954">
        <v>520021</v>
      </c>
      <c r="D1954">
        <v>47.898000000000003</v>
      </c>
      <c r="E1954" t="s">
        <v>6</v>
      </c>
      <c r="F1954" t="s">
        <v>60</v>
      </c>
      <c r="G1954" t="s">
        <v>7</v>
      </c>
    </row>
    <row r="1955" spans="1:7" x14ac:dyDescent="0.3">
      <c r="A1955" t="s">
        <v>34</v>
      </c>
      <c r="B1955" s="1">
        <v>45777</v>
      </c>
      <c r="C1955">
        <v>541002</v>
      </c>
      <c r="D1955">
        <v>-44.612000000000002</v>
      </c>
      <c r="E1955" t="s">
        <v>6</v>
      </c>
      <c r="F1955" t="s">
        <v>61</v>
      </c>
      <c r="G1955" t="s">
        <v>7</v>
      </c>
    </row>
    <row r="1956" spans="1:7" x14ac:dyDescent="0.3">
      <c r="A1956" t="s">
        <v>34</v>
      </c>
      <c r="B1956" s="1">
        <v>45777</v>
      </c>
      <c r="C1956">
        <v>541004</v>
      </c>
      <c r="D1956">
        <v>346.589</v>
      </c>
      <c r="E1956" t="s">
        <v>6</v>
      </c>
      <c r="F1956" t="s">
        <v>61</v>
      </c>
      <c r="G1956" t="s">
        <v>7</v>
      </c>
    </row>
    <row r="1957" spans="1:7" x14ac:dyDescent="0.3">
      <c r="A1957" t="s">
        <v>34</v>
      </c>
      <c r="B1957" s="1">
        <v>45777</v>
      </c>
      <c r="C1957">
        <v>541009</v>
      </c>
      <c r="D1957">
        <v>2363.2289999999998</v>
      </c>
      <c r="E1957" t="s">
        <v>6</v>
      </c>
      <c r="F1957" t="s">
        <v>61</v>
      </c>
      <c r="G1957" t="s">
        <v>7</v>
      </c>
    </row>
    <row r="1958" spans="1:7" x14ac:dyDescent="0.3">
      <c r="A1958" t="s">
        <v>34</v>
      </c>
      <c r="B1958" s="1">
        <v>45777</v>
      </c>
      <c r="C1958">
        <v>541010</v>
      </c>
      <c r="D1958">
        <v>1516.4079999999999</v>
      </c>
      <c r="E1958" t="s">
        <v>6</v>
      </c>
      <c r="F1958" t="s">
        <v>61</v>
      </c>
      <c r="G1958" t="s">
        <v>7</v>
      </c>
    </row>
    <row r="1959" spans="1:7" x14ac:dyDescent="0.3">
      <c r="A1959" t="s">
        <v>34</v>
      </c>
      <c r="B1959" s="1">
        <v>45777</v>
      </c>
      <c r="C1959">
        <v>541013</v>
      </c>
      <c r="D1959">
        <v>461.53500000000003</v>
      </c>
      <c r="E1959" t="s">
        <v>6</v>
      </c>
      <c r="F1959" t="s">
        <v>61</v>
      </c>
      <c r="G1959" t="s">
        <v>7</v>
      </c>
    </row>
    <row r="1960" spans="1:7" x14ac:dyDescent="0.3">
      <c r="A1960" t="s">
        <v>34</v>
      </c>
      <c r="B1960" s="1">
        <v>45777</v>
      </c>
      <c r="C1960">
        <v>544006</v>
      </c>
      <c r="D1960">
        <v>-814.952</v>
      </c>
      <c r="E1960" t="s">
        <v>6</v>
      </c>
      <c r="F1960" t="s">
        <v>61</v>
      </c>
      <c r="G1960" t="s">
        <v>7</v>
      </c>
    </row>
    <row r="1961" spans="1:7" x14ac:dyDescent="0.3">
      <c r="A1961" t="s">
        <v>34</v>
      </c>
      <c r="B1961" s="1">
        <v>45777</v>
      </c>
      <c r="C1961">
        <v>546002</v>
      </c>
      <c r="D1961">
        <v>215318.622</v>
      </c>
      <c r="E1961" t="s">
        <v>6</v>
      </c>
      <c r="F1961" t="s">
        <v>51</v>
      </c>
      <c r="G1961" t="s">
        <v>7</v>
      </c>
    </row>
    <row r="1962" spans="1:7" x14ac:dyDescent="0.3">
      <c r="A1962" t="s">
        <v>34</v>
      </c>
      <c r="B1962" s="1">
        <v>45777</v>
      </c>
      <c r="C1962">
        <v>546008</v>
      </c>
      <c r="D1962">
        <v>574.17600000000004</v>
      </c>
      <c r="E1962" t="s">
        <v>6</v>
      </c>
      <c r="F1962" t="s">
        <v>51</v>
      </c>
      <c r="G1962" t="s">
        <v>7</v>
      </c>
    </row>
    <row r="1963" spans="1:7" x14ac:dyDescent="0.3">
      <c r="A1963" t="s">
        <v>34</v>
      </c>
      <c r="B1963" s="1">
        <v>45777</v>
      </c>
      <c r="C1963">
        <v>546013</v>
      </c>
      <c r="D1963">
        <v>28528.323</v>
      </c>
      <c r="E1963" t="s">
        <v>6</v>
      </c>
      <c r="F1963" t="s">
        <v>51</v>
      </c>
      <c r="G1963" t="s">
        <v>7</v>
      </c>
    </row>
    <row r="1964" spans="1:7" x14ac:dyDescent="0.3">
      <c r="A1964" t="s">
        <v>34</v>
      </c>
      <c r="B1964" s="1">
        <v>45777</v>
      </c>
      <c r="C1964">
        <v>546016</v>
      </c>
      <c r="D1964">
        <v>3587.2260000000001</v>
      </c>
      <c r="E1964" t="s">
        <v>6</v>
      </c>
      <c r="F1964" t="s">
        <v>51</v>
      </c>
      <c r="G1964" t="s">
        <v>7</v>
      </c>
    </row>
    <row r="1965" spans="1:7" x14ac:dyDescent="0.3">
      <c r="A1965" t="s">
        <v>34</v>
      </c>
      <c r="B1965" s="1">
        <v>45777</v>
      </c>
      <c r="C1965">
        <v>546035</v>
      </c>
      <c r="D1965">
        <v>14921.25</v>
      </c>
      <c r="E1965" t="s">
        <v>6</v>
      </c>
      <c r="F1965" t="s">
        <v>51</v>
      </c>
      <c r="G1965" t="s">
        <v>7</v>
      </c>
    </row>
    <row r="1966" spans="1:7" x14ac:dyDescent="0.3">
      <c r="A1966" t="s">
        <v>34</v>
      </c>
      <c r="B1966" s="1">
        <v>45777</v>
      </c>
      <c r="C1966">
        <v>546040</v>
      </c>
      <c r="D1966">
        <v>3182.8539999999998</v>
      </c>
      <c r="E1966" t="s">
        <v>6</v>
      </c>
      <c r="F1966" t="s">
        <v>51</v>
      </c>
      <c r="G1966" t="s">
        <v>7</v>
      </c>
    </row>
    <row r="1967" spans="1:7" x14ac:dyDescent="0.3">
      <c r="A1967" t="s">
        <v>34</v>
      </c>
      <c r="B1967" s="1">
        <v>45777</v>
      </c>
      <c r="C1967">
        <v>550003</v>
      </c>
      <c r="D1967">
        <v>11075.626</v>
      </c>
      <c r="E1967" t="s">
        <v>6</v>
      </c>
      <c r="F1967" t="s">
        <v>62</v>
      </c>
      <c r="G1967" t="s">
        <v>7</v>
      </c>
    </row>
    <row r="1968" spans="1:7" x14ac:dyDescent="0.3">
      <c r="A1968" t="s">
        <v>34</v>
      </c>
      <c r="B1968" s="1">
        <v>45777</v>
      </c>
      <c r="C1968">
        <v>556002</v>
      </c>
      <c r="D1968">
        <v>38.628</v>
      </c>
      <c r="E1968" t="s">
        <v>6</v>
      </c>
      <c r="F1968" t="s">
        <v>60</v>
      </c>
      <c r="G1968" t="s">
        <v>7</v>
      </c>
    </row>
    <row r="1969" spans="1:7" x14ac:dyDescent="0.3">
      <c r="A1969" t="s">
        <v>34</v>
      </c>
      <c r="B1969" s="1">
        <v>45777</v>
      </c>
      <c r="C1969">
        <v>557002</v>
      </c>
      <c r="D1969">
        <v>389.03699999999998</v>
      </c>
      <c r="E1969" t="s">
        <v>6</v>
      </c>
      <c r="F1969" t="s">
        <v>56</v>
      </c>
      <c r="G1969" t="s">
        <v>7</v>
      </c>
    </row>
    <row r="1970" spans="1:7" x14ac:dyDescent="0.3">
      <c r="A1970" t="s">
        <v>34</v>
      </c>
      <c r="B1970" s="1">
        <v>45777</v>
      </c>
      <c r="C1970">
        <v>557003</v>
      </c>
      <c r="D1970">
        <v>-111.705</v>
      </c>
      <c r="E1970" t="s">
        <v>6</v>
      </c>
      <c r="F1970" t="s">
        <v>56</v>
      </c>
      <c r="G1970" t="s">
        <v>7</v>
      </c>
    </row>
    <row r="1971" spans="1:7" x14ac:dyDescent="0.3">
      <c r="A1971" t="s">
        <v>34</v>
      </c>
      <c r="B1971" s="1">
        <v>45777</v>
      </c>
      <c r="C1971">
        <v>558012</v>
      </c>
      <c r="D1971">
        <v>61.152000000000001</v>
      </c>
      <c r="E1971" t="s">
        <v>6</v>
      </c>
      <c r="F1971" t="s">
        <v>60</v>
      </c>
      <c r="G1971" t="s">
        <v>7</v>
      </c>
    </row>
    <row r="1972" spans="1:7" x14ac:dyDescent="0.3">
      <c r="A1972" t="s">
        <v>34</v>
      </c>
      <c r="B1972" s="1">
        <v>45777</v>
      </c>
      <c r="C1972">
        <v>564006</v>
      </c>
      <c r="D1972">
        <v>-6.0000000000000001E-3</v>
      </c>
      <c r="E1972" t="s">
        <v>6</v>
      </c>
      <c r="F1972" t="s">
        <v>57</v>
      </c>
      <c r="G1972" t="s">
        <v>7</v>
      </c>
    </row>
    <row r="1973" spans="1:7" x14ac:dyDescent="0.3">
      <c r="A1973" t="s">
        <v>34</v>
      </c>
      <c r="B1973" s="1">
        <v>45777</v>
      </c>
      <c r="C1973">
        <v>564020</v>
      </c>
      <c r="D1973">
        <v>18.802</v>
      </c>
      <c r="E1973" t="s">
        <v>6</v>
      </c>
      <c r="F1973" t="s">
        <v>57</v>
      </c>
      <c r="G1973" t="s">
        <v>7</v>
      </c>
    </row>
    <row r="1974" spans="1:7" x14ac:dyDescent="0.3">
      <c r="A1974" t="s">
        <v>34</v>
      </c>
      <c r="B1974" s="1">
        <v>45777</v>
      </c>
      <c r="C1974">
        <v>570002</v>
      </c>
      <c r="D1974">
        <v>3.1760000000000002</v>
      </c>
      <c r="E1974" t="s">
        <v>6</v>
      </c>
      <c r="F1974" t="s">
        <v>66</v>
      </c>
      <c r="G1974" t="s">
        <v>7</v>
      </c>
    </row>
    <row r="1975" spans="1:7" x14ac:dyDescent="0.3">
      <c r="A1975" t="s">
        <v>35</v>
      </c>
      <c r="B1975" s="1">
        <v>45777</v>
      </c>
      <c r="C1975">
        <v>210002</v>
      </c>
      <c r="D1975">
        <v>-58545.438000000002</v>
      </c>
      <c r="E1975" t="s">
        <v>4</v>
      </c>
      <c r="F1975" t="s">
        <v>42</v>
      </c>
      <c r="G1975" t="s">
        <v>7</v>
      </c>
    </row>
    <row r="1976" spans="1:7" x14ac:dyDescent="0.3">
      <c r="A1976" t="s">
        <v>35</v>
      </c>
      <c r="B1976" s="1">
        <v>45777</v>
      </c>
      <c r="C1976">
        <v>220006</v>
      </c>
      <c r="D1976">
        <v>-6855124.5319999997</v>
      </c>
      <c r="E1976" t="s">
        <v>4</v>
      </c>
      <c r="F1976" t="s">
        <v>42</v>
      </c>
      <c r="G1976" t="s">
        <v>7</v>
      </c>
    </row>
    <row r="1977" spans="1:7" x14ac:dyDescent="0.3">
      <c r="A1977" t="s">
        <v>35</v>
      </c>
      <c r="B1977" s="1">
        <v>45777</v>
      </c>
      <c r="C1977">
        <v>240002</v>
      </c>
      <c r="D1977">
        <v>23021.005000000001</v>
      </c>
      <c r="E1977" t="s">
        <v>4</v>
      </c>
      <c r="F1977" t="s">
        <v>43</v>
      </c>
      <c r="G1977" t="s">
        <v>7</v>
      </c>
    </row>
    <row r="1978" spans="1:7" x14ac:dyDescent="0.3">
      <c r="A1978" t="s">
        <v>35</v>
      </c>
      <c r="B1978" s="1">
        <v>45777</v>
      </c>
      <c r="C1978">
        <v>240003</v>
      </c>
      <c r="D1978">
        <v>6382.0050000000001</v>
      </c>
      <c r="E1978" t="s">
        <v>4</v>
      </c>
      <c r="F1978" t="s">
        <v>43</v>
      </c>
      <c r="G1978" t="s">
        <v>7</v>
      </c>
    </row>
    <row r="1979" spans="1:7" x14ac:dyDescent="0.3">
      <c r="A1979" t="s">
        <v>35</v>
      </c>
      <c r="B1979" s="1">
        <v>45777</v>
      </c>
      <c r="C1979">
        <v>240009</v>
      </c>
      <c r="D1979">
        <v>-40757.370999999999</v>
      </c>
      <c r="E1979" t="s">
        <v>4</v>
      </c>
      <c r="F1979" t="s">
        <v>43</v>
      </c>
      <c r="G1979" t="s">
        <v>7</v>
      </c>
    </row>
    <row r="1980" spans="1:7" x14ac:dyDescent="0.3">
      <c r="A1980" t="s">
        <v>35</v>
      </c>
      <c r="B1980" s="1">
        <v>45777</v>
      </c>
      <c r="C1980">
        <v>242003</v>
      </c>
      <c r="D1980">
        <v>-24153.692999999999</v>
      </c>
      <c r="E1980" t="s">
        <v>4</v>
      </c>
      <c r="F1980" t="s">
        <v>43</v>
      </c>
      <c r="G1980" t="s">
        <v>7</v>
      </c>
    </row>
    <row r="1981" spans="1:7" x14ac:dyDescent="0.3">
      <c r="A1981" t="s">
        <v>35</v>
      </c>
      <c r="B1981" s="1">
        <v>45777</v>
      </c>
      <c r="C1981">
        <v>242007</v>
      </c>
      <c r="D1981">
        <v>-8892.7759999999998</v>
      </c>
      <c r="E1981" t="s">
        <v>4</v>
      </c>
      <c r="F1981" t="s">
        <v>43</v>
      </c>
      <c r="G1981" t="s">
        <v>7</v>
      </c>
    </row>
    <row r="1982" spans="1:7" x14ac:dyDescent="0.3">
      <c r="A1982" t="s">
        <v>35</v>
      </c>
      <c r="B1982" s="1">
        <v>45777</v>
      </c>
      <c r="C1982">
        <v>242011</v>
      </c>
      <c r="D1982">
        <v>-704978.20499999996</v>
      </c>
      <c r="E1982" t="s">
        <v>4</v>
      </c>
      <c r="F1982" t="s">
        <v>43</v>
      </c>
      <c r="G1982" t="s">
        <v>7</v>
      </c>
    </row>
    <row r="1983" spans="1:7" x14ac:dyDescent="0.3">
      <c r="A1983" t="s">
        <v>35</v>
      </c>
      <c r="B1983" s="1">
        <v>45777</v>
      </c>
      <c r="C1983">
        <v>242012</v>
      </c>
      <c r="D1983">
        <v>-47321.66</v>
      </c>
      <c r="E1983" t="s">
        <v>4</v>
      </c>
      <c r="F1983" t="s">
        <v>43</v>
      </c>
      <c r="G1983" t="s">
        <v>7</v>
      </c>
    </row>
    <row r="1984" spans="1:7" x14ac:dyDescent="0.3">
      <c r="A1984" t="s">
        <v>35</v>
      </c>
      <c r="B1984" s="1">
        <v>45777</v>
      </c>
      <c r="C1984">
        <v>242013</v>
      </c>
      <c r="D1984">
        <v>-66543.831000000006</v>
      </c>
      <c r="E1984" t="s">
        <v>4</v>
      </c>
      <c r="F1984" t="s">
        <v>43</v>
      </c>
      <c r="G1984" t="s">
        <v>7</v>
      </c>
    </row>
    <row r="1985" spans="1:7" x14ac:dyDescent="0.3">
      <c r="A1985" t="s">
        <v>35</v>
      </c>
      <c r="B1985" s="1">
        <v>45777</v>
      </c>
      <c r="C1985">
        <v>242014</v>
      </c>
      <c r="D1985">
        <v>-91323.456999999995</v>
      </c>
      <c r="E1985" t="s">
        <v>4</v>
      </c>
      <c r="F1985" t="s">
        <v>43</v>
      </c>
      <c r="G1985" t="s">
        <v>7</v>
      </c>
    </row>
    <row r="1986" spans="1:7" x14ac:dyDescent="0.3">
      <c r="A1986" t="s">
        <v>35</v>
      </c>
      <c r="B1986" s="1">
        <v>45777</v>
      </c>
      <c r="C1986">
        <v>242017</v>
      </c>
      <c r="D1986">
        <v>-10150.697</v>
      </c>
      <c r="E1986" t="s">
        <v>4</v>
      </c>
      <c r="F1986" t="s">
        <v>43</v>
      </c>
      <c r="G1986" t="s">
        <v>7</v>
      </c>
    </row>
    <row r="1987" spans="1:7" x14ac:dyDescent="0.3">
      <c r="A1987" t="s">
        <v>35</v>
      </c>
      <c r="B1987" s="1">
        <v>45777</v>
      </c>
      <c r="C1987">
        <v>242019</v>
      </c>
      <c r="D1987">
        <v>-13047.647999999999</v>
      </c>
      <c r="E1987" t="s">
        <v>4</v>
      </c>
      <c r="F1987" t="s">
        <v>43</v>
      </c>
      <c r="G1987" t="s">
        <v>7</v>
      </c>
    </row>
    <row r="1988" spans="1:7" x14ac:dyDescent="0.3">
      <c r="A1988" t="s">
        <v>35</v>
      </c>
      <c r="B1988" s="1">
        <v>45777</v>
      </c>
      <c r="C1988">
        <v>242023</v>
      </c>
      <c r="D1988">
        <v>-5180.576</v>
      </c>
      <c r="E1988" t="s">
        <v>4</v>
      </c>
      <c r="F1988" t="s">
        <v>43</v>
      </c>
      <c r="G1988" t="s">
        <v>7</v>
      </c>
    </row>
    <row r="1989" spans="1:7" x14ac:dyDescent="0.3">
      <c r="A1989" t="s">
        <v>35</v>
      </c>
      <c r="B1989" s="1">
        <v>45777</v>
      </c>
      <c r="C1989">
        <v>242027</v>
      </c>
      <c r="D1989">
        <v>-117602.70699999999</v>
      </c>
      <c r="E1989" t="s">
        <v>4</v>
      </c>
      <c r="F1989" t="s">
        <v>43</v>
      </c>
      <c r="G1989" t="s">
        <v>7</v>
      </c>
    </row>
    <row r="1990" spans="1:7" x14ac:dyDescent="0.3">
      <c r="A1990" t="s">
        <v>35</v>
      </c>
      <c r="B1990" s="1">
        <v>45777</v>
      </c>
      <c r="C1990">
        <v>242037</v>
      </c>
      <c r="D1990">
        <v>-805.71500000000003</v>
      </c>
      <c r="E1990" t="s">
        <v>4</v>
      </c>
      <c r="F1990" t="s">
        <v>43</v>
      </c>
      <c r="G1990" t="s">
        <v>7</v>
      </c>
    </row>
    <row r="1991" spans="1:7" x14ac:dyDescent="0.3">
      <c r="A1991" t="s">
        <v>35</v>
      </c>
      <c r="B1991" s="1">
        <v>45777</v>
      </c>
      <c r="C1991">
        <v>242038</v>
      </c>
      <c r="D1991">
        <v>-11443.713</v>
      </c>
      <c r="E1991" t="s">
        <v>4</v>
      </c>
      <c r="F1991" t="s">
        <v>43</v>
      </c>
      <c r="G1991" t="s">
        <v>7</v>
      </c>
    </row>
    <row r="1992" spans="1:7" x14ac:dyDescent="0.3">
      <c r="A1992" t="s">
        <v>35</v>
      </c>
      <c r="B1992" s="1">
        <v>45777</v>
      </c>
      <c r="C1992">
        <v>242039</v>
      </c>
      <c r="D1992">
        <v>-21136.612000000001</v>
      </c>
      <c r="E1992" t="s">
        <v>4</v>
      </c>
      <c r="F1992" t="s">
        <v>43</v>
      </c>
      <c r="G1992" t="s">
        <v>7</v>
      </c>
    </row>
    <row r="1993" spans="1:7" x14ac:dyDescent="0.3">
      <c r="A1993" t="s">
        <v>35</v>
      </c>
      <c r="B1993" s="1">
        <v>45777</v>
      </c>
      <c r="C1993">
        <v>242041</v>
      </c>
      <c r="D1993">
        <v>14953.484</v>
      </c>
      <c r="E1993" t="s">
        <v>4</v>
      </c>
      <c r="F1993" t="s">
        <v>43</v>
      </c>
      <c r="G1993" t="s">
        <v>7</v>
      </c>
    </row>
    <row r="1994" spans="1:7" x14ac:dyDescent="0.3">
      <c r="A1994" t="s">
        <v>35</v>
      </c>
      <c r="B1994" s="1">
        <v>45777</v>
      </c>
      <c r="C1994">
        <v>243002</v>
      </c>
      <c r="D1994">
        <v>-96557.804000000004</v>
      </c>
      <c r="E1994" t="s">
        <v>4</v>
      </c>
      <c r="F1994" t="s">
        <v>43</v>
      </c>
      <c r="G1994" t="s">
        <v>7</v>
      </c>
    </row>
    <row r="1995" spans="1:7" x14ac:dyDescent="0.3">
      <c r="A1995" t="s">
        <v>35</v>
      </c>
      <c r="B1995" s="1">
        <v>45777</v>
      </c>
      <c r="C1995">
        <v>243003</v>
      </c>
      <c r="D1995">
        <v>-936304.58299999998</v>
      </c>
      <c r="E1995" t="s">
        <v>4</v>
      </c>
      <c r="F1995" t="s">
        <v>43</v>
      </c>
      <c r="G1995" t="s">
        <v>7</v>
      </c>
    </row>
    <row r="1996" spans="1:7" x14ac:dyDescent="0.3">
      <c r="A1996" t="s">
        <v>35</v>
      </c>
      <c r="B1996" s="1">
        <v>45777</v>
      </c>
      <c r="C1996">
        <v>243009</v>
      </c>
      <c r="D1996">
        <v>-9667.0239999999994</v>
      </c>
      <c r="E1996" t="s">
        <v>4</v>
      </c>
      <c r="F1996" t="s">
        <v>43</v>
      </c>
      <c r="G1996" t="s">
        <v>7</v>
      </c>
    </row>
    <row r="1997" spans="1:7" x14ac:dyDescent="0.3">
      <c r="A1997" t="s">
        <v>35</v>
      </c>
      <c r="B1997" s="1">
        <v>45777</v>
      </c>
      <c r="C1997">
        <v>243010</v>
      </c>
      <c r="D1997">
        <v>-2830.35</v>
      </c>
      <c r="E1997" t="s">
        <v>4</v>
      </c>
      <c r="F1997" t="s">
        <v>43</v>
      </c>
      <c r="G1997" t="s">
        <v>7</v>
      </c>
    </row>
    <row r="1998" spans="1:7" x14ac:dyDescent="0.3">
      <c r="A1998" t="s">
        <v>35</v>
      </c>
      <c r="B1998" s="1">
        <v>45777</v>
      </c>
      <c r="C1998">
        <v>243011</v>
      </c>
      <c r="D1998">
        <v>-31614.536</v>
      </c>
      <c r="E1998" t="s">
        <v>4</v>
      </c>
      <c r="F1998" t="s">
        <v>43</v>
      </c>
      <c r="G1998" t="s">
        <v>7</v>
      </c>
    </row>
    <row r="1999" spans="1:7" x14ac:dyDescent="0.3">
      <c r="A1999" t="s">
        <v>35</v>
      </c>
      <c r="B1999" s="1">
        <v>45777</v>
      </c>
      <c r="C1999">
        <v>245010</v>
      </c>
      <c r="D1999">
        <v>-170491.71299999999</v>
      </c>
      <c r="E1999" t="s">
        <v>4</v>
      </c>
      <c r="F1999" t="s">
        <v>44</v>
      </c>
      <c r="G1999" t="s">
        <v>7</v>
      </c>
    </row>
    <row r="2000" spans="1:7" x14ac:dyDescent="0.3">
      <c r="A2000" t="s">
        <v>35</v>
      </c>
      <c r="B2000" s="1">
        <v>45777</v>
      </c>
      <c r="C2000">
        <v>245018</v>
      </c>
      <c r="D2000">
        <v>-70279.831000000006</v>
      </c>
      <c r="E2000" t="s">
        <v>4</v>
      </c>
      <c r="F2000" t="s">
        <v>43</v>
      </c>
      <c r="G2000" t="s">
        <v>7</v>
      </c>
    </row>
    <row r="2001" spans="1:7" x14ac:dyDescent="0.3">
      <c r="A2001" t="s">
        <v>35</v>
      </c>
      <c r="B2001" s="1">
        <v>45777</v>
      </c>
      <c r="C2001">
        <v>245055</v>
      </c>
      <c r="D2001">
        <v>-166354.367</v>
      </c>
      <c r="E2001" t="s">
        <v>4</v>
      </c>
      <c r="F2001" t="s">
        <v>43</v>
      </c>
      <c r="G2001" t="s">
        <v>7</v>
      </c>
    </row>
    <row r="2002" spans="1:7" x14ac:dyDescent="0.3">
      <c r="A2002" t="s">
        <v>35</v>
      </c>
      <c r="B2002" s="1">
        <v>45777</v>
      </c>
      <c r="C2002">
        <v>245056</v>
      </c>
      <c r="D2002">
        <v>-4044.212</v>
      </c>
      <c r="E2002" t="s">
        <v>4</v>
      </c>
      <c r="F2002" t="s">
        <v>49</v>
      </c>
      <c r="G2002" t="s">
        <v>7</v>
      </c>
    </row>
    <row r="2003" spans="1:7" x14ac:dyDescent="0.3">
      <c r="A2003" t="s">
        <v>35</v>
      </c>
      <c r="B2003" s="1">
        <v>45777</v>
      </c>
      <c r="C2003">
        <v>245062</v>
      </c>
      <c r="D2003">
        <v>-33700.042000000001</v>
      </c>
      <c r="E2003" t="s">
        <v>4</v>
      </c>
      <c r="F2003" t="s">
        <v>43</v>
      </c>
      <c r="G2003" t="s">
        <v>7</v>
      </c>
    </row>
    <row r="2004" spans="1:7" x14ac:dyDescent="0.3">
      <c r="A2004" t="s">
        <v>35</v>
      </c>
      <c r="B2004" s="1">
        <v>45777</v>
      </c>
      <c r="C2004">
        <v>250003</v>
      </c>
      <c r="D2004">
        <v>-30469.019</v>
      </c>
      <c r="E2004" t="s">
        <v>4</v>
      </c>
      <c r="F2004" t="s">
        <v>45</v>
      </c>
      <c r="G2004" t="s">
        <v>7</v>
      </c>
    </row>
    <row r="2005" spans="1:7" x14ac:dyDescent="0.3">
      <c r="A2005" t="s">
        <v>35</v>
      </c>
      <c r="B2005" s="1">
        <v>45777</v>
      </c>
      <c r="C2005">
        <v>250007</v>
      </c>
      <c r="D2005">
        <v>-145480.13800000001</v>
      </c>
      <c r="E2005" t="s">
        <v>4</v>
      </c>
      <c r="F2005" t="s">
        <v>43</v>
      </c>
      <c r="G2005" t="s">
        <v>7</v>
      </c>
    </row>
    <row r="2006" spans="1:7" x14ac:dyDescent="0.3">
      <c r="A2006" t="s">
        <v>35</v>
      </c>
      <c r="B2006" s="1">
        <v>45777</v>
      </c>
      <c r="C2006">
        <v>251002</v>
      </c>
      <c r="D2006">
        <v>-392273.12</v>
      </c>
      <c r="E2006" t="s">
        <v>4</v>
      </c>
      <c r="F2006" t="s">
        <v>45</v>
      </c>
      <c r="G2006" t="s">
        <v>7</v>
      </c>
    </row>
    <row r="2007" spans="1:7" x14ac:dyDescent="0.3">
      <c r="A2007" t="s">
        <v>35</v>
      </c>
      <c r="B2007" s="1">
        <v>45777</v>
      </c>
      <c r="C2007">
        <v>256037</v>
      </c>
      <c r="D2007">
        <v>15402.328</v>
      </c>
      <c r="E2007" t="s">
        <v>4</v>
      </c>
      <c r="F2007" t="s">
        <v>43</v>
      </c>
      <c r="G2007" t="s">
        <v>7</v>
      </c>
    </row>
    <row r="2008" spans="1:7" x14ac:dyDescent="0.3">
      <c r="A2008" t="s">
        <v>35</v>
      </c>
      <c r="B2008" s="1">
        <v>45777</v>
      </c>
      <c r="C2008">
        <v>257008</v>
      </c>
      <c r="D2008">
        <v>-9859.8960000000006</v>
      </c>
      <c r="E2008" t="s">
        <v>4</v>
      </c>
      <c r="F2008" t="s">
        <v>45</v>
      </c>
      <c r="G2008" t="s">
        <v>7</v>
      </c>
    </row>
    <row r="2009" spans="1:7" x14ac:dyDescent="0.3">
      <c r="A2009" t="s">
        <v>35</v>
      </c>
      <c r="B2009" s="1">
        <v>45777</v>
      </c>
      <c r="C2009">
        <v>257009</v>
      </c>
      <c r="D2009">
        <v>-12410.164000000001</v>
      </c>
      <c r="E2009" t="s">
        <v>4</v>
      </c>
      <c r="F2009" t="s">
        <v>45</v>
      </c>
      <c r="G2009" t="s">
        <v>7</v>
      </c>
    </row>
    <row r="2010" spans="1:7" x14ac:dyDescent="0.3">
      <c r="A2010" t="s">
        <v>35</v>
      </c>
      <c r="B2010" s="1">
        <v>45777</v>
      </c>
      <c r="C2010">
        <v>257011</v>
      </c>
      <c r="D2010">
        <v>-213.58</v>
      </c>
      <c r="E2010" t="s">
        <v>4</v>
      </c>
      <c r="F2010" t="s">
        <v>45</v>
      </c>
      <c r="G2010" t="s">
        <v>7</v>
      </c>
    </row>
    <row r="2011" spans="1:7" x14ac:dyDescent="0.3">
      <c r="A2011" t="s">
        <v>35</v>
      </c>
      <c r="B2011" s="1">
        <v>45777</v>
      </c>
      <c r="C2011">
        <v>257022</v>
      </c>
      <c r="D2011">
        <v>1539.261</v>
      </c>
      <c r="E2011" t="s">
        <v>4</v>
      </c>
      <c r="F2011" t="s">
        <v>45</v>
      </c>
      <c r="G2011" t="s">
        <v>7</v>
      </c>
    </row>
    <row r="2012" spans="1:7" x14ac:dyDescent="0.3">
      <c r="A2012" t="s">
        <v>35</v>
      </c>
      <c r="B2012" s="1">
        <v>45777</v>
      </c>
      <c r="C2012">
        <v>257028</v>
      </c>
      <c r="D2012">
        <v>-91880.188999999998</v>
      </c>
      <c r="E2012" t="s">
        <v>4</v>
      </c>
      <c r="F2012" t="s">
        <v>45</v>
      </c>
      <c r="G2012" t="s">
        <v>7</v>
      </c>
    </row>
    <row r="2013" spans="1:7" x14ac:dyDescent="0.3">
      <c r="A2013" t="s">
        <v>35</v>
      </c>
      <c r="B2013" s="1">
        <v>45777</v>
      </c>
      <c r="C2013">
        <v>260004</v>
      </c>
      <c r="D2013">
        <v>-15095.819</v>
      </c>
      <c r="E2013" t="s">
        <v>4</v>
      </c>
      <c r="F2013" t="s">
        <v>45</v>
      </c>
      <c r="G2013" t="s">
        <v>7</v>
      </c>
    </row>
    <row r="2014" spans="1:7" x14ac:dyDescent="0.3">
      <c r="A2014" t="s">
        <v>35</v>
      </c>
      <c r="B2014" s="1">
        <v>45777</v>
      </c>
      <c r="C2014">
        <v>270024</v>
      </c>
      <c r="D2014">
        <v>-331925.364</v>
      </c>
      <c r="E2014" t="s">
        <v>4</v>
      </c>
      <c r="F2014" t="s">
        <v>58</v>
      </c>
      <c r="G2014" t="s">
        <v>7</v>
      </c>
    </row>
    <row r="2015" spans="1:7" x14ac:dyDescent="0.3">
      <c r="A2015" t="s">
        <v>35</v>
      </c>
      <c r="B2015" s="1">
        <v>45777</v>
      </c>
      <c r="C2015">
        <v>270025</v>
      </c>
      <c r="D2015">
        <v>-389316.66700000002</v>
      </c>
      <c r="E2015" t="s">
        <v>4</v>
      </c>
      <c r="F2015" t="s">
        <v>58</v>
      </c>
      <c r="G2015" t="s">
        <v>7</v>
      </c>
    </row>
    <row r="2016" spans="1:7" x14ac:dyDescent="0.3">
      <c r="A2016" t="s">
        <v>35</v>
      </c>
      <c r="B2016" s="1">
        <v>45777</v>
      </c>
      <c r="C2016">
        <v>270026</v>
      </c>
      <c r="D2016">
        <v>-556894.62300000002</v>
      </c>
      <c r="E2016" t="s">
        <v>4</v>
      </c>
      <c r="F2016" t="s">
        <v>58</v>
      </c>
      <c r="G2016" t="s">
        <v>7</v>
      </c>
    </row>
    <row r="2017" spans="1:7" x14ac:dyDescent="0.3">
      <c r="A2017" t="s">
        <v>35</v>
      </c>
      <c r="B2017" s="1">
        <v>45777</v>
      </c>
      <c r="C2017">
        <v>300004</v>
      </c>
      <c r="D2017">
        <v>5077.6049999999996</v>
      </c>
      <c r="E2017" t="s">
        <v>4</v>
      </c>
      <c r="F2017" t="s">
        <v>65</v>
      </c>
      <c r="G2017" t="s">
        <v>7</v>
      </c>
    </row>
    <row r="2018" spans="1:7" x14ac:dyDescent="0.3">
      <c r="A2018" t="s">
        <v>35</v>
      </c>
      <c r="B2018" s="1">
        <v>45777</v>
      </c>
      <c r="C2018">
        <v>300005</v>
      </c>
      <c r="D2018">
        <v>30381.352999999999</v>
      </c>
      <c r="E2018" t="s">
        <v>4</v>
      </c>
      <c r="F2018" t="s">
        <v>65</v>
      </c>
      <c r="G2018" t="s">
        <v>7</v>
      </c>
    </row>
    <row r="2019" spans="1:7" x14ac:dyDescent="0.3">
      <c r="A2019" t="s">
        <v>35</v>
      </c>
      <c r="B2019" s="1">
        <v>45777</v>
      </c>
      <c r="C2019">
        <v>300008</v>
      </c>
      <c r="D2019">
        <v>45642.214999999997</v>
      </c>
      <c r="E2019" t="s">
        <v>4</v>
      </c>
      <c r="F2019" t="s">
        <v>65</v>
      </c>
      <c r="G2019" t="s">
        <v>7</v>
      </c>
    </row>
    <row r="2020" spans="1:7" x14ac:dyDescent="0.3">
      <c r="A2020" t="s">
        <v>35</v>
      </c>
      <c r="B2020" s="1">
        <v>45777</v>
      </c>
      <c r="C2020">
        <v>300009</v>
      </c>
      <c r="D2020">
        <v>36.584000000000003</v>
      </c>
      <c r="E2020" t="s">
        <v>4</v>
      </c>
      <c r="F2020" t="s">
        <v>65</v>
      </c>
      <c r="G2020" t="s">
        <v>7</v>
      </c>
    </row>
    <row r="2021" spans="1:7" x14ac:dyDescent="0.3">
      <c r="A2021" t="s">
        <v>35</v>
      </c>
      <c r="B2021" s="1">
        <v>45777</v>
      </c>
      <c r="C2021">
        <v>300012</v>
      </c>
      <c r="D2021">
        <v>81.397000000000006</v>
      </c>
      <c r="E2021" t="s">
        <v>4</v>
      </c>
      <c r="F2021" t="s">
        <v>65</v>
      </c>
      <c r="G2021" t="s">
        <v>7</v>
      </c>
    </row>
    <row r="2022" spans="1:7" x14ac:dyDescent="0.3">
      <c r="A2022" t="s">
        <v>35</v>
      </c>
      <c r="B2022" s="1">
        <v>45777</v>
      </c>
      <c r="C2022">
        <v>300504</v>
      </c>
      <c r="D2022">
        <v>-4406.8980000000001</v>
      </c>
      <c r="E2022" t="s">
        <v>4</v>
      </c>
      <c r="F2022" t="s">
        <v>65</v>
      </c>
      <c r="G2022" t="s">
        <v>7</v>
      </c>
    </row>
    <row r="2023" spans="1:7" x14ac:dyDescent="0.3">
      <c r="A2023" t="s">
        <v>35</v>
      </c>
      <c r="B2023" s="1">
        <v>45777</v>
      </c>
      <c r="C2023">
        <v>300505</v>
      </c>
      <c r="D2023">
        <v>-28180.589</v>
      </c>
      <c r="E2023" t="s">
        <v>4</v>
      </c>
      <c r="F2023" t="s">
        <v>65</v>
      </c>
      <c r="G2023" t="s">
        <v>7</v>
      </c>
    </row>
    <row r="2024" spans="1:7" x14ac:dyDescent="0.3">
      <c r="A2024" t="s">
        <v>35</v>
      </c>
      <c r="B2024" s="1">
        <v>45777</v>
      </c>
      <c r="C2024">
        <v>300508</v>
      </c>
      <c r="D2024">
        <v>-42390.260999999999</v>
      </c>
      <c r="E2024" t="s">
        <v>4</v>
      </c>
      <c r="F2024" t="s">
        <v>65</v>
      </c>
      <c r="G2024" t="s">
        <v>7</v>
      </c>
    </row>
    <row r="2025" spans="1:7" x14ac:dyDescent="0.3">
      <c r="A2025" t="s">
        <v>35</v>
      </c>
      <c r="B2025" s="1">
        <v>45777</v>
      </c>
      <c r="C2025">
        <v>300509</v>
      </c>
      <c r="D2025">
        <v>-7.2670000000000003</v>
      </c>
      <c r="E2025" t="s">
        <v>4</v>
      </c>
      <c r="F2025" t="s">
        <v>65</v>
      </c>
      <c r="G2025" t="s">
        <v>7</v>
      </c>
    </row>
    <row r="2026" spans="1:7" x14ac:dyDescent="0.3">
      <c r="A2026" t="s">
        <v>35</v>
      </c>
      <c r="B2026" s="1">
        <v>45777</v>
      </c>
      <c r="C2026">
        <v>300512</v>
      </c>
      <c r="D2026">
        <v>-20.207999999999998</v>
      </c>
      <c r="E2026" t="s">
        <v>4</v>
      </c>
      <c r="F2026" t="s">
        <v>65</v>
      </c>
      <c r="G2026" t="s">
        <v>7</v>
      </c>
    </row>
    <row r="2027" spans="1:7" x14ac:dyDescent="0.3">
      <c r="A2027" t="s">
        <v>35</v>
      </c>
      <c r="B2027" s="1">
        <v>45777</v>
      </c>
      <c r="C2027">
        <v>301004</v>
      </c>
      <c r="D2027">
        <v>73751.570000000007</v>
      </c>
      <c r="E2027" t="s">
        <v>4</v>
      </c>
      <c r="F2027" t="s">
        <v>65</v>
      </c>
      <c r="G2027" t="s">
        <v>7</v>
      </c>
    </row>
    <row r="2028" spans="1:7" x14ac:dyDescent="0.3">
      <c r="A2028" t="s">
        <v>35</v>
      </c>
      <c r="B2028" s="1">
        <v>45777</v>
      </c>
      <c r="C2028">
        <v>301504</v>
      </c>
      <c r="D2028">
        <v>-73751.570000000007</v>
      </c>
      <c r="E2028" t="s">
        <v>4</v>
      </c>
      <c r="F2028" t="s">
        <v>65</v>
      </c>
      <c r="G2028" t="s">
        <v>7</v>
      </c>
    </row>
    <row r="2029" spans="1:7" x14ac:dyDescent="0.3">
      <c r="A2029" t="s">
        <v>35</v>
      </c>
      <c r="B2029" s="1">
        <v>45777</v>
      </c>
      <c r="C2029">
        <v>303004</v>
      </c>
      <c r="D2029">
        <v>376.49599999999998</v>
      </c>
      <c r="E2029" t="s">
        <v>4</v>
      </c>
      <c r="F2029" t="s">
        <v>65</v>
      </c>
      <c r="G2029" t="s">
        <v>7</v>
      </c>
    </row>
    <row r="2030" spans="1:7" x14ac:dyDescent="0.3">
      <c r="A2030" t="s">
        <v>35</v>
      </c>
      <c r="B2030" s="1">
        <v>45777</v>
      </c>
      <c r="C2030">
        <v>310033</v>
      </c>
      <c r="D2030">
        <v>32642.594000000001</v>
      </c>
      <c r="E2030" t="s">
        <v>4</v>
      </c>
      <c r="F2030" t="s">
        <v>42</v>
      </c>
      <c r="G2030" t="s">
        <v>7</v>
      </c>
    </row>
    <row r="2031" spans="1:7" x14ac:dyDescent="0.3">
      <c r="A2031" t="s">
        <v>35</v>
      </c>
      <c r="B2031" s="1">
        <v>45777</v>
      </c>
      <c r="C2031">
        <v>310035</v>
      </c>
      <c r="D2031">
        <v>944043.30599999998</v>
      </c>
      <c r="E2031" t="s">
        <v>4</v>
      </c>
      <c r="F2031" t="s">
        <v>42</v>
      </c>
      <c r="G2031" t="s">
        <v>7</v>
      </c>
    </row>
    <row r="2032" spans="1:7" x14ac:dyDescent="0.3">
      <c r="A2032" t="s">
        <v>35</v>
      </c>
      <c r="B2032" s="1">
        <v>45777</v>
      </c>
      <c r="C2032">
        <v>315016</v>
      </c>
      <c r="D2032">
        <v>1112363.3130000001</v>
      </c>
      <c r="E2032" t="s">
        <v>4</v>
      </c>
      <c r="F2032" t="s">
        <v>47</v>
      </c>
      <c r="G2032" t="s">
        <v>7</v>
      </c>
    </row>
    <row r="2033" spans="1:7" x14ac:dyDescent="0.3">
      <c r="A2033" t="s">
        <v>35</v>
      </c>
      <c r="B2033" s="1">
        <v>45777</v>
      </c>
      <c r="C2033">
        <v>320002</v>
      </c>
      <c r="D2033">
        <v>10903.502</v>
      </c>
      <c r="E2033" t="s">
        <v>4</v>
      </c>
      <c r="F2033" t="s">
        <v>46</v>
      </c>
      <c r="G2033" t="s">
        <v>7</v>
      </c>
    </row>
    <row r="2034" spans="1:7" x14ac:dyDescent="0.3">
      <c r="A2034" t="s">
        <v>35</v>
      </c>
      <c r="B2034" s="1">
        <v>45777</v>
      </c>
      <c r="C2034">
        <v>320003</v>
      </c>
      <c r="D2034">
        <v>2421409.5260000001</v>
      </c>
      <c r="E2034" t="s">
        <v>4</v>
      </c>
      <c r="F2034" t="s">
        <v>46</v>
      </c>
      <c r="G2034" t="s">
        <v>7</v>
      </c>
    </row>
    <row r="2035" spans="1:7" x14ac:dyDescent="0.3">
      <c r="A2035" t="s">
        <v>35</v>
      </c>
      <c r="B2035" s="1">
        <v>45777</v>
      </c>
      <c r="C2035">
        <v>320020</v>
      </c>
      <c r="D2035">
        <v>2281.8670000000002</v>
      </c>
      <c r="E2035" t="s">
        <v>4</v>
      </c>
      <c r="F2035" t="s">
        <v>46</v>
      </c>
      <c r="G2035" t="s">
        <v>7</v>
      </c>
    </row>
    <row r="2036" spans="1:7" x14ac:dyDescent="0.3">
      <c r="A2036" t="s">
        <v>35</v>
      </c>
      <c r="B2036" s="1">
        <v>45777</v>
      </c>
      <c r="C2036">
        <v>320023</v>
      </c>
      <c r="D2036">
        <v>-2281.8670000000002</v>
      </c>
      <c r="E2036" t="s">
        <v>4</v>
      </c>
      <c r="F2036" t="s">
        <v>46</v>
      </c>
      <c r="G2036" t="s">
        <v>7</v>
      </c>
    </row>
    <row r="2037" spans="1:7" x14ac:dyDescent="0.3">
      <c r="A2037" t="s">
        <v>35</v>
      </c>
      <c r="B2037" s="1">
        <v>45777</v>
      </c>
      <c r="C2037">
        <v>320024</v>
      </c>
      <c r="D2037">
        <v>387734.272</v>
      </c>
      <c r="E2037" t="s">
        <v>4</v>
      </c>
      <c r="F2037" t="s">
        <v>46</v>
      </c>
      <c r="G2037" t="s">
        <v>7</v>
      </c>
    </row>
    <row r="2038" spans="1:7" x14ac:dyDescent="0.3">
      <c r="A2038" t="s">
        <v>35</v>
      </c>
      <c r="B2038" s="1">
        <v>45777</v>
      </c>
      <c r="C2038">
        <v>321002</v>
      </c>
      <c r="D2038">
        <v>347680.386</v>
      </c>
      <c r="E2038" t="s">
        <v>4</v>
      </c>
      <c r="F2038" t="s">
        <v>46</v>
      </c>
      <c r="G2038" t="s">
        <v>7</v>
      </c>
    </row>
    <row r="2039" spans="1:7" x14ac:dyDescent="0.3">
      <c r="A2039" t="s">
        <v>35</v>
      </c>
      <c r="B2039" s="1">
        <v>45777</v>
      </c>
      <c r="C2039">
        <v>321004</v>
      </c>
      <c r="D2039">
        <v>463.29700000000003</v>
      </c>
      <c r="E2039" t="s">
        <v>4</v>
      </c>
      <c r="F2039" t="s">
        <v>46</v>
      </c>
      <c r="G2039" t="s">
        <v>7</v>
      </c>
    </row>
    <row r="2040" spans="1:7" x14ac:dyDescent="0.3">
      <c r="A2040" t="s">
        <v>35</v>
      </c>
      <c r="B2040" s="1">
        <v>45777</v>
      </c>
      <c r="C2040">
        <v>321012</v>
      </c>
      <c r="D2040">
        <v>65662.805999999997</v>
      </c>
      <c r="E2040" t="s">
        <v>4</v>
      </c>
      <c r="F2040" t="s">
        <v>46</v>
      </c>
      <c r="G2040" t="s">
        <v>7</v>
      </c>
    </row>
    <row r="2041" spans="1:7" x14ac:dyDescent="0.3">
      <c r="A2041" t="s">
        <v>35</v>
      </c>
      <c r="B2041" s="1">
        <v>45777</v>
      </c>
      <c r="C2041">
        <v>321013</v>
      </c>
      <c r="D2041">
        <v>46016.328999999998</v>
      </c>
      <c r="E2041" t="s">
        <v>4</v>
      </c>
      <c r="F2041" t="s">
        <v>46</v>
      </c>
      <c r="G2041" t="s">
        <v>7</v>
      </c>
    </row>
    <row r="2042" spans="1:7" x14ac:dyDescent="0.3">
      <c r="A2042" t="s">
        <v>35</v>
      </c>
      <c r="B2042" s="1">
        <v>45777</v>
      </c>
      <c r="C2042">
        <v>321014</v>
      </c>
      <c r="D2042">
        <v>14657.357</v>
      </c>
      <c r="E2042" t="s">
        <v>4</v>
      </c>
      <c r="F2042" t="s">
        <v>46</v>
      </c>
      <c r="G2042" t="s">
        <v>7</v>
      </c>
    </row>
    <row r="2043" spans="1:7" x14ac:dyDescent="0.3">
      <c r="A2043" t="s">
        <v>35</v>
      </c>
      <c r="B2043" s="1">
        <v>45777</v>
      </c>
      <c r="C2043">
        <v>321025</v>
      </c>
      <c r="D2043">
        <v>78358.592000000004</v>
      </c>
      <c r="E2043" t="s">
        <v>4</v>
      </c>
      <c r="F2043" t="s">
        <v>46</v>
      </c>
      <c r="G2043" t="s">
        <v>7</v>
      </c>
    </row>
    <row r="2044" spans="1:7" x14ac:dyDescent="0.3">
      <c r="A2044" t="s">
        <v>35</v>
      </c>
      <c r="B2044" s="1">
        <v>45777</v>
      </c>
      <c r="C2044">
        <v>321031</v>
      </c>
      <c r="D2044">
        <v>15418.07</v>
      </c>
      <c r="E2044" t="s">
        <v>4</v>
      </c>
      <c r="F2044" t="s">
        <v>46</v>
      </c>
      <c r="G2044" t="s">
        <v>7</v>
      </c>
    </row>
    <row r="2045" spans="1:7" x14ac:dyDescent="0.3">
      <c r="A2045" t="s">
        <v>35</v>
      </c>
      <c r="B2045" s="1">
        <v>45777</v>
      </c>
      <c r="C2045">
        <v>321041</v>
      </c>
      <c r="D2045">
        <v>260.85300000000001</v>
      </c>
      <c r="E2045" t="s">
        <v>4</v>
      </c>
      <c r="F2045" t="s">
        <v>46</v>
      </c>
      <c r="G2045" t="s">
        <v>7</v>
      </c>
    </row>
    <row r="2046" spans="1:7" x14ac:dyDescent="0.3">
      <c r="A2046" t="s">
        <v>35</v>
      </c>
      <c r="B2046" s="1">
        <v>45777</v>
      </c>
      <c r="C2046">
        <v>321042</v>
      </c>
      <c r="D2046">
        <v>-17.86</v>
      </c>
      <c r="E2046" t="s">
        <v>4</v>
      </c>
      <c r="F2046" t="s">
        <v>46</v>
      </c>
      <c r="G2046" t="s">
        <v>7</v>
      </c>
    </row>
    <row r="2047" spans="1:7" x14ac:dyDescent="0.3">
      <c r="A2047" t="s">
        <v>35</v>
      </c>
      <c r="B2047" s="1">
        <v>45777</v>
      </c>
      <c r="C2047">
        <v>330115</v>
      </c>
      <c r="D2047">
        <v>-13572.237999999999</v>
      </c>
      <c r="E2047" t="s">
        <v>4</v>
      </c>
      <c r="F2047" t="s">
        <v>43</v>
      </c>
      <c r="G2047" t="s">
        <v>7</v>
      </c>
    </row>
    <row r="2048" spans="1:7" x14ac:dyDescent="0.3">
      <c r="A2048" t="s">
        <v>35</v>
      </c>
      <c r="B2048" s="1">
        <v>45777</v>
      </c>
      <c r="C2048">
        <v>330123</v>
      </c>
      <c r="D2048">
        <v>876594.15099999995</v>
      </c>
      <c r="E2048" t="s">
        <v>4</v>
      </c>
      <c r="F2048" t="s">
        <v>43</v>
      </c>
      <c r="G2048" t="s">
        <v>7</v>
      </c>
    </row>
    <row r="2049" spans="1:7" x14ac:dyDescent="0.3">
      <c r="A2049" t="s">
        <v>35</v>
      </c>
      <c r="B2049" s="1">
        <v>45777</v>
      </c>
      <c r="C2049">
        <v>330129</v>
      </c>
      <c r="D2049">
        <v>-7382.8580000000002</v>
      </c>
      <c r="E2049" t="s">
        <v>4</v>
      </c>
      <c r="F2049" t="s">
        <v>43</v>
      </c>
      <c r="G2049" t="s">
        <v>7</v>
      </c>
    </row>
    <row r="2050" spans="1:7" x14ac:dyDescent="0.3">
      <c r="A2050" t="s">
        <v>35</v>
      </c>
      <c r="B2050" s="1">
        <v>45777</v>
      </c>
      <c r="C2050">
        <v>330136</v>
      </c>
      <c r="D2050">
        <v>3352.5459999999998</v>
      </c>
      <c r="E2050" t="s">
        <v>4</v>
      </c>
      <c r="F2050" t="s">
        <v>43</v>
      </c>
      <c r="G2050" t="s">
        <v>7</v>
      </c>
    </row>
    <row r="2051" spans="1:7" x14ac:dyDescent="0.3">
      <c r="A2051" t="s">
        <v>35</v>
      </c>
      <c r="B2051" s="1">
        <v>45777</v>
      </c>
      <c r="C2051">
        <v>340255</v>
      </c>
      <c r="D2051">
        <v>1523950.176</v>
      </c>
      <c r="E2051" t="s">
        <v>4</v>
      </c>
      <c r="F2051" t="s">
        <v>47</v>
      </c>
      <c r="G2051" t="s">
        <v>7</v>
      </c>
    </row>
    <row r="2052" spans="1:7" x14ac:dyDescent="0.3">
      <c r="A2052" t="s">
        <v>35</v>
      </c>
      <c r="B2052" s="1">
        <v>45777</v>
      </c>
      <c r="C2052">
        <v>340256</v>
      </c>
      <c r="D2052">
        <v>43642156.947999999</v>
      </c>
      <c r="E2052" t="s">
        <v>4</v>
      </c>
      <c r="F2052" t="s">
        <v>47</v>
      </c>
      <c r="G2052" t="s">
        <v>7</v>
      </c>
    </row>
    <row r="2053" spans="1:7" x14ac:dyDescent="0.3">
      <c r="A2053" t="s">
        <v>35</v>
      </c>
      <c r="B2053" s="1">
        <v>45777</v>
      </c>
      <c r="C2053">
        <v>340257</v>
      </c>
      <c r="D2053">
        <v>-44362029.475000001</v>
      </c>
      <c r="E2053" t="s">
        <v>4</v>
      </c>
      <c r="F2053" t="s">
        <v>47</v>
      </c>
      <c r="G2053" t="s">
        <v>7</v>
      </c>
    </row>
    <row r="2054" spans="1:7" x14ac:dyDescent="0.3">
      <c r="A2054" t="s">
        <v>35</v>
      </c>
      <c r="B2054" s="1">
        <v>45777</v>
      </c>
      <c r="C2054">
        <v>350002</v>
      </c>
      <c r="D2054">
        <v>16960.394</v>
      </c>
      <c r="E2054" t="s">
        <v>4</v>
      </c>
      <c r="F2054" t="s">
        <v>49</v>
      </c>
      <c r="G2054" t="s">
        <v>7</v>
      </c>
    </row>
    <row r="2055" spans="1:7" x14ac:dyDescent="0.3">
      <c r="A2055" t="s">
        <v>35</v>
      </c>
      <c r="B2055" s="1">
        <v>45777</v>
      </c>
      <c r="C2055">
        <v>350003</v>
      </c>
      <c r="D2055">
        <v>-4748.9189999999999</v>
      </c>
      <c r="E2055" t="s">
        <v>4</v>
      </c>
      <c r="F2055" t="s">
        <v>49</v>
      </c>
      <c r="G2055" t="s">
        <v>7</v>
      </c>
    </row>
    <row r="2056" spans="1:7" x14ac:dyDescent="0.3">
      <c r="A2056" t="s">
        <v>35</v>
      </c>
      <c r="B2056" s="1">
        <v>45777</v>
      </c>
      <c r="C2056">
        <v>350031</v>
      </c>
      <c r="D2056">
        <v>40757.370999999999</v>
      </c>
      <c r="E2056" t="s">
        <v>4</v>
      </c>
      <c r="F2056" t="s">
        <v>43</v>
      </c>
      <c r="G2056" t="s">
        <v>7</v>
      </c>
    </row>
    <row r="2057" spans="1:7" x14ac:dyDescent="0.3">
      <c r="A2057" t="s">
        <v>35</v>
      </c>
      <c r="B2057" s="1">
        <v>45777</v>
      </c>
      <c r="C2057">
        <v>350034</v>
      </c>
      <c r="D2057">
        <v>4044.212</v>
      </c>
      <c r="E2057" t="s">
        <v>4</v>
      </c>
      <c r="F2057" t="s">
        <v>49</v>
      </c>
      <c r="G2057" t="s">
        <v>7</v>
      </c>
    </row>
    <row r="2058" spans="1:7" x14ac:dyDescent="0.3">
      <c r="A2058" t="s">
        <v>35</v>
      </c>
      <c r="B2058" s="1">
        <v>45777</v>
      </c>
      <c r="C2058">
        <v>352002</v>
      </c>
      <c r="D2058">
        <v>8422.3089999999993</v>
      </c>
      <c r="E2058" t="s">
        <v>4</v>
      </c>
      <c r="F2058" t="s">
        <v>48</v>
      </c>
      <c r="G2058" t="s">
        <v>7</v>
      </c>
    </row>
    <row r="2059" spans="1:7" x14ac:dyDescent="0.3">
      <c r="A2059" t="s">
        <v>35</v>
      </c>
      <c r="B2059" s="1">
        <v>45777</v>
      </c>
      <c r="C2059">
        <v>354011</v>
      </c>
      <c r="D2059">
        <v>-387734.272</v>
      </c>
      <c r="E2059" t="s">
        <v>4</v>
      </c>
      <c r="F2059" t="s">
        <v>46</v>
      </c>
      <c r="G2059" t="s">
        <v>7</v>
      </c>
    </row>
    <row r="2060" spans="1:7" x14ac:dyDescent="0.3">
      <c r="A2060" t="s">
        <v>35</v>
      </c>
      <c r="B2060" s="1">
        <v>45777</v>
      </c>
      <c r="C2060">
        <v>354012</v>
      </c>
      <c r="D2060">
        <v>709391.87899999996</v>
      </c>
      <c r="E2060" t="s">
        <v>4</v>
      </c>
      <c r="F2060" t="s">
        <v>46</v>
      </c>
      <c r="G2060" t="s">
        <v>7</v>
      </c>
    </row>
    <row r="2061" spans="1:7" x14ac:dyDescent="0.3">
      <c r="A2061" t="s">
        <v>35</v>
      </c>
      <c r="B2061" s="1">
        <v>45777</v>
      </c>
      <c r="C2061">
        <v>354014</v>
      </c>
      <c r="D2061">
        <v>2210379.841</v>
      </c>
      <c r="E2061" t="s">
        <v>4</v>
      </c>
      <c r="F2061" t="s">
        <v>46</v>
      </c>
      <c r="G2061" t="s">
        <v>7</v>
      </c>
    </row>
    <row r="2062" spans="1:7" x14ac:dyDescent="0.3">
      <c r="A2062" t="s">
        <v>35</v>
      </c>
      <c r="B2062" s="1">
        <v>45777</v>
      </c>
      <c r="C2062">
        <v>354015</v>
      </c>
      <c r="D2062">
        <v>374.69099999999997</v>
      </c>
      <c r="E2062" t="s">
        <v>4</v>
      </c>
      <c r="F2062" t="s">
        <v>46</v>
      </c>
      <c r="G2062" t="s">
        <v>7</v>
      </c>
    </row>
    <row r="2063" spans="1:7" x14ac:dyDescent="0.3">
      <c r="A2063" t="s">
        <v>35</v>
      </c>
      <c r="B2063" s="1">
        <v>45777</v>
      </c>
      <c r="C2063">
        <v>355002</v>
      </c>
      <c r="D2063">
        <v>33374.569000000003</v>
      </c>
      <c r="E2063" t="s">
        <v>4</v>
      </c>
      <c r="F2063" t="s">
        <v>49</v>
      </c>
      <c r="G2063" t="s">
        <v>7</v>
      </c>
    </row>
    <row r="2064" spans="1:7" x14ac:dyDescent="0.3">
      <c r="A2064" t="s">
        <v>35</v>
      </c>
      <c r="B2064" s="1">
        <v>45777</v>
      </c>
      <c r="C2064">
        <v>355014</v>
      </c>
      <c r="D2064">
        <v>32585.087</v>
      </c>
      <c r="E2064" t="s">
        <v>4</v>
      </c>
      <c r="F2064" t="s">
        <v>49</v>
      </c>
      <c r="G2064" t="s">
        <v>7</v>
      </c>
    </row>
    <row r="2065" spans="1:7" x14ac:dyDescent="0.3">
      <c r="A2065" t="s">
        <v>35</v>
      </c>
      <c r="B2065" s="1">
        <v>45777</v>
      </c>
      <c r="C2065">
        <v>360022</v>
      </c>
      <c r="D2065">
        <v>10542.851000000001</v>
      </c>
      <c r="E2065" t="s">
        <v>4</v>
      </c>
      <c r="F2065" t="s">
        <v>58</v>
      </c>
      <c r="G2065" t="s">
        <v>7</v>
      </c>
    </row>
    <row r="2066" spans="1:7" x14ac:dyDescent="0.3">
      <c r="A2066" t="s">
        <v>35</v>
      </c>
      <c r="B2066" s="1">
        <v>45777</v>
      </c>
      <c r="C2066">
        <v>360026</v>
      </c>
      <c r="D2066">
        <v>357479.65899999999</v>
      </c>
      <c r="E2066" t="s">
        <v>4</v>
      </c>
      <c r="F2066" t="s">
        <v>58</v>
      </c>
      <c r="G2066" t="s">
        <v>7</v>
      </c>
    </row>
    <row r="2067" spans="1:7" x14ac:dyDescent="0.3">
      <c r="A2067" t="s">
        <v>35</v>
      </c>
      <c r="B2067" s="1">
        <v>45777</v>
      </c>
      <c r="C2067">
        <v>360028</v>
      </c>
      <c r="D2067">
        <v>403744.55599999998</v>
      </c>
      <c r="E2067" t="s">
        <v>4</v>
      </c>
      <c r="F2067" t="s">
        <v>58</v>
      </c>
      <c r="G2067" t="s">
        <v>7</v>
      </c>
    </row>
    <row r="2068" spans="1:7" x14ac:dyDescent="0.3">
      <c r="A2068" t="s">
        <v>35</v>
      </c>
      <c r="B2068" s="1">
        <v>45777</v>
      </c>
      <c r="C2068">
        <v>360030</v>
      </c>
      <c r="D2068">
        <v>653237.51</v>
      </c>
      <c r="E2068" t="s">
        <v>4</v>
      </c>
      <c r="F2068" t="s">
        <v>58</v>
      </c>
      <c r="G2068" t="s">
        <v>7</v>
      </c>
    </row>
    <row r="2069" spans="1:7" x14ac:dyDescent="0.3">
      <c r="A2069" t="s">
        <v>35</v>
      </c>
      <c r="B2069" s="1">
        <v>45777</v>
      </c>
      <c r="C2069">
        <v>360032</v>
      </c>
      <c r="D2069">
        <v>308.53399999999999</v>
      </c>
      <c r="E2069" t="s">
        <v>4</v>
      </c>
      <c r="F2069" t="s">
        <v>58</v>
      </c>
      <c r="G2069" t="s">
        <v>7</v>
      </c>
    </row>
    <row r="2070" spans="1:7" x14ac:dyDescent="0.3">
      <c r="A2070" t="s">
        <v>35</v>
      </c>
      <c r="B2070" s="1">
        <v>45777</v>
      </c>
      <c r="C2070">
        <v>364502</v>
      </c>
      <c r="D2070">
        <v>420640.46600000001</v>
      </c>
      <c r="E2070" t="s">
        <v>4</v>
      </c>
      <c r="F2070" t="s">
        <v>58</v>
      </c>
      <c r="G2070" t="s">
        <v>7</v>
      </c>
    </row>
    <row r="2071" spans="1:7" x14ac:dyDescent="0.3">
      <c r="A2071" t="s">
        <v>35</v>
      </c>
      <c r="B2071" s="1">
        <v>45777</v>
      </c>
      <c r="C2071">
        <v>400004</v>
      </c>
      <c r="D2071">
        <v>-374.69099999999997</v>
      </c>
      <c r="E2071" t="s">
        <v>6</v>
      </c>
      <c r="F2071" t="s">
        <v>50</v>
      </c>
      <c r="G2071" t="s">
        <v>7</v>
      </c>
    </row>
    <row r="2072" spans="1:7" x14ac:dyDescent="0.3">
      <c r="A2072" t="s">
        <v>35</v>
      </c>
      <c r="B2072" s="1">
        <v>45777</v>
      </c>
      <c r="C2072">
        <v>410002</v>
      </c>
      <c r="D2072">
        <v>-46544.508999999998</v>
      </c>
      <c r="E2072" t="s">
        <v>6</v>
      </c>
      <c r="F2072" t="s">
        <v>51</v>
      </c>
      <c r="G2072" t="s">
        <v>7</v>
      </c>
    </row>
    <row r="2073" spans="1:7" x14ac:dyDescent="0.3">
      <c r="A2073" t="s">
        <v>35</v>
      </c>
      <c r="B2073" s="1">
        <v>45777</v>
      </c>
      <c r="C2073">
        <v>410006</v>
      </c>
      <c r="D2073">
        <v>-3182.8539999999998</v>
      </c>
      <c r="E2073" t="s">
        <v>6</v>
      </c>
      <c r="F2073" t="s">
        <v>51</v>
      </c>
      <c r="G2073" t="s">
        <v>7</v>
      </c>
    </row>
    <row r="2074" spans="1:7" x14ac:dyDescent="0.3">
      <c r="A2074" t="s">
        <v>35</v>
      </c>
      <c r="B2074" s="1">
        <v>45777</v>
      </c>
      <c r="C2074">
        <v>410009</v>
      </c>
      <c r="D2074">
        <v>-1489.3219999999999</v>
      </c>
      <c r="E2074" t="s">
        <v>6</v>
      </c>
      <c r="F2074" t="s">
        <v>51</v>
      </c>
      <c r="G2074" t="s">
        <v>7</v>
      </c>
    </row>
    <row r="2075" spans="1:7" x14ac:dyDescent="0.3">
      <c r="A2075" t="s">
        <v>35</v>
      </c>
      <c r="B2075" s="1">
        <v>45777</v>
      </c>
      <c r="C2075">
        <v>410015</v>
      </c>
      <c r="D2075">
        <v>-4947.3239999999996</v>
      </c>
      <c r="E2075" t="s">
        <v>6</v>
      </c>
      <c r="F2075" t="s">
        <v>51</v>
      </c>
      <c r="G2075" t="s">
        <v>7</v>
      </c>
    </row>
    <row r="2076" spans="1:7" x14ac:dyDescent="0.3">
      <c r="A2076" t="s">
        <v>35</v>
      </c>
      <c r="B2076" s="1">
        <v>45777</v>
      </c>
      <c r="C2076">
        <v>410032</v>
      </c>
      <c r="D2076">
        <v>-7919.35</v>
      </c>
      <c r="E2076" t="s">
        <v>6</v>
      </c>
      <c r="F2076" t="s">
        <v>51</v>
      </c>
      <c r="G2076" t="s">
        <v>7</v>
      </c>
    </row>
    <row r="2077" spans="1:7" x14ac:dyDescent="0.3">
      <c r="A2077" t="s">
        <v>35</v>
      </c>
      <c r="B2077" s="1">
        <v>45777</v>
      </c>
      <c r="C2077">
        <v>410039</v>
      </c>
      <c r="D2077">
        <v>-5038.9179999999997</v>
      </c>
      <c r="E2077" t="s">
        <v>6</v>
      </c>
      <c r="F2077" t="s">
        <v>51</v>
      </c>
      <c r="G2077" t="s">
        <v>7</v>
      </c>
    </row>
    <row r="2078" spans="1:7" x14ac:dyDescent="0.3">
      <c r="A2078" t="s">
        <v>35</v>
      </c>
      <c r="B2078" s="1">
        <v>45777</v>
      </c>
      <c r="C2078">
        <v>415002</v>
      </c>
      <c r="D2078">
        <v>-1356117.0319999999</v>
      </c>
      <c r="E2078" t="s">
        <v>6</v>
      </c>
      <c r="F2078" t="s">
        <v>50</v>
      </c>
      <c r="G2078" t="s">
        <v>7</v>
      </c>
    </row>
    <row r="2079" spans="1:7" x14ac:dyDescent="0.3">
      <c r="A2079" t="s">
        <v>35</v>
      </c>
      <c r="B2079" s="1">
        <v>45777</v>
      </c>
      <c r="C2079">
        <v>415004</v>
      </c>
      <c r="D2079">
        <v>-846586.78200000001</v>
      </c>
      <c r="E2079" t="s">
        <v>6</v>
      </c>
      <c r="F2079" t="s">
        <v>50</v>
      </c>
      <c r="G2079" t="s">
        <v>7</v>
      </c>
    </row>
    <row r="2080" spans="1:7" x14ac:dyDescent="0.3">
      <c r="A2080" t="s">
        <v>35</v>
      </c>
      <c r="B2080" s="1">
        <v>45777</v>
      </c>
      <c r="C2080">
        <v>421003</v>
      </c>
      <c r="D2080">
        <v>-11428.876</v>
      </c>
      <c r="E2080" t="s">
        <v>6</v>
      </c>
      <c r="F2080" t="s">
        <v>52</v>
      </c>
      <c r="G2080" t="s">
        <v>7</v>
      </c>
    </row>
    <row r="2081" spans="1:7" x14ac:dyDescent="0.3">
      <c r="A2081" t="s">
        <v>35</v>
      </c>
      <c r="B2081" s="1">
        <v>45777</v>
      </c>
      <c r="C2081">
        <v>421007</v>
      </c>
      <c r="D2081">
        <v>24.120999999999999</v>
      </c>
      <c r="E2081" t="s">
        <v>6</v>
      </c>
      <c r="F2081" t="s">
        <v>52</v>
      </c>
      <c r="G2081" t="s">
        <v>7</v>
      </c>
    </row>
    <row r="2082" spans="1:7" x14ac:dyDescent="0.3">
      <c r="A2082" t="s">
        <v>35</v>
      </c>
      <c r="B2082" s="1">
        <v>45777</v>
      </c>
      <c r="C2082">
        <v>510002</v>
      </c>
      <c r="D2082">
        <v>406211.76899999997</v>
      </c>
      <c r="E2082" t="s">
        <v>6</v>
      </c>
      <c r="F2082" t="s">
        <v>53</v>
      </c>
      <c r="G2082" t="s">
        <v>7</v>
      </c>
    </row>
    <row r="2083" spans="1:7" x14ac:dyDescent="0.3">
      <c r="A2083" t="s">
        <v>35</v>
      </c>
      <c r="B2083" s="1">
        <v>45777</v>
      </c>
      <c r="C2083">
        <v>510005</v>
      </c>
      <c r="D2083">
        <v>21370.678</v>
      </c>
      <c r="E2083" t="s">
        <v>6</v>
      </c>
      <c r="F2083" t="s">
        <v>53</v>
      </c>
      <c r="G2083" t="s">
        <v>7</v>
      </c>
    </row>
    <row r="2084" spans="1:7" x14ac:dyDescent="0.3">
      <c r="A2084" t="s">
        <v>35</v>
      </c>
      <c r="B2084" s="1">
        <v>45777</v>
      </c>
      <c r="C2084">
        <v>510007</v>
      </c>
      <c r="D2084">
        <v>33700.042000000001</v>
      </c>
      <c r="E2084" t="s">
        <v>6</v>
      </c>
      <c r="F2084" t="s">
        <v>53</v>
      </c>
      <c r="G2084" t="s">
        <v>7</v>
      </c>
    </row>
    <row r="2085" spans="1:7" x14ac:dyDescent="0.3">
      <c r="A2085" t="s">
        <v>35</v>
      </c>
      <c r="B2085" s="1">
        <v>45777</v>
      </c>
      <c r="C2085">
        <v>510008</v>
      </c>
      <c r="D2085">
        <v>81.293000000000006</v>
      </c>
      <c r="E2085" t="s">
        <v>6</v>
      </c>
      <c r="F2085" t="s">
        <v>53</v>
      </c>
      <c r="G2085" t="s">
        <v>7</v>
      </c>
    </row>
    <row r="2086" spans="1:7" x14ac:dyDescent="0.3">
      <c r="A2086" t="s">
        <v>35</v>
      </c>
      <c r="B2086" s="1">
        <v>45777</v>
      </c>
      <c r="C2086">
        <v>510010</v>
      </c>
      <c r="D2086">
        <v>4553.9560000000001</v>
      </c>
      <c r="E2086" t="s">
        <v>6</v>
      </c>
      <c r="F2086" t="s">
        <v>53</v>
      </c>
      <c r="G2086" t="s">
        <v>7</v>
      </c>
    </row>
    <row r="2087" spans="1:7" x14ac:dyDescent="0.3">
      <c r="A2087" t="s">
        <v>35</v>
      </c>
      <c r="B2087" s="1">
        <v>45777</v>
      </c>
      <c r="C2087">
        <v>510012</v>
      </c>
      <c r="D2087">
        <v>7167.4359999999997</v>
      </c>
      <c r="E2087" t="s">
        <v>6</v>
      </c>
      <c r="F2087" t="s">
        <v>53</v>
      </c>
      <c r="G2087" t="s">
        <v>7</v>
      </c>
    </row>
    <row r="2088" spans="1:7" x14ac:dyDescent="0.3">
      <c r="A2088" t="s">
        <v>35</v>
      </c>
      <c r="B2088" s="1">
        <v>45777</v>
      </c>
      <c r="C2088">
        <v>510015</v>
      </c>
      <c r="D2088">
        <v>32643.328000000001</v>
      </c>
      <c r="E2088" t="s">
        <v>6</v>
      </c>
      <c r="F2088" t="s">
        <v>53</v>
      </c>
      <c r="G2088" t="s">
        <v>7</v>
      </c>
    </row>
    <row r="2089" spans="1:7" x14ac:dyDescent="0.3">
      <c r="A2089" t="s">
        <v>35</v>
      </c>
      <c r="B2089" s="1">
        <v>45777</v>
      </c>
      <c r="C2089">
        <v>510018</v>
      </c>
      <c r="D2089">
        <v>34129.741000000002</v>
      </c>
      <c r="E2089" t="s">
        <v>6</v>
      </c>
      <c r="F2089" t="s">
        <v>53</v>
      </c>
      <c r="G2089" t="s">
        <v>7</v>
      </c>
    </row>
    <row r="2090" spans="1:7" x14ac:dyDescent="0.3">
      <c r="A2090" t="s">
        <v>35</v>
      </c>
      <c r="B2090" s="1">
        <v>45777</v>
      </c>
      <c r="C2090">
        <v>510048</v>
      </c>
      <c r="D2090">
        <v>37.094000000000001</v>
      </c>
      <c r="E2090" t="s">
        <v>6</v>
      </c>
      <c r="F2090" t="s">
        <v>61</v>
      </c>
      <c r="G2090" t="s">
        <v>7</v>
      </c>
    </row>
    <row r="2091" spans="1:7" x14ac:dyDescent="0.3">
      <c r="A2091" t="s">
        <v>35</v>
      </c>
      <c r="B2091" s="1">
        <v>45777</v>
      </c>
      <c r="C2091">
        <v>510059</v>
      </c>
      <c r="D2091">
        <v>4844.5320000000002</v>
      </c>
      <c r="E2091" t="s">
        <v>6</v>
      </c>
      <c r="F2091" t="s">
        <v>53</v>
      </c>
      <c r="G2091" t="s">
        <v>7</v>
      </c>
    </row>
    <row r="2092" spans="1:7" x14ac:dyDescent="0.3">
      <c r="A2092" t="s">
        <v>35</v>
      </c>
      <c r="B2092" s="1">
        <v>45777</v>
      </c>
      <c r="C2092">
        <v>510062</v>
      </c>
      <c r="D2092">
        <v>6476.6049999999996</v>
      </c>
      <c r="E2092" t="s">
        <v>6</v>
      </c>
      <c r="F2092" t="s">
        <v>53</v>
      </c>
      <c r="G2092" t="s">
        <v>7</v>
      </c>
    </row>
    <row r="2093" spans="1:7" x14ac:dyDescent="0.3">
      <c r="A2093" t="s">
        <v>35</v>
      </c>
      <c r="B2093" s="1">
        <v>45777</v>
      </c>
      <c r="C2093">
        <v>510065</v>
      </c>
      <c r="D2093">
        <v>9778.1489999999994</v>
      </c>
      <c r="E2093" t="s">
        <v>6</v>
      </c>
      <c r="F2093" t="s">
        <v>53</v>
      </c>
      <c r="G2093" t="s">
        <v>7</v>
      </c>
    </row>
    <row r="2094" spans="1:7" x14ac:dyDescent="0.3">
      <c r="A2094" t="s">
        <v>35</v>
      </c>
      <c r="B2094" s="1">
        <v>45777</v>
      </c>
      <c r="C2094">
        <v>520020</v>
      </c>
      <c r="D2094">
        <v>-2341.8180000000002</v>
      </c>
      <c r="E2094" t="s">
        <v>6</v>
      </c>
      <c r="F2094" t="s">
        <v>53</v>
      </c>
      <c r="G2094" t="s">
        <v>7</v>
      </c>
    </row>
    <row r="2095" spans="1:7" x14ac:dyDescent="0.3">
      <c r="A2095" t="s">
        <v>35</v>
      </c>
      <c r="B2095" s="1">
        <v>45777</v>
      </c>
      <c r="C2095">
        <v>520021</v>
      </c>
      <c r="D2095">
        <v>928.76700000000005</v>
      </c>
      <c r="E2095" t="s">
        <v>6</v>
      </c>
      <c r="F2095" t="s">
        <v>60</v>
      </c>
      <c r="G2095" t="s">
        <v>7</v>
      </c>
    </row>
    <row r="2096" spans="1:7" x14ac:dyDescent="0.3">
      <c r="A2096" t="s">
        <v>35</v>
      </c>
      <c r="B2096" s="1">
        <v>45777</v>
      </c>
      <c r="C2096">
        <v>540004</v>
      </c>
      <c r="D2096">
        <v>216.291</v>
      </c>
      <c r="E2096" t="s">
        <v>6</v>
      </c>
      <c r="F2096" t="s">
        <v>67</v>
      </c>
      <c r="G2096" t="s">
        <v>7</v>
      </c>
    </row>
    <row r="2097" spans="1:7" x14ac:dyDescent="0.3">
      <c r="A2097" t="s">
        <v>35</v>
      </c>
      <c r="B2097" s="1">
        <v>45777</v>
      </c>
      <c r="C2097">
        <v>541002</v>
      </c>
      <c r="D2097">
        <v>-4.1950000000000003</v>
      </c>
      <c r="E2097" t="s">
        <v>6</v>
      </c>
      <c r="F2097" t="s">
        <v>61</v>
      </c>
      <c r="G2097" t="s">
        <v>7</v>
      </c>
    </row>
    <row r="2098" spans="1:7" x14ac:dyDescent="0.3">
      <c r="A2098" t="s">
        <v>35</v>
      </c>
      <c r="B2098" s="1">
        <v>45777</v>
      </c>
      <c r="C2098">
        <v>541004</v>
      </c>
      <c r="D2098">
        <v>9333.3070000000007</v>
      </c>
      <c r="E2098" t="s">
        <v>6</v>
      </c>
      <c r="F2098" t="s">
        <v>61</v>
      </c>
      <c r="G2098" t="s">
        <v>7</v>
      </c>
    </row>
    <row r="2099" spans="1:7" x14ac:dyDescent="0.3">
      <c r="A2099" t="s">
        <v>35</v>
      </c>
      <c r="B2099" s="1">
        <v>45777</v>
      </c>
      <c r="C2099">
        <v>541009</v>
      </c>
      <c r="D2099">
        <v>1668.4849999999999</v>
      </c>
      <c r="E2099" t="s">
        <v>6</v>
      </c>
      <c r="F2099" t="s">
        <v>61</v>
      </c>
      <c r="G2099" t="s">
        <v>7</v>
      </c>
    </row>
    <row r="2100" spans="1:7" x14ac:dyDescent="0.3">
      <c r="A2100" t="s">
        <v>35</v>
      </c>
      <c r="B2100" s="1">
        <v>45777</v>
      </c>
      <c r="C2100">
        <v>541010</v>
      </c>
      <c r="D2100">
        <v>5308.5219999999999</v>
      </c>
      <c r="E2100" t="s">
        <v>6</v>
      </c>
      <c r="F2100" t="s">
        <v>61</v>
      </c>
      <c r="G2100" t="s">
        <v>7</v>
      </c>
    </row>
    <row r="2101" spans="1:7" x14ac:dyDescent="0.3">
      <c r="A2101" t="s">
        <v>35</v>
      </c>
      <c r="B2101" s="1">
        <v>45777</v>
      </c>
      <c r="C2101">
        <v>541013</v>
      </c>
      <c r="D2101">
        <v>588.41099999999994</v>
      </c>
      <c r="E2101" t="s">
        <v>6</v>
      </c>
      <c r="F2101" t="s">
        <v>61</v>
      </c>
      <c r="G2101" t="s">
        <v>7</v>
      </c>
    </row>
    <row r="2102" spans="1:7" x14ac:dyDescent="0.3">
      <c r="A2102" t="s">
        <v>35</v>
      </c>
      <c r="B2102" s="1">
        <v>45777</v>
      </c>
      <c r="C2102">
        <v>541021</v>
      </c>
      <c r="D2102">
        <v>-238.16300000000001</v>
      </c>
      <c r="E2102" t="s">
        <v>6</v>
      </c>
      <c r="F2102" t="s">
        <v>61</v>
      </c>
      <c r="G2102" t="s">
        <v>7</v>
      </c>
    </row>
    <row r="2103" spans="1:7" x14ac:dyDescent="0.3">
      <c r="A2103" t="s">
        <v>35</v>
      </c>
      <c r="B2103" s="1">
        <v>45777</v>
      </c>
      <c r="C2103">
        <v>544006</v>
      </c>
      <c r="D2103">
        <v>-1096.8979999999999</v>
      </c>
      <c r="E2103" t="s">
        <v>6</v>
      </c>
      <c r="F2103" t="s">
        <v>61</v>
      </c>
      <c r="G2103" t="s">
        <v>7</v>
      </c>
    </row>
    <row r="2104" spans="1:7" x14ac:dyDescent="0.3">
      <c r="A2104" t="s">
        <v>35</v>
      </c>
      <c r="B2104" s="1">
        <v>45777</v>
      </c>
      <c r="C2104">
        <v>546002</v>
      </c>
      <c r="D2104">
        <v>804613.41299999994</v>
      </c>
      <c r="E2104" t="s">
        <v>6</v>
      </c>
      <c r="F2104" t="s">
        <v>51</v>
      </c>
      <c r="G2104" t="s">
        <v>7</v>
      </c>
    </row>
    <row r="2105" spans="1:7" x14ac:dyDescent="0.3">
      <c r="A2105" t="s">
        <v>35</v>
      </c>
      <c r="B2105" s="1">
        <v>45777</v>
      </c>
      <c r="C2105">
        <v>546005</v>
      </c>
      <c r="D2105">
        <v>1752.277</v>
      </c>
      <c r="E2105" t="s">
        <v>6</v>
      </c>
      <c r="F2105" t="s">
        <v>51</v>
      </c>
      <c r="G2105" t="s">
        <v>7</v>
      </c>
    </row>
    <row r="2106" spans="1:7" x14ac:dyDescent="0.3">
      <c r="A2106" t="s">
        <v>35</v>
      </c>
      <c r="B2106" s="1">
        <v>45777</v>
      </c>
      <c r="C2106">
        <v>546008</v>
      </c>
      <c r="D2106">
        <v>10071.541999999999</v>
      </c>
      <c r="E2106" t="s">
        <v>6</v>
      </c>
      <c r="F2106" t="s">
        <v>51</v>
      </c>
      <c r="G2106" t="s">
        <v>7</v>
      </c>
    </row>
    <row r="2107" spans="1:7" x14ac:dyDescent="0.3">
      <c r="A2107" t="s">
        <v>35</v>
      </c>
      <c r="B2107" s="1">
        <v>45777</v>
      </c>
      <c r="C2107">
        <v>546012</v>
      </c>
      <c r="D2107">
        <v>679.76199999999994</v>
      </c>
      <c r="E2107" t="s">
        <v>6</v>
      </c>
      <c r="F2107" t="s">
        <v>51</v>
      </c>
      <c r="G2107" t="s">
        <v>7</v>
      </c>
    </row>
    <row r="2108" spans="1:7" x14ac:dyDescent="0.3">
      <c r="A2108" t="s">
        <v>35</v>
      </c>
      <c r="B2108" s="1">
        <v>45777</v>
      </c>
      <c r="C2108">
        <v>546013</v>
      </c>
      <c r="D2108">
        <v>121379.69899999999</v>
      </c>
      <c r="E2108" t="s">
        <v>6</v>
      </c>
      <c r="F2108" t="s">
        <v>51</v>
      </c>
      <c r="G2108" t="s">
        <v>7</v>
      </c>
    </row>
    <row r="2109" spans="1:7" x14ac:dyDescent="0.3">
      <c r="A2109" t="s">
        <v>35</v>
      </c>
      <c r="B2109" s="1">
        <v>45777</v>
      </c>
      <c r="C2109">
        <v>546015</v>
      </c>
      <c r="D2109">
        <v>6041.0230000000001</v>
      </c>
      <c r="E2109" t="s">
        <v>6</v>
      </c>
      <c r="F2109" t="s">
        <v>51</v>
      </c>
      <c r="G2109" t="s">
        <v>7</v>
      </c>
    </row>
    <row r="2110" spans="1:7" x14ac:dyDescent="0.3">
      <c r="A2110" t="s">
        <v>35</v>
      </c>
      <c r="B2110" s="1">
        <v>45777</v>
      </c>
      <c r="C2110">
        <v>546016</v>
      </c>
      <c r="D2110">
        <v>11093.493</v>
      </c>
      <c r="E2110" t="s">
        <v>6</v>
      </c>
      <c r="F2110" t="s">
        <v>51</v>
      </c>
      <c r="G2110" t="s">
        <v>7</v>
      </c>
    </row>
    <row r="2111" spans="1:7" x14ac:dyDescent="0.3">
      <c r="A2111" t="s">
        <v>35</v>
      </c>
      <c r="B2111" s="1">
        <v>45777</v>
      </c>
      <c r="C2111">
        <v>546018</v>
      </c>
      <c r="D2111">
        <v>1670.913</v>
      </c>
      <c r="E2111" t="s">
        <v>6</v>
      </c>
      <c r="F2111" t="s">
        <v>51</v>
      </c>
      <c r="G2111" t="s">
        <v>7</v>
      </c>
    </row>
    <row r="2112" spans="1:7" x14ac:dyDescent="0.3">
      <c r="A2112" t="s">
        <v>35</v>
      </c>
      <c r="B2112" s="1">
        <v>45777</v>
      </c>
      <c r="C2112">
        <v>546024</v>
      </c>
      <c r="D2112">
        <v>780.50900000000001</v>
      </c>
      <c r="E2112" t="s">
        <v>6</v>
      </c>
      <c r="F2112" t="s">
        <v>51</v>
      </c>
      <c r="G2112" t="s">
        <v>7</v>
      </c>
    </row>
    <row r="2113" spans="1:7" x14ac:dyDescent="0.3">
      <c r="A2113" t="s">
        <v>35</v>
      </c>
      <c r="B2113" s="1">
        <v>45777</v>
      </c>
      <c r="C2113">
        <v>546035</v>
      </c>
      <c r="D2113">
        <v>4049.8339999999998</v>
      </c>
      <c r="E2113" t="s">
        <v>6</v>
      </c>
      <c r="F2113" t="s">
        <v>51</v>
      </c>
      <c r="G2113" t="s">
        <v>7</v>
      </c>
    </row>
    <row r="2114" spans="1:7" x14ac:dyDescent="0.3">
      <c r="A2114" t="s">
        <v>35</v>
      </c>
      <c r="B2114" s="1">
        <v>45777</v>
      </c>
      <c r="C2114">
        <v>546045</v>
      </c>
      <c r="D2114">
        <v>4826.0330000000004</v>
      </c>
      <c r="E2114" t="s">
        <v>6</v>
      </c>
      <c r="F2114" t="s">
        <v>51</v>
      </c>
      <c r="G2114" t="s">
        <v>7</v>
      </c>
    </row>
    <row r="2115" spans="1:7" x14ac:dyDescent="0.3">
      <c r="A2115" t="s">
        <v>35</v>
      </c>
      <c r="B2115" s="1">
        <v>45777</v>
      </c>
      <c r="C2115">
        <v>546047</v>
      </c>
      <c r="D2115">
        <v>762.90700000000004</v>
      </c>
      <c r="E2115" t="s">
        <v>6</v>
      </c>
      <c r="F2115" t="s">
        <v>51</v>
      </c>
      <c r="G2115" t="s">
        <v>7</v>
      </c>
    </row>
    <row r="2116" spans="1:7" x14ac:dyDescent="0.3">
      <c r="A2116" t="s">
        <v>35</v>
      </c>
      <c r="B2116" s="1">
        <v>45777</v>
      </c>
      <c r="C2116">
        <v>547002</v>
      </c>
      <c r="D2116">
        <v>1456.0409999999999</v>
      </c>
      <c r="E2116" t="s">
        <v>6</v>
      </c>
      <c r="F2116" t="s">
        <v>54</v>
      </c>
      <c r="G2116" t="s">
        <v>7</v>
      </c>
    </row>
    <row r="2117" spans="1:7" x14ac:dyDescent="0.3">
      <c r="A2117" t="s">
        <v>35</v>
      </c>
      <c r="B2117" s="1">
        <v>45777</v>
      </c>
      <c r="C2117">
        <v>547006</v>
      </c>
      <c r="D2117">
        <v>1214.502</v>
      </c>
      <c r="E2117" t="s">
        <v>6</v>
      </c>
      <c r="F2117" t="s">
        <v>54</v>
      </c>
      <c r="G2117" t="s">
        <v>7</v>
      </c>
    </row>
    <row r="2118" spans="1:7" x14ac:dyDescent="0.3">
      <c r="A2118" t="s">
        <v>35</v>
      </c>
      <c r="B2118" s="1">
        <v>45777</v>
      </c>
      <c r="C2118">
        <v>550003</v>
      </c>
      <c r="D2118">
        <v>536937.08700000006</v>
      </c>
      <c r="E2118" t="s">
        <v>6</v>
      </c>
      <c r="F2118" t="s">
        <v>62</v>
      </c>
      <c r="G2118" t="s">
        <v>7</v>
      </c>
    </row>
    <row r="2119" spans="1:7" x14ac:dyDescent="0.3">
      <c r="A2119" t="s">
        <v>35</v>
      </c>
      <c r="B2119" s="1">
        <v>45777</v>
      </c>
      <c r="C2119">
        <v>551002</v>
      </c>
      <c r="D2119">
        <v>779.32600000000002</v>
      </c>
      <c r="E2119" t="s">
        <v>6</v>
      </c>
      <c r="F2119" t="s">
        <v>63</v>
      </c>
      <c r="G2119" t="s">
        <v>7</v>
      </c>
    </row>
    <row r="2120" spans="1:7" x14ac:dyDescent="0.3">
      <c r="A2120" t="s">
        <v>35</v>
      </c>
      <c r="B2120" s="1">
        <v>45777</v>
      </c>
      <c r="C2120">
        <v>551003</v>
      </c>
      <c r="D2120">
        <v>22298.786</v>
      </c>
      <c r="E2120" t="s">
        <v>6</v>
      </c>
      <c r="F2120" t="s">
        <v>63</v>
      </c>
      <c r="G2120" t="s">
        <v>7</v>
      </c>
    </row>
    <row r="2121" spans="1:7" x14ac:dyDescent="0.3">
      <c r="A2121" t="s">
        <v>35</v>
      </c>
      <c r="B2121" s="1">
        <v>45777</v>
      </c>
      <c r="C2121">
        <v>551011</v>
      </c>
      <c r="D2121">
        <v>5.3999999999999999E-2</v>
      </c>
      <c r="E2121" t="s">
        <v>6</v>
      </c>
      <c r="F2121" t="s">
        <v>61</v>
      </c>
      <c r="G2121" t="s">
        <v>7</v>
      </c>
    </row>
    <row r="2122" spans="1:7" x14ac:dyDescent="0.3">
      <c r="A2122" t="s">
        <v>35</v>
      </c>
      <c r="B2122" s="1">
        <v>45777</v>
      </c>
      <c r="C2122">
        <v>552002</v>
      </c>
      <c r="D2122">
        <v>585.45399999999995</v>
      </c>
      <c r="E2122" t="s">
        <v>6</v>
      </c>
      <c r="F2122" t="s">
        <v>55</v>
      </c>
      <c r="G2122" t="s">
        <v>7</v>
      </c>
    </row>
    <row r="2123" spans="1:7" x14ac:dyDescent="0.3">
      <c r="A2123" t="s">
        <v>35</v>
      </c>
      <c r="B2123" s="1">
        <v>45777</v>
      </c>
      <c r="C2123">
        <v>552502</v>
      </c>
      <c r="D2123">
        <v>2577.5169999999998</v>
      </c>
      <c r="E2123" t="s">
        <v>6</v>
      </c>
      <c r="F2123" t="s">
        <v>55</v>
      </c>
      <c r="G2123" t="s">
        <v>7</v>
      </c>
    </row>
    <row r="2124" spans="1:7" x14ac:dyDescent="0.3">
      <c r="A2124" t="s">
        <v>35</v>
      </c>
      <c r="B2124" s="1">
        <v>45777</v>
      </c>
      <c r="C2124">
        <v>552504</v>
      </c>
      <c r="D2124">
        <v>92.658000000000001</v>
      </c>
      <c r="E2124" t="s">
        <v>6</v>
      </c>
      <c r="F2124" t="s">
        <v>55</v>
      </c>
      <c r="G2124" t="s">
        <v>7</v>
      </c>
    </row>
    <row r="2125" spans="1:7" x14ac:dyDescent="0.3">
      <c r="A2125" t="s">
        <v>35</v>
      </c>
      <c r="B2125" s="1">
        <v>45777</v>
      </c>
      <c r="C2125">
        <v>554006</v>
      </c>
      <c r="D2125">
        <v>178.78700000000001</v>
      </c>
      <c r="E2125" t="s">
        <v>6</v>
      </c>
      <c r="F2125" t="s">
        <v>55</v>
      </c>
      <c r="G2125" t="s">
        <v>7</v>
      </c>
    </row>
    <row r="2126" spans="1:7" x14ac:dyDescent="0.3">
      <c r="A2126" t="s">
        <v>35</v>
      </c>
      <c r="B2126" s="1">
        <v>45777</v>
      </c>
      <c r="C2126">
        <v>555502</v>
      </c>
      <c r="D2126">
        <v>4325.6170000000002</v>
      </c>
      <c r="E2126" t="s">
        <v>6</v>
      </c>
      <c r="F2126" t="s">
        <v>55</v>
      </c>
      <c r="G2126" t="s">
        <v>7</v>
      </c>
    </row>
    <row r="2127" spans="1:7" x14ac:dyDescent="0.3">
      <c r="A2127" t="s">
        <v>35</v>
      </c>
      <c r="B2127" s="1">
        <v>45777</v>
      </c>
      <c r="C2127">
        <v>555508</v>
      </c>
      <c r="D2127">
        <v>853.21500000000003</v>
      </c>
      <c r="E2127" t="s">
        <v>6</v>
      </c>
      <c r="F2127" t="s">
        <v>55</v>
      </c>
      <c r="G2127" t="s">
        <v>7</v>
      </c>
    </row>
    <row r="2128" spans="1:7" x14ac:dyDescent="0.3">
      <c r="A2128" t="s">
        <v>35</v>
      </c>
      <c r="B2128" s="1">
        <v>45777</v>
      </c>
      <c r="C2128">
        <v>556002</v>
      </c>
      <c r="D2128">
        <v>1024.7619999999999</v>
      </c>
      <c r="E2128" t="s">
        <v>6</v>
      </c>
      <c r="F2128" t="s">
        <v>60</v>
      </c>
      <c r="G2128" t="s">
        <v>7</v>
      </c>
    </row>
    <row r="2129" spans="1:7" x14ac:dyDescent="0.3">
      <c r="A2129" t="s">
        <v>35</v>
      </c>
      <c r="B2129" s="1">
        <v>45777</v>
      </c>
      <c r="C2129">
        <v>557002</v>
      </c>
      <c r="D2129">
        <v>2382.587</v>
      </c>
      <c r="E2129" t="s">
        <v>6</v>
      </c>
      <c r="F2129" t="s">
        <v>56</v>
      </c>
      <c r="G2129" t="s">
        <v>7</v>
      </c>
    </row>
    <row r="2130" spans="1:7" x14ac:dyDescent="0.3">
      <c r="A2130" t="s">
        <v>35</v>
      </c>
      <c r="B2130" s="1">
        <v>45777</v>
      </c>
      <c r="C2130">
        <v>557003</v>
      </c>
      <c r="D2130">
        <v>240.446</v>
      </c>
      <c r="E2130" t="s">
        <v>6</v>
      </c>
      <c r="F2130" t="s">
        <v>56</v>
      </c>
      <c r="G2130" t="s">
        <v>7</v>
      </c>
    </row>
    <row r="2131" spans="1:7" x14ac:dyDescent="0.3">
      <c r="A2131" t="s">
        <v>35</v>
      </c>
      <c r="B2131" s="1">
        <v>45777</v>
      </c>
      <c r="C2131">
        <v>558003</v>
      </c>
      <c r="D2131">
        <v>8633.1450000000004</v>
      </c>
      <c r="E2131" t="s">
        <v>6</v>
      </c>
      <c r="F2131" t="s">
        <v>57</v>
      </c>
      <c r="G2131" t="s">
        <v>7</v>
      </c>
    </row>
    <row r="2132" spans="1:7" x14ac:dyDescent="0.3">
      <c r="A2132" t="s">
        <v>35</v>
      </c>
      <c r="B2132" s="1">
        <v>45777</v>
      </c>
      <c r="C2132">
        <v>558006</v>
      </c>
      <c r="D2132">
        <v>7916.625</v>
      </c>
      <c r="E2132" t="s">
        <v>6</v>
      </c>
      <c r="F2132" t="s">
        <v>57</v>
      </c>
      <c r="G2132" t="s">
        <v>7</v>
      </c>
    </row>
    <row r="2133" spans="1:7" x14ac:dyDescent="0.3">
      <c r="A2133" t="s">
        <v>35</v>
      </c>
      <c r="B2133" s="1">
        <v>45777</v>
      </c>
      <c r="C2133">
        <v>558011</v>
      </c>
      <c r="D2133">
        <v>564.96299999999997</v>
      </c>
      <c r="E2133" t="s">
        <v>6</v>
      </c>
      <c r="F2133" t="s">
        <v>57</v>
      </c>
      <c r="G2133" t="s">
        <v>7</v>
      </c>
    </row>
    <row r="2134" spans="1:7" x14ac:dyDescent="0.3">
      <c r="A2134" t="s">
        <v>35</v>
      </c>
      <c r="B2134" s="1">
        <v>45777</v>
      </c>
      <c r="C2134">
        <v>558012</v>
      </c>
      <c r="D2134">
        <v>711.15099999999995</v>
      </c>
      <c r="E2134" t="s">
        <v>6</v>
      </c>
      <c r="F2134" t="s">
        <v>60</v>
      </c>
      <c r="G2134" t="s">
        <v>7</v>
      </c>
    </row>
    <row r="2135" spans="1:7" x14ac:dyDescent="0.3">
      <c r="A2135" t="s">
        <v>35</v>
      </c>
      <c r="B2135" s="1">
        <v>45777</v>
      </c>
      <c r="C2135">
        <v>559002</v>
      </c>
      <c r="D2135">
        <v>3.5950000000000002</v>
      </c>
      <c r="E2135" t="s">
        <v>6</v>
      </c>
      <c r="F2135" t="s">
        <v>60</v>
      </c>
      <c r="G2135" t="s">
        <v>7</v>
      </c>
    </row>
    <row r="2136" spans="1:7" x14ac:dyDescent="0.3">
      <c r="A2136" t="s">
        <v>35</v>
      </c>
      <c r="B2136" s="1">
        <v>45777</v>
      </c>
      <c r="C2136">
        <v>564006</v>
      </c>
      <c r="D2136">
        <v>-1.9E-2</v>
      </c>
      <c r="E2136" t="s">
        <v>6</v>
      </c>
      <c r="F2136" t="s">
        <v>57</v>
      </c>
      <c r="G2136" t="s">
        <v>7</v>
      </c>
    </row>
    <row r="2137" spans="1:7" x14ac:dyDescent="0.3">
      <c r="A2137" t="s">
        <v>35</v>
      </c>
      <c r="B2137" s="1">
        <v>45777</v>
      </c>
      <c r="C2137">
        <v>564020</v>
      </c>
      <c r="D2137">
        <v>126.09</v>
      </c>
      <c r="E2137" t="s">
        <v>6</v>
      </c>
      <c r="F2137" t="s">
        <v>57</v>
      </c>
      <c r="G2137" t="s">
        <v>7</v>
      </c>
    </row>
    <row r="2138" spans="1:7" x14ac:dyDescent="0.3">
      <c r="A2138" t="s">
        <v>35</v>
      </c>
      <c r="B2138" s="1">
        <v>45777</v>
      </c>
      <c r="C2138">
        <v>564022</v>
      </c>
      <c r="D2138">
        <v>50.006</v>
      </c>
      <c r="E2138" t="s">
        <v>6</v>
      </c>
      <c r="F2138" t="s">
        <v>67</v>
      </c>
      <c r="G2138" t="s">
        <v>7</v>
      </c>
    </row>
    <row r="2139" spans="1:7" x14ac:dyDescent="0.3">
      <c r="A2139" t="s">
        <v>35</v>
      </c>
      <c r="B2139" s="1">
        <v>45777</v>
      </c>
      <c r="C2139">
        <v>570002</v>
      </c>
      <c r="D2139">
        <v>372.82400000000001</v>
      </c>
      <c r="E2139" t="s">
        <v>6</v>
      </c>
      <c r="F2139" t="s">
        <v>66</v>
      </c>
      <c r="G2139" t="s">
        <v>7</v>
      </c>
    </row>
    <row r="2140" spans="1:7" x14ac:dyDescent="0.3">
      <c r="A2140" t="s">
        <v>35</v>
      </c>
      <c r="B2140" s="1">
        <v>45777</v>
      </c>
      <c r="C2140">
        <v>580005</v>
      </c>
      <c r="D2140">
        <v>3558.6260000000002</v>
      </c>
      <c r="E2140" t="s">
        <v>6</v>
      </c>
      <c r="F2140" t="s">
        <v>64</v>
      </c>
      <c r="G2140" t="s">
        <v>7</v>
      </c>
    </row>
    <row r="2141" spans="1:7" x14ac:dyDescent="0.3">
      <c r="A2141" t="s">
        <v>36</v>
      </c>
      <c r="B2141" s="1">
        <v>45777</v>
      </c>
      <c r="C2141">
        <v>210002</v>
      </c>
      <c r="D2141">
        <v>-944043.30599999998</v>
      </c>
      <c r="E2141" t="s">
        <v>4</v>
      </c>
      <c r="F2141" t="s">
        <v>42</v>
      </c>
      <c r="G2141" t="s">
        <v>7</v>
      </c>
    </row>
    <row r="2142" spans="1:7" x14ac:dyDescent="0.3">
      <c r="A2142" t="s">
        <v>36</v>
      </c>
      <c r="B2142" s="1">
        <v>45777</v>
      </c>
      <c r="C2142">
        <v>220006</v>
      </c>
      <c r="D2142">
        <v>1642347.8570000001</v>
      </c>
      <c r="E2142" t="s">
        <v>4</v>
      </c>
      <c r="F2142" t="s">
        <v>42</v>
      </c>
      <c r="G2142" t="s">
        <v>7</v>
      </c>
    </row>
    <row r="2143" spans="1:7" x14ac:dyDescent="0.3">
      <c r="A2143" t="s">
        <v>36</v>
      </c>
      <c r="B2143" s="1">
        <v>45777</v>
      </c>
      <c r="C2143">
        <v>300005</v>
      </c>
      <c r="D2143">
        <v>5207.8289999999997</v>
      </c>
      <c r="E2143" t="s">
        <v>4</v>
      </c>
      <c r="F2143" t="s">
        <v>65</v>
      </c>
      <c r="G2143" t="s">
        <v>7</v>
      </c>
    </row>
    <row r="2144" spans="1:7" x14ac:dyDescent="0.3">
      <c r="A2144" t="s">
        <v>36</v>
      </c>
      <c r="B2144" s="1">
        <v>45777</v>
      </c>
      <c r="C2144">
        <v>300008</v>
      </c>
      <c r="D2144">
        <v>11124.748</v>
      </c>
      <c r="E2144" t="s">
        <v>4</v>
      </c>
      <c r="F2144" t="s">
        <v>65</v>
      </c>
      <c r="G2144" t="s">
        <v>7</v>
      </c>
    </row>
    <row r="2145" spans="1:7" x14ac:dyDescent="0.3">
      <c r="A2145" t="s">
        <v>36</v>
      </c>
      <c r="B2145" s="1">
        <v>45777</v>
      </c>
      <c r="C2145">
        <v>300505</v>
      </c>
      <c r="D2145">
        <v>-5207.8289999999997</v>
      </c>
      <c r="E2145" t="s">
        <v>4</v>
      </c>
      <c r="F2145" t="s">
        <v>65</v>
      </c>
      <c r="G2145" t="s">
        <v>7</v>
      </c>
    </row>
    <row r="2146" spans="1:7" x14ac:dyDescent="0.3">
      <c r="A2146" t="s">
        <v>36</v>
      </c>
      <c r="B2146" s="1">
        <v>45777</v>
      </c>
      <c r="C2146">
        <v>300508</v>
      </c>
      <c r="D2146">
        <v>-11124.748</v>
      </c>
      <c r="E2146" t="s">
        <v>4</v>
      </c>
      <c r="F2146" t="s">
        <v>65</v>
      </c>
      <c r="G2146" t="s">
        <v>7</v>
      </c>
    </row>
    <row r="2147" spans="1:7" x14ac:dyDescent="0.3">
      <c r="A2147" t="s">
        <v>36</v>
      </c>
      <c r="B2147" s="1">
        <v>45777</v>
      </c>
      <c r="C2147">
        <v>301002</v>
      </c>
      <c r="D2147">
        <v>438031.22600000002</v>
      </c>
      <c r="E2147" t="s">
        <v>4</v>
      </c>
      <c r="F2147" t="s">
        <v>68</v>
      </c>
      <c r="G2147" t="s">
        <v>7</v>
      </c>
    </row>
    <row r="2148" spans="1:7" x14ac:dyDescent="0.3">
      <c r="A2148" t="s">
        <v>36</v>
      </c>
      <c r="B2148" s="1">
        <v>45777</v>
      </c>
      <c r="C2148">
        <v>301502</v>
      </c>
      <c r="D2148">
        <v>-354088.89500000002</v>
      </c>
      <c r="E2148" t="s">
        <v>4</v>
      </c>
      <c r="F2148" t="s">
        <v>68</v>
      </c>
      <c r="G2148" t="s">
        <v>7</v>
      </c>
    </row>
    <row r="2149" spans="1:7" x14ac:dyDescent="0.3">
      <c r="A2149" t="s">
        <v>36</v>
      </c>
      <c r="B2149" s="1">
        <v>45777</v>
      </c>
      <c r="C2149">
        <v>330123</v>
      </c>
      <c r="D2149">
        <v>-876594.15099999995</v>
      </c>
      <c r="E2149" t="s">
        <v>4</v>
      </c>
      <c r="F2149" t="s">
        <v>43</v>
      </c>
      <c r="G2149" t="s">
        <v>7</v>
      </c>
    </row>
    <row r="2150" spans="1:7" x14ac:dyDescent="0.3">
      <c r="A2150" t="s">
        <v>36</v>
      </c>
      <c r="B2150" s="1">
        <v>45777</v>
      </c>
      <c r="C2150">
        <v>340258</v>
      </c>
      <c r="D2150">
        <v>171.947</v>
      </c>
      <c r="E2150" t="s">
        <v>4</v>
      </c>
      <c r="F2150" t="s">
        <v>47</v>
      </c>
      <c r="G2150" t="s">
        <v>7</v>
      </c>
    </row>
    <row r="2151" spans="1:7" x14ac:dyDescent="0.3">
      <c r="A2151" t="s">
        <v>36</v>
      </c>
      <c r="B2151" s="1">
        <v>45777</v>
      </c>
      <c r="C2151">
        <v>364502</v>
      </c>
      <c r="D2151">
        <v>90572.595000000001</v>
      </c>
      <c r="E2151" t="s">
        <v>4</v>
      </c>
      <c r="F2151" t="s">
        <v>58</v>
      </c>
      <c r="G2151" t="s">
        <v>7</v>
      </c>
    </row>
    <row r="2152" spans="1:7" x14ac:dyDescent="0.3">
      <c r="A2152" t="s">
        <v>36</v>
      </c>
      <c r="B2152" s="1">
        <v>45777</v>
      </c>
      <c r="C2152">
        <v>570003</v>
      </c>
      <c r="D2152">
        <v>3602.6750000000002</v>
      </c>
      <c r="E2152" t="s">
        <v>6</v>
      </c>
      <c r="F2152" t="s">
        <v>66</v>
      </c>
      <c r="G2152" t="s">
        <v>7</v>
      </c>
    </row>
    <row r="2153" spans="1:7" x14ac:dyDescent="0.3">
      <c r="A2153" t="s">
        <v>37</v>
      </c>
      <c r="B2153" s="1">
        <v>45777</v>
      </c>
      <c r="C2153">
        <v>210002</v>
      </c>
      <c r="D2153">
        <v>-102248.851</v>
      </c>
      <c r="E2153" t="s">
        <v>4</v>
      </c>
      <c r="F2153" t="s">
        <v>42</v>
      </c>
      <c r="G2153" t="s">
        <v>7</v>
      </c>
    </row>
    <row r="2154" spans="1:7" x14ac:dyDescent="0.3">
      <c r="A2154" t="s">
        <v>37</v>
      </c>
      <c r="B2154" s="1">
        <v>45777</v>
      </c>
      <c r="C2154">
        <v>220006</v>
      </c>
      <c r="D2154">
        <v>-102385.539</v>
      </c>
      <c r="E2154" t="s">
        <v>4</v>
      </c>
      <c r="F2154" t="s">
        <v>42</v>
      </c>
      <c r="G2154" t="s">
        <v>7</v>
      </c>
    </row>
    <row r="2155" spans="1:7" x14ac:dyDescent="0.3">
      <c r="A2155" t="s">
        <v>37</v>
      </c>
      <c r="B2155" s="1">
        <v>45777</v>
      </c>
      <c r="C2155">
        <v>234003</v>
      </c>
      <c r="D2155">
        <v>-25115.311000000002</v>
      </c>
      <c r="E2155" t="s">
        <v>4</v>
      </c>
      <c r="F2155" t="s">
        <v>43</v>
      </c>
      <c r="G2155" t="s">
        <v>7</v>
      </c>
    </row>
    <row r="2156" spans="1:7" x14ac:dyDescent="0.3">
      <c r="A2156" t="s">
        <v>37</v>
      </c>
      <c r="B2156" s="1">
        <v>45777</v>
      </c>
      <c r="C2156">
        <v>240002</v>
      </c>
      <c r="D2156">
        <v>-1934.0920000000001</v>
      </c>
      <c r="E2156" t="s">
        <v>4</v>
      </c>
      <c r="F2156" t="s">
        <v>43</v>
      </c>
      <c r="G2156" t="s">
        <v>7</v>
      </c>
    </row>
    <row r="2157" spans="1:7" x14ac:dyDescent="0.3">
      <c r="A2157" t="s">
        <v>37</v>
      </c>
      <c r="B2157" s="1">
        <v>45777</v>
      </c>
      <c r="C2157">
        <v>243002</v>
      </c>
      <c r="D2157">
        <v>-716.04700000000003</v>
      </c>
      <c r="E2157" t="s">
        <v>4</v>
      </c>
      <c r="F2157" t="s">
        <v>43</v>
      </c>
      <c r="G2157" t="s">
        <v>7</v>
      </c>
    </row>
    <row r="2158" spans="1:7" x14ac:dyDescent="0.3">
      <c r="A2158" t="s">
        <v>37</v>
      </c>
      <c r="B2158" s="1">
        <v>45777</v>
      </c>
      <c r="C2158">
        <v>243003</v>
      </c>
      <c r="D2158">
        <v>-41178.188000000002</v>
      </c>
      <c r="E2158" t="s">
        <v>4</v>
      </c>
      <c r="F2158" t="s">
        <v>43</v>
      </c>
      <c r="G2158" t="s">
        <v>7</v>
      </c>
    </row>
    <row r="2159" spans="1:7" x14ac:dyDescent="0.3">
      <c r="A2159" t="s">
        <v>37</v>
      </c>
      <c r="B2159" s="1">
        <v>45777</v>
      </c>
      <c r="C2159">
        <v>245010</v>
      </c>
      <c r="D2159">
        <v>-25528.266</v>
      </c>
      <c r="E2159" t="s">
        <v>4</v>
      </c>
      <c r="F2159" t="s">
        <v>44</v>
      </c>
      <c r="G2159" t="s">
        <v>7</v>
      </c>
    </row>
    <row r="2160" spans="1:7" x14ac:dyDescent="0.3">
      <c r="A2160" t="s">
        <v>37</v>
      </c>
      <c r="B2160" s="1">
        <v>45777</v>
      </c>
      <c r="C2160">
        <v>245044</v>
      </c>
      <c r="D2160">
        <v>-8950.8469999999998</v>
      </c>
      <c r="E2160" t="s">
        <v>4</v>
      </c>
      <c r="F2160" t="s">
        <v>43</v>
      </c>
      <c r="G2160" t="s">
        <v>7</v>
      </c>
    </row>
    <row r="2161" spans="1:7" x14ac:dyDescent="0.3">
      <c r="A2161" t="s">
        <v>37</v>
      </c>
      <c r="B2161" s="1">
        <v>45777</v>
      </c>
      <c r="C2161">
        <v>251002</v>
      </c>
      <c r="D2161">
        <v>-15112.272000000001</v>
      </c>
      <c r="E2161" t="s">
        <v>4</v>
      </c>
      <c r="F2161" t="s">
        <v>45</v>
      </c>
      <c r="G2161" t="s">
        <v>7</v>
      </c>
    </row>
    <row r="2162" spans="1:7" x14ac:dyDescent="0.3">
      <c r="A2162" t="s">
        <v>37</v>
      </c>
      <c r="B2162" s="1">
        <v>45777</v>
      </c>
      <c r="C2162">
        <v>257022</v>
      </c>
      <c r="D2162">
        <v>-2999.6170000000002</v>
      </c>
      <c r="E2162" t="s">
        <v>4</v>
      </c>
      <c r="F2162" t="s">
        <v>45</v>
      </c>
      <c r="G2162" t="s">
        <v>7</v>
      </c>
    </row>
    <row r="2163" spans="1:7" x14ac:dyDescent="0.3">
      <c r="A2163" t="s">
        <v>37</v>
      </c>
      <c r="B2163" s="1">
        <v>45777</v>
      </c>
      <c r="C2163">
        <v>257030</v>
      </c>
      <c r="D2163">
        <v>-6537.2389999999996</v>
      </c>
      <c r="E2163" t="s">
        <v>4</v>
      </c>
      <c r="F2163" t="s">
        <v>45</v>
      </c>
      <c r="G2163" t="s">
        <v>7</v>
      </c>
    </row>
    <row r="2164" spans="1:7" x14ac:dyDescent="0.3">
      <c r="A2164" t="s">
        <v>37</v>
      </c>
      <c r="B2164" s="1">
        <v>45777</v>
      </c>
      <c r="C2164">
        <v>270024</v>
      </c>
      <c r="D2164">
        <v>-13287.552</v>
      </c>
      <c r="E2164" t="s">
        <v>4</v>
      </c>
      <c r="F2164" t="s">
        <v>58</v>
      </c>
      <c r="G2164" t="s">
        <v>7</v>
      </c>
    </row>
    <row r="2165" spans="1:7" x14ac:dyDescent="0.3">
      <c r="A2165" t="s">
        <v>37</v>
      </c>
      <c r="B2165" s="1">
        <v>45777</v>
      </c>
      <c r="C2165">
        <v>300012</v>
      </c>
      <c r="D2165">
        <v>6818.9290000000001</v>
      </c>
      <c r="E2165" t="s">
        <v>4</v>
      </c>
      <c r="F2165" t="s">
        <v>65</v>
      </c>
      <c r="G2165" t="s">
        <v>7</v>
      </c>
    </row>
    <row r="2166" spans="1:7" x14ac:dyDescent="0.3">
      <c r="A2166" t="s">
        <v>37</v>
      </c>
      <c r="B2166" s="1">
        <v>45777</v>
      </c>
      <c r="C2166">
        <v>300013</v>
      </c>
      <c r="D2166">
        <v>1736.8520000000001</v>
      </c>
      <c r="E2166" t="s">
        <v>4</v>
      </c>
      <c r="F2166" t="s">
        <v>65</v>
      </c>
      <c r="G2166" t="s">
        <v>7</v>
      </c>
    </row>
    <row r="2167" spans="1:7" x14ac:dyDescent="0.3">
      <c r="A2167" t="s">
        <v>37</v>
      </c>
      <c r="B2167" s="1">
        <v>45777</v>
      </c>
      <c r="C2167">
        <v>300512</v>
      </c>
      <c r="D2167">
        <v>-3969.826</v>
      </c>
      <c r="E2167" t="s">
        <v>4</v>
      </c>
      <c r="F2167" t="s">
        <v>65</v>
      </c>
      <c r="G2167" t="s">
        <v>7</v>
      </c>
    </row>
    <row r="2168" spans="1:7" x14ac:dyDescent="0.3">
      <c r="A2168" t="s">
        <v>37</v>
      </c>
      <c r="B2168" s="1">
        <v>45777</v>
      </c>
      <c r="C2168">
        <v>300513</v>
      </c>
      <c r="D2168">
        <v>-705.65899999999999</v>
      </c>
      <c r="E2168" t="s">
        <v>4</v>
      </c>
      <c r="F2168" t="s">
        <v>65</v>
      </c>
      <c r="G2168" t="s">
        <v>7</v>
      </c>
    </row>
    <row r="2169" spans="1:7" x14ac:dyDescent="0.3">
      <c r="A2169" t="s">
        <v>37</v>
      </c>
      <c r="B2169" s="1">
        <v>45777</v>
      </c>
      <c r="C2169">
        <v>304002</v>
      </c>
      <c r="D2169">
        <v>26592.684000000001</v>
      </c>
      <c r="E2169" t="s">
        <v>4</v>
      </c>
      <c r="F2169" t="s">
        <v>65</v>
      </c>
      <c r="G2169" t="s">
        <v>7</v>
      </c>
    </row>
    <row r="2170" spans="1:7" x14ac:dyDescent="0.3">
      <c r="A2170" t="s">
        <v>37</v>
      </c>
      <c r="B2170" s="1">
        <v>45777</v>
      </c>
      <c r="C2170">
        <v>304502</v>
      </c>
      <c r="D2170">
        <v>-1477.373</v>
      </c>
      <c r="E2170" t="s">
        <v>4</v>
      </c>
      <c r="F2170" t="s">
        <v>65</v>
      </c>
      <c r="G2170" t="s">
        <v>7</v>
      </c>
    </row>
    <row r="2171" spans="1:7" x14ac:dyDescent="0.3">
      <c r="A2171" t="s">
        <v>37</v>
      </c>
      <c r="B2171" s="1">
        <v>45777</v>
      </c>
      <c r="C2171">
        <v>320002</v>
      </c>
      <c r="D2171">
        <v>6340.0820000000003</v>
      </c>
      <c r="E2171" t="s">
        <v>4</v>
      </c>
      <c r="F2171" t="s">
        <v>46</v>
      </c>
      <c r="G2171" t="s">
        <v>7</v>
      </c>
    </row>
    <row r="2172" spans="1:7" x14ac:dyDescent="0.3">
      <c r="A2172" t="s">
        <v>37</v>
      </c>
      <c r="B2172" s="1">
        <v>45777</v>
      </c>
      <c r="C2172">
        <v>320003</v>
      </c>
      <c r="D2172">
        <v>54753.341999999997</v>
      </c>
      <c r="E2172" t="s">
        <v>4</v>
      </c>
      <c r="F2172" t="s">
        <v>46</v>
      </c>
      <c r="G2172" t="s">
        <v>7</v>
      </c>
    </row>
    <row r="2173" spans="1:7" x14ac:dyDescent="0.3">
      <c r="A2173" t="s">
        <v>37</v>
      </c>
      <c r="B2173" s="1">
        <v>45777</v>
      </c>
      <c r="C2173">
        <v>321002</v>
      </c>
      <c r="D2173">
        <v>14735.839</v>
      </c>
      <c r="E2173" t="s">
        <v>4</v>
      </c>
      <c r="F2173" t="s">
        <v>46</v>
      </c>
      <c r="G2173" t="s">
        <v>7</v>
      </c>
    </row>
    <row r="2174" spans="1:7" x14ac:dyDescent="0.3">
      <c r="A2174" t="s">
        <v>37</v>
      </c>
      <c r="B2174" s="1">
        <v>45777</v>
      </c>
      <c r="C2174">
        <v>321025</v>
      </c>
      <c r="D2174">
        <v>7746.9520000000002</v>
      </c>
      <c r="E2174" t="s">
        <v>4</v>
      </c>
      <c r="F2174" t="s">
        <v>46</v>
      </c>
      <c r="G2174" t="s">
        <v>7</v>
      </c>
    </row>
    <row r="2175" spans="1:7" x14ac:dyDescent="0.3">
      <c r="A2175" t="s">
        <v>37</v>
      </c>
      <c r="B2175" s="1">
        <v>45777</v>
      </c>
      <c r="C2175">
        <v>340008</v>
      </c>
      <c r="D2175">
        <v>151515.80900000001</v>
      </c>
      <c r="E2175" t="s">
        <v>4</v>
      </c>
      <c r="F2175" t="s">
        <v>47</v>
      </c>
      <c r="G2175" t="s">
        <v>7</v>
      </c>
    </row>
    <row r="2176" spans="1:7" x14ac:dyDescent="0.3">
      <c r="A2176" t="s">
        <v>37</v>
      </c>
      <c r="B2176" s="1">
        <v>45777</v>
      </c>
      <c r="C2176">
        <v>350002</v>
      </c>
      <c r="D2176">
        <v>536.673</v>
      </c>
      <c r="E2176" t="s">
        <v>4</v>
      </c>
      <c r="F2176" t="s">
        <v>49</v>
      </c>
      <c r="G2176" t="s">
        <v>7</v>
      </c>
    </row>
    <row r="2177" spans="1:7" x14ac:dyDescent="0.3">
      <c r="A2177" t="s">
        <v>37</v>
      </c>
      <c r="B2177" s="1">
        <v>45777</v>
      </c>
      <c r="C2177">
        <v>350006</v>
      </c>
      <c r="D2177">
        <v>0</v>
      </c>
      <c r="E2177" t="s">
        <v>4</v>
      </c>
      <c r="F2177" t="s">
        <v>43</v>
      </c>
      <c r="G2177" t="s">
        <v>7</v>
      </c>
    </row>
    <row r="2178" spans="1:7" x14ac:dyDescent="0.3">
      <c r="A2178" t="s">
        <v>37</v>
      </c>
      <c r="B2178" s="1">
        <v>45777</v>
      </c>
      <c r="C2178">
        <v>352004</v>
      </c>
      <c r="D2178">
        <v>512.39099999999996</v>
      </c>
      <c r="E2178" t="s">
        <v>4</v>
      </c>
      <c r="F2178" t="s">
        <v>48</v>
      </c>
      <c r="G2178" t="s">
        <v>7</v>
      </c>
    </row>
    <row r="2179" spans="1:7" x14ac:dyDescent="0.3">
      <c r="A2179" t="s">
        <v>37</v>
      </c>
      <c r="B2179" s="1">
        <v>45777</v>
      </c>
      <c r="C2179">
        <v>354014</v>
      </c>
      <c r="D2179">
        <v>66918.562000000005</v>
      </c>
      <c r="E2179" t="s">
        <v>4</v>
      </c>
      <c r="F2179" t="s">
        <v>46</v>
      </c>
      <c r="G2179" t="s">
        <v>7</v>
      </c>
    </row>
    <row r="2180" spans="1:7" x14ac:dyDescent="0.3">
      <c r="A2180" t="s">
        <v>37</v>
      </c>
      <c r="B2180" s="1">
        <v>45777</v>
      </c>
      <c r="C2180">
        <v>355002</v>
      </c>
      <c r="D2180">
        <v>47.454000000000001</v>
      </c>
      <c r="E2180" t="s">
        <v>4</v>
      </c>
      <c r="F2180" t="s">
        <v>49</v>
      </c>
      <c r="G2180" t="s">
        <v>7</v>
      </c>
    </row>
    <row r="2181" spans="1:7" x14ac:dyDescent="0.3">
      <c r="A2181" t="s">
        <v>37</v>
      </c>
      <c r="B2181" s="1">
        <v>45777</v>
      </c>
      <c r="C2181">
        <v>360012</v>
      </c>
      <c r="D2181">
        <v>5940.2929999999997</v>
      </c>
      <c r="E2181" t="s">
        <v>4</v>
      </c>
      <c r="F2181" t="s">
        <v>58</v>
      </c>
      <c r="G2181" t="s">
        <v>7</v>
      </c>
    </row>
    <row r="2182" spans="1:7" x14ac:dyDescent="0.3">
      <c r="A2182" t="s">
        <v>37</v>
      </c>
      <c r="B2182" s="1">
        <v>45777</v>
      </c>
      <c r="C2182">
        <v>360019</v>
      </c>
      <c r="D2182">
        <v>3565.0010000000002</v>
      </c>
      <c r="E2182" t="s">
        <v>4</v>
      </c>
      <c r="F2182" t="s">
        <v>58</v>
      </c>
      <c r="G2182" t="s">
        <v>7</v>
      </c>
    </row>
    <row r="2183" spans="1:7" x14ac:dyDescent="0.3">
      <c r="A2183" t="s">
        <v>37</v>
      </c>
      <c r="B2183" s="1">
        <v>45777</v>
      </c>
      <c r="C2183">
        <v>360026</v>
      </c>
      <c r="D2183">
        <v>13757.508</v>
      </c>
      <c r="E2183" t="s">
        <v>4</v>
      </c>
      <c r="F2183" t="s">
        <v>58</v>
      </c>
      <c r="G2183" t="s">
        <v>7</v>
      </c>
    </row>
    <row r="2184" spans="1:7" x14ac:dyDescent="0.3">
      <c r="A2184" t="s">
        <v>37</v>
      </c>
      <c r="B2184" s="1">
        <v>45777</v>
      </c>
      <c r="C2184">
        <v>364502</v>
      </c>
      <c r="D2184">
        <v>17080.171999999999</v>
      </c>
      <c r="E2184" t="s">
        <v>4</v>
      </c>
      <c r="F2184" t="s">
        <v>58</v>
      </c>
      <c r="G2184" t="s">
        <v>7</v>
      </c>
    </row>
    <row r="2185" spans="1:7" x14ac:dyDescent="0.3">
      <c r="A2185" t="s">
        <v>37</v>
      </c>
      <c r="B2185" s="1">
        <v>45777</v>
      </c>
      <c r="C2185">
        <v>400002</v>
      </c>
      <c r="D2185">
        <v>-2985.569</v>
      </c>
      <c r="E2185" t="s">
        <v>6</v>
      </c>
      <c r="F2185" t="s">
        <v>50</v>
      </c>
      <c r="G2185" t="s">
        <v>7</v>
      </c>
    </row>
    <row r="2186" spans="1:7" x14ac:dyDescent="0.3">
      <c r="A2186" t="s">
        <v>37</v>
      </c>
      <c r="B2186" s="1">
        <v>45777</v>
      </c>
      <c r="C2186">
        <v>410002</v>
      </c>
      <c r="D2186">
        <v>-13359.37</v>
      </c>
      <c r="E2186" t="s">
        <v>6</v>
      </c>
      <c r="F2186" t="s">
        <v>51</v>
      </c>
      <c r="G2186" t="s">
        <v>7</v>
      </c>
    </row>
    <row r="2187" spans="1:7" x14ac:dyDescent="0.3">
      <c r="A2187" t="s">
        <v>37</v>
      </c>
      <c r="B2187" s="1">
        <v>45777</v>
      </c>
      <c r="C2187">
        <v>410032</v>
      </c>
      <c r="D2187">
        <v>-4529.9709999999995</v>
      </c>
      <c r="E2187" t="s">
        <v>6</v>
      </c>
      <c r="F2187" t="s">
        <v>51</v>
      </c>
      <c r="G2187" t="s">
        <v>7</v>
      </c>
    </row>
    <row r="2188" spans="1:7" x14ac:dyDescent="0.3">
      <c r="A2188" t="s">
        <v>37</v>
      </c>
      <c r="B2188" s="1">
        <v>45777</v>
      </c>
      <c r="C2188">
        <v>415002</v>
      </c>
      <c r="D2188">
        <v>-92119.173999999999</v>
      </c>
      <c r="E2188" t="s">
        <v>6</v>
      </c>
      <c r="F2188" t="s">
        <v>50</v>
      </c>
      <c r="G2188" t="s">
        <v>7</v>
      </c>
    </row>
    <row r="2189" spans="1:7" x14ac:dyDescent="0.3">
      <c r="A2189" t="s">
        <v>37</v>
      </c>
      <c r="B2189" s="1">
        <v>45777</v>
      </c>
      <c r="C2189">
        <v>420002</v>
      </c>
      <c r="D2189">
        <v>-130.61600000000001</v>
      </c>
      <c r="E2189" t="s">
        <v>6</v>
      </c>
      <c r="F2189" t="s">
        <v>52</v>
      </c>
      <c r="G2189" t="s">
        <v>7</v>
      </c>
    </row>
    <row r="2190" spans="1:7" x14ac:dyDescent="0.3">
      <c r="A2190" t="s">
        <v>37</v>
      </c>
      <c r="B2190" s="1">
        <v>45777</v>
      </c>
      <c r="C2190">
        <v>421002</v>
      </c>
      <c r="D2190">
        <v>-778.90899999999999</v>
      </c>
      <c r="E2190" t="s">
        <v>6</v>
      </c>
      <c r="F2190" t="s">
        <v>52</v>
      </c>
      <c r="G2190" t="s">
        <v>7</v>
      </c>
    </row>
    <row r="2191" spans="1:7" x14ac:dyDescent="0.3">
      <c r="A2191" t="s">
        <v>37</v>
      </c>
      <c r="B2191" s="1">
        <v>45777</v>
      </c>
      <c r="C2191">
        <v>510002</v>
      </c>
      <c r="D2191">
        <v>11309.636</v>
      </c>
      <c r="E2191" t="s">
        <v>6</v>
      </c>
      <c r="F2191" t="s">
        <v>53</v>
      </c>
      <c r="G2191" t="s">
        <v>7</v>
      </c>
    </row>
    <row r="2192" spans="1:7" x14ac:dyDescent="0.3">
      <c r="A2192" t="s">
        <v>37</v>
      </c>
      <c r="B2192" s="1">
        <v>45777</v>
      </c>
      <c r="C2192">
        <v>510004</v>
      </c>
      <c r="D2192">
        <v>1077.883</v>
      </c>
      <c r="E2192" t="s">
        <v>6</v>
      </c>
      <c r="F2192" t="s">
        <v>53</v>
      </c>
      <c r="G2192" t="s">
        <v>7</v>
      </c>
    </row>
    <row r="2193" spans="1:7" x14ac:dyDescent="0.3">
      <c r="A2193" t="s">
        <v>37</v>
      </c>
      <c r="B2193" s="1">
        <v>45777</v>
      </c>
      <c r="C2193">
        <v>510005</v>
      </c>
      <c r="D2193">
        <v>2078.0859999999998</v>
      </c>
      <c r="E2193" t="s">
        <v>6</v>
      </c>
      <c r="F2193" t="s">
        <v>53</v>
      </c>
      <c r="G2193" t="s">
        <v>7</v>
      </c>
    </row>
    <row r="2194" spans="1:7" x14ac:dyDescent="0.3">
      <c r="A2194" t="s">
        <v>37</v>
      </c>
      <c r="B2194" s="1">
        <v>45777</v>
      </c>
      <c r="C2194">
        <v>510007</v>
      </c>
      <c r="D2194">
        <v>508.16199999999998</v>
      </c>
      <c r="E2194" t="s">
        <v>6</v>
      </c>
      <c r="F2194" t="s">
        <v>53</v>
      </c>
      <c r="G2194" t="s">
        <v>7</v>
      </c>
    </row>
    <row r="2195" spans="1:7" x14ac:dyDescent="0.3">
      <c r="A2195" t="s">
        <v>37</v>
      </c>
      <c r="B2195" s="1">
        <v>45777</v>
      </c>
      <c r="C2195">
        <v>510015</v>
      </c>
      <c r="D2195">
        <v>4367.0730000000003</v>
      </c>
      <c r="E2195" t="s">
        <v>6</v>
      </c>
      <c r="F2195" t="s">
        <v>53</v>
      </c>
      <c r="G2195" t="s">
        <v>7</v>
      </c>
    </row>
    <row r="2196" spans="1:7" x14ac:dyDescent="0.3">
      <c r="A2196" t="s">
        <v>37</v>
      </c>
      <c r="B2196" s="1">
        <v>45777</v>
      </c>
      <c r="C2196">
        <v>520021</v>
      </c>
      <c r="D2196">
        <v>0</v>
      </c>
      <c r="E2196" t="s">
        <v>6</v>
      </c>
      <c r="F2196" t="s">
        <v>60</v>
      </c>
      <c r="G2196" t="s">
        <v>7</v>
      </c>
    </row>
    <row r="2197" spans="1:7" x14ac:dyDescent="0.3">
      <c r="A2197" t="s">
        <v>37</v>
      </c>
      <c r="B2197" s="1">
        <v>45777</v>
      </c>
      <c r="C2197">
        <v>530012</v>
      </c>
      <c r="D2197">
        <v>2320.6640000000002</v>
      </c>
      <c r="E2197" t="s">
        <v>6</v>
      </c>
      <c r="F2197" t="s">
        <v>53</v>
      </c>
      <c r="G2197" t="s">
        <v>7</v>
      </c>
    </row>
    <row r="2198" spans="1:7" x14ac:dyDescent="0.3">
      <c r="A2198" t="s">
        <v>37</v>
      </c>
      <c r="B2198" s="1">
        <v>45777</v>
      </c>
      <c r="C2198">
        <v>540004</v>
      </c>
      <c r="D2198">
        <v>0</v>
      </c>
      <c r="E2198" t="s">
        <v>6</v>
      </c>
      <c r="F2198" t="s">
        <v>67</v>
      </c>
      <c r="G2198" t="s">
        <v>7</v>
      </c>
    </row>
    <row r="2199" spans="1:7" x14ac:dyDescent="0.3">
      <c r="A2199" t="s">
        <v>37</v>
      </c>
      <c r="B2199" s="1">
        <v>45777</v>
      </c>
      <c r="C2199">
        <v>541022</v>
      </c>
      <c r="D2199">
        <v>217.23699999999999</v>
      </c>
      <c r="E2199" t="s">
        <v>6</v>
      </c>
      <c r="F2199" t="s">
        <v>61</v>
      </c>
      <c r="G2199" t="s">
        <v>7</v>
      </c>
    </row>
    <row r="2200" spans="1:7" x14ac:dyDescent="0.3">
      <c r="A2200" t="s">
        <v>37</v>
      </c>
      <c r="B2200" s="1">
        <v>45777</v>
      </c>
      <c r="C2200">
        <v>544002</v>
      </c>
      <c r="D2200">
        <v>3.5590000000000002</v>
      </c>
      <c r="E2200" t="s">
        <v>6</v>
      </c>
      <c r="F2200" t="s">
        <v>61</v>
      </c>
      <c r="G2200" t="s">
        <v>7</v>
      </c>
    </row>
    <row r="2201" spans="1:7" x14ac:dyDescent="0.3">
      <c r="A2201" t="s">
        <v>37</v>
      </c>
      <c r="B2201" s="1">
        <v>45777</v>
      </c>
      <c r="C2201">
        <v>547002</v>
      </c>
      <c r="D2201">
        <v>0</v>
      </c>
      <c r="E2201" t="s">
        <v>6</v>
      </c>
      <c r="F2201" t="s">
        <v>54</v>
      </c>
      <c r="G2201" t="s">
        <v>7</v>
      </c>
    </row>
    <row r="2202" spans="1:7" x14ac:dyDescent="0.3">
      <c r="A2202" t="s">
        <v>37</v>
      </c>
      <c r="B2202" s="1">
        <v>45777</v>
      </c>
      <c r="C2202">
        <v>550002</v>
      </c>
      <c r="D2202">
        <v>54804.610999999997</v>
      </c>
      <c r="E2202" t="s">
        <v>6</v>
      </c>
      <c r="F2202" t="s">
        <v>62</v>
      </c>
      <c r="G2202" t="s">
        <v>7</v>
      </c>
    </row>
    <row r="2203" spans="1:7" x14ac:dyDescent="0.3">
      <c r="A2203" t="s">
        <v>37</v>
      </c>
      <c r="B2203" s="1">
        <v>45777</v>
      </c>
      <c r="C2203">
        <v>552502</v>
      </c>
      <c r="D2203">
        <v>301.12200000000001</v>
      </c>
      <c r="E2203" t="s">
        <v>6</v>
      </c>
      <c r="F2203" t="s">
        <v>55</v>
      </c>
      <c r="G2203" t="s">
        <v>7</v>
      </c>
    </row>
    <row r="2204" spans="1:7" x14ac:dyDescent="0.3">
      <c r="A2204" t="s">
        <v>37</v>
      </c>
      <c r="B2204" s="1">
        <v>45777</v>
      </c>
      <c r="C2204">
        <v>555508</v>
      </c>
      <c r="D2204">
        <v>6.0739999999999998</v>
      </c>
      <c r="E2204" t="s">
        <v>6</v>
      </c>
      <c r="F2204" t="s">
        <v>55</v>
      </c>
      <c r="G2204" t="s">
        <v>7</v>
      </c>
    </row>
    <row r="2205" spans="1:7" x14ac:dyDescent="0.3">
      <c r="A2205" t="s">
        <v>37</v>
      </c>
      <c r="B2205" s="1">
        <v>45777</v>
      </c>
      <c r="C2205">
        <v>556002</v>
      </c>
      <c r="D2205">
        <v>48.128999999999998</v>
      </c>
      <c r="E2205" t="s">
        <v>6</v>
      </c>
      <c r="F2205" t="s">
        <v>60</v>
      </c>
      <c r="G2205" t="s">
        <v>7</v>
      </c>
    </row>
    <row r="2206" spans="1:7" x14ac:dyDescent="0.3">
      <c r="A2206" t="s">
        <v>37</v>
      </c>
      <c r="B2206" s="1">
        <v>45777</v>
      </c>
      <c r="C2206">
        <v>557002</v>
      </c>
      <c r="D2206">
        <v>568.08600000000001</v>
      </c>
      <c r="E2206" t="s">
        <v>6</v>
      </c>
      <c r="F2206" t="s">
        <v>56</v>
      </c>
      <c r="G2206" t="s">
        <v>7</v>
      </c>
    </row>
    <row r="2207" spans="1:7" x14ac:dyDescent="0.3">
      <c r="A2207" t="s">
        <v>37</v>
      </c>
      <c r="B2207" s="1">
        <v>45777</v>
      </c>
      <c r="C2207">
        <v>557003</v>
      </c>
      <c r="D2207">
        <v>389.221</v>
      </c>
      <c r="E2207" t="s">
        <v>6</v>
      </c>
      <c r="F2207" t="s">
        <v>56</v>
      </c>
      <c r="G2207" t="s">
        <v>7</v>
      </c>
    </row>
    <row r="2208" spans="1:7" x14ac:dyDescent="0.3">
      <c r="A2208" t="s">
        <v>37</v>
      </c>
      <c r="B2208" s="1">
        <v>45777</v>
      </c>
      <c r="C2208">
        <v>558003</v>
      </c>
      <c r="D2208">
        <v>0</v>
      </c>
      <c r="E2208" t="s">
        <v>6</v>
      </c>
      <c r="F2208" t="s">
        <v>57</v>
      </c>
      <c r="G2208" t="s">
        <v>7</v>
      </c>
    </row>
    <row r="2209" spans="1:7" x14ac:dyDescent="0.3">
      <c r="A2209" t="s">
        <v>37</v>
      </c>
      <c r="B2209" s="1">
        <v>45777</v>
      </c>
      <c r="C2209">
        <v>558007</v>
      </c>
      <c r="D2209">
        <v>238.94800000000001</v>
      </c>
      <c r="E2209" t="s">
        <v>6</v>
      </c>
      <c r="F2209" t="s">
        <v>60</v>
      </c>
      <c r="G2209" t="s">
        <v>7</v>
      </c>
    </row>
    <row r="2210" spans="1:7" x14ac:dyDescent="0.3">
      <c r="A2210" t="s">
        <v>37</v>
      </c>
      <c r="B2210" s="1">
        <v>45777</v>
      </c>
      <c r="C2210">
        <v>564008</v>
      </c>
      <c r="D2210">
        <v>169.22399999999999</v>
      </c>
      <c r="E2210" t="s">
        <v>6</v>
      </c>
      <c r="F2210" t="s">
        <v>55</v>
      </c>
      <c r="G2210" t="s">
        <v>7</v>
      </c>
    </row>
    <row r="2211" spans="1:7" x14ac:dyDescent="0.3">
      <c r="A2211" t="s">
        <v>37</v>
      </c>
      <c r="B2211" s="1">
        <v>45777</v>
      </c>
      <c r="C2211">
        <v>564020</v>
      </c>
      <c r="D2211">
        <v>17.314</v>
      </c>
      <c r="E2211" t="s">
        <v>6</v>
      </c>
      <c r="F2211" t="s">
        <v>57</v>
      </c>
      <c r="G2211" t="s">
        <v>7</v>
      </c>
    </row>
    <row r="2212" spans="1:7" x14ac:dyDescent="0.3">
      <c r="A2212" t="s">
        <v>37</v>
      </c>
      <c r="B2212" s="1">
        <v>45777</v>
      </c>
      <c r="C2212">
        <v>570002</v>
      </c>
      <c r="D2212">
        <v>49.972999999999999</v>
      </c>
      <c r="E2212" t="s">
        <v>6</v>
      </c>
      <c r="F2212" t="s">
        <v>66</v>
      </c>
      <c r="G2212" t="s">
        <v>7</v>
      </c>
    </row>
    <row r="2213" spans="1:7" x14ac:dyDescent="0.3">
      <c r="A2213" t="s">
        <v>37</v>
      </c>
      <c r="B2213" s="1">
        <v>45777</v>
      </c>
      <c r="C2213">
        <v>580002</v>
      </c>
      <c r="D2213">
        <v>8677.4210000000003</v>
      </c>
      <c r="E2213" t="s">
        <v>6</v>
      </c>
      <c r="F2213" t="s">
        <v>64</v>
      </c>
      <c r="G2213" t="s">
        <v>7</v>
      </c>
    </row>
    <row r="2214" spans="1:7" x14ac:dyDescent="0.3">
      <c r="A2214" t="s">
        <v>37</v>
      </c>
      <c r="B2214" s="1">
        <v>45777</v>
      </c>
      <c r="C2214">
        <v>580003</v>
      </c>
      <c r="D2214">
        <v>-1134.816</v>
      </c>
      <c r="E2214" t="s">
        <v>6</v>
      </c>
      <c r="F2214" t="s">
        <v>64</v>
      </c>
      <c r="G2214" t="s">
        <v>7</v>
      </c>
    </row>
    <row r="2215" spans="1:7" x14ac:dyDescent="0.3">
      <c r="A2215" t="s">
        <v>37</v>
      </c>
      <c r="B2215" s="1">
        <v>45777</v>
      </c>
      <c r="C2215">
        <v>510006</v>
      </c>
      <c r="D2215">
        <v>1434.1379999999999</v>
      </c>
      <c r="E2215" t="s">
        <v>6</v>
      </c>
      <c r="F2215" t="s">
        <v>53</v>
      </c>
      <c r="G2215" t="s">
        <v>7</v>
      </c>
    </row>
    <row r="2216" spans="1:7" x14ac:dyDescent="0.3">
      <c r="A2216" t="s">
        <v>37</v>
      </c>
      <c r="B2216" s="1">
        <v>45777</v>
      </c>
      <c r="C2216">
        <v>560008</v>
      </c>
      <c r="D2216">
        <v>0</v>
      </c>
      <c r="E2216" t="s">
        <v>6</v>
      </c>
      <c r="F2216" t="s">
        <v>56</v>
      </c>
      <c r="G2216" t="s">
        <v>7</v>
      </c>
    </row>
    <row r="2217" spans="1:7" x14ac:dyDescent="0.3">
      <c r="A2217" t="s">
        <v>32</v>
      </c>
      <c r="B2217" s="1">
        <v>45777</v>
      </c>
      <c r="C2217">
        <v>220007</v>
      </c>
      <c r="D2217">
        <v>0</v>
      </c>
      <c r="E2217" t="s">
        <v>4</v>
      </c>
      <c r="F2217" t="s">
        <v>42</v>
      </c>
      <c r="G2217" t="s">
        <v>7</v>
      </c>
    </row>
    <row r="2218" spans="1:7" x14ac:dyDescent="0.3">
      <c r="A2218" t="s">
        <v>33</v>
      </c>
      <c r="B2218" s="1">
        <v>45777</v>
      </c>
      <c r="C2218">
        <v>220007</v>
      </c>
      <c r="D2218">
        <v>0</v>
      </c>
      <c r="E2218" t="s">
        <v>4</v>
      </c>
      <c r="F2218" t="s">
        <v>42</v>
      </c>
      <c r="G2218" t="s">
        <v>7</v>
      </c>
    </row>
    <row r="2219" spans="1:7" x14ac:dyDescent="0.3">
      <c r="A2219" t="s">
        <v>34</v>
      </c>
      <c r="B2219" s="1">
        <v>45777</v>
      </c>
      <c r="C2219">
        <v>220007</v>
      </c>
      <c r="D2219">
        <v>0</v>
      </c>
      <c r="E2219" t="s">
        <v>4</v>
      </c>
      <c r="F2219" t="s">
        <v>42</v>
      </c>
      <c r="G2219" t="s">
        <v>7</v>
      </c>
    </row>
    <row r="2220" spans="1:7" x14ac:dyDescent="0.3">
      <c r="A2220" t="s">
        <v>35</v>
      </c>
      <c r="B2220" s="1">
        <v>45777</v>
      </c>
      <c r="C2220">
        <v>220007</v>
      </c>
      <c r="D2220">
        <v>0</v>
      </c>
      <c r="E2220" t="s">
        <v>4</v>
      </c>
      <c r="F2220" t="s">
        <v>42</v>
      </c>
      <c r="G2220" t="s">
        <v>7</v>
      </c>
    </row>
    <row r="2221" spans="1:7" x14ac:dyDescent="0.3">
      <c r="A2221" t="s">
        <v>36</v>
      </c>
      <c r="B2221" s="1">
        <v>45777</v>
      </c>
      <c r="C2221">
        <v>220007</v>
      </c>
      <c r="D2221">
        <v>0</v>
      </c>
      <c r="E2221" t="s">
        <v>4</v>
      </c>
      <c r="F2221" t="s">
        <v>42</v>
      </c>
      <c r="G2221" t="s">
        <v>7</v>
      </c>
    </row>
    <row r="2222" spans="1:7" x14ac:dyDescent="0.3">
      <c r="A2222" t="s">
        <v>11</v>
      </c>
      <c r="B2222" s="1">
        <v>45777</v>
      </c>
      <c r="C2222">
        <v>220007</v>
      </c>
      <c r="D2222">
        <v>0</v>
      </c>
      <c r="E2222" t="s">
        <v>4</v>
      </c>
      <c r="F2222" t="s">
        <v>42</v>
      </c>
      <c r="G2222" t="s">
        <v>7</v>
      </c>
    </row>
    <row r="2223" spans="1:7" x14ac:dyDescent="0.3">
      <c r="A2223" t="s">
        <v>37</v>
      </c>
      <c r="B2223" s="1">
        <v>45777</v>
      </c>
      <c r="C2223">
        <v>220007</v>
      </c>
      <c r="D2223">
        <v>0</v>
      </c>
      <c r="E2223" t="s">
        <v>4</v>
      </c>
      <c r="F2223" t="s">
        <v>42</v>
      </c>
      <c r="G2223" t="s">
        <v>7</v>
      </c>
    </row>
    <row r="2224" spans="1:7" x14ac:dyDescent="0.3">
      <c r="A2224" t="s">
        <v>30</v>
      </c>
      <c r="B2224" s="1">
        <v>45777</v>
      </c>
      <c r="C2224">
        <v>220007</v>
      </c>
      <c r="D2224">
        <v>0</v>
      </c>
      <c r="E2224" t="s">
        <v>4</v>
      </c>
      <c r="F2224" t="s">
        <v>42</v>
      </c>
      <c r="G2224" t="s">
        <v>8</v>
      </c>
    </row>
    <row r="2225" spans="1:7" x14ac:dyDescent="0.3">
      <c r="A2225" t="s">
        <v>31</v>
      </c>
      <c r="B2225" s="1">
        <v>45777</v>
      </c>
      <c r="C2225">
        <v>220007</v>
      </c>
      <c r="D2225">
        <v>0</v>
      </c>
      <c r="E2225" t="s">
        <v>4</v>
      </c>
      <c r="F2225" t="s">
        <v>42</v>
      </c>
      <c r="G2225" t="s">
        <v>8</v>
      </c>
    </row>
    <row r="2226" spans="1:7" x14ac:dyDescent="0.3">
      <c r="A2226" t="s">
        <v>14</v>
      </c>
      <c r="B2226" s="1">
        <v>45777</v>
      </c>
      <c r="C2226">
        <v>220007</v>
      </c>
      <c r="D2226">
        <v>0</v>
      </c>
      <c r="E2226" t="s">
        <v>4</v>
      </c>
      <c r="F2226" t="s">
        <v>42</v>
      </c>
      <c r="G2226" t="s">
        <v>8</v>
      </c>
    </row>
    <row r="2227" spans="1:7" x14ac:dyDescent="0.3">
      <c r="A2227" t="s">
        <v>38</v>
      </c>
      <c r="B2227" s="1">
        <v>45777</v>
      </c>
      <c r="C2227">
        <v>220007</v>
      </c>
      <c r="D2227">
        <v>0</v>
      </c>
      <c r="E2227" t="s">
        <v>4</v>
      </c>
      <c r="F2227" t="s">
        <v>42</v>
      </c>
      <c r="G2227" t="s">
        <v>8</v>
      </c>
    </row>
    <row r="2228" spans="1:7" x14ac:dyDescent="0.3">
      <c r="A2228" t="s">
        <v>22</v>
      </c>
      <c r="B2228" s="1">
        <v>45777</v>
      </c>
      <c r="C2228">
        <v>220007</v>
      </c>
      <c r="D2228">
        <v>0</v>
      </c>
      <c r="E2228" t="s">
        <v>4</v>
      </c>
      <c r="F2228" t="s">
        <v>42</v>
      </c>
      <c r="G2228" t="s">
        <v>8</v>
      </c>
    </row>
    <row r="2229" spans="1:7" x14ac:dyDescent="0.3">
      <c r="A2229" t="s">
        <v>13</v>
      </c>
      <c r="B2229" s="1">
        <v>45777</v>
      </c>
      <c r="C2229">
        <v>220007</v>
      </c>
      <c r="D2229">
        <v>0</v>
      </c>
      <c r="E2229" t="s">
        <v>4</v>
      </c>
      <c r="F2229" t="s">
        <v>42</v>
      </c>
      <c r="G2229" t="s">
        <v>8</v>
      </c>
    </row>
    <row r="2230" spans="1:7" x14ac:dyDescent="0.3">
      <c r="A2230" t="s">
        <v>28</v>
      </c>
      <c r="B2230" s="1">
        <v>45777</v>
      </c>
      <c r="C2230">
        <v>421005</v>
      </c>
      <c r="D2230">
        <v>0</v>
      </c>
      <c r="E2230" t="s">
        <v>6</v>
      </c>
      <c r="F2230" t="s">
        <v>52</v>
      </c>
      <c r="G2230" t="s">
        <v>8</v>
      </c>
    </row>
    <row r="2231" spans="1:7" x14ac:dyDescent="0.3">
      <c r="A2231" t="s">
        <v>29</v>
      </c>
      <c r="B2231" s="1">
        <v>45777</v>
      </c>
      <c r="C2231">
        <v>421005</v>
      </c>
      <c r="D2231">
        <v>0</v>
      </c>
      <c r="E2231" t="s">
        <v>6</v>
      </c>
      <c r="F2231" t="s">
        <v>52</v>
      </c>
      <c r="G2231" t="s">
        <v>8</v>
      </c>
    </row>
    <row r="2232" spans="1:7" x14ac:dyDescent="0.3">
      <c r="A2232" t="s">
        <v>24</v>
      </c>
      <c r="B2232" s="1">
        <v>45777</v>
      </c>
      <c r="C2232">
        <v>421005</v>
      </c>
      <c r="D2232">
        <v>0</v>
      </c>
      <c r="E2232" t="s">
        <v>6</v>
      </c>
      <c r="F2232" t="s">
        <v>52</v>
      </c>
      <c r="G2232" t="s">
        <v>8</v>
      </c>
    </row>
    <row r="2233" spans="1:7" x14ac:dyDescent="0.3">
      <c r="A2233" t="s">
        <v>15</v>
      </c>
      <c r="B2233" s="1">
        <v>45777</v>
      </c>
      <c r="C2233">
        <v>220007</v>
      </c>
      <c r="D2233">
        <v>0</v>
      </c>
      <c r="E2233" t="s">
        <v>4</v>
      </c>
      <c r="F2233" t="s">
        <v>42</v>
      </c>
      <c r="G2233" t="s">
        <v>5</v>
      </c>
    </row>
    <row r="2234" spans="1:7" x14ac:dyDescent="0.3">
      <c r="A2234" t="s">
        <v>19</v>
      </c>
      <c r="B2234" s="1">
        <v>45777</v>
      </c>
      <c r="C2234">
        <v>220007</v>
      </c>
      <c r="D2234">
        <v>0</v>
      </c>
      <c r="E2234" t="s">
        <v>4</v>
      </c>
      <c r="F2234" t="s">
        <v>42</v>
      </c>
      <c r="G2234" t="s">
        <v>5</v>
      </c>
    </row>
    <row r="2235" spans="1:7" x14ac:dyDescent="0.3">
      <c r="A2235" t="s">
        <v>10</v>
      </c>
      <c r="B2235" s="1">
        <v>45777</v>
      </c>
      <c r="C2235">
        <v>220007</v>
      </c>
      <c r="D2235">
        <v>0</v>
      </c>
      <c r="E2235" t="s">
        <v>4</v>
      </c>
      <c r="F2235" t="s">
        <v>42</v>
      </c>
      <c r="G2235" t="s">
        <v>5</v>
      </c>
    </row>
    <row r="2236" spans="1:7" x14ac:dyDescent="0.3">
      <c r="A2236" t="s">
        <v>18</v>
      </c>
      <c r="B2236" s="1">
        <v>45777</v>
      </c>
      <c r="C2236">
        <v>220007</v>
      </c>
      <c r="D2236">
        <v>0</v>
      </c>
      <c r="E2236" t="s">
        <v>4</v>
      </c>
      <c r="F2236" t="s">
        <v>42</v>
      </c>
      <c r="G2236" t="s">
        <v>5</v>
      </c>
    </row>
    <row r="2237" spans="1:7" x14ac:dyDescent="0.3">
      <c r="A2237" t="s">
        <v>26</v>
      </c>
      <c r="B2237" s="1">
        <v>45777</v>
      </c>
      <c r="C2237">
        <v>421005</v>
      </c>
      <c r="D2237">
        <v>0</v>
      </c>
      <c r="E2237" t="s">
        <v>6</v>
      </c>
      <c r="F2237" t="s">
        <v>52</v>
      </c>
      <c r="G2237" t="s">
        <v>5</v>
      </c>
    </row>
    <row r="2238" spans="1:7" x14ac:dyDescent="0.3">
      <c r="A2238" t="s">
        <v>20</v>
      </c>
      <c r="B2238" s="1">
        <v>45777</v>
      </c>
      <c r="C2238">
        <v>220007</v>
      </c>
      <c r="D2238">
        <v>0</v>
      </c>
      <c r="E2238" t="s">
        <v>4</v>
      </c>
      <c r="F2238" t="s">
        <v>42</v>
      </c>
      <c r="G2238" t="s">
        <v>5</v>
      </c>
    </row>
    <row r="2239" spans="1:7" x14ac:dyDescent="0.3">
      <c r="A2239" t="s">
        <v>21</v>
      </c>
      <c r="B2239" s="1">
        <v>45777</v>
      </c>
      <c r="C2239">
        <v>220007</v>
      </c>
      <c r="D2239">
        <v>0</v>
      </c>
      <c r="E2239" t="s">
        <v>4</v>
      </c>
      <c r="F2239" t="s">
        <v>42</v>
      </c>
      <c r="G2239" t="s">
        <v>7</v>
      </c>
    </row>
    <row r="2240" spans="1:7" x14ac:dyDescent="0.3">
      <c r="A2240" t="s">
        <v>25</v>
      </c>
      <c r="B2240" s="1">
        <v>45777</v>
      </c>
      <c r="C2240">
        <v>421005</v>
      </c>
      <c r="D2240">
        <v>0</v>
      </c>
      <c r="E2240" t="s">
        <v>6</v>
      </c>
      <c r="F2240" t="s">
        <v>52</v>
      </c>
      <c r="G2240" t="s">
        <v>5</v>
      </c>
    </row>
    <row r="2241" spans="1:7" x14ac:dyDescent="0.3">
      <c r="A2241" t="s">
        <v>17</v>
      </c>
      <c r="B2241" s="1">
        <v>45777</v>
      </c>
      <c r="C2241">
        <v>220007</v>
      </c>
      <c r="D2241">
        <v>0</v>
      </c>
      <c r="E2241" t="s">
        <v>4</v>
      </c>
      <c r="F2241" t="s">
        <v>42</v>
      </c>
      <c r="G2241" t="s">
        <v>5</v>
      </c>
    </row>
    <row r="2242" spans="1:7" x14ac:dyDescent="0.3">
      <c r="A2242" t="s">
        <v>39</v>
      </c>
      <c r="B2242" s="1">
        <v>45777</v>
      </c>
      <c r="C2242">
        <v>421005</v>
      </c>
      <c r="D2242">
        <v>0</v>
      </c>
      <c r="E2242" t="s">
        <v>6</v>
      </c>
      <c r="F2242" t="s">
        <v>52</v>
      </c>
      <c r="G2242" t="s">
        <v>5</v>
      </c>
    </row>
    <row r="2243" spans="1:7" x14ac:dyDescent="0.3">
      <c r="A2243" t="s">
        <v>27</v>
      </c>
      <c r="B2243" s="1">
        <v>45777</v>
      </c>
      <c r="C2243">
        <v>220007</v>
      </c>
      <c r="D2243">
        <v>0</v>
      </c>
      <c r="E2243" t="s">
        <v>4</v>
      </c>
      <c r="F2243" t="s">
        <v>42</v>
      </c>
      <c r="G2243" t="s">
        <v>8</v>
      </c>
    </row>
    <row r="2244" spans="1:7" x14ac:dyDescent="0.3">
      <c r="A2244" t="s">
        <v>12</v>
      </c>
      <c r="B2244" s="1">
        <v>45777</v>
      </c>
      <c r="C2244">
        <v>220007</v>
      </c>
      <c r="D2244">
        <v>0</v>
      </c>
      <c r="E2244" t="s">
        <v>4</v>
      </c>
      <c r="F2244" t="s">
        <v>42</v>
      </c>
      <c r="G2244" t="s">
        <v>8</v>
      </c>
    </row>
    <row r="2245" spans="1:7" x14ac:dyDescent="0.3">
      <c r="A2245" t="s">
        <v>23</v>
      </c>
      <c r="B2245" s="1">
        <v>45777</v>
      </c>
      <c r="C2245">
        <v>220007</v>
      </c>
      <c r="D2245">
        <v>0</v>
      </c>
      <c r="E2245" t="s">
        <v>4</v>
      </c>
      <c r="F2245" t="s">
        <v>42</v>
      </c>
      <c r="G2245" t="s">
        <v>5</v>
      </c>
    </row>
  </sheetData>
  <autoFilter ref="B1:I2245" xr:uid="{5DF72F09-3B13-4EFB-B787-0CDFAA40A12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9BBF-5998-4906-953E-5F64728F9A9E}">
  <dimension ref="A1:G2329"/>
  <sheetViews>
    <sheetView topLeftCell="A1327" zoomScale="85" zoomScaleNormal="130" workbookViewId="0">
      <selection activeCell="C1" sqref="C1"/>
    </sheetView>
  </sheetViews>
  <sheetFormatPr defaultRowHeight="14.4" x14ac:dyDescent="0.3"/>
  <cols>
    <col min="1" max="1" width="20.77734375" bestFit="1" customWidth="1"/>
    <col min="2" max="2" width="8.33203125" style="1" bestFit="1" customWidth="1"/>
    <col min="3" max="3" width="10.109375" bestFit="1" customWidth="1"/>
    <col min="4" max="4" width="12.6640625" customWidth="1"/>
    <col min="5" max="5" width="10.88671875" bestFit="1" customWidth="1"/>
    <col min="6" max="6" width="52.21875" bestFit="1" customWidth="1"/>
    <col min="7" max="7" width="8.77734375" bestFit="1" customWidth="1"/>
  </cols>
  <sheetData>
    <row r="1" spans="1:7" x14ac:dyDescent="0.3">
      <c r="A1" s="6" t="s">
        <v>9</v>
      </c>
      <c r="B1" s="4" t="s">
        <v>0</v>
      </c>
      <c r="C1" s="5" t="s">
        <v>1</v>
      </c>
      <c r="D1" s="5" t="s">
        <v>40</v>
      </c>
      <c r="E1" s="5" t="s">
        <v>2</v>
      </c>
      <c r="F1" s="5" t="s">
        <v>41</v>
      </c>
      <c r="G1" s="5" t="s">
        <v>3</v>
      </c>
    </row>
    <row r="2" spans="1:7" x14ac:dyDescent="0.3">
      <c r="A2" t="s">
        <v>10</v>
      </c>
      <c r="B2" s="1">
        <v>45808</v>
      </c>
      <c r="C2">
        <v>220006</v>
      </c>
      <c r="D2">
        <v>74144.873999999996</v>
      </c>
      <c r="E2" t="s">
        <v>4</v>
      </c>
      <c r="F2" t="s">
        <v>42</v>
      </c>
      <c r="G2" t="s">
        <v>5</v>
      </c>
    </row>
    <row r="3" spans="1:7" x14ac:dyDescent="0.3">
      <c r="A3" t="s">
        <v>10</v>
      </c>
      <c r="B3" s="1">
        <v>45808</v>
      </c>
      <c r="C3">
        <v>240002</v>
      </c>
      <c r="D3">
        <v>-4621.9629999999997</v>
      </c>
      <c r="E3" t="s">
        <v>4</v>
      </c>
      <c r="F3" t="s">
        <v>43</v>
      </c>
      <c r="G3" t="s">
        <v>5</v>
      </c>
    </row>
    <row r="4" spans="1:7" x14ac:dyDescent="0.3">
      <c r="A4" t="s">
        <v>10</v>
      </c>
      <c r="B4" s="1">
        <v>45808</v>
      </c>
      <c r="C4">
        <v>240003</v>
      </c>
      <c r="D4">
        <v>24.184000000000001</v>
      </c>
      <c r="E4" t="s">
        <v>4</v>
      </c>
      <c r="F4" t="s">
        <v>43</v>
      </c>
      <c r="G4" t="s">
        <v>5</v>
      </c>
    </row>
    <row r="5" spans="1:7" x14ac:dyDescent="0.3">
      <c r="A5" t="s">
        <v>10</v>
      </c>
      <c r="B5" s="1">
        <v>45808</v>
      </c>
      <c r="C5">
        <v>242003</v>
      </c>
      <c r="D5">
        <v>-3674.027</v>
      </c>
      <c r="E5" t="s">
        <v>4</v>
      </c>
      <c r="F5" t="s">
        <v>43</v>
      </c>
      <c r="G5" t="s">
        <v>5</v>
      </c>
    </row>
    <row r="6" spans="1:7" x14ac:dyDescent="0.3">
      <c r="A6" t="s">
        <v>10</v>
      </c>
      <c r="B6" s="1">
        <v>45808</v>
      </c>
      <c r="C6">
        <v>242041</v>
      </c>
      <c r="D6">
        <v>-26.552</v>
      </c>
      <c r="E6" t="s">
        <v>4</v>
      </c>
      <c r="F6" t="s">
        <v>43</v>
      </c>
      <c r="G6" t="s">
        <v>5</v>
      </c>
    </row>
    <row r="7" spans="1:7" x14ac:dyDescent="0.3">
      <c r="A7" t="s">
        <v>10</v>
      </c>
      <c r="B7" s="1">
        <v>45808</v>
      </c>
      <c r="C7">
        <v>243002</v>
      </c>
      <c r="D7">
        <v>-1323.2349999999999</v>
      </c>
      <c r="E7" t="s">
        <v>4</v>
      </c>
      <c r="F7" t="s">
        <v>43</v>
      </c>
      <c r="G7" t="s">
        <v>5</v>
      </c>
    </row>
    <row r="8" spans="1:7" x14ac:dyDescent="0.3">
      <c r="A8" t="s">
        <v>10</v>
      </c>
      <c r="B8" s="1">
        <v>45808</v>
      </c>
      <c r="C8">
        <v>245010</v>
      </c>
      <c r="D8">
        <v>-260.14299999999997</v>
      </c>
      <c r="E8" t="s">
        <v>4</v>
      </c>
      <c r="F8" t="s">
        <v>44</v>
      </c>
      <c r="G8" t="s">
        <v>5</v>
      </c>
    </row>
    <row r="9" spans="1:7" x14ac:dyDescent="0.3">
      <c r="A9" t="s">
        <v>10</v>
      </c>
      <c r="B9" s="1">
        <v>45808</v>
      </c>
      <c r="C9">
        <v>245055</v>
      </c>
      <c r="D9">
        <v>-544.87599999999998</v>
      </c>
      <c r="E9" t="s">
        <v>4</v>
      </c>
      <c r="F9" t="s">
        <v>43</v>
      </c>
      <c r="G9" t="s">
        <v>5</v>
      </c>
    </row>
    <row r="10" spans="1:7" x14ac:dyDescent="0.3">
      <c r="A10" t="s">
        <v>10</v>
      </c>
      <c r="B10" s="1">
        <v>45808</v>
      </c>
      <c r="C10">
        <v>245062</v>
      </c>
      <c r="D10">
        <v>-325.339</v>
      </c>
      <c r="E10" t="s">
        <v>4</v>
      </c>
      <c r="F10" t="s">
        <v>43</v>
      </c>
      <c r="G10" t="s">
        <v>5</v>
      </c>
    </row>
    <row r="11" spans="1:7" x14ac:dyDescent="0.3">
      <c r="A11" t="s">
        <v>10</v>
      </c>
      <c r="B11" s="1">
        <v>45808</v>
      </c>
      <c r="C11">
        <v>257010</v>
      </c>
      <c r="D11">
        <v>-1117.5530000000001</v>
      </c>
      <c r="E11" t="s">
        <v>4</v>
      </c>
      <c r="F11" t="s">
        <v>45</v>
      </c>
      <c r="G11" t="s">
        <v>5</v>
      </c>
    </row>
    <row r="12" spans="1:7" x14ac:dyDescent="0.3">
      <c r="A12" t="s">
        <v>10</v>
      </c>
      <c r="B12" s="1">
        <v>45808</v>
      </c>
      <c r="C12">
        <v>257030</v>
      </c>
      <c r="D12">
        <v>-1987.992</v>
      </c>
      <c r="E12" t="s">
        <v>4</v>
      </c>
      <c r="F12" t="s">
        <v>45</v>
      </c>
      <c r="G12" t="s">
        <v>5</v>
      </c>
    </row>
    <row r="13" spans="1:7" x14ac:dyDescent="0.3">
      <c r="A13" t="s">
        <v>10</v>
      </c>
      <c r="B13" s="1">
        <v>45808</v>
      </c>
      <c r="C13">
        <v>260004</v>
      </c>
      <c r="D13">
        <v>-1018.191</v>
      </c>
      <c r="E13" t="s">
        <v>4</v>
      </c>
      <c r="F13" t="s">
        <v>45</v>
      </c>
      <c r="G13" t="s">
        <v>5</v>
      </c>
    </row>
    <row r="14" spans="1:7" x14ac:dyDescent="0.3">
      <c r="A14" t="s">
        <v>10</v>
      </c>
      <c r="B14" s="1">
        <v>45808</v>
      </c>
      <c r="C14">
        <v>320002</v>
      </c>
      <c r="D14">
        <v>6723.2060000000001</v>
      </c>
      <c r="E14" t="s">
        <v>4</v>
      </c>
      <c r="F14" t="s">
        <v>46</v>
      </c>
      <c r="G14" t="s">
        <v>5</v>
      </c>
    </row>
    <row r="15" spans="1:7" x14ac:dyDescent="0.3">
      <c r="A15" t="s">
        <v>10</v>
      </c>
      <c r="B15" s="1">
        <v>45808</v>
      </c>
      <c r="C15">
        <v>320003</v>
      </c>
      <c r="D15">
        <v>9095.5220000000008</v>
      </c>
      <c r="E15" t="s">
        <v>4</v>
      </c>
      <c r="F15" t="s">
        <v>46</v>
      </c>
      <c r="G15" t="s">
        <v>5</v>
      </c>
    </row>
    <row r="16" spans="1:7" x14ac:dyDescent="0.3">
      <c r="A16" t="s">
        <v>10</v>
      </c>
      <c r="B16" s="1">
        <v>45808</v>
      </c>
      <c r="C16">
        <v>320004</v>
      </c>
      <c r="D16">
        <v>256.35500000000002</v>
      </c>
      <c r="E16" t="s">
        <v>4</v>
      </c>
      <c r="F16" t="s">
        <v>46</v>
      </c>
      <c r="G16" t="s">
        <v>5</v>
      </c>
    </row>
    <row r="17" spans="1:7" x14ac:dyDescent="0.3">
      <c r="A17" t="s">
        <v>10</v>
      </c>
      <c r="B17" s="1">
        <v>45808</v>
      </c>
      <c r="C17">
        <v>320006</v>
      </c>
      <c r="D17">
        <v>324.16899999999998</v>
      </c>
      <c r="E17" t="s">
        <v>4</v>
      </c>
      <c r="F17" t="s">
        <v>46</v>
      </c>
      <c r="G17" t="s">
        <v>5</v>
      </c>
    </row>
    <row r="18" spans="1:7" x14ac:dyDescent="0.3">
      <c r="A18" t="s">
        <v>10</v>
      </c>
      <c r="B18" s="1">
        <v>45808</v>
      </c>
      <c r="C18">
        <v>320023</v>
      </c>
      <c r="D18">
        <v>-387.59300000000002</v>
      </c>
      <c r="E18" t="s">
        <v>4</v>
      </c>
      <c r="F18" t="s">
        <v>46</v>
      </c>
      <c r="G18" t="s">
        <v>5</v>
      </c>
    </row>
    <row r="19" spans="1:7" x14ac:dyDescent="0.3">
      <c r="A19" t="s">
        <v>10</v>
      </c>
      <c r="B19" s="1">
        <v>45808</v>
      </c>
      <c r="C19">
        <v>321002</v>
      </c>
      <c r="D19">
        <v>1157.1020000000001</v>
      </c>
      <c r="E19" t="s">
        <v>4</v>
      </c>
      <c r="F19" t="s">
        <v>46</v>
      </c>
      <c r="G19" t="s">
        <v>5</v>
      </c>
    </row>
    <row r="20" spans="1:7" x14ac:dyDescent="0.3">
      <c r="A20" t="s">
        <v>10</v>
      </c>
      <c r="B20" s="1">
        <v>45808</v>
      </c>
      <c r="C20">
        <v>321010</v>
      </c>
      <c r="D20">
        <v>-5936.2780000000002</v>
      </c>
      <c r="E20" t="s">
        <v>4</v>
      </c>
      <c r="F20" t="s">
        <v>46</v>
      </c>
      <c r="G20" t="s">
        <v>5</v>
      </c>
    </row>
    <row r="21" spans="1:7" x14ac:dyDescent="0.3">
      <c r="A21" t="s">
        <v>10</v>
      </c>
      <c r="B21" s="1">
        <v>45808</v>
      </c>
      <c r="C21">
        <v>321029</v>
      </c>
      <c r="D21">
        <v>11340.683000000001</v>
      </c>
      <c r="E21" t="s">
        <v>4</v>
      </c>
      <c r="F21" t="s">
        <v>46</v>
      </c>
      <c r="G21" t="s">
        <v>5</v>
      </c>
    </row>
    <row r="22" spans="1:7" x14ac:dyDescent="0.3">
      <c r="A22" t="s">
        <v>10</v>
      </c>
      <c r="B22" s="1">
        <v>45808</v>
      </c>
      <c r="C22">
        <v>321042</v>
      </c>
      <c r="D22">
        <v>-1566.501</v>
      </c>
      <c r="E22" t="s">
        <v>4</v>
      </c>
      <c r="F22" t="s">
        <v>46</v>
      </c>
      <c r="G22" t="s">
        <v>5</v>
      </c>
    </row>
    <row r="23" spans="1:7" x14ac:dyDescent="0.3">
      <c r="A23" t="s">
        <v>10</v>
      </c>
      <c r="B23" s="1">
        <v>45808</v>
      </c>
      <c r="C23">
        <v>321045</v>
      </c>
      <c r="D23">
        <v>33533.883000000002</v>
      </c>
      <c r="E23" t="s">
        <v>4</v>
      </c>
      <c r="F23" t="s">
        <v>46</v>
      </c>
      <c r="G23" t="s">
        <v>5</v>
      </c>
    </row>
    <row r="24" spans="1:7" x14ac:dyDescent="0.3">
      <c r="A24" t="s">
        <v>10</v>
      </c>
      <c r="B24" s="1">
        <v>45808</v>
      </c>
      <c r="C24">
        <v>330049</v>
      </c>
      <c r="D24">
        <v>-165233.019</v>
      </c>
      <c r="E24" t="s">
        <v>4</v>
      </c>
      <c r="F24" t="s">
        <v>43</v>
      </c>
      <c r="G24" t="s">
        <v>5</v>
      </c>
    </row>
    <row r="25" spans="1:7" x14ac:dyDescent="0.3">
      <c r="A25" t="s">
        <v>10</v>
      </c>
      <c r="B25" s="1">
        <v>45808</v>
      </c>
      <c r="C25">
        <v>330055</v>
      </c>
      <c r="D25">
        <v>133.88800000000001</v>
      </c>
      <c r="E25" t="s">
        <v>4</v>
      </c>
      <c r="F25" t="s">
        <v>43</v>
      </c>
      <c r="G25" t="s">
        <v>5</v>
      </c>
    </row>
    <row r="26" spans="1:7" x14ac:dyDescent="0.3">
      <c r="A26" t="s">
        <v>10</v>
      </c>
      <c r="B26" s="1">
        <v>45808</v>
      </c>
      <c r="C26">
        <v>330112</v>
      </c>
      <c r="D26">
        <v>11156.495000000001</v>
      </c>
      <c r="E26" t="s">
        <v>4</v>
      </c>
      <c r="F26" t="s">
        <v>43</v>
      </c>
      <c r="G26" t="s">
        <v>5</v>
      </c>
    </row>
    <row r="27" spans="1:7" x14ac:dyDescent="0.3">
      <c r="A27" t="s">
        <v>10</v>
      </c>
      <c r="B27" s="1">
        <v>45808</v>
      </c>
      <c r="C27">
        <v>340041</v>
      </c>
      <c r="D27">
        <v>20847.278999999999</v>
      </c>
      <c r="E27" t="s">
        <v>4</v>
      </c>
      <c r="F27" t="s">
        <v>47</v>
      </c>
      <c r="G27" t="s">
        <v>5</v>
      </c>
    </row>
    <row r="28" spans="1:7" x14ac:dyDescent="0.3">
      <c r="A28" t="s">
        <v>10</v>
      </c>
      <c r="B28" s="1">
        <v>45808</v>
      </c>
      <c r="C28">
        <v>340126</v>
      </c>
      <c r="D28">
        <v>-2496.8910000000001</v>
      </c>
      <c r="E28" t="s">
        <v>4</v>
      </c>
      <c r="F28" t="s">
        <v>47</v>
      </c>
      <c r="G28" t="s">
        <v>5</v>
      </c>
    </row>
    <row r="29" spans="1:7" x14ac:dyDescent="0.3">
      <c r="A29" t="s">
        <v>10</v>
      </c>
      <c r="B29" s="1">
        <v>45808</v>
      </c>
      <c r="C29">
        <v>352002</v>
      </c>
      <c r="D29">
        <v>18.021999999999998</v>
      </c>
      <c r="E29" t="s">
        <v>4</v>
      </c>
      <c r="F29" t="s">
        <v>48</v>
      </c>
      <c r="G29" t="s">
        <v>5</v>
      </c>
    </row>
    <row r="30" spans="1:7" x14ac:dyDescent="0.3">
      <c r="A30" t="s">
        <v>10</v>
      </c>
      <c r="B30" s="1">
        <v>45808</v>
      </c>
      <c r="C30">
        <v>354015</v>
      </c>
      <c r="D30">
        <v>2470.0970000000002</v>
      </c>
      <c r="E30" t="s">
        <v>4</v>
      </c>
      <c r="F30" t="s">
        <v>46</v>
      </c>
      <c r="G30" t="s">
        <v>5</v>
      </c>
    </row>
    <row r="31" spans="1:7" x14ac:dyDescent="0.3">
      <c r="A31" t="s">
        <v>10</v>
      </c>
      <c r="B31" s="1">
        <v>45808</v>
      </c>
      <c r="C31">
        <v>355002</v>
      </c>
      <c r="D31">
        <v>37.595999999999997</v>
      </c>
      <c r="E31" t="s">
        <v>4</v>
      </c>
      <c r="F31" t="s">
        <v>49</v>
      </c>
      <c r="G31" t="s">
        <v>5</v>
      </c>
    </row>
    <row r="32" spans="1:7" x14ac:dyDescent="0.3">
      <c r="A32" t="s">
        <v>10</v>
      </c>
      <c r="B32" s="1">
        <v>45808</v>
      </c>
      <c r="C32">
        <v>355013</v>
      </c>
      <c r="D32">
        <v>9377.9570000000003</v>
      </c>
      <c r="E32" t="s">
        <v>4</v>
      </c>
      <c r="F32" t="s">
        <v>49</v>
      </c>
      <c r="G32" t="s">
        <v>5</v>
      </c>
    </row>
    <row r="33" spans="1:7" x14ac:dyDescent="0.3">
      <c r="A33" t="s">
        <v>10</v>
      </c>
      <c r="B33" s="1">
        <v>45808</v>
      </c>
      <c r="C33">
        <v>372004</v>
      </c>
      <c r="D33">
        <v>106.628</v>
      </c>
      <c r="E33" t="s">
        <v>4</v>
      </c>
      <c r="F33" t="s">
        <v>45</v>
      </c>
      <c r="G33" t="s">
        <v>5</v>
      </c>
    </row>
    <row r="34" spans="1:7" x14ac:dyDescent="0.3">
      <c r="A34" t="s">
        <v>10</v>
      </c>
      <c r="B34" s="1">
        <v>45808</v>
      </c>
      <c r="C34">
        <v>400002</v>
      </c>
      <c r="D34">
        <v>519.03200000000004</v>
      </c>
      <c r="E34" t="s">
        <v>6</v>
      </c>
      <c r="F34" t="s">
        <v>50</v>
      </c>
      <c r="G34" t="s">
        <v>5</v>
      </c>
    </row>
    <row r="35" spans="1:7" x14ac:dyDescent="0.3">
      <c r="A35" t="s">
        <v>10</v>
      </c>
      <c r="B35" s="1">
        <v>45808</v>
      </c>
      <c r="C35">
        <v>400004</v>
      </c>
      <c r="D35">
        <v>-7234.5519999999997</v>
      </c>
      <c r="E35" t="s">
        <v>6</v>
      </c>
      <c r="F35" t="s">
        <v>50</v>
      </c>
      <c r="G35" t="s">
        <v>5</v>
      </c>
    </row>
    <row r="36" spans="1:7" x14ac:dyDescent="0.3">
      <c r="A36" t="s">
        <v>10</v>
      </c>
      <c r="B36" s="1">
        <v>45808</v>
      </c>
      <c r="C36">
        <v>410002</v>
      </c>
      <c r="D36">
        <v>-2031.3869999999999</v>
      </c>
      <c r="E36" t="s">
        <v>6</v>
      </c>
      <c r="F36" t="s">
        <v>51</v>
      </c>
      <c r="G36" t="s">
        <v>5</v>
      </c>
    </row>
    <row r="37" spans="1:7" x14ac:dyDescent="0.3">
      <c r="A37" t="s">
        <v>10</v>
      </c>
      <c r="B37" s="1">
        <v>45808</v>
      </c>
      <c r="C37">
        <v>410037</v>
      </c>
      <c r="D37">
        <v>-1879.941</v>
      </c>
      <c r="E37" t="s">
        <v>6</v>
      </c>
      <c r="F37" t="s">
        <v>51</v>
      </c>
      <c r="G37" t="s">
        <v>5</v>
      </c>
    </row>
    <row r="38" spans="1:7" x14ac:dyDescent="0.3">
      <c r="A38" t="s">
        <v>10</v>
      </c>
      <c r="B38" s="1">
        <v>45808</v>
      </c>
      <c r="C38">
        <v>421002</v>
      </c>
      <c r="D38">
        <v>274.44099999999997</v>
      </c>
      <c r="E38" t="s">
        <v>6</v>
      </c>
      <c r="F38" t="s">
        <v>52</v>
      </c>
      <c r="G38" t="s">
        <v>5</v>
      </c>
    </row>
    <row r="39" spans="1:7" x14ac:dyDescent="0.3">
      <c r="A39" t="s">
        <v>10</v>
      </c>
      <c r="B39" s="1">
        <v>45808</v>
      </c>
      <c r="C39">
        <v>421003</v>
      </c>
      <c r="D39">
        <v>7938.2120000000004</v>
      </c>
      <c r="E39" t="s">
        <v>6</v>
      </c>
      <c r="F39" t="s">
        <v>52</v>
      </c>
      <c r="G39" t="s">
        <v>5</v>
      </c>
    </row>
    <row r="40" spans="1:7" x14ac:dyDescent="0.3">
      <c r="A40" t="s">
        <v>10</v>
      </c>
      <c r="B40" s="1">
        <v>45808</v>
      </c>
      <c r="C40">
        <v>421007</v>
      </c>
      <c r="D40">
        <v>231.59399999999999</v>
      </c>
      <c r="E40" t="s">
        <v>6</v>
      </c>
      <c r="F40" t="s">
        <v>52</v>
      </c>
      <c r="G40" t="s">
        <v>5</v>
      </c>
    </row>
    <row r="41" spans="1:7" x14ac:dyDescent="0.3">
      <c r="A41" t="s">
        <v>10</v>
      </c>
      <c r="B41" s="1">
        <v>45808</v>
      </c>
      <c r="C41">
        <v>510002</v>
      </c>
      <c r="D41">
        <v>3152.1170000000002</v>
      </c>
      <c r="E41" t="s">
        <v>6</v>
      </c>
      <c r="F41" t="s">
        <v>53</v>
      </c>
      <c r="G41" t="s">
        <v>5</v>
      </c>
    </row>
    <row r="42" spans="1:7" x14ac:dyDescent="0.3">
      <c r="A42" t="s">
        <v>10</v>
      </c>
      <c r="B42" s="1">
        <v>45808</v>
      </c>
      <c r="C42">
        <v>510005</v>
      </c>
      <c r="D42">
        <v>-183.28299999999999</v>
      </c>
      <c r="E42" t="s">
        <v>6</v>
      </c>
      <c r="F42" t="s">
        <v>53</v>
      </c>
      <c r="G42" t="s">
        <v>5</v>
      </c>
    </row>
    <row r="43" spans="1:7" x14ac:dyDescent="0.3">
      <c r="A43" t="s">
        <v>10</v>
      </c>
      <c r="B43" s="1">
        <v>45808</v>
      </c>
      <c r="C43">
        <v>510007</v>
      </c>
      <c r="D43">
        <v>320.52600000000001</v>
      </c>
      <c r="E43" t="s">
        <v>6</v>
      </c>
      <c r="F43" t="s">
        <v>53</v>
      </c>
      <c r="G43" t="s">
        <v>5</v>
      </c>
    </row>
    <row r="44" spans="1:7" x14ac:dyDescent="0.3">
      <c r="A44" t="s">
        <v>10</v>
      </c>
      <c r="B44" s="1">
        <v>45808</v>
      </c>
      <c r="C44">
        <v>510015</v>
      </c>
      <c r="D44">
        <v>435.71499999999997</v>
      </c>
      <c r="E44" t="s">
        <v>6</v>
      </c>
      <c r="F44" t="s">
        <v>53</v>
      </c>
      <c r="G44" t="s">
        <v>5</v>
      </c>
    </row>
    <row r="45" spans="1:7" x14ac:dyDescent="0.3">
      <c r="A45" t="s">
        <v>10</v>
      </c>
      <c r="B45" s="1">
        <v>45808</v>
      </c>
      <c r="C45">
        <v>546002</v>
      </c>
      <c r="D45">
        <v>6366.4059999999999</v>
      </c>
      <c r="E45" t="s">
        <v>6</v>
      </c>
      <c r="F45" t="s">
        <v>51</v>
      </c>
      <c r="G45" t="s">
        <v>5</v>
      </c>
    </row>
    <row r="46" spans="1:7" x14ac:dyDescent="0.3">
      <c r="A46" t="s">
        <v>10</v>
      </c>
      <c r="B46" s="1">
        <v>45808</v>
      </c>
      <c r="C46">
        <v>547002</v>
      </c>
      <c r="D46">
        <v>1192.9680000000001</v>
      </c>
      <c r="E46" t="s">
        <v>6</v>
      </c>
      <c r="F46" t="s">
        <v>54</v>
      </c>
      <c r="G46" t="s">
        <v>5</v>
      </c>
    </row>
    <row r="47" spans="1:7" x14ac:dyDescent="0.3">
      <c r="A47" t="s">
        <v>10</v>
      </c>
      <c r="B47" s="1">
        <v>45808</v>
      </c>
      <c r="C47">
        <v>547011</v>
      </c>
      <c r="D47">
        <v>127.235</v>
      </c>
      <c r="E47" t="s">
        <v>6</v>
      </c>
      <c r="F47" t="s">
        <v>54</v>
      </c>
      <c r="G47" t="s">
        <v>5</v>
      </c>
    </row>
    <row r="48" spans="1:7" x14ac:dyDescent="0.3">
      <c r="A48" t="s">
        <v>10</v>
      </c>
      <c r="B48" s="1">
        <v>45808</v>
      </c>
      <c r="C48">
        <v>552502</v>
      </c>
      <c r="D48">
        <v>18.52</v>
      </c>
      <c r="E48" t="s">
        <v>6</v>
      </c>
      <c r="F48" t="s">
        <v>55</v>
      </c>
      <c r="G48" t="s">
        <v>5</v>
      </c>
    </row>
    <row r="49" spans="1:7" x14ac:dyDescent="0.3">
      <c r="A49" t="s">
        <v>10</v>
      </c>
      <c r="B49" s="1">
        <v>45808</v>
      </c>
      <c r="C49">
        <v>557002</v>
      </c>
      <c r="D49">
        <v>354.59199999999998</v>
      </c>
      <c r="E49" t="s">
        <v>6</v>
      </c>
      <c r="F49" t="s">
        <v>56</v>
      </c>
      <c r="G49" t="s">
        <v>5</v>
      </c>
    </row>
    <row r="50" spans="1:7" x14ac:dyDescent="0.3">
      <c r="A50" t="s">
        <v>10</v>
      </c>
      <c r="B50" s="1">
        <v>45808</v>
      </c>
      <c r="C50">
        <v>564006</v>
      </c>
      <c r="D50">
        <v>-2E-3</v>
      </c>
      <c r="E50" t="s">
        <v>6</v>
      </c>
      <c r="F50" t="s">
        <v>57</v>
      </c>
      <c r="G50" t="s">
        <v>5</v>
      </c>
    </row>
    <row r="51" spans="1:7" x14ac:dyDescent="0.3">
      <c r="A51" t="s">
        <v>10</v>
      </c>
      <c r="B51" s="1">
        <v>45808</v>
      </c>
      <c r="C51">
        <v>564021</v>
      </c>
      <c r="D51">
        <v>25.452000000000002</v>
      </c>
      <c r="E51" t="s">
        <v>6</v>
      </c>
      <c r="F51" t="s">
        <v>57</v>
      </c>
      <c r="G51" t="s">
        <v>5</v>
      </c>
    </row>
    <row r="52" spans="1:7" x14ac:dyDescent="0.3">
      <c r="A52" t="s">
        <v>11</v>
      </c>
      <c r="B52" s="1">
        <v>45808</v>
      </c>
      <c r="C52">
        <v>210002</v>
      </c>
      <c r="D52">
        <v>-9.5000000000000001E-2</v>
      </c>
      <c r="E52" t="s">
        <v>4</v>
      </c>
      <c r="F52" t="s">
        <v>42</v>
      </c>
      <c r="G52" t="s">
        <v>7</v>
      </c>
    </row>
    <row r="53" spans="1:7" x14ac:dyDescent="0.3">
      <c r="A53" t="s">
        <v>11</v>
      </c>
      <c r="B53" s="1">
        <v>45808</v>
      </c>
      <c r="C53">
        <v>220006</v>
      </c>
      <c r="D53">
        <v>-1760099.5149999999</v>
      </c>
      <c r="E53" t="s">
        <v>4</v>
      </c>
      <c r="F53" t="s">
        <v>42</v>
      </c>
      <c r="G53" t="s">
        <v>7</v>
      </c>
    </row>
    <row r="54" spans="1:7" x14ac:dyDescent="0.3">
      <c r="A54" t="s">
        <v>11</v>
      </c>
      <c r="B54" s="1">
        <v>45808</v>
      </c>
      <c r="C54">
        <v>240002</v>
      </c>
      <c r="D54">
        <v>371.48500000000001</v>
      </c>
      <c r="E54" t="s">
        <v>4</v>
      </c>
      <c r="F54" t="s">
        <v>43</v>
      </c>
      <c r="G54" t="s">
        <v>7</v>
      </c>
    </row>
    <row r="55" spans="1:7" x14ac:dyDescent="0.3">
      <c r="A55" t="s">
        <v>11</v>
      </c>
      <c r="B55" s="1">
        <v>45808</v>
      </c>
      <c r="C55">
        <v>240003</v>
      </c>
      <c r="D55">
        <v>0.14399999999999999</v>
      </c>
      <c r="E55" t="s">
        <v>4</v>
      </c>
      <c r="F55" t="s">
        <v>43</v>
      </c>
      <c r="G55" t="s">
        <v>7</v>
      </c>
    </row>
    <row r="56" spans="1:7" x14ac:dyDescent="0.3">
      <c r="A56" t="s">
        <v>11</v>
      </c>
      <c r="B56" s="1">
        <v>45808</v>
      </c>
      <c r="C56">
        <v>240009</v>
      </c>
      <c r="D56">
        <v>-951.36400000000003</v>
      </c>
      <c r="E56" t="s">
        <v>4</v>
      </c>
      <c r="F56" t="s">
        <v>43</v>
      </c>
      <c r="G56" t="s">
        <v>7</v>
      </c>
    </row>
    <row r="57" spans="1:7" x14ac:dyDescent="0.3">
      <c r="A57" t="s">
        <v>11</v>
      </c>
      <c r="B57" s="1">
        <v>45808</v>
      </c>
      <c r="C57">
        <v>242003</v>
      </c>
      <c r="D57">
        <v>-149373.96900000001</v>
      </c>
      <c r="E57" t="s">
        <v>4</v>
      </c>
      <c r="F57" t="s">
        <v>43</v>
      </c>
      <c r="G57" t="s">
        <v>7</v>
      </c>
    </row>
    <row r="58" spans="1:7" x14ac:dyDescent="0.3">
      <c r="A58" t="s">
        <v>11</v>
      </c>
      <c r="B58" s="1">
        <v>45808</v>
      </c>
      <c r="C58">
        <v>242011</v>
      </c>
      <c r="D58">
        <v>-29915.377</v>
      </c>
      <c r="E58" t="s">
        <v>4</v>
      </c>
      <c r="F58" t="s">
        <v>43</v>
      </c>
      <c r="G58" t="s">
        <v>7</v>
      </c>
    </row>
    <row r="59" spans="1:7" x14ac:dyDescent="0.3">
      <c r="A59" t="s">
        <v>11</v>
      </c>
      <c r="B59" s="1">
        <v>45808</v>
      </c>
      <c r="C59">
        <v>242012</v>
      </c>
      <c r="D59">
        <v>-46300.514000000003</v>
      </c>
      <c r="E59" t="s">
        <v>4</v>
      </c>
      <c r="F59" t="s">
        <v>43</v>
      </c>
      <c r="G59" t="s">
        <v>7</v>
      </c>
    </row>
    <row r="60" spans="1:7" x14ac:dyDescent="0.3">
      <c r="A60" t="s">
        <v>11</v>
      </c>
      <c r="B60" s="1">
        <v>45808</v>
      </c>
      <c r="C60">
        <v>242013</v>
      </c>
      <c r="D60">
        <v>-11744.576999999999</v>
      </c>
      <c r="E60" t="s">
        <v>4</v>
      </c>
      <c r="F60" t="s">
        <v>43</v>
      </c>
      <c r="G60" t="s">
        <v>7</v>
      </c>
    </row>
    <row r="61" spans="1:7" x14ac:dyDescent="0.3">
      <c r="A61" t="s">
        <v>11</v>
      </c>
      <c r="B61" s="1">
        <v>45808</v>
      </c>
      <c r="C61">
        <v>242018</v>
      </c>
      <c r="D61">
        <v>-8107.1689999999999</v>
      </c>
      <c r="E61" t="s">
        <v>4</v>
      </c>
      <c r="F61" t="s">
        <v>43</v>
      </c>
      <c r="G61" t="s">
        <v>7</v>
      </c>
    </row>
    <row r="62" spans="1:7" x14ac:dyDescent="0.3">
      <c r="A62" t="s">
        <v>11</v>
      </c>
      <c r="B62" s="1">
        <v>45808</v>
      </c>
      <c r="C62">
        <v>242023</v>
      </c>
      <c r="D62">
        <v>-1247.7070000000001</v>
      </c>
      <c r="E62" t="s">
        <v>4</v>
      </c>
      <c r="F62" t="s">
        <v>43</v>
      </c>
      <c r="G62" t="s">
        <v>7</v>
      </c>
    </row>
    <row r="63" spans="1:7" x14ac:dyDescent="0.3">
      <c r="A63" t="s">
        <v>11</v>
      </c>
      <c r="B63" s="1">
        <v>45808</v>
      </c>
      <c r="C63">
        <v>242027</v>
      </c>
      <c r="D63">
        <v>-69797.562999999995</v>
      </c>
      <c r="E63" t="s">
        <v>4</v>
      </c>
      <c r="F63" t="s">
        <v>43</v>
      </c>
      <c r="G63" t="s">
        <v>7</v>
      </c>
    </row>
    <row r="64" spans="1:7" x14ac:dyDescent="0.3">
      <c r="A64" t="s">
        <v>11</v>
      </c>
      <c r="B64" s="1">
        <v>45808</v>
      </c>
      <c r="C64">
        <v>242030</v>
      </c>
      <c r="D64">
        <v>-16715.175999999999</v>
      </c>
      <c r="E64" t="s">
        <v>4</v>
      </c>
      <c r="F64" t="s">
        <v>43</v>
      </c>
      <c r="G64" t="s">
        <v>7</v>
      </c>
    </row>
    <row r="65" spans="1:7" x14ac:dyDescent="0.3">
      <c r="A65" t="s">
        <v>11</v>
      </c>
      <c r="B65" s="1">
        <v>45808</v>
      </c>
      <c r="C65">
        <v>242038</v>
      </c>
      <c r="D65">
        <v>-2.6269999999999998</v>
      </c>
      <c r="E65" t="s">
        <v>4</v>
      </c>
      <c r="F65" t="s">
        <v>43</v>
      </c>
      <c r="G65" t="s">
        <v>7</v>
      </c>
    </row>
    <row r="66" spans="1:7" x14ac:dyDescent="0.3">
      <c r="A66" t="s">
        <v>11</v>
      </c>
      <c r="B66" s="1">
        <v>45808</v>
      </c>
      <c r="C66">
        <v>242041</v>
      </c>
      <c r="D66">
        <v>3836.3420000000001</v>
      </c>
      <c r="E66" t="s">
        <v>4</v>
      </c>
      <c r="F66" t="s">
        <v>43</v>
      </c>
      <c r="G66" t="s">
        <v>7</v>
      </c>
    </row>
    <row r="67" spans="1:7" x14ac:dyDescent="0.3">
      <c r="A67" t="s">
        <v>11</v>
      </c>
      <c r="B67" s="1">
        <v>45808</v>
      </c>
      <c r="C67">
        <v>243002</v>
      </c>
      <c r="D67">
        <v>-8716.74</v>
      </c>
      <c r="E67" t="s">
        <v>4</v>
      </c>
      <c r="F67" t="s">
        <v>43</v>
      </c>
      <c r="G67" t="s">
        <v>7</v>
      </c>
    </row>
    <row r="68" spans="1:7" x14ac:dyDescent="0.3">
      <c r="A68" t="s">
        <v>11</v>
      </c>
      <c r="B68" s="1">
        <v>45808</v>
      </c>
      <c r="C68">
        <v>243003</v>
      </c>
      <c r="D68">
        <v>-4803.6540000000005</v>
      </c>
      <c r="E68" t="s">
        <v>4</v>
      </c>
      <c r="F68" t="s">
        <v>43</v>
      </c>
      <c r="G68" t="s">
        <v>7</v>
      </c>
    </row>
    <row r="69" spans="1:7" x14ac:dyDescent="0.3">
      <c r="A69" t="s">
        <v>11</v>
      </c>
      <c r="B69" s="1">
        <v>45808</v>
      </c>
      <c r="C69">
        <v>245010</v>
      </c>
      <c r="D69">
        <v>-18907.594000000001</v>
      </c>
      <c r="E69" t="s">
        <v>4</v>
      </c>
      <c r="F69" t="s">
        <v>44</v>
      </c>
      <c r="G69" t="s">
        <v>7</v>
      </c>
    </row>
    <row r="70" spans="1:7" x14ac:dyDescent="0.3">
      <c r="A70" t="s">
        <v>11</v>
      </c>
      <c r="B70" s="1">
        <v>45808</v>
      </c>
      <c r="C70">
        <v>245018</v>
      </c>
      <c r="D70">
        <v>-2735.0619999999999</v>
      </c>
      <c r="E70" t="s">
        <v>4</v>
      </c>
      <c r="F70" t="s">
        <v>43</v>
      </c>
      <c r="G70" t="s">
        <v>7</v>
      </c>
    </row>
    <row r="71" spans="1:7" x14ac:dyDescent="0.3">
      <c r="A71" t="s">
        <v>11</v>
      </c>
      <c r="B71" s="1">
        <v>45808</v>
      </c>
      <c r="C71">
        <v>245055</v>
      </c>
      <c r="D71">
        <v>-3913.63</v>
      </c>
      <c r="E71" t="s">
        <v>4</v>
      </c>
      <c r="F71" t="s">
        <v>43</v>
      </c>
      <c r="G71" t="s">
        <v>7</v>
      </c>
    </row>
    <row r="72" spans="1:7" x14ac:dyDescent="0.3">
      <c r="A72" t="s">
        <v>11</v>
      </c>
      <c r="B72" s="1">
        <v>45808</v>
      </c>
      <c r="C72">
        <v>245056</v>
      </c>
      <c r="D72">
        <v>-1030.96</v>
      </c>
      <c r="E72" t="s">
        <v>4</v>
      </c>
      <c r="F72" t="s">
        <v>49</v>
      </c>
      <c r="G72" t="s">
        <v>7</v>
      </c>
    </row>
    <row r="73" spans="1:7" x14ac:dyDescent="0.3">
      <c r="A73" t="s">
        <v>11</v>
      </c>
      <c r="B73" s="1">
        <v>45808</v>
      </c>
      <c r="C73">
        <v>245062</v>
      </c>
      <c r="D73">
        <v>-10375.144</v>
      </c>
      <c r="E73" t="s">
        <v>4</v>
      </c>
      <c r="F73" t="s">
        <v>43</v>
      </c>
      <c r="G73" t="s">
        <v>7</v>
      </c>
    </row>
    <row r="74" spans="1:7" x14ac:dyDescent="0.3">
      <c r="A74" t="s">
        <v>11</v>
      </c>
      <c r="B74" s="1">
        <v>45808</v>
      </c>
      <c r="C74">
        <v>250003</v>
      </c>
      <c r="D74">
        <v>-54.241</v>
      </c>
      <c r="E74" t="s">
        <v>4</v>
      </c>
      <c r="F74" t="s">
        <v>45</v>
      </c>
      <c r="G74" t="s">
        <v>7</v>
      </c>
    </row>
    <row r="75" spans="1:7" x14ac:dyDescent="0.3">
      <c r="A75" t="s">
        <v>11</v>
      </c>
      <c r="B75" s="1">
        <v>45808</v>
      </c>
      <c r="C75">
        <v>251002</v>
      </c>
      <c r="D75">
        <v>0.18</v>
      </c>
      <c r="E75" t="s">
        <v>4</v>
      </c>
      <c r="F75" t="s">
        <v>45</v>
      </c>
      <c r="G75" t="s">
        <v>7</v>
      </c>
    </row>
    <row r="76" spans="1:7" x14ac:dyDescent="0.3">
      <c r="A76" t="s">
        <v>11</v>
      </c>
      <c r="B76" s="1">
        <v>45808</v>
      </c>
      <c r="C76">
        <v>251003</v>
      </c>
      <c r="D76">
        <v>-9957.6280000000006</v>
      </c>
      <c r="E76" t="s">
        <v>4</v>
      </c>
      <c r="F76" t="s">
        <v>45</v>
      </c>
      <c r="G76" t="s">
        <v>7</v>
      </c>
    </row>
    <row r="77" spans="1:7" x14ac:dyDescent="0.3">
      <c r="A77" t="s">
        <v>11</v>
      </c>
      <c r="B77" s="1">
        <v>45808</v>
      </c>
      <c r="C77">
        <v>256040</v>
      </c>
      <c r="D77">
        <v>1059895.9580000001</v>
      </c>
      <c r="E77" t="s">
        <v>4</v>
      </c>
      <c r="F77" t="s">
        <v>43</v>
      </c>
      <c r="G77" t="s">
        <v>7</v>
      </c>
    </row>
    <row r="78" spans="1:7" x14ac:dyDescent="0.3">
      <c r="A78" t="s">
        <v>11</v>
      </c>
      <c r="B78" s="1">
        <v>45808</v>
      </c>
      <c r="C78">
        <v>256041</v>
      </c>
      <c r="D78">
        <v>5593.8950000000004</v>
      </c>
      <c r="E78" t="s">
        <v>4</v>
      </c>
      <c r="F78" t="s">
        <v>43</v>
      </c>
      <c r="G78" t="s">
        <v>7</v>
      </c>
    </row>
    <row r="79" spans="1:7" x14ac:dyDescent="0.3">
      <c r="A79" t="s">
        <v>11</v>
      </c>
      <c r="B79" s="1">
        <v>45808</v>
      </c>
      <c r="C79">
        <v>260004</v>
      </c>
      <c r="D79">
        <v>0.20399999999999999</v>
      </c>
      <c r="E79" t="s">
        <v>4</v>
      </c>
      <c r="F79" t="s">
        <v>45</v>
      </c>
      <c r="G79" t="s">
        <v>7</v>
      </c>
    </row>
    <row r="80" spans="1:7" x14ac:dyDescent="0.3">
      <c r="A80" t="s">
        <v>11</v>
      </c>
      <c r="B80" s="1">
        <v>45808</v>
      </c>
      <c r="C80">
        <v>263002</v>
      </c>
      <c r="D80">
        <v>-28508.196</v>
      </c>
      <c r="E80" t="s">
        <v>4</v>
      </c>
      <c r="F80" t="s">
        <v>45</v>
      </c>
      <c r="G80" t="s">
        <v>7</v>
      </c>
    </row>
    <row r="81" spans="1:7" x14ac:dyDescent="0.3">
      <c r="A81" t="s">
        <v>11</v>
      </c>
      <c r="B81" s="1">
        <v>45808</v>
      </c>
      <c r="C81">
        <v>263003</v>
      </c>
      <c r="D81">
        <v>-1E-3</v>
      </c>
      <c r="E81" t="s">
        <v>4</v>
      </c>
      <c r="F81" t="s">
        <v>45</v>
      </c>
      <c r="G81" t="s">
        <v>7</v>
      </c>
    </row>
    <row r="82" spans="1:7" x14ac:dyDescent="0.3">
      <c r="A82" t="s">
        <v>11</v>
      </c>
      <c r="B82" s="1">
        <v>45808</v>
      </c>
      <c r="C82">
        <v>263005</v>
      </c>
      <c r="D82">
        <v>400.71800000000002</v>
      </c>
      <c r="E82" t="s">
        <v>4</v>
      </c>
      <c r="F82" t="s">
        <v>45</v>
      </c>
      <c r="G82" t="s">
        <v>7</v>
      </c>
    </row>
    <row r="83" spans="1:7" x14ac:dyDescent="0.3">
      <c r="A83" t="s">
        <v>11</v>
      </c>
      <c r="B83" s="1">
        <v>45808</v>
      </c>
      <c r="C83">
        <v>270026</v>
      </c>
      <c r="D83">
        <v>-67084.918000000005</v>
      </c>
      <c r="E83" t="s">
        <v>4</v>
      </c>
      <c r="F83" t="s">
        <v>58</v>
      </c>
      <c r="G83" t="s">
        <v>7</v>
      </c>
    </row>
    <row r="84" spans="1:7" x14ac:dyDescent="0.3">
      <c r="A84" t="s">
        <v>11</v>
      </c>
      <c r="B84" s="1">
        <v>45808</v>
      </c>
      <c r="C84">
        <v>320003</v>
      </c>
      <c r="D84">
        <v>218457.17600000001</v>
      </c>
      <c r="E84" t="s">
        <v>4</v>
      </c>
      <c r="F84" t="s">
        <v>46</v>
      </c>
      <c r="G84" t="s">
        <v>7</v>
      </c>
    </row>
    <row r="85" spans="1:7" x14ac:dyDescent="0.3">
      <c r="A85" t="s">
        <v>11</v>
      </c>
      <c r="B85" s="1">
        <v>45808</v>
      </c>
      <c r="C85">
        <v>320004</v>
      </c>
      <c r="D85">
        <v>225.95500000000001</v>
      </c>
      <c r="E85" t="s">
        <v>4</v>
      </c>
      <c r="F85" t="s">
        <v>46</v>
      </c>
      <c r="G85" t="s">
        <v>7</v>
      </c>
    </row>
    <row r="86" spans="1:7" x14ac:dyDescent="0.3">
      <c r="A86" t="s">
        <v>11</v>
      </c>
      <c r="B86" s="1">
        <v>45808</v>
      </c>
      <c r="C86">
        <v>320023</v>
      </c>
      <c r="D86">
        <v>-12985.081</v>
      </c>
      <c r="E86" t="s">
        <v>4</v>
      </c>
      <c r="F86" t="s">
        <v>46</v>
      </c>
      <c r="G86" t="s">
        <v>7</v>
      </c>
    </row>
    <row r="87" spans="1:7" x14ac:dyDescent="0.3">
      <c r="A87" t="s">
        <v>11</v>
      </c>
      <c r="B87" s="1">
        <v>45808</v>
      </c>
      <c r="C87">
        <v>321002</v>
      </c>
      <c r="D87">
        <v>214656.696</v>
      </c>
      <c r="E87" t="s">
        <v>4</v>
      </c>
      <c r="F87" t="s">
        <v>46</v>
      </c>
      <c r="G87" t="s">
        <v>7</v>
      </c>
    </row>
    <row r="88" spans="1:7" x14ac:dyDescent="0.3">
      <c r="A88" t="s">
        <v>11</v>
      </c>
      <c r="B88" s="1">
        <v>45808</v>
      </c>
      <c r="C88">
        <v>321010</v>
      </c>
      <c r="D88">
        <v>11.401999999999999</v>
      </c>
      <c r="E88" t="s">
        <v>4</v>
      </c>
      <c r="F88" t="s">
        <v>46</v>
      </c>
      <c r="G88" t="s">
        <v>7</v>
      </c>
    </row>
    <row r="89" spans="1:7" x14ac:dyDescent="0.3">
      <c r="A89" t="s">
        <v>11</v>
      </c>
      <c r="B89" s="1">
        <v>45808</v>
      </c>
      <c r="C89">
        <v>321012</v>
      </c>
      <c r="D89">
        <v>19435.434000000001</v>
      </c>
      <c r="E89" t="s">
        <v>4</v>
      </c>
      <c r="F89" t="s">
        <v>46</v>
      </c>
      <c r="G89" t="s">
        <v>7</v>
      </c>
    </row>
    <row r="90" spans="1:7" x14ac:dyDescent="0.3">
      <c r="A90" t="s">
        <v>11</v>
      </c>
      <c r="B90" s="1">
        <v>45808</v>
      </c>
      <c r="C90">
        <v>321013</v>
      </c>
      <c r="D90">
        <v>20312.552</v>
      </c>
      <c r="E90" t="s">
        <v>4</v>
      </c>
      <c r="F90" t="s">
        <v>46</v>
      </c>
      <c r="G90" t="s">
        <v>7</v>
      </c>
    </row>
    <row r="91" spans="1:7" x14ac:dyDescent="0.3">
      <c r="A91" t="s">
        <v>11</v>
      </c>
      <c r="B91" s="1">
        <v>45808</v>
      </c>
      <c r="C91">
        <v>321021</v>
      </c>
      <c r="D91">
        <v>24989.346000000001</v>
      </c>
      <c r="E91" t="s">
        <v>4</v>
      </c>
      <c r="F91" t="s">
        <v>46</v>
      </c>
      <c r="G91" t="s">
        <v>7</v>
      </c>
    </row>
    <row r="92" spans="1:7" x14ac:dyDescent="0.3">
      <c r="A92" t="s">
        <v>11</v>
      </c>
      <c r="B92" s="1">
        <v>45808</v>
      </c>
      <c r="C92">
        <v>321025</v>
      </c>
      <c r="D92">
        <v>17862.887999999999</v>
      </c>
      <c r="E92" t="s">
        <v>4</v>
      </c>
      <c r="F92" t="s">
        <v>46</v>
      </c>
      <c r="G92" t="s">
        <v>7</v>
      </c>
    </row>
    <row r="93" spans="1:7" x14ac:dyDescent="0.3">
      <c r="A93" t="s">
        <v>11</v>
      </c>
      <c r="B93" s="1">
        <v>45808</v>
      </c>
      <c r="C93">
        <v>321029</v>
      </c>
      <c r="D93">
        <v>107229.05499999999</v>
      </c>
      <c r="E93" t="s">
        <v>4</v>
      </c>
      <c r="F93" t="s">
        <v>46</v>
      </c>
      <c r="G93" t="s">
        <v>7</v>
      </c>
    </row>
    <row r="94" spans="1:7" x14ac:dyDescent="0.3">
      <c r="A94" t="s">
        <v>11</v>
      </c>
      <c r="B94" s="1">
        <v>45808</v>
      </c>
      <c r="C94">
        <v>321031</v>
      </c>
      <c r="D94">
        <v>11.401999999999999</v>
      </c>
      <c r="E94" t="s">
        <v>4</v>
      </c>
      <c r="F94" t="s">
        <v>46</v>
      </c>
      <c r="G94" t="s">
        <v>7</v>
      </c>
    </row>
    <row r="95" spans="1:7" x14ac:dyDescent="0.3">
      <c r="A95" t="s">
        <v>11</v>
      </c>
      <c r="B95" s="1">
        <v>45808</v>
      </c>
      <c r="C95">
        <v>321041</v>
      </c>
      <c r="D95">
        <v>3924.8679999999999</v>
      </c>
      <c r="E95" t="s">
        <v>4</v>
      </c>
      <c r="F95" t="s">
        <v>46</v>
      </c>
      <c r="G95" t="s">
        <v>7</v>
      </c>
    </row>
    <row r="96" spans="1:7" x14ac:dyDescent="0.3">
      <c r="A96" t="s">
        <v>11</v>
      </c>
      <c r="B96" s="1">
        <v>45808</v>
      </c>
      <c r="C96">
        <v>321042</v>
      </c>
      <c r="D96">
        <v>-130.20500000000001</v>
      </c>
      <c r="E96" t="s">
        <v>4</v>
      </c>
      <c r="F96" t="s">
        <v>46</v>
      </c>
      <c r="G96" t="s">
        <v>7</v>
      </c>
    </row>
    <row r="97" spans="1:7" x14ac:dyDescent="0.3">
      <c r="A97" t="s">
        <v>11</v>
      </c>
      <c r="B97" s="1">
        <v>45808</v>
      </c>
      <c r="C97">
        <v>330033</v>
      </c>
      <c r="D97">
        <v>-32.691000000000003</v>
      </c>
      <c r="E97" t="s">
        <v>4</v>
      </c>
      <c r="F97" t="s">
        <v>43</v>
      </c>
      <c r="G97" t="s">
        <v>7</v>
      </c>
    </row>
    <row r="98" spans="1:7" x14ac:dyDescent="0.3">
      <c r="A98" t="s">
        <v>11</v>
      </c>
      <c r="B98" s="1">
        <v>45808</v>
      </c>
      <c r="C98">
        <v>330054</v>
      </c>
      <c r="D98">
        <v>-71.84</v>
      </c>
      <c r="E98" t="s">
        <v>4</v>
      </c>
      <c r="F98" t="s">
        <v>43</v>
      </c>
      <c r="G98" t="s">
        <v>7</v>
      </c>
    </row>
    <row r="99" spans="1:7" x14ac:dyDescent="0.3">
      <c r="A99" t="s">
        <v>11</v>
      </c>
      <c r="B99" s="1">
        <v>45808</v>
      </c>
      <c r="C99">
        <v>330106</v>
      </c>
      <c r="D99">
        <v>4004.337</v>
      </c>
      <c r="E99" t="s">
        <v>4</v>
      </c>
      <c r="F99" t="s">
        <v>43</v>
      </c>
      <c r="G99" t="s">
        <v>7</v>
      </c>
    </row>
    <row r="100" spans="1:7" x14ac:dyDescent="0.3">
      <c r="A100" t="s">
        <v>11</v>
      </c>
      <c r="B100" s="1">
        <v>45808</v>
      </c>
      <c r="C100">
        <v>340096</v>
      </c>
      <c r="D100">
        <v>490190.038</v>
      </c>
      <c r="E100" t="s">
        <v>4</v>
      </c>
      <c r="F100" t="s">
        <v>47</v>
      </c>
      <c r="G100" t="s">
        <v>7</v>
      </c>
    </row>
    <row r="101" spans="1:7" x14ac:dyDescent="0.3">
      <c r="A101" t="s">
        <v>11</v>
      </c>
      <c r="B101" s="1">
        <v>45808</v>
      </c>
      <c r="C101">
        <v>340111</v>
      </c>
      <c r="D101">
        <v>153294.908</v>
      </c>
      <c r="E101" t="s">
        <v>4</v>
      </c>
      <c r="F101" t="s">
        <v>47</v>
      </c>
      <c r="G101" t="s">
        <v>7</v>
      </c>
    </row>
    <row r="102" spans="1:7" x14ac:dyDescent="0.3">
      <c r="A102" t="s">
        <v>11</v>
      </c>
      <c r="B102" s="1">
        <v>45808</v>
      </c>
      <c r="C102">
        <v>340133</v>
      </c>
      <c r="D102">
        <v>7101370.2860000003</v>
      </c>
      <c r="E102" t="s">
        <v>4</v>
      </c>
      <c r="F102" t="s">
        <v>47</v>
      </c>
      <c r="G102" t="s">
        <v>7</v>
      </c>
    </row>
    <row r="103" spans="1:7" x14ac:dyDescent="0.3">
      <c r="A103" t="s">
        <v>11</v>
      </c>
      <c r="B103" s="1">
        <v>45808</v>
      </c>
      <c r="C103">
        <v>340134</v>
      </c>
      <c r="D103">
        <v>-7347970.0930000003</v>
      </c>
      <c r="E103" t="s">
        <v>4</v>
      </c>
      <c r="F103" t="s">
        <v>47</v>
      </c>
      <c r="G103" t="s">
        <v>7</v>
      </c>
    </row>
    <row r="104" spans="1:7" x14ac:dyDescent="0.3">
      <c r="A104" t="s">
        <v>11</v>
      </c>
      <c r="B104" s="1">
        <v>45808</v>
      </c>
      <c r="C104">
        <v>340143</v>
      </c>
      <c r="D104">
        <v>1141359.0149999999</v>
      </c>
      <c r="E104" t="s">
        <v>4</v>
      </c>
      <c r="F104" t="s">
        <v>47</v>
      </c>
      <c r="G104" t="s">
        <v>7</v>
      </c>
    </row>
    <row r="105" spans="1:7" x14ac:dyDescent="0.3">
      <c r="A105" t="s">
        <v>11</v>
      </c>
      <c r="B105" s="1">
        <v>45808</v>
      </c>
      <c r="C105">
        <v>340144</v>
      </c>
      <c r="D105">
        <v>-1285356.5179999999</v>
      </c>
      <c r="E105" t="s">
        <v>4</v>
      </c>
      <c r="F105" t="s">
        <v>47</v>
      </c>
      <c r="G105" t="s">
        <v>7</v>
      </c>
    </row>
    <row r="106" spans="1:7" x14ac:dyDescent="0.3">
      <c r="A106" t="s">
        <v>11</v>
      </c>
      <c r="B106" s="1">
        <v>45808</v>
      </c>
      <c r="C106">
        <v>340317</v>
      </c>
      <c r="D106">
        <v>735642.30099999998</v>
      </c>
      <c r="E106" t="s">
        <v>4</v>
      </c>
      <c r="F106" t="s">
        <v>47</v>
      </c>
      <c r="G106" t="s">
        <v>7</v>
      </c>
    </row>
    <row r="107" spans="1:7" x14ac:dyDescent="0.3">
      <c r="A107" t="s">
        <v>11</v>
      </c>
      <c r="B107" s="1">
        <v>45808</v>
      </c>
      <c r="C107">
        <v>340318</v>
      </c>
      <c r="D107">
        <v>-707161.13199999998</v>
      </c>
      <c r="E107" t="s">
        <v>4</v>
      </c>
      <c r="F107" t="s">
        <v>47</v>
      </c>
      <c r="G107" t="s">
        <v>7</v>
      </c>
    </row>
    <row r="108" spans="1:7" x14ac:dyDescent="0.3">
      <c r="A108" t="s">
        <v>11</v>
      </c>
      <c r="B108" s="1">
        <v>45808</v>
      </c>
      <c r="C108">
        <v>340319</v>
      </c>
      <c r="D108">
        <v>1375364.3840000001</v>
      </c>
      <c r="E108" t="s">
        <v>4</v>
      </c>
      <c r="F108" t="s">
        <v>47</v>
      </c>
      <c r="G108" t="s">
        <v>7</v>
      </c>
    </row>
    <row r="109" spans="1:7" x14ac:dyDescent="0.3">
      <c r="A109" t="s">
        <v>11</v>
      </c>
      <c r="B109" s="1">
        <v>45808</v>
      </c>
      <c r="C109">
        <v>340320</v>
      </c>
      <c r="D109">
        <v>-1369411.621</v>
      </c>
      <c r="E109" t="s">
        <v>4</v>
      </c>
      <c r="F109" t="s">
        <v>47</v>
      </c>
      <c r="G109" t="s">
        <v>7</v>
      </c>
    </row>
    <row r="110" spans="1:7" x14ac:dyDescent="0.3">
      <c r="A110" t="s">
        <v>11</v>
      </c>
      <c r="B110" s="1">
        <v>45808</v>
      </c>
      <c r="C110">
        <v>345023</v>
      </c>
      <c r="D110">
        <v>26.651</v>
      </c>
      <c r="E110" t="s">
        <v>4</v>
      </c>
      <c r="F110" t="s">
        <v>47</v>
      </c>
      <c r="G110" t="s">
        <v>7</v>
      </c>
    </row>
    <row r="111" spans="1:7" x14ac:dyDescent="0.3">
      <c r="A111" t="s">
        <v>11</v>
      </c>
      <c r="B111" s="1">
        <v>45808</v>
      </c>
      <c r="C111">
        <v>350002</v>
      </c>
      <c r="D111">
        <v>2213.3589999999999</v>
      </c>
      <c r="E111" t="s">
        <v>4</v>
      </c>
      <c r="F111" t="s">
        <v>49</v>
      </c>
      <c r="G111" t="s">
        <v>7</v>
      </c>
    </row>
    <row r="112" spans="1:7" x14ac:dyDescent="0.3">
      <c r="A112" t="s">
        <v>11</v>
      </c>
      <c r="B112" s="1">
        <v>45808</v>
      </c>
      <c r="C112">
        <v>350003</v>
      </c>
      <c r="D112">
        <v>-230.148</v>
      </c>
      <c r="E112" t="s">
        <v>4</v>
      </c>
      <c r="F112" t="s">
        <v>49</v>
      </c>
      <c r="G112" t="s">
        <v>7</v>
      </c>
    </row>
    <row r="113" spans="1:7" x14ac:dyDescent="0.3">
      <c r="A113" t="s">
        <v>11</v>
      </c>
      <c r="B113" s="1">
        <v>45808</v>
      </c>
      <c r="C113">
        <v>350031</v>
      </c>
      <c r="D113">
        <v>951.36400000000003</v>
      </c>
      <c r="E113" t="s">
        <v>4</v>
      </c>
      <c r="F113" t="s">
        <v>43</v>
      </c>
      <c r="G113" t="s">
        <v>7</v>
      </c>
    </row>
    <row r="114" spans="1:7" x14ac:dyDescent="0.3">
      <c r="A114" t="s">
        <v>11</v>
      </c>
      <c r="B114" s="1">
        <v>45808</v>
      </c>
      <c r="C114">
        <v>350034</v>
      </c>
      <c r="D114">
        <v>1030.96</v>
      </c>
      <c r="E114" t="s">
        <v>4</v>
      </c>
      <c r="F114" t="s">
        <v>49</v>
      </c>
      <c r="G114" t="s">
        <v>7</v>
      </c>
    </row>
    <row r="115" spans="1:7" x14ac:dyDescent="0.3">
      <c r="A115" t="s">
        <v>11</v>
      </c>
      <c r="B115" s="1">
        <v>45808</v>
      </c>
      <c r="C115">
        <v>352002</v>
      </c>
      <c r="D115">
        <v>116.292</v>
      </c>
      <c r="E115" t="s">
        <v>4</v>
      </c>
      <c r="F115" t="s">
        <v>48</v>
      </c>
      <c r="G115" t="s">
        <v>7</v>
      </c>
    </row>
    <row r="116" spans="1:7" x14ac:dyDescent="0.3">
      <c r="A116" t="s">
        <v>11</v>
      </c>
      <c r="B116" s="1">
        <v>45808</v>
      </c>
      <c r="C116">
        <v>354012</v>
      </c>
      <c r="D116">
        <v>22171.356</v>
      </c>
      <c r="E116" t="s">
        <v>4</v>
      </c>
      <c r="F116" t="s">
        <v>46</v>
      </c>
      <c r="G116" t="s">
        <v>7</v>
      </c>
    </row>
    <row r="117" spans="1:7" x14ac:dyDescent="0.3">
      <c r="A117" t="s">
        <v>11</v>
      </c>
      <c r="B117" s="1">
        <v>45808</v>
      </c>
      <c r="C117">
        <v>354014</v>
      </c>
      <c r="D117">
        <v>128334.51700000001</v>
      </c>
      <c r="E117" t="s">
        <v>4</v>
      </c>
      <c r="F117" t="s">
        <v>46</v>
      </c>
      <c r="G117" t="s">
        <v>7</v>
      </c>
    </row>
    <row r="118" spans="1:7" x14ac:dyDescent="0.3">
      <c r="A118" t="s">
        <v>11</v>
      </c>
      <c r="B118" s="1">
        <v>45808</v>
      </c>
      <c r="C118">
        <v>355002</v>
      </c>
      <c r="D118">
        <v>108.29300000000001</v>
      </c>
      <c r="E118" t="s">
        <v>4</v>
      </c>
      <c r="F118" t="s">
        <v>49</v>
      </c>
      <c r="G118" t="s">
        <v>7</v>
      </c>
    </row>
    <row r="119" spans="1:7" x14ac:dyDescent="0.3">
      <c r="A119" t="s">
        <v>11</v>
      </c>
      <c r="B119" s="1">
        <v>45808</v>
      </c>
      <c r="C119">
        <v>355013</v>
      </c>
      <c r="D119">
        <v>1785.2449999999999</v>
      </c>
      <c r="E119" t="s">
        <v>4</v>
      </c>
      <c r="F119" t="s">
        <v>49</v>
      </c>
      <c r="G119" t="s">
        <v>7</v>
      </c>
    </row>
    <row r="120" spans="1:7" x14ac:dyDescent="0.3">
      <c r="A120" t="s">
        <v>11</v>
      </c>
      <c r="B120" s="1">
        <v>45808</v>
      </c>
      <c r="C120">
        <v>355014</v>
      </c>
      <c r="D120">
        <v>455.61799999999999</v>
      </c>
      <c r="E120" t="s">
        <v>4</v>
      </c>
      <c r="F120" t="s">
        <v>49</v>
      </c>
      <c r="G120" t="s">
        <v>7</v>
      </c>
    </row>
    <row r="121" spans="1:7" x14ac:dyDescent="0.3">
      <c r="A121" t="s">
        <v>11</v>
      </c>
      <c r="B121" s="1">
        <v>45808</v>
      </c>
      <c r="C121">
        <v>360022</v>
      </c>
      <c r="D121">
        <v>1.7000000000000001E-2</v>
      </c>
      <c r="E121" t="s">
        <v>4</v>
      </c>
      <c r="F121" t="s">
        <v>58</v>
      </c>
      <c r="G121" t="s">
        <v>7</v>
      </c>
    </row>
    <row r="122" spans="1:7" x14ac:dyDescent="0.3">
      <c r="A122" t="s">
        <v>11</v>
      </c>
      <c r="B122" s="1">
        <v>45808</v>
      </c>
      <c r="C122">
        <v>360026</v>
      </c>
      <c r="D122">
        <v>-106.01300000000001</v>
      </c>
      <c r="E122" t="s">
        <v>4</v>
      </c>
      <c r="F122" t="s">
        <v>58</v>
      </c>
      <c r="G122" t="s">
        <v>7</v>
      </c>
    </row>
    <row r="123" spans="1:7" x14ac:dyDescent="0.3">
      <c r="A123" t="s">
        <v>11</v>
      </c>
      <c r="B123" s="1">
        <v>45808</v>
      </c>
      <c r="C123">
        <v>360028</v>
      </c>
      <c r="D123">
        <v>8618.1329999999998</v>
      </c>
      <c r="E123" t="s">
        <v>4</v>
      </c>
      <c r="F123" t="s">
        <v>58</v>
      </c>
      <c r="G123" t="s">
        <v>7</v>
      </c>
    </row>
    <row r="124" spans="1:7" x14ac:dyDescent="0.3">
      <c r="A124" t="s">
        <v>11</v>
      </c>
      <c r="B124" s="1">
        <v>45808</v>
      </c>
      <c r="C124">
        <v>360030</v>
      </c>
      <c r="D124">
        <v>57675.07</v>
      </c>
      <c r="E124" t="s">
        <v>4</v>
      </c>
      <c r="F124" t="s">
        <v>58</v>
      </c>
      <c r="G124" t="s">
        <v>7</v>
      </c>
    </row>
    <row r="125" spans="1:7" x14ac:dyDescent="0.3">
      <c r="A125" t="s">
        <v>11</v>
      </c>
      <c r="B125" s="1">
        <v>45808</v>
      </c>
      <c r="C125">
        <v>360032</v>
      </c>
      <c r="D125">
        <v>11180.788</v>
      </c>
      <c r="E125" t="s">
        <v>4</v>
      </c>
      <c r="F125" t="s">
        <v>58</v>
      </c>
      <c r="G125" t="s">
        <v>7</v>
      </c>
    </row>
    <row r="126" spans="1:7" x14ac:dyDescent="0.3">
      <c r="A126" t="s">
        <v>11</v>
      </c>
      <c r="B126" s="1">
        <v>45808</v>
      </c>
      <c r="C126">
        <v>364502</v>
      </c>
      <c r="D126">
        <v>1292.7729999999999</v>
      </c>
      <c r="E126" t="s">
        <v>4</v>
      </c>
      <c r="F126" t="s">
        <v>58</v>
      </c>
      <c r="G126" t="s">
        <v>7</v>
      </c>
    </row>
    <row r="127" spans="1:7" x14ac:dyDescent="0.3">
      <c r="A127" t="s">
        <v>11</v>
      </c>
      <c r="B127" s="1">
        <v>45808</v>
      </c>
      <c r="C127">
        <v>372004</v>
      </c>
      <c r="D127">
        <v>2350.549</v>
      </c>
      <c r="E127" t="s">
        <v>4</v>
      </c>
      <c r="F127" t="s">
        <v>45</v>
      </c>
      <c r="G127" t="s">
        <v>7</v>
      </c>
    </row>
    <row r="128" spans="1:7" x14ac:dyDescent="0.3">
      <c r="A128" t="s">
        <v>11</v>
      </c>
      <c r="B128" s="1">
        <v>45808</v>
      </c>
      <c r="C128">
        <v>410002</v>
      </c>
      <c r="D128">
        <v>-44052.142</v>
      </c>
      <c r="E128" t="s">
        <v>6</v>
      </c>
      <c r="F128" t="s">
        <v>51</v>
      </c>
      <c r="G128" t="s">
        <v>7</v>
      </c>
    </row>
    <row r="129" spans="1:7" x14ac:dyDescent="0.3">
      <c r="A129" t="s">
        <v>11</v>
      </c>
      <c r="B129" s="1">
        <v>45808</v>
      </c>
      <c r="C129">
        <v>410006</v>
      </c>
      <c r="D129">
        <v>-1210.5920000000001</v>
      </c>
      <c r="E129" t="s">
        <v>6</v>
      </c>
      <c r="F129" t="s">
        <v>51</v>
      </c>
      <c r="G129" t="s">
        <v>7</v>
      </c>
    </row>
    <row r="130" spans="1:7" x14ac:dyDescent="0.3">
      <c r="A130" t="s">
        <v>11</v>
      </c>
      <c r="B130" s="1">
        <v>45808</v>
      </c>
      <c r="C130">
        <v>410015</v>
      </c>
      <c r="D130">
        <v>-4471.5010000000002</v>
      </c>
      <c r="E130" t="s">
        <v>6</v>
      </c>
      <c r="F130" t="s">
        <v>51</v>
      </c>
      <c r="G130" t="s">
        <v>7</v>
      </c>
    </row>
    <row r="131" spans="1:7" x14ac:dyDescent="0.3">
      <c r="A131" t="s">
        <v>11</v>
      </c>
      <c r="B131" s="1">
        <v>45808</v>
      </c>
      <c r="C131">
        <v>410018</v>
      </c>
      <c r="D131">
        <v>-1321.375</v>
      </c>
      <c r="E131" t="s">
        <v>6</v>
      </c>
      <c r="F131" t="s">
        <v>51</v>
      </c>
      <c r="G131" t="s">
        <v>7</v>
      </c>
    </row>
    <row r="132" spans="1:7" x14ac:dyDescent="0.3">
      <c r="A132" t="s">
        <v>11</v>
      </c>
      <c r="B132" s="1">
        <v>45808</v>
      </c>
      <c r="C132">
        <v>410019</v>
      </c>
      <c r="D132">
        <v>-11.233000000000001</v>
      </c>
      <c r="E132" t="s">
        <v>6</v>
      </c>
      <c r="F132" t="s">
        <v>51</v>
      </c>
      <c r="G132" t="s">
        <v>7</v>
      </c>
    </row>
    <row r="133" spans="1:7" x14ac:dyDescent="0.3">
      <c r="A133" t="s">
        <v>11</v>
      </c>
      <c r="B133" s="1">
        <v>45808</v>
      </c>
      <c r="C133">
        <v>410032</v>
      </c>
      <c r="D133">
        <v>-3303.4639999999999</v>
      </c>
      <c r="E133" t="s">
        <v>6</v>
      </c>
      <c r="F133" t="s">
        <v>51</v>
      </c>
      <c r="G133" t="s">
        <v>7</v>
      </c>
    </row>
    <row r="134" spans="1:7" x14ac:dyDescent="0.3">
      <c r="A134" t="s">
        <v>11</v>
      </c>
      <c r="B134" s="1">
        <v>45808</v>
      </c>
      <c r="C134">
        <v>410037</v>
      </c>
      <c r="D134">
        <v>-24086.82</v>
      </c>
      <c r="E134" t="s">
        <v>6</v>
      </c>
      <c r="F134" t="s">
        <v>51</v>
      </c>
      <c r="G134" t="s">
        <v>7</v>
      </c>
    </row>
    <row r="135" spans="1:7" x14ac:dyDescent="0.3">
      <c r="A135" t="s">
        <v>11</v>
      </c>
      <c r="B135" s="1">
        <v>45808</v>
      </c>
      <c r="C135">
        <v>410039</v>
      </c>
      <c r="D135">
        <v>-11.233000000000001</v>
      </c>
      <c r="E135" t="s">
        <v>6</v>
      </c>
      <c r="F135" t="s">
        <v>51</v>
      </c>
      <c r="G135" t="s">
        <v>7</v>
      </c>
    </row>
    <row r="136" spans="1:7" x14ac:dyDescent="0.3">
      <c r="A136" t="s">
        <v>11</v>
      </c>
      <c r="B136" s="1">
        <v>45808</v>
      </c>
      <c r="C136">
        <v>410046</v>
      </c>
      <c r="D136">
        <v>-1210.5909999999999</v>
      </c>
      <c r="E136" t="s">
        <v>6</v>
      </c>
      <c r="F136" t="s">
        <v>51</v>
      </c>
      <c r="G136" t="s">
        <v>7</v>
      </c>
    </row>
    <row r="137" spans="1:7" x14ac:dyDescent="0.3">
      <c r="A137" t="s">
        <v>11</v>
      </c>
      <c r="B137" s="1">
        <v>45808</v>
      </c>
      <c r="C137">
        <v>415002</v>
      </c>
      <c r="D137">
        <v>-97477.323000000004</v>
      </c>
      <c r="E137" t="s">
        <v>6</v>
      </c>
      <c r="F137" t="s">
        <v>50</v>
      </c>
      <c r="G137" t="s">
        <v>7</v>
      </c>
    </row>
    <row r="138" spans="1:7" x14ac:dyDescent="0.3">
      <c r="A138" t="s">
        <v>11</v>
      </c>
      <c r="B138" s="1">
        <v>45808</v>
      </c>
      <c r="C138">
        <v>415004</v>
      </c>
      <c r="D138">
        <v>-149915.62599999999</v>
      </c>
      <c r="E138" t="s">
        <v>6</v>
      </c>
      <c r="F138" t="s">
        <v>50</v>
      </c>
      <c r="G138" t="s">
        <v>7</v>
      </c>
    </row>
    <row r="139" spans="1:7" x14ac:dyDescent="0.3">
      <c r="A139" t="s">
        <v>11</v>
      </c>
      <c r="B139" s="1">
        <v>45808</v>
      </c>
      <c r="C139">
        <v>420004</v>
      </c>
      <c r="D139">
        <v>-26.254999999999999</v>
      </c>
      <c r="E139" t="s">
        <v>6</v>
      </c>
      <c r="F139" t="s">
        <v>52</v>
      </c>
      <c r="G139" t="s">
        <v>7</v>
      </c>
    </row>
    <row r="140" spans="1:7" x14ac:dyDescent="0.3">
      <c r="A140" t="s">
        <v>11</v>
      </c>
      <c r="B140" s="1">
        <v>45808</v>
      </c>
      <c r="C140">
        <v>420005</v>
      </c>
      <c r="D140">
        <v>-5558.4059999999999</v>
      </c>
      <c r="E140" t="s">
        <v>6</v>
      </c>
      <c r="F140" t="s">
        <v>59</v>
      </c>
      <c r="G140" t="s">
        <v>7</v>
      </c>
    </row>
    <row r="141" spans="1:7" x14ac:dyDescent="0.3">
      <c r="A141" t="s">
        <v>11</v>
      </c>
      <c r="B141" s="1">
        <v>45808</v>
      </c>
      <c r="C141">
        <v>421002</v>
      </c>
      <c r="D141">
        <v>173.346</v>
      </c>
      <c r="E141" t="s">
        <v>6</v>
      </c>
      <c r="F141" t="s">
        <v>52</v>
      </c>
      <c r="G141" t="s">
        <v>7</v>
      </c>
    </row>
    <row r="142" spans="1:7" x14ac:dyDescent="0.3">
      <c r="A142" t="s">
        <v>11</v>
      </c>
      <c r="B142" s="1">
        <v>45808</v>
      </c>
      <c r="C142">
        <v>421003</v>
      </c>
      <c r="D142">
        <v>-428.024</v>
      </c>
      <c r="E142" t="s">
        <v>6</v>
      </c>
      <c r="F142" t="s">
        <v>52</v>
      </c>
      <c r="G142" t="s">
        <v>7</v>
      </c>
    </row>
    <row r="143" spans="1:7" x14ac:dyDescent="0.3">
      <c r="A143" t="s">
        <v>11</v>
      </c>
      <c r="B143" s="1">
        <v>45808</v>
      </c>
      <c r="C143">
        <v>421004</v>
      </c>
      <c r="D143">
        <v>41738.57</v>
      </c>
      <c r="E143" t="s">
        <v>6</v>
      </c>
      <c r="F143" t="s">
        <v>52</v>
      </c>
      <c r="G143" t="s">
        <v>7</v>
      </c>
    </row>
    <row r="144" spans="1:7" x14ac:dyDescent="0.3">
      <c r="A144" t="s">
        <v>11</v>
      </c>
      <c r="B144" s="1">
        <v>45808</v>
      </c>
      <c r="C144">
        <v>421007</v>
      </c>
      <c r="D144">
        <v>-418.94</v>
      </c>
      <c r="E144" t="s">
        <v>6</v>
      </c>
      <c r="F144" t="s">
        <v>52</v>
      </c>
      <c r="G144" t="s">
        <v>7</v>
      </c>
    </row>
    <row r="145" spans="1:7" x14ac:dyDescent="0.3">
      <c r="A145" t="s">
        <v>11</v>
      </c>
      <c r="B145" s="1">
        <v>45808</v>
      </c>
      <c r="C145">
        <v>510002</v>
      </c>
      <c r="D145">
        <v>92446.985000000001</v>
      </c>
      <c r="E145" t="s">
        <v>6</v>
      </c>
      <c r="F145" t="s">
        <v>53</v>
      </c>
      <c r="G145" t="s">
        <v>7</v>
      </c>
    </row>
    <row r="146" spans="1:7" x14ac:dyDescent="0.3">
      <c r="A146" t="s">
        <v>11</v>
      </c>
      <c r="B146" s="1">
        <v>45808</v>
      </c>
      <c r="C146">
        <v>510005</v>
      </c>
      <c r="D146">
        <v>6070.0460000000003</v>
      </c>
      <c r="E146" t="s">
        <v>6</v>
      </c>
      <c r="F146" t="s">
        <v>53</v>
      </c>
      <c r="G146" t="s">
        <v>7</v>
      </c>
    </row>
    <row r="147" spans="1:7" x14ac:dyDescent="0.3">
      <c r="A147" t="s">
        <v>11</v>
      </c>
      <c r="B147" s="1">
        <v>45808</v>
      </c>
      <c r="C147">
        <v>510007</v>
      </c>
      <c r="D147">
        <v>10221.022000000001</v>
      </c>
      <c r="E147" t="s">
        <v>6</v>
      </c>
      <c r="F147" t="s">
        <v>53</v>
      </c>
      <c r="G147" t="s">
        <v>7</v>
      </c>
    </row>
    <row r="148" spans="1:7" x14ac:dyDescent="0.3">
      <c r="A148" t="s">
        <v>11</v>
      </c>
      <c r="B148" s="1">
        <v>45808</v>
      </c>
      <c r="C148">
        <v>510012</v>
      </c>
      <c r="D148">
        <v>69.995999999999995</v>
      </c>
      <c r="E148" t="s">
        <v>6</v>
      </c>
      <c r="F148" t="s">
        <v>53</v>
      </c>
      <c r="G148" t="s">
        <v>7</v>
      </c>
    </row>
    <row r="149" spans="1:7" x14ac:dyDescent="0.3">
      <c r="A149" t="s">
        <v>11</v>
      </c>
      <c r="B149" s="1">
        <v>45808</v>
      </c>
      <c r="C149">
        <v>510015</v>
      </c>
      <c r="D149">
        <v>6609.152</v>
      </c>
      <c r="E149" t="s">
        <v>6</v>
      </c>
      <c r="F149" t="s">
        <v>53</v>
      </c>
      <c r="G149" t="s">
        <v>7</v>
      </c>
    </row>
    <row r="150" spans="1:7" x14ac:dyDescent="0.3">
      <c r="A150" t="s">
        <v>11</v>
      </c>
      <c r="B150" s="1">
        <v>45808</v>
      </c>
      <c r="C150">
        <v>510018</v>
      </c>
      <c r="D150">
        <v>3621.8449999999998</v>
      </c>
      <c r="E150" t="s">
        <v>6</v>
      </c>
      <c r="F150" t="s">
        <v>53</v>
      </c>
      <c r="G150" t="s">
        <v>7</v>
      </c>
    </row>
    <row r="151" spans="1:7" x14ac:dyDescent="0.3">
      <c r="A151" t="s">
        <v>11</v>
      </c>
      <c r="B151" s="1">
        <v>45808</v>
      </c>
      <c r="C151">
        <v>510059</v>
      </c>
      <c r="D151">
        <v>178.084</v>
      </c>
      <c r="E151" t="s">
        <v>6</v>
      </c>
      <c r="F151" t="s">
        <v>53</v>
      </c>
      <c r="G151" t="s">
        <v>7</v>
      </c>
    </row>
    <row r="152" spans="1:7" x14ac:dyDescent="0.3">
      <c r="A152" t="s">
        <v>11</v>
      </c>
      <c r="B152" s="1">
        <v>45808</v>
      </c>
      <c r="C152">
        <v>510062</v>
      </c>
      <c r="D152">
        <v>14.037000000000001</v>
      </c>
      <c r="E152" t="s">
        <v>6</v>
      </c>
      <c r="F152" t="s">
        <v>53</v>
      </c>
      <c r="G152" t="s">
        <v>7</v>
      </c>
    </row>
    <row r="153" spans="1:7" x14ac:dyDescent="0.3">
      <c r="A153" t="s">
        <v>11</v>
      </c>
      <c r="B153" s="1">
        <v>45808</v>
      </c>
      <c r="C153">
        <v>510064</v>
      </c>
      <c r="D153">
        <v>99.841999999999999</v>
      </c>
      <c r="E153" t="s">
        <v>6</v>
      </c>
      <c r="F153" t="s">
        <v>53</v>
      </c>
      <c r="G153" t="s">
        <v>7</v>
      </c>
    </row>
    <row r="154" spans="1:7" x14ac:dyDescent="0.3">
      <c r="A154" t="s">
        <v>11</v>
      </c>
      <c r="B154" s="1">
        <v>45808</v>
      </c>
      <c r="C154">
        <v>510065</v>
      </c>
      <c r="D154">
        <v>298.125</v>
      </c>
      <c r="E154" t="s">
        <v>6</v>
      </c>
      <c r="F154" t="s">
        <v>53</v>
      </c>
      <c r="G154" t="s">
        <v>7</v>
      </c>
    </row>
    <row r="155" spans="1:7" x14ac:dyDescent="0.3">
      <c r="A155" t="s">
        <v>11</v>
      </c>
      <c r="B155" s="1">
        <v>45808</v>
      </c>
      <c r="C155">
        <v>520021</v>
      </c>
      <c r="D155">
        <v>108.599</v>
      </c>
      <c r="E155" t="s">
        <v>6</v>
      </c>
      <c r="F155" t="s">
        <v>60</v>
      </c>
      <c r="G155" t="s">
        <v>7</v>
      </c>
    </row>
    <row r="156" spans="1:7" x14ac:dyDescent="0.3">
      <c r="A156" t="s">
        <v>11</v>
      </c>
      <c r="B156" s="1">
        <v>45808</v>
      </c>
      <c r="C156">
        <v>541002</v>
      </c>
      <c r="D156">
        <v>384.625</v>
      </c>
      <c r="E156" t="s">
        <v>6</v>
      </c>
      <c r="F156" t="s">
        <v>61</v>
      </c>
      <c r="G156" t="s">
        <v>7</v>
      </c>
    </row>
    <row r="157" spans="1:7" x14ac:dyDescent="0.3">
      <c r="A157" t="s">
        <v>11</v>
      </c>
      <c r="B157" s="1">
        <v>45808</v>
      </c>
      <c r="C157">
        <v>541009</v>
      </c>
      <c r="D157">
        <v>3419.636</v>
      </c>
      <c r="E157" t="s">
        <v>6</v>
      </c>
      <c r="F157" t="s">
        <v>61</v>
      </c>
      <c r="G157" t="s">
        <v>7</v>
      </c>
    </row>
    <row r="158" spans="1:7" x14ac:dyDescent="0.3">
      <c r="A158" t="s">
        <v>11</v>
      </c>
      <c r="B158" s="1">
        <v>45808</v>
      </c>
      <c r="C158">
        <v>541010</v>
      </c>
      <c r="D158">
        <v>374.226</v>
      </c>
      <c r="E158" t="s">
        <v>6</v>
      </c>
      <c r="F158" t="s">
        <v>61</v>
      </c>
      <c r="G158" t="s">
        <v>7</v>
      </c>
    </row>
    <row r="159" spans="1:7" x14ac:dyDescent="0.3">
      <c r="A159" t="s">
        <v>11</v>
      </c>
      <c r="B159" s="1">
        <v>45808</v>
      </c>
      <c r="C159">
        <v>541013</v>
      </c>
      <c r="D159">
        <v>87.016999999999996</v>
      </c>
      <c r="E159" t="s">
        <v>6</v>
      </c>
      <c r="F159" t="s">
        <v>61</v>
      </c>
      <c r="G159" t="s">
        <v>7</v>
      </c>
    </row>
    <row r="160" spans="1:7" x14ac:dyDescent="0.3">
      <c r="A160" t="s">
        <v>11</v>
      </c>
      <c r="B160" s="1">
        <v>45808</v>
      </c>
      <c r="C160">
        <v>546002</v>
      </c>
      <c r="D160">
        <v>142419.85399999999</v>
      </c>
      <c r="E160" t="s">
        <v>6</v>
      </c>
      <c r="F160" t="s">
        <v>51</v>
      </c>
      <c r="G160" t="s">
        <v>7</v>
      </c>
    </row>
    <row r="161" spans="1:7" x14ac:dyDescent="0.3">
      <c r="A161" t="s">
        <v>11</v>
      </c>
      <c r="B161" s="1">
        <v>45808</v>
      </c>
      <c r="C161">
        <v>546013</v>
      </c>
      <c r="D161">
        <v>3375.453</v>
      </c>
      <c r="E161" t="s">
        <v>6</v>
      </c>
      <c r="F161" t="s">
        <v>51</v>
      </c>
      <c r="G161" t="s">
        <v>7</v>
      </c>
    </row>
    <row r="162" spans="1:7" x14ac:dyDescent="0.3">
      <c r="A162" t="s">
        <v>11</v>
      </c>
      <c r="B162" s="1">
        <v>45808</v>
      </c>
      <c r="C162">
        <v>546015</v>
      </c>
      <c r="D162">
        <v>17070.582999999999</v>
      </c>
      <c r="E162" t="s">
        <v>6</v>
      </c>
      <c r="F162" t="s">
        <v>51</v>
      </c>
      <c r="G162" t="s">
        <v>7</v>
      </c>
    </row>
    <row r="163" spans="1:7" x14ac:dyDescent="0.3">
      <c r="A163" t="s">
        <v>11</v>
      </c>
      <c r="B163" s="1">
        <v>45808</v>
      </c>
      <c r="C163">
        <v>546016</v>
      </c>
      <c r="D163">
        <v>1236.5160000000001</v>
      </c>
      <c r="E163" t="s">
        <v>6</v>
      </c>
      <c r="F163" t="s">
        <v>51</v>
      </c>
      <c r="G163" t="s">
        <v>7</v>
      </c>
    </row>
    <row r="164" spans="1:7" x14ac:dyDescent="0.3">
      <c r="A164" t="s">
        <v>11</v>
      </c>
      <c r="B164" s="1">
        <v>45808</v>
      </c>
      <c r="C164">
        <v>546019</v>
      </c>
      <c r="D164">
        <v>1671.028</v>
      </c>
      <c r="E164" t="s">
        <v>6</v>
      </c>
      <c r="F164" t="s">
        <v>51</v>
      </c>
      <c r="G164" t="s">
        <v>7</v>
      </c>
    </row>
    <row r="165" spans="1:7" x14ac:dyDescent="0.3">
      <c r="A165" t="s">
        <v>11</v>
      </c>
      <c r="B165" s="1">
        <v>45808</v>
      </c>
      <c r="C165">
        <v>546024</v>
      </c>
      <c r="D165">
        <v>2279.424</v>
      </c>
      <c r="E165" t="s">
        <v>6</v>
      </c>
      <c r="F165" t="s">
        <v>51</v>
      </c>
      <c r="G165" t="s">
        <v>7</v>
      </c>
    </row>
    <row r="166" spans="1:7" x14ac:dyDescent="0.3">
      <c r="A166" t="s">
        <v>11</v>
      </c>
      <c r="B166" s="1">
        <v>45808</v>
      </c>
      <c r="C166">
        <v>546035</v>
      </c>
      <c r="D166">
        <v>18244.490000000002</v>
      </c>
      <c r="E166" t="s">
        <v>6</v>
      </c>
      <c r="F166" t="s">
        <v>51</v>
      </c>
      <c r="G166" t="s">
        <v>7</v>
      </c>
    </row>
    <row r="167" spans="1:7" x14ac:dyDescent="0.3">
      <c r="A167" t="s">
        <v>11</v>
      </c>
      <c r="B167" s="1">
        <v>45808</v>
      </c>
      <c r="C167">
        <v>546040</v>
      </c>
      <c r="D167">
        <v>3219.3159999999998</v>
      </c>
      <c r="E167" t="s">
        <v>6</v>
      </c>
      <c r="F167" t="s">
        <v>51</v>
      </c>
      <c r="G167" t="s">
        <v>7</v>
      </c>
    </row>
    <row r="168" spans="1:7" x14ac:dyDescent="0.3">
      <c r="A168" t="s">
        <v>11</v>
      </c>
      <c r="B168" s="1">
        <v>45808</v>
      </c>
      <c r="C168">
        <v>547002</v>
      </c>
      <c r="D168">
        <v>2127.6190000000001</v>
      </c>
      <c r="E168" t="s">
        <v>6</v>
      </c>
      <c r="F168" t="s">
        <v>54</v>
      </c>
      <c r="G168" t="s">
        <v>7</v>
      </c>
    </row>
    <row r="169" spans="1:7" x14ac:dyDescent="0.3">
      <c r="A169" t="s">
        <v>11</v>
      </c>
      <c r="B169" s="1">
        <v>45808</v>
      </c>
      <c r="C169">
        <v>550003</v>
      </c>
      <c r="D169">
        <v>9376.9979999999996</v>
      </c>
      <c r="E169" t="s">
        <v>6</v>
      </c>
      <c r="F169" t="s">
        <v>62</v>
      </c>
      <c r="G169" t="s">
        <v>7</v>
      </c>
    </row>
    <row r="170" spans="1:7" x14ac:dyDescent="0.3">
      <c r="A170" t="s">
        <v>11</v>
      </c>
      <c r="B170" s="1">
        <v>45808</v>
      </c>
      <c r="C170">
        <v>551003</v>
      </c>
      <c r="D170">
        <v>1057.4860000000001</v>
      </c>
      <c r="E170" t="s">
        <v>6</v>
      </c>
      <c r="F170" t="s">
        <v>63</v>
      </c>
      <c r="G170" t="s">
        <v>7</v>
      </c>
    </row>
    <row r="171" spans="1:7" x14ac:dyDescent="0.3">
      <c r="A171" t="s">
        <v>11</v>
      </c>
      <c r="B171" s="1">
        <v>45808</v>
      </c>
      <c r="C171">
        <v>552502</v>
      </c>
      <c r="D171">
        <v>213.369</v>
      </c>
      <c r="E171" t="s">
        <v>6</v>
      </c>
      <c r="F171" t="s">
        <v>55</v>
      </c>
      <c r="G171" t="s">
        <v>7</v>
      </c>
    </row>
    <row r="172" spans="1:7" x14ac:dyDescent="0.3">
      <c r="A172" t="s">
        <v>11</v>
      </c>
      <c r="B172" s="1">
        <v>45808</v>
      </c>
      <c r="C172">
        <v>555007</v>
      </c>
      <c r="D172">
        <v>321.50200000000001</v>
      </c>
      <c r="E172" t="s">
        <v>6</v>
      </c>
      <c r="F172" t="s">
        <v>55</v>
      </c>
      <c r="G172" t="s">
        <v>7</v>
      </c>
    </row>
    <row r="173" spans="1:7" x14ac:dyDescent="0.3">
      <c r="A173" t="s">
        <v>11</v>
      </c>
      <c r="B173" s="1">
        <v>45808</v>
      </c>
      <c r="C173">
        <v>556002</v>
      </c>
      <c r="D173">
        <v>84.066000000000003</v>
      </c>
      <c r="E173" t="s">
        <v>6</v>
      </c>
      <c r="F173" t="s">
        <v>60</v>
      </c>
      <c r="G173" t="s">
        <v>7</v>
      </c>
    </row>
    <row r="174" spans="1:7" x14ac:dyDescent="0.3">
      <c r="A174" t="s">
        <v>11</v>
      </c>
      <c r="B174" s="1">
        <v>45808</v>
      </c>
      <c r="C174">
        <v>556004</v>
      </c>
      <c r="D174">
        <v>11.239000000000001</v>
      </c>
      <c r="E174" t="s">
        <v>6</v>
      </c>
      <c r="F174" t="s">
        <v>55</v>
      </c>
      <c r="G174" t="s">
        <v>7</v>
      </c>
    </row>
    <row r="175" spans="1:7" x14ac:dyDescent="0.3">
      <c r="A175" t="s">
        <v>11</v>
      </c>
      <c r="B175" s="1">
        <v>45808</v>
      </c>
      <c r="C175">
        <v>557002</v>
      </c>
      <c r="D175">
        <v>1177.2829999999999</v>
      </c>
      <c r="E175" t="s">
        <v>6</v>
      </c>
      <c r="F175" t="s">
        <v>56</v>
      </c>
      <c r="G175" t="s">
        <v>7</v>
      </c>
    </row>
    <row r="176" spans="1:7" x14ac:dyDescent="0.3">
      <c r="A176" t="s">
        <v>11</v>
      </c>
      <c r="B176" s="1">
        <v>45808</v>
      </c>
      <c r="C176">
        <v>564007</v>
      </c>
      <c r="D176">
        <v>1E-3</v>
      </c>
      <c r="E176" t="s">
        <v>6</v>
      </c>
      <c r="F176" t="s">
        <v>57</v>
      </c>
      <c r="G176" t="s">
        <v>7</v>
      </c>
    </row>
    <row r="177" spans="1:7" x14ac:dyDescent="0.3">
      <c r="A177" t="s">
        <v>11</v>
      </c>
      <c r="B177" s="1">
        <v>45808</v>
      </c>
      <c r="C177">
        <v>564020</v>
      </c>
      <c r="D177">
        <v>155.12700000000001</v>
      </c>
      <c r="E177" t="s">
        <v>6</v>
      </c>
      <c r="F177" t="s">
        <v>57</v>
      </c>
      <c r="G177" t="s">
        <v>7</v>
      </c>
    </row>
    <row r="178" spans="1:7" x14ac:dyDescent="0.3">
      <c r="A178" t="s">
        <v>11</v>
      </c>
      <c r="B178" s="1">
        <v>45808</v>
      </c>
      <c r="C178">
        <v>564021</v>
      </c>
      <c r="D178">
        <v>3.2749999999999999</v>
      </c>
      <c r="E178" t="s">
        <v>6</v>
      </c>
      <c r="F178" t="s">
        <v>57</v>
      </c>
      <c r="G178" t="s">
        <v>7</v>
      </c>
    </row>
    <row r="179" spans="1:7" x14ac:dyDescent="0.3">
      <c r="A179" t="s">
        <v>11</v>
      </c>
      <c r="B179" s="1">
        <v>45808</v>
      </c>
      <c r="C179">
        <v>580005</v>
      </c>
      <c r="D179">
        <v>40.22</v>
      </c>
      <c r="E179" t="s">
        <v>6</v>
      </c>
      <c r="F179" t="s">
        <v>64</v>
      </c>
      <c r="G179" t="s">
        <v>7</v>
      </c>
    </row>
    <row r="180" spans="1:7" x14ac:dyDescent="0.3">
      <c r="A180" t="s">
        <v>12</v>
      </c>
      <c r="B180" s="1">
        <v>45808</v>
      </c>
      <c r="C180">
        <v>220006</v>
      </c>
      <c r="D180">
        <v>4216.8850000000002</v>
      </c>
      <c r="E180" t="s">
        <v>4</v>
      </c>
      <c r="F180" t="s">
        <v>42</v>
      </c>
      <c r="G180" t="s">
        <v>8</v>
      </c>
    </row>
    <row r="181" spans="1:7" x14ac:dyDescent="0.3">
      <c r="A181" t="s">
        <v>12</v>
      </c>
      <c r="B181" s="1">
        <v>45808</v>
      </c>
      <c r="C181">
        <v>243002</v>
      </c>
      <c r="D181">
        <v>-995.73900000000003</v>
      </c>
      <c r="E181" t="s">
        <v>4</v>
      </c>
      <c r="F181" t="s">
        <v>43</v>
      </c>
      <c r="G181" t="s">
        <v>8</v>
      </c>
    </row>
    <row r="182" spans="1:7" x14ac:dyDescent="0.3">
      <c r="A182" t="s">
        <v>12</v>
      </c>
      <c r="B182" s="1">
        <v>45808</v>
      </c>
      <c r="C182">
        <v>330143</v>
      </c>
      <c r="D182">
        <v>-2174.4349999999999</v>
      </c>
      <c r="E182" t="s">
        <v>4</v>
      </c>
      <c r="F182" t="s">
        <v>43</v>
      </c>
      <c r="G182" t="s">
        <v>8</v>
      </c>
    </row>
    <row r="183" spans="1:7" x14ac:dyDescent="0.3">
      <c r="A183" t="s">
        <v>12</v>
      </c>
      <c r="B183" s="1">
        <v>45808</v>
      </c>
      <c r="C183">
        <v>372004</v>
      </c>
      <c r="D183">
        <v>366.928</v>
      </c>
      <c r="E183" t="s">
        <v>4</v>
      </c>
      <c r="F183" t="s">
        <v>45</v>
      </c>
      <c r="G183" t="s">
        <v>8</v>
      </c>
    </row>
    <row r="184" spans="1:7" x14ac:dyDescent="0.3">
      <c r="A184" t="s">
        <v>12</v>
      </c>
      <c r="B184" s="1">
        <v>45808</v>
      </c>
      <c r="C184">
        <v>557002</v>
      </c>
      <c r="D184">
        <v>-1391.598</v>
      </c>
      <c r="E184" t="s">
        <v>6</v>
      </c>
      <c r="F184" t="s">
        <v>56</v>
      </c>
      <c r="G184" t="s">
        <v>8</v>
      </c>
    </row>
    <row r="185" spans="1:7" x14ac:dyDescent="0.3">
      <c r="A185" t="s">
        <v>13</v>
      </c>
      <c r="B185" s="1">
        <v>45808</v>
      </c>
      <c r="C185">
        <v>210002</v>
      </c>
      <c r="D185">
        <v>-12898.17</v>
      </c>
      <c r="E185" t="s">
        <v>4</v>
      </c>
      <c r="F185" t="s">
        <v>42</v>
      </c>
      <c r="G185" t="s">
        <v>8</v>
      </c>
    </row>
    <row r="186" spans="1:7" x14ac:dyDescent="0.3">
      <c r="A186" t="s">
        <v>13</v>
      </c>
      <c r="B186" s="1">
        <v>45808</v>
      </c>
      <c r="C186">
        <v>220004</v>
      </c>
      <c r="D186">
        <v>-1933.09</v>
      </c>
      <c r="E186" t="s">
        <v>4</v>
      </c>
      <c r="F186" t="s">
        <v>42</v>
      </c>
      <c r="G186" t="s">
        <v>8</v>
      </c>
    </row>
    <row r="187" spans="1:7" x14ac:dyDescent="0.3">
      <c r="A187" t="s">
        <v>13</v>
      </c>
      <c r="B187" s="1">
        <v>45808</v>
      </c>
      <c r="C187">
        <v>220006</v>
      </c>
      <c r="D187">
        <v>-679419.75699999998</v>
      </c>
      <c r="E187" t="s">
        <v>4</v>
      </c>
      <c r="F187" t="s">
        <v>42</v>
      </c>
      <c r="G187" t="s">
        <v>8</v>
      </c>
    </row>
    <row r="188" spans="1:7" x14ac:dyDescent="0.3">
      <c r="A188" t="s">
        <v>13</v>
      </c>
      <c r="B188" s="1">
        <v>45808</v>
      </c>
      <c r="C188">
        <v>220011</v>
      </c>
      <c r="D188">
        <v>-6.8609999999999998</v>
      </c>
      <c r="E188" t="s">
        <v>4</v>
      </c>
      <c r="F188" t="s">
        <v>42</v>
      </c>
      <c r="G188" t="s">
        <v>8</v>
      </c>
    </row>
    <row r="189" spans="1:7" x14ac:dyDescent="0.3">
      <c r="A189" t="s">
        <v>13</v>
      </c>
      <c r="B189" s="1">
        <v>45808</v>
      </c>
      <c r="C189">
        <v>240002</v>
      </c>
      <c r="D189">
        <v>-17526.406999999999</v>
      </c>
      <c r="E189" t="s">
        <v>4</v>
      </c>
      <c r="F189" t="s">
        <v>43</v>
      </c>
      <c r="G189" t="s">
        <v>8</v>
      </c>
    </row>
    <row r="190" spans="1:7" x14ac:dyDescent="0.3">
      <c r="A190" t="s">
        <v>13</v>
      </c>
      <c r="B190" s="1">
        <v>45808</v>
      </c>
      <c r="C190">
        <v>240009</v>
      </c>
      <c r="D190">
        <v>-5367.5060000000003</v>
      </c>
      <c r="E190" t="s">
        <v>4</v>
      </c>
      <c r="F190" t="s">
        <v>43</v>
      </c>
      <c r="G190" t="s">
        <v>8</v>
      </c>
    </row>
    <row r="191" spans="1:7" x14ac:dyDescent="0.3">
      <c r="A191" t="s">
        <v>13</v>
      </c>
      <c r="B191" s="1">
        <v>45808</v>
      </c>
      <c r="C191">
        <v>242003</v>
      </c>
      <c r="D191">
        <v>72879.683999999994</v>
      </c>
      <c r="E191" t="s">
        <v>4</v>
      </c>
      <c r="F191" t="s">
        <v>43</v>
      </c>
      <c r="G191" t="s">
        <v>8</v>
      </c>
    </row>
    <row r="192" spans="1:7" x14ac:dyDescent="0.3">
      <c r="A192" t="s">
        <v>13</v>
      </c>
      <c r="B192" s="1">
        <v>45808</v>
      </c>
      <c r="C192">
        <v>242027</v>
      </c>
      <c r="D192">
        <v>-240.81700000000001</v>
      </c>
      <c r="E192" t="s">
        <v>4</v>
      </c>
      <c r="F192" t="s">
        <v>43</v>
      </c>
      <c r="G192" t="s">
        <v>8</v>
      </c>
    </row>
    <row r="193" spans="1:7" x14ac:dyDescent="0.3">
      <c r="A193" t="s">
        <v>13</v>
      </c>
      <c r="B193" s="1">
        <v>45808</v>
      </c>
      <c r="C193">
        <v>242041</v>
      </c>
      <c r="D193">
        <v>2.9990000000000001</v>
      </c>
      <c r="E193" t="s">
        <v>4</v>
      </c>
      <c r="F193" t="s">
        <v>43</v>
      </c>
      <c r="G193" t="s">
        <v>8</v>
      </c>
    </row>
    <row r="194" spans="1:7" x14ac:dyDescent="0.3">
      <c r="A194" t="s">
        <v>13</v>
      </c>
      <c r="B194" s="1">
        <v>45808</v>
      </c>
      <c r="C194">
        <v>243002</v>
      </c>
      <c r="D194">
        <v>-11504.058000000001</v>
      </c>
      <c r="E194" t="s">
        <v>4</v>
      </c>
      <c r="F194" t="s">
        <v>43</v>
      </c>
      <c r="G194" t="s">
        <v>8</v>
      </c>
    </row>
    <row r="195" spans="1:7" x14ac:dyDescent="0.3">
      <c r="A195" t="s">
        <v>13</v>
      </c>
      <c r="B195" s="1">
        <v>45808</v>
      </c>
      <c r="C195">
        <v>243011</v>
      </c>
      <c r="D195">
        <v>-77401.66</v>
      </c>
      <c r="E195" t="s">
        <v>4</v>
      </c>
      <c r="F195" t="s">
        <v>43</v>
      </c>
      <c r="G195" t="s">
        <v>8</v>
      </c>
    </row>
    <row r="196" spans="1:7" x14ac:dyDescent="0.3">
      <c r="A196" t="s">
        <v>13</v>
      </c>
      <c r="B196" s="1">
        <v>45808</v>
      </c>
      <c r="C196">
        <v>245010</v>
      </c>
      <c r="D196">
        <v>-11818.771000000001</v>
      </c>
      <c r="E196" t="s">
        <v>4</v>
      </c>
      <c r="F196" t="s">
        <v>44</v>
      </c>
      <c r="G196" t="s">
        <v>8</v>
      </c>
    </row>
    <row r="197" spans="1:7" x14ac:dyDescent="0.3">
      <c r="A197" t="s">
        <v>13</v>
      </c>
      <c r="B197" s="1">
        <v>45808</v>
      </c>
      <c r="C197">
        <v>245049</v>
      </c>
      <c r="D197">
        <v>-228.29900000000001</v>
      </c>
      <c r="E197" t="s">
        <v>4</v>
      </c>
      <c r="F197" t="s">
        <v>43</v>
      </c>
      <c r="G197" t="s">
        <v>8</v>
      </c>
    </row>
    <row r="198" spans="1:7" x14ac:dyDescent="0.3">
      <c r="A198" t="s">
        <v>13</v>
      </c>
      <c r="B198" s="1">
        <v>45808</v>
      </c>
      <c r="C198">
        <v>245055</v>
      </c>
      <c r="D198">
        <v>56.954000000000001</v>
      </c>
      <c r="E198" t="s">
        <v>4</v>
      </c>
      <c r="F198" t="s">
        <v>43</v>
      </c>
      <c r="G198" t="s">
        <v>8</v>
      </c>
    </row>
    <row r="199" spans="1:7" x14ac:dyDescent="0.3">
      <c r="A199" t="s">
        <v>13</v>
      </c>
      <c r="B199" s="1">
        <v>45808</v>
      </c>
      <c r="C199">
        <v>245062</v>
      </c>
      <c r="D199">
        <v>-511.541</v>
      </c>
      <c r="E199" t="s">
        <v>4</v>
      </c>
      <c r="F199" t="s">
        <v>43</v>
      </c>
      <c r="G199" t="s">
        <v>8</v>
      </c>
    </row>
    <row r="200" spans="1:7" x14ac:dyDescent="0.3">
      <c r="A200" t="s">
        <v>13</v>
      </c>
      <c r="B200" s="1">
        <v>45808</v>
      </c>
      <c r="C200">
        <v>250003</v>
      </c>
      <c r="D200">
        <v>-9909.8719999999994</v>
      </c>
      <c r="E200" t="s">
        <v>4</v>
      </c>
      <c r="F200" t="s">
        <v>45</v>
      </c>
      <c r="G200" t="s">
        <v>8</v>
      </c>
    </row>
    <row r="201" spans="1:7" x14ac:dyDescent="0.3">
      <c r="A201" t="s">
        <v>13</v>
      </c>
      <c r="B201" s="1">
        <v>45808</v>
      </c>
      <c r="C201">
        <v>251002</v>
      </c>
      <c r="D201">
        <v>-2414.7060000000001</v>
      </c>
      <c r="E201" t="s">
        <v>4</v>
      </c>
      <c r="F201" t="s">
        <v>45</v>
      </c>
      <c r="G201" t="s">
        <v>8</v>
      </c>
    </row>
    <row r="202" spans="1:7" x14ac:dyDescent="0.3">
      <c r="A202" t="s">
        <v>13</v>
      </c>
      <c r="B202" s="1">
        <v>45808</v>
      </c>
      <c r="C202">
        <v>251003</v>
      </c>
      <c r="D202">
        <v>-306554.587</v>
      </c>
      <c r="E202" t="s">
        <v>4</v>
      </c>
      <c r="F202" t="s">
        <v>45</v>
      </c>
      <c r="G202" t="s">
        <v>8</v>
      </c>
    </row>
    <row r="203" spans="1:7" x14ac:dyDescent="0.3">
      <c r="A203" t="s">
        <v>13</v>
      </c>
      <c r="B203" s="1">
        <v>45808</v>
      </c>
      <c r="C203">
        <v>257014</v>
      </c>
      <c r="D203">
        <v>2174.6309999999999</v>
      </c>
      <c r="E203" t="s">
        <v>4</v>
      </c>
      <c r="F203" t="s">
        <v>45</v>
      </c>
      <c r="G203" t="s">
        <v>8</v>
      </c>
    </row>
    <row r="204" spans="1:7" x14ac:dyDescent="0.3">
      <c r="A204" t="s">
        <v>13</v>
      </c>
      <c r="B204" s="1">
        <v>45808</v>
      </c>
      <c r="C204">
        <v>257027</v>
      </c>
      <c r="D204">
        <v>-9871.7109999999993</v>
      </c>
      <c r="E204" t="s">
        <v>4</v>
      </c>
      <c r="F204" t="s">
        <v>45</v>
      </c>
      <c r="G204" t="s">
        <v>8</v>
      </c>
    </row>
    <row r="205" spans="1:7" x14ac:dyDescent="0.3">
      <c r="A205" t="s">
        <v>13</v>
      </c>
      <c r="B205" s="1">
        <v>45808</v>
      </c>
      <c r="C205">
        <v>257030</v>
      </c>
      <c r="D205">
        <v>-29670.182000000001</v>
      </c>
      <c r="E205" t="s">
        <v>4</v>
      </c>
      <c r="F205" t="s">
        <v>45</v>
      </c>
      <c r="G205" t="s">
        <v>8</v>
      </c>
    </row>
    <row r="206" spans="1:7" x14ac:dyDescent="0.3">
      <c r="A206" t="s">
        <v>13</v>
      </c>
      <c r="B206" s="1">
        <v>45808</v>
      </c>
      <c r="C206">
        <v>260004</v>
      </c>
      <c r="D206">
        <v>-453808.397</v>
      </c>
      <c r="E206" t="s">
        <v>4</v>
      </c>
      <c r="F206" t="s">
        <v>45</v>
      </c>
      <c r="G206" t="s">
        <v>8</v>
      </c>
    </row>
    <row r="207" spans="1:7" x14ac:dyDescent="0.3">
      <c r="A207" t="s">
        <v>13</v>
      </c>
      <c r="B207" s="1">
        <v>45808</v>
      </c>
      <c r="C207">
        <v>260051</v>
      </c>
      <c r="D207">
        <v>-45384.243999999999</v>
      </c>
      <c r="E207" t="s">
        <v>4</v>
      </c>
      <c r="F207" t="s">
        <v>45</v>
      </c>
      <c r="G207" t="s">
        <v>8</v>
      </c>
    </row>
    <row r="208" spans="1:7" x14ac:dyDescent="0.3">
      <c r="A208" t="s">
        <v>13</v>
      </c>
      <c r="B208" s="1">
        <v>45808</v>
      </c>
      <c r="C208">
        <v>300004</v>
      </c>
      <c r="D208">
        <v>2863.5819999999999</v>
      </c>
      <c r="E208" t="s">
        <v>4</v>
      </c>
      <c r="F208" t="s">
        <v>65</v>
      </c>
      <c r="G208" t="s">
        <v>8</v>
      </c>
    </row>
    <row r="209" spans="1:7" x14ac:dyDescent="0.3">
      <c r="A209" t="s">
        <v>13</v>
      </c>
      <c r="B209" s="1">
        <v>45808</v>
      </c>
      <c r="C209">
        <v>300005</v>
      </c>
      <c r="D209">
        <v>1531.3820000000001</v>
      </c>
      <c r="E209" t="s">
        <v>4</v>
      </c>
      <c r="F209" t="s">
        <v>65</v>
      </c>
      <c r="G209" t="s">
        <v>8</v>
      </c>
    </row>
    <row r="210" spans="1:7" x14ac:dyDescent="0.3">
      <c r="A210" t="s">
        <v>13</v>
      </c>
      <c r="B210" s="1">
        <v>45808</v>
      </c>
      <c r="C210">
        <v>300008</v>
      </c>
      <c r="D210">
        <v>1900.694</v>
      </c>
      <c r="E210" t="s">
        <v>4</v>
      </c>
      <c r="F210" t="s">
        <v>65</v>
      </c>
      <c r="G210" t="s">
        <v>8</v>
      </c>
    </row>
    <row r="211" spans="1:7" x14ac:dyDescent="0.3">
      <c r="A211" t="s">
        <v>13</v>
      </c>
      <c r="B211" s="1">
        <v>45808</v>
      </c>
      <c r="C211">
        <v>300011</v>
      </c>
      <c r="D211">
        <v>154.262</v>
      </c>
      <c r="E211" t="s">
        <v>4</v>
      </c>
      <c r="F211" t="s">
        <v>65</v>
      </c>
      <c r="G211" t="s">
        <v>8</v>
      </c>
    </row>
    <row r="212" spans="1:7" x14ac:dyDescent="0.3">
      <c r="A212" t="s">
        <v>13</v>
      </c>
      <c r="B212" s="1">
        <v>45808</v>
      </c>
      <c r="C212">
        <v>300012</v>
      </c>
      <c r="D212">
        <v>989.46100000000001</v>
      </c>
      <c r="E212" t="s">
        <v>4</v>
      </c>
      <c r="F212" t="s">
        <v>65</v>
      </c>
      <c r="G212" t="s">
        <v>8</v>
      </c>
    </row>
    <row r="213" spans="1:7" x14ac:dyDescent="0.3">
      <c r="A213" t="s">
        <v>13</v>
      </c>
      <c r="B213" s="1">
        <v>45808</v>
      </c>
      <c r="C213">
        <v>300504</v>
      </c>
      <c r="D213">
        <v>-2615.6880000000001</v>
      </c>
      <c r="E213" t="s">
        <v>4</v>
      </c>
      <c r="F213" t="s">
        <v>65</v>
      </c>
      <c r="G213" t="s">
        <v>8</v>
      </c>
    </row>
    <row r="214" spans="1:7" x14ac:dyDescent="0.3">
      <c r="A214" t="s">
        <v>13</v>
      </c>
      <c r="B214" s="1">
        <v>45808</v>
      </c>
      <c r="C214">
        <v>300505</v>
      </c>
      <c r="D214">
        <v>-1307.346</v>
      </c>
      <c r="E214" t="s">
        <v>4</v>
      </c>
      <c r="F214" t="s">
        <v>65</v>
      </c>
      <c r="G214" t="s">
        <v>8</v>
      </c>
    </row>
    <row r="215" spans="1:7" x14ac:dyDescent="0.3">
      <c r="A215" t="s">
        <v>13</v>
      </c>
      <c r="B215" s="1">
        <v>45808</v>
      </c>
      <c r="C215">
        <v>300508</v>
      </c>
      <c r="D215">
        <v>-1831.338</v>
      </c>
      <c r="E215" t="s">
        <v>4</v>
      </c>
      <c r="F215" t="s">
        <v>65</v>
      </c>
      <c r="G215" t="s">
        <v>8</v>
      </c>
    </row>
    <row r="216" spans="1:7" x14ac:dyDescent="0.3">
      <c r="A216" t="s">
        <v>13</v>
      </c>
      <c r="B216" s="1">
        <v>45808</v>
      </c>
      <c r="C216">
        <v>300511</v>
      </c>
      <c r="D216">
        <v>-154.262</v>
      </c>
      <c r="E216" t="s">
        <v>4</v>
      </c>
      <c r="F216" t="s">
        <v>65</v>
      </c>
      <c r="G216" t="s">
        <v>8</v>
      </c>
    </row>
    <row r="217" spans="1:7" x14ac:dyDescent="0.3">
      <c r="A217" t="s">
        <v>13</v>
      </c>
      <c r="B217" s="1">
        <v>45808</v>
      </c>
      <c r="C217">
        <v>300512</v>
      </c>
      <c r="D217">
        <v>-989.46100000000001</v>
      </c>
      <c r="E217" t="s">
        <v>4</v>
      </c>
      <c r="F217" t="s">
        <v>65</v>
      </c>
      <c r="G217" t="s">
        <v>8</v>
      </c>
    </row>
    <row r="218" spans="1:7" x14ac:dyDescent="0.3">
      <c r="A218" t="s">
        <v>13</v>
      </c>
      <c r="B218" s="1">
        <v>45808</v>
      </c>
      <c r="C218">
        <v>301004</v>
      </c>
      <c r="D218">
        <v>2966.5790000000002</v>
      </c>
      <c r="E218" t="s">
        <v>4</v>
      </c>
      <c r="F218" t="s">
        <v>65</v>
      </c>
      <c r="G218" t="s">
        <v>8</v>
      </c>
    </row>
    <row r="219" spans="1:7" x14ac:dyDescent="0.3">
      <c r="A219" t="s">
        <v>13</v>
      </c>
      <c r="B219" s="1">
        <v>45808</v>
      </c>
      <c r="C219">
        <v>301504</v>
      </c>
      <c r="D219">
        <v>-2966.5790000000002</v>
      </c>
      <c r="E219" t="s">
        <v>4</v>
      </c>
      <c r="F219" t="s">
        <v>65</v>
      </c>
      <c r="G219" t="s">
        <v>8</v>
      </c>
    </row>
    <row r="220" spans="1:7" x14ac:dyDescent="0.3">
      <c r="A220" t="s">
        <v>13</v>
      </c>
      <c r="B220" s="1">
        <v>45808</v>
      </c>
      <c r="C220">
        <v>320002</v>
      </c>
      <c r="D220">
        <v>36536.785000000003</v>
      </c>
      <c r="E220" t="s">
        <v>4</v>
      </c>
      <c r="F220" t="s">
        <v>46</v>
      </c>
      <c r="G220" t="s">
        <v>8</v>
      </c>
    </row>
    <row r="221" spans="1:7" x14ac:dyDescent="0.3">
      <c r="A221" t="s">
        <v>13</v>
      </c>
      <c r="B221" s="1">
        <v>45808</v>
      </c>
      <c r="C221">
        <v>320003</v>
      </c>
      <c r="D221">
        <v>235999.64199999999</v>
      </c>
      <c r="E221" t="s">
        <v>4</v>
      </c>
      <c r="F221" t="s">
        <v>46</v>
      </c>
      <c r="G221" t="s">
        <v>8</v>
      </c>
    </row>
    <row r="222" spans="1:7" x14ac:dyDescent="0.3">
      <c r="A222" t="s">
        <v>13</v>
      </c>
      <c r="B222" s="1">
        <v>45808</v>
      </c>
      <c r="C222">
        <v>320004</v>
      </c>
      <c r="D222">
        <v>1144.05</v>
      </c>
      <c r="E222" t="s">
        <v>4</v>
      </c>
      <c r="F222" t="s">
        <v>46</v>
      </c>
      <c r="G222" t="s">
        <v>8</v>
      </c>
    </row>
    <row r="223" spans="1:7" x14ac:dyDescent="0.3">
      <c r="A223" t="s">
        <v>13</v>
      </c>
      <c r="B223" s="1">
        <v>45808</v>
      </c>
      <c r="C223">
        <v>320019</v>
      </c>
      <c r="D223">
        <v>22.346</v>
      </c>
      <c r="E223" t="s">
        <v>4</v>
      </c>
      <c r="F223" t="s">
        <v>46</v>
      </c>
      <c r="G223" t="s">
        <v>8</v>
      </c>
    </row>
    <row r="224" spans="1:7" x14ac:dyDescent="0.3">
      <c r="A224" t="s">
        <v>13</v>
      </c>
      <c r="B224" s="1">
        <v>45808</v>
      </c>
      <c r="C224">
        <v>320023</v>
      </c>
      <c r="D224">
        <v>-26.815000000000001</v>
      </c>
      <c r="E224" t="s">
        <v>4</v>
      </c>
      <c r="F224" t="s">
        <v>46</v>
      </c>
      <c r="G224" t="s">
        <v>8</v>
      </c>
    </row>
    <row r="225" spans="1:7" x14ac:dyDescent="0.3">
      <c r="A225" t="s">
        <v>13</v>
      </c>
      <c r="B225" s="1">
        <v>45808</v>
      </c>
      <c r="C225">
        <v>321002</v>
      </c>
      <c r="D225">
        <v>5189.6589999999997</v>
      </c>
      <c r="E225" t="s">
        <v>4</v>
      </c>
      <c r="F225" t="s">
        <v>46</v>
      </c>
      <c r="G225" t="s">
        <v>8</v>
      </c>
    </row>
    <row r="226" spans="1:7" x14ac:dyDescent="0.3">
      <c r="A226" t="s">
        <v>13</v>
      </c>
      <c r="B226" s="1">
        <v>45808</v>
      </c>
      <c r="C226">
        <v>321012</v>
      </c>
      <c r="D226">
        <v>-261.541</v>
      </c>
      <c r="E226" t="s">
        <v>4</v>
      </c>
      <c r="F226" t="s">
        <v>46</v>
      </c>
      <c r="G226" t="s">
        <v>8</v>
      </c>
    </row>
    <row r="227" spans="1:7" x14ac:dyDescent="0.3">
      <c r="A227" t="s">
        <v>13</v>
      </c>
      <c r="B227" s="1">
        <v>45808</v>
      </c>
      <c r="C227">
        <v>321029</v>
      </c>
      <c r="D227">
        <v>11642.528</v>
      </c>
      <c r="E227" t="s">
        <v>4</v>
      </c>
      <c r="F227" t="s">
        <v>46</v>
      </c>
      <c r="G227" t="s">
        <v>8</v>
      </c>
    </row>
    <row r="228" spans="1:7" x14ac:dyDescent="0.3">
      <c r="A228" t="s">
        <v>13</v>
      </c>
      <c r="B228" s="1">
        <v>45808</v>
      </c>
      <c r="C228">
        <v>321042</v>
      </c>
      <c r="D228">
        <v>295.73099999999999</v>
      </c>
      <c r="E228" t="s">
        <v>4</v>
      </c>
      <c r="F228" t="s">
        <v>46</v>
      </c>
      <c r="G228" t="s">
        <v>8</v>
      </c>
    </row>
    <row r="229" spans="1:7" x14ac:dyDescent="0.3">
      <c r="A229" t="s">
        <v>13</v>
      </c>
      <c r="B229" s="1">
        <v>45808</v>
      </c>
      <c r="C229">
        <v>330121</v>
      </c>
      <c r="D229">
        <v>649.625</v>
      </c>
      <c r="E229" t="s">
        <v>4</v>
      </c>
      <c r="F229" t="s">
        <v>43</v>
      </c>
      <c r="G229" t="s">
        <v>8</v>
      </c>
    </row>
    <row r="230" spans="1:7" x14ac:dyDescent="0.3">
      <c r="A230" t="s">
        <v>13</v>
      </c>
      <c r="B230" s="1">
        <v>45808</v>
      </c>
      <c r="C230">
        <v>340112</v>
      </c>
      <c r="D230">
        <v>249762.397</v>
      </c>
      <c r="E230" t="s">
        <v>4</v>
      </c>
      <c r="F230" t="s">
        <v>47</v>
      </c>
      <c r="G230" t="s">
        <v>8</v>
      </c>
    </row>
    <row r="231" spans="1:7" x14ac:dyDescent="0.3">
      <c r="A231" t="s">
        <v>13</v>
      </c>
      <c r="B231" s="1">
        <v>45808</v>
      </c>
      <c r="C231">
        <v>340113</v>
      </c>
      <c r="D231">
        <v>11729764.327</v>
      </c>
      <c r="E231" t="s">
        <v>4</v>
      </c>
      <c r="F231" t="s">
        <v>47</v>
      </c>
      <c r="G231" t="s">
        <v>8</v>
      </c>
    </row>
    <row r="232" spans="1:7" x14ac:dyDescent="0.3">
      <c r="A232" t="s">
        <v>13</v>
      </c>
      <c r="B232" s="1">
        <v>45808</v>
      </c>
      <c r="C232">
        <v>340114</v>
      </c>
      <c r="D232">
        <v>-11731927.351</v>
      </c>
      <c r="E232" t="s">
        <v>4</v>
      </c>
      <c r="F232" t="s">
        <v>47</v>
      </c>
      <c r="G232" t="s">
        <v>8</v>
      </c>
    </row>
    <row r="233" spans="1:7" x14ac:dyDescent="0.3">
      <c r="A233" t="s">
        <v>13</v>
      </c>
      <c r="B233" s="1">
        <v>45808</v>
      </c>
      <c r="C233">
        <v>340122</v>
      </c>
      <c r="D233">
        <v>1845.184</v>
      </c>
      <c r="E233" t="s">
        <v>4</v>
      </c>
      <c r="F233" t="s">
        <v>47</v>
      </c>
      <c r="G233" t="s">
        <v>8</v>
      </c>
    </row>
    <row r="234" spans="1:7" x14ac:dyDescent="0.3">
      <c r="A234" t="s">
        <v>13</v>
      </c>
      <c r="B234" s="1">
        <v>45808</v>
      </c>
      <c r="C234">
        <v>340123</v>
      </c>
      <c r="D234">
        <v>8521.6270000000004</v>
      </c>
      <c r="E234" t="s">
        <v>4</v>
      </c>
      <c r="F234" t="s">
        <v>47</v>
      </c>
      <c r="G234" t="s">
        <v>8</v>
      </c>
    </row>
    <row r="235" spans="1:7" x14ac:dyDescent="0.3">
      <c r="A235" t="s">
        <v>13</v>
      </c>
      <c r="B235" s="1">
        <v>45808</v>
      </c>
      <c r="C235">
        <v>340124</v>
      </c>
      <c r="D235">
        <v>-10366.811</v>
      </c>
      <c r="E235" t="s">
        <v>4</v>
      </c>
      <c r="F235" t="s">
        <v>47</v>
      </c>
      <c r="G235" t="s">
        <v>8</v>
      </c>
    </row>
    <row r="236" spans="1:7" x14ac:dyDescent="0.3">
      <c r="A236" t="s">
        <v>13</v>
      </c>
      <c r="B236" s="1">
        <v>45808</v>
      </c>
      <c r="C236">
        <v>350002</v>
      </c>
      <c r="D236">
        <v>558.87800000000004</v>
      </c>
      <c r="E236" t="s">
        <v>4</v>
      </c>
      <c r="F236" t="s">
        <v>49</v>
      </c>
      <c r="G236" t="s">
        <v>8</v>
      </c>
    </row>
    <row r="237" spans="1:7" x14ac:dyDescent="0.3">
      <c r="A237" t="s">
        <v>13</v>
      </c>
      <c r="B237" s="1">
        <v>45808</v>
      </c>
      <c r="C237">
        <v>350003</v>
      </c>
      <c r="D237">
        <v>-91.944999999999993</v>
      </c>
      <c r="E237" t="s">
        <v>4</v>
      </c>
      <c r="F237" t="s">
        <v>49</v>
      </c>
      <c r="G237" t="s">
        <v>8</v>
      </c>
    </row>
    <row r="238" spans="1:7" x14ac:dyDescent="0.3">
      <c r="A238" t="s">
        <v>13</v>
      </c>
      <c r="B238" s="1">
        <v>45808</v>
      </c>
      <c r="C238">
        <v>350031</v>
      </c>
      <c r="D238">
        <v>5367.5060000000003</v>
      </c>
      <c r="E238" t="s">
        <v>4</v>
      </c>
      <c r="F238" t="s">
        <v>43</v>
      </c>
      <c r="G238" t="s">
        <v>8</v>
      </c>
    </row>
    <row r="239" spans="1:7" x14ac:dyDescent="0.3">
      <c r="A239" t="s">
        <v>13</v>
      </c>
      <c r="B239" s="1">
        <v>45808</v>
      </c>
      <c r="C239">
        <v>352002</v>
      </c>
      <c r="D239">
        <v>185.57900000000001</v>
      </c>
      <c r="E239" t="s">
        <v>4</v>
      </c>
      <c r="F239" t="s">
        <v>48</v>
      </c>
      <c r="G239" t="s">
        <v>8</v>
      </c>
    </row>
    <row r="240" spans="1:7" x14ac:dyDescent="0.3">
      <c r="A240" t="s">
        <v>13</v>
      </c>
      <c r="B240" s="1">
        <v>45808</v>
      </c>
      <c r="C240">
        <v>354012</v>
      </c>
      <c r="D240">
        <v>208322.61199999999</v>
      </c>
      <c r="E240" t="s">
        <v>4</v>
      </c>
      <c r="F240" t="s">
        <v>46</v>
      </c>
      <c r="G240" t="s">
        <v>8</v>
      </c>
    </row>
    <row r="241" spans="1:7" x14ac:dyDescent="0.3">
      <c r="A241" t="s">
        <v>13</v>
      </c>
      <c r="B241" s="1">
        <v>45808</v>
      </c>
      <c r="C241">
        <v>354014</v>
      </c>
      <c r="D241">
        <v>14023.922</v>
      </c>
      <c r="E241" t="s">
        <v>4</v>
      </c>
      <c r="F241" t="s">
        <v>46</v>
      </c>
      <c r="G241" t="s">
        <v>8</v>
      </c>
    </row>
    <row r="242" spans="1:7" x14ac:dyDescent="0.3">
      <c r="A242" t="s">
        <v>13</v>
      </c>
      <c r="B242" s="1">
        <v>45808</v>
      </c>
      <c r="C242">
        <v>354015</v>
      </c>
      <c r="D242">
        <v>1112.9829999999999</v>
      </c>
      <c r="E242" t="s">
        <v>4</v>
      </c>
      <c r="F242" t="s">
        <v>46</v>
      </c>
      <c r="G242" t="s">
        <v>8</v>
      </c>
    </row>
    <row r="243" spans="1:7" x14ac:dyDescent="0.3">
      <c r="A243" t="s">
        <v>13</v>
      </c>
      <c r="B243" s="1">
        <v>45808</v>
      </c>
      <c r="C243">
        <v>355002</v>
      </c>
      <c r="D243">
        <v>-3.4000000000000002E-2</v>
      </c>
      <c r="E243" t="s">
        <v>4</v>
      </c>
      <c r="F243" t="s">
        <v>49</v>
      </c>
      <c r="G243" t="s">
        <v>8</v>
      </c>
    </row>
    <row r="244" spans="1:7" x14ac:dyDescent="0.3">
      <c r="A244" t="s">
        <v>13</v>
      </c>
      <c r="B244" s="1">
        <v>45808</v>
      </c>
      <c r="C244">
        <v>355013</v>
      </c>
      <c r="D244">
        <v>141159.212</v>
      </c>
      <c r="E244" t="s">
        <v>4</v>
      </c>
      <c r="F244" t="s">
        <v>49</v>
      </c>
      <c r="G244" t="s">
        <v>8</v>
      </c>
    </row>
    <row r="245" spans="1:7" x14ac:dyDescent="0.3">
      <c r="A245" t="s">
        <v>13</v>
      </c>
      <c r="B245" s="1">
        <v>45808</v>
      </c>
      <c r="C245">
        <v>360030</v>
      </c>
      <c r="D245">
        <v>155974.47399999999</v>
      </c>
      <c r="E245" t="s">
        <v>4</v>
      </c>
      <c r="F245" t="s">
        <v>58</v>
      </c>
      <c r="G245" t="s">
        <v>8</v>
      </c>
    </row>
    <row r="246" spans="1:7" x14ac:dyDescent="0.3">
      <c r="A246" t="s">
        <v>13</v>
      </c>
      <c r="B246" s="1">
        <v>45808</v>
      </c>
      <c r="C246">
        <v>372004</v>
      </c>
      <c r="D246">
        <v>477292.30800000002</v>
      </c>
      <c r="E246" t="s">
        <v>4</v>
      </c>
      <c r="F246" t="s">
        <v>45</v>
      </c>
      <c r="G246" t="s">
        <v>8</v>
      </c>
    </row>
    <row r="247" spans="1:7" x14ac:dyDescent="0.3">
      <c r="A247" t="s">
        <v>13</v>
      </c>
      <c r="B247" s="1">
        <v>45808</v>
      </c>
      <c r="C247">
        <v>400002</v>
      </c>
      <c r="D247">
        <v>-195.911</v>
      </c>
      <c r="E247" t="s">
        <v>6</v>
      </c>
      <c r="F247" t="s">
        <v>50</v>
      </c>
      <c r="G247" t="s">
        <v>8</v>
      </c>
    </row>
    <row r="248" spans="1:7" x14ac:dyDescent="0.3">
      <c r="A248" t="s">
        <v>13</v>
      </c>
      <c r="B248" s="1">
        <v>45808</v>
      </c>
      <c r="C248">
        <v>400004</v>
      </c>
      <c r="D248">
        <v>-32162.784</v>
      </c>
      <c r="E248" t="s">
        <v>6</v>
      </c>
      <c r="F248" t="s">
        <v>50</v>
      </c>
      <c r="G248" t="s">
        <v>8</v>
      </c>
    </row>
    <row r="249" spans="1:7" x14ac:dyDescent="0.3">
      <c r="A249" t="s">
        <v>13</v>
      </c>
      <c r="B249" s="1">
        <v>45808</v>
      </c>
      <c r="C249">
        <v>410002</v>
      </c>
      <c r="D249">
        <v>-8760.3150000000005</v>
      </c>
      <c r="E249" t="s">
        <v>6</v>
      </c>
      <c r="F249" t="s">
        <v>51</v>
      </c>
      <c r="G249" t="s">
        <v>8</v>
      </c>
    </row>
    <row r="250" spans="1:7" x14ac:dyDescent="0.3">
      <c r="A250" t="s">
        <v>13</v>
      </c>
      <c r="B250" s="1">
        <v>45808</v>
      </c>
      <c r="C250">
        <v>410037</v>
      </c>
      <c r="D250">
        <v>-2607.9769999999999</v>
      </c>
      <c r="E250" t="s">
        <v>6</v>
      </c>
      <c r="F250" t="s">
        <v>51</v>
      </c>
      <c r="G250" t="s">
        <v>8</v>
      </c>
    </row>
    <row r="251" spans="1:7" x14ac:dyDescent="0.3">
      <c r="A251" t="s">
        <v>13</v>
      </c>
      <c r="B251" s="1">
        <v>45808</v>
      </c>
      <c r="C251">
        <v>415002</v>
      </c>
      <c r="D251">
        <v>-51281.955999999998</v>
      </c>
      <c r="E251" t="s">
        <v>6</v>
      </c>
      <c r="F251" t="s">
        <v>50</v>
      </c>
      <c r="G251" t="s">
        <v>8</v>
      </c>
    </row>
    <row r="252" spans="1:7" x14ac:dyDescent="0.3">
      <c r="A252" t="s">
        <v>13</v>
      </c>
      <c r="B252" s="1">
        <v>45808</v>
      </c>
      <c r="C252">
        <v>415004</v>
      </c>
      <c r="D252">
        <v>-44988.642</v>
      </c>
      <c r="E252" t="s">
        <v>6</v>
      </c>
      <c r="F252" t="s">
        <v>50</v>
      </c>
      <c r="G252" t="s">
        <v>8</v>
      </c>
    </row>
    <row r="253" spans="1:7" x14ac:dyDescent="0.3">
      <c r="A253" t="s">
        <v>13</v>
      </c>
      <c r="B253" s="1">
        <v>45808</v>
      </c>
      <c r="C253">
        <v>421002</v>
      </c>
      <c r="D253">
        <v>-1736.538</v>
      </c>
      <c r="E253" t="s">
        <v>6</v>
      </c>
      <c r="F253" t="s">
        <v>52</v>
      </c>
      <c r="G253" t="s">
        <v>8</v>
      </c>
    </row>
    <row r="254" spans="1:7" x14ac:dyDescent="0.3">
      <c r="A254" t="s">
        <v>13</v>
      </c>
      <c r="B254" s="1">
        <v>45808</v>
      </c>
      <c r="C254">
        <v>421003</v>
      </c>
      <c r="D254">
        <v>4695.5720000000001</v>
      </c>
      <c r="E254" t="s">
        <v>6</v>
      </c>
      <c r="F254" t="s">
        <v>52</v>
      </c>
      <c r="G254" t="s">
        <v>8</v>
      </c>
    </row>
    <row r="255" spans="1:7" x14ac:dyDescent="0.3">
      <c r="A255" t="s">
        <v>13</v>
      </c>
      <c r="B255" s="1">
        <v>45808</v>
      </c>
      <c r="C255">
        <v>421007</v>
      </c>
      <c r="D255">
        <v>-649.197</v>
      </c>
      <c r="E255" t="s">
        <v>6</v>
      </c>
      <c r="F255" t="s">
        <v>52</v>
      </c>
      <c r="G255" t="s">
        <v>8</v>
      </c>
    </row>
    <row r="256" spans="1:7" x14ac:dyDescent="0.3">
      <c r="A256" t="s">
        <v>13</v>
      </c>
      <c r="B256" s="1">
        <v>45808</v>
      </c>
      <c r="C256">
        <v>510002</v>
      </c>
      <c r="D256">
        <v>17664.644</v>
      </c>
      <c r="E256" t="s">
        <v>6</v>
      </c>
      <c r="F256" t="s">
        <v>53</v>
      </c>
      <c r="G256" t="s">
        <v>8</v>
      </c>
    </row>
    <row r="257" spans="1:7" x14ac:dyDescent="0.3">
      <c r="A257" t="s">
        <v>13</v>
      </c>
      <c r="B257" s="1">
        <v>45808</v>
      </c>
      <c r="C257">
        <v>510005</v>
      </c>
      <c r="D257">
        <v>1505.701</v>
      </c>
      <c r="E257" t="s">
        <v>6</v>
      </c>
      <c r="F257" t="s">
        <v>53</v>
      </c>
      <c r="G257" t="s">
        <v>8</v>
      </c>
    </row>
    <row r="258" spans="1:7" x14ac:dyDescent="0.3">
      <c r="A258" t="s">
        <v>13</v>
      </c>
      <c r="B258" s="1">
        <v>45808</v>
      </c>
      <c r="C258">
        <v>510007</v>
      </c>
      <c r="D258">
        <v>503.565</v>
      </c>
      <c r="E258" t="s">
        <v>6</v>
      </c>
      <c r="F258" t="s">
        <v>53</v>
      </c>
      <c r="G258" t="s">
        <v>8</v>
      </c>
    </row>
    <row r="259" spans="1:7" x14ac:dyDescent="0.3">
      <c r="A259" t="s">
        <v>13</v>
      </c>
      <c r="B259" s="1">
        <v>45808</v>
      </c>
      <c r="C259">
        <v>510015</v>
      </c>
      <c r="D259">
        <v>9830.3080000000009</v>
      </c>
      <c r="E259" t="s">
        <v>6</v>
      </c>
      <c r="F259" t="s">
        <v>53</v>
      </c>
      <c r="G259" t="s">
        <v>8</v>
      </c>
    </row>
    <row r="260" spans="1:7" x14ac:dyDescent="0.3">
      <c r="A260" t="s">
        <v>13</v>
      </c>
      <c r="B260" s="1">
        <v>45808</v>
      </c>
      <c r="C260">
        <v>510062</v>
      </c>
      <c r="D260">
        <v>497.17599999999999</v>
      </c>
      <c r="E260" t="s">
        <v>6</v>
      </c>
      <c r="F260" t="s">
        <v>53</v>
      </c>
      <c r="G260" t="s">
        <v>8</v>
      </c>
    </row>
    <row r="261" spans="1:7" x14ac:dyDescent="0.3">
      <c r="A261" t="s">
        <v>13</v>
      </c>
      <c r="B261" s="1">
        <v>45808</v>
      </c>
      <c r="C261">
        <v>510065</v>
      </c>
      <c r="D261">
        <v>605.05200000000002</v>
      </c>
      <c r="E261" t="s">
        <v>6</v>
      </c>
      <c r="F261" t="s">
        <v>53</v>
      </c>
      <c r="G261" t="s">
        <v>8</v>
      </c>
    </row>
    <row r="262" spans="1:7" x14ac:dyDescent="0.3">
      <c r="A262" t="s">
        <v>13</v>
      </c>
      <c r="B262" s="1">
        <v>45808</v>
      </c>
      <c r="C262">
        <v>520020</v>
      </c>
      <c r="D262">
        <v>62.274000000000001</v>
      </c>
      <c r="E262" t="s">
        <v>6</v>
      </c>
      <c r="F262" t="s">
        <v>53</v>
      </c>
      <c r="G262" t="s">
        <v>8</v>
      </c>
    </row>
    <row r="263" spans="1:7" x14ac:dyDescent="0.3">
      <c r="A263" t="s">
        <v>13</v>
      </c>
      <c r="B263" s="1">
        <v>45808</v>
      </c>
      <c r="C263">
        <v>541003</v>
      </c>
      <c r="D263">
        <v>551.68600000000004</v>
      </c>
      <c r="E263" t="s">
        <v>6</v>
      </c>
      <c r="F263" t="s">
        <v>61</v>
      </c>
      <c r="G263" t="s">
        <v>8</v>
      </c>
    </row>
    <row r="264" spans="1:7" x14ac:dyDescent="0.3">
      <c r="A264" t="s">
        <v>13</v>
      </c>
      <c r="B264" s="1">
        <v>45808</v>
      </c>
      <c r="C264">
        <v>541004</v>
      </c>
      <c r="D264">
        <v>172.02</v>
      </c>
      <c r="E264" t="s">
        <v>6</v>
      </c>
      <c r="F264" t="s">
        <v>61</v>
      </c>
      <c r="G264" t="s">
        <v>8</v>
      </c>
    </row>
    <row r="265" spans="1:7" x14ac:dyDescent="0.3">
      <c r="A265" t="s">
        <v>13</v>
      </c>
      <c r="B265" s="1">
        <v>45808</v>
      </c>
      <c r="C265">
        <v>541010</v>
      </c>
      <c r="D265">
        <v>213.62299999999999</v>
      </c>
      <c r="E265" t="s">
        <v>6</v>
      </c>
      <c r="F265" t="s">
        <v>61</v>
      </c>
      <c r="G265" t="s">
        <v>8</v>
      </c>
    </row>
    <row r="266" spans="1:7" x14ac:dyDescent="0.3">
      <c r="A266" t="s">
        <v>13</v>
      </c>
      <c r="B266" s="1">
        <v>45808</v>
      </c>
      <c r="C266">
        <v>544006</v>
      </c>
      <c r="D266">
        <v>540.51499999999999</v>
      </c>
      <c r="E266" t="s">
        <v>6</v>
      </c>
      <c r="F266" t="s">
        <v>61</v>
      </c>
      <c r="G266" t="s">
        <v>8</v>
      </c>
    </row>
    <row r="267" spans="1:7" x14ac:dyDescent="0.3">
      <c r="A267" t="s">
        <v>13</v>
      </c>
      <c r="B267" s="1">
        <v>45808</v>
      </c>
      <c r="C267">
        <v>546002</v>
      </c>
      <c r="D267">
        <v>50148.432000000001</v>
      </c>
      <c r="E267" t="s">
        <v>6</v>
      </c>
      <c r="F267" t="s">
        <v>51</v>
      </c>
      <c r="G267" t="s">
        <v>8</v>
      </c>
    </row>
    <row r="268" spans="1:7" x14ac:dyDescent="0.3">
      <c r="A268" t="s">
        <v>13</v>
      </c>
      <c r="B268" s="1">
        <v>45808</v>
      </c>
      <c r="C268">
        <v>546035</v>
      </c>
      <c r="D268">
        <v>237.06200000000001</v>
      </c>
      <c r="E268" t="s">
        <v>6</v>
      </c>
      <c r="F268" t="s">
        <v>51</v>
      </c>
      <c r="G268" t="s">
        <v>8</v>
      </c>
    </row>
    <row r="269" spans="1:7" x14ac:dyDescent="0.3">
      <c r="A269" t="s">
        <v>13</v>
      </c>
      <c r="B269" s="1">
        <v>45808</v>
      </c>
      <c r="C269">
        <v>547002</v>
      </c>
      <c r="D269">
        <v>105403.78599999999</v>
      </c>
      <c r="E269" t="s">
        <v>6</v>
      </c>
      <c r="F269" t="s">
        <v>54</v>
      </c>
      <c r="G269" t="s">
        <v>8</v>
      </c>
    </row>
    <row r="270" spans="1:7" x14ac:dyDescent="0.3">
      <c r="A270" t="s">
        <v>13</v>
      </c>
      <c r="B270" s="1">
        <v>45808</v>
      </c>
      <c r="C270">
        <v>547011</v>
      </c>
      <c r="D270">
        <v>2544.5120000000002</v>
      </c>
      <c r="E270" t="s">
        <v>6</v>
      </c>
      <c r="F270" t="s">
        <v>54</v>
      </c>
      <c r="G270" t="s">
        <v>8</v>
      </c>
    </row>
    <row r="271" spans="1:7" x14ac:dyDescent="0.3">
      <c r="A271" t="s">
        <v>13</v>
      </c>
      <c r="B271" s="1">
        <v>45808</v>
      </c>
      <c r="C271">
        <v>552502</v>
      </c>
      <c r="D271">
        <v>304.47500000000002</v>
      </c>
      <c r="E271" t="s">
        <v>6</v>
      </c>
      <c r="F271" t="s">
        <v>55</v>
      </c>
      <c r="G271" t="s">
        <v>8</v>
      </c>
    </row>
    <row r="272" spans="1:7" x14ac:dyDescent="0.3">
      <c r="A272" t="s">
        <v>13</v>
      </c>
      <c r="B272" s="1">
        <v>45808</v>
      </c>
      <c r="C272">
        <v>555508</v>
      </c>
      <c r="D272">
        <v>548.64</v>
      </c>
      <c r="E272" t="s">
        <v>6</v>
      </c>
      <c r="F272" t="s">
        <v>55</v>
      </c>
      <c r="G272" t="s">
        <v>8</v>
      </c>
    </row>
    <row r="273" spans="1:7" x14ac:dyDescent="0.3">
      <c r="A273" t="s">
        <v>13</v>
      </c>
      <c r="B273" s="1">
        <v>45808</v>
      </c>
      <c r="C273">
        <v>557002</v>
      </c>
      <c r="D273">
        <v>2908.6239999999998</v>
      </c>
      <c r="E273" t="s">
        <v>6</v>
      </c>
      <c r="F273" t="s">
        <v>56</v>
      </c>
      <c r="G273" t="s">
        <v>8</v>
      </c>
    </row>
    <row r="274" spans="1:7" x14ac:dyDescent="0.3">
      <c r="A274" t="s">
        <v>13</v>
      </c>
      <c r="B274" s="1">
        <v>45808</v>
      </c>
      <c r="C274">
        <v>560008</v>
      </c>
      <c r="D274">
        <v>-357.46499999999997</v>
      </c>
      <c r="E274" t="s">
        <v>6</v>
      </c>
      <c r="F274" t="s">
        <v>56</v>
      </c>
      <c r="G274" t="s">
        <v>8</v>
      </c>
    </row>
    <row r="275" spans="1:7" x14ac:dyDescent="0.3">
      <c r="A275" t="s">
        <v>13</v>
      </c>
      <c r="B275" s="1">
        <v>45808</v>
      </c>
      <c r="C275">
        <v>564008</v>
      </c>
      <c r="D275">
        <v>29.975999999999999</v>
      </c>
      <c r="E275" t="s">
        <v>6</v>
      </c>
      <c r="F275" t="s">
        <v>55</v>
      </c>
      <c r="G275" t="s">
        <v>8</v>
      </c>
    </row>
    <row r="276" spans="1:7" x14ac:dyDescent="0.3">
      <c r="A276" t="s">
        <v>13</v>
      </c>
      <c r="B276" s="1">
        <v>45808</v>
      </c>
      <c r="C276">
        <v>564020</v>
      </c>
      <c r="D276">
        <v>895.27300000000002</v>
      </c>
      <c r="E276" t="s">
        <v>6</v>
      </c>
      <c r="F276" t="s">
        <v>57</v>
      </c>
      <c r="G276" t="s">
        <v>8</v>
      </c>
    </row>
    <row r="277" spans="1:7" x14ac:dyDescent="0.3">
      <c r="A277" t="s">
        <v>13</v>
      </c>
      <c r="B277" s="1">
        <v>45808</v>
      </c>
      <c r="C277">
        <v>564021</v>
      </c>
      <c r="D277">
        <v>37.582999999999998</v>
      </c>
      <c r="E277" t="s">
        <v>6</v>
      </c>
      <c r="F277" t="s">
        <v>57</v>
      </c>
      <c r="G277" t="s">
        <v>8</v>
      </c>
    </row>
    <row r="278" spans="1:7" x14ac:dyDescent="0.3">
      <c r="A278" t="s">
        <v>13</v>
      </c>
      <c r="B278" s="1">
        <v>45808</v>
      </c>
      <c r="C278">
        <v>570002</v>
      </c>
      <c r="D278">
        <v>52.292000000000002</v>
      </c>
      <c r="E278" t="s">
        <v>6</v>
      </c>
      <c r="F278" t="s">
        <v>66</v>
      </c>
      <c r="G278" t="s">
        <v>8</v>
      </c>
    </row>
    <row r="279" spans="1:7" x14ac:dyDescent="0.3">
      <c r="A279" t="s">
        <v>14</v>
      </c>
      <c r="B279" s="1">
        <v>45808</v>
      </c>
      <c r="C279">
        <v>210002</v>
      </c>
      <c r="D279">
        <v>-3224.5430000000001</v>
      </c>
      <c r="E279" t="s">
        <v>4</v>
      </c>
      <c r="F279" t="s">
        <v>42</v>
      </c>
      <c r="G279" t="s">
        <v>8</v>
      </c>
    </row>
    <row r="280" spans="1:7" x14ac:dyDescent="0.3">
      <c r="A280" t="s">
        <v>14</v>
      </c>
      <c r="B280" s="1">
        <v>45808</v>
      </c>
      <c r="C280">
        <v>220006</v>
      </c>
      <c r="D280">
        <v>69057.687999999995</v>
      </c>
      <c r="E280" t="s">
        <v>4</v>
      </c>
      <c r="F280" t="s">
        <v>42</v>
      </c>
      <c r="G280" t="s">
        <v>8</v>
      </c>
    </row>
    <row r="281" spans="1:7" x14ac:dyDescent="0.3">
      <c r="A281" t="s">
        <v>14</v>
      </c>
      <c r="B281" s="1">
        <v>45808</v>
      </c>
      <c r="C281">
        <v>220011</v>
      </c>
      <c r="D281">
        <v>-28182.63</v>
      </c>
      <c r="E281" t="s">
        <v>4</v>
      </c>
      <c r="F281" t="s">
        <v>42</v>
      </c>
      <c r="G281" t="s">
        <v>8</v>
      </c>
    </row>
    <row r="282" spans="1:7" x14ac:dyDescent="0.3">
      <c r="A282" t="s">
        <v>14</v>
      </c>
      <c r="B282" s="1">
        <v>45808</v>
      </c>
      <c r="C282">
        <v>240002</v>
      </c>
      <c r="D282">
        <v>451.92</v>
      </c>
      <c r="E282" t="s">
        <v>4</v>
      </c>
      <c r="F282" t="s">
        <v>43</v>
      </c>
      <c r="G282" t="s">
        <v>8</v>
      </c>
    </row>
    <row r="283" spans="1:7" x14ac:dyDescent="0.3">
      <c r="A283" t="s">
        <v>14</v>
      </c>
      <c r="B283" s="1">
        <v>45808</v>
      </c>
      <c r="C283">
        <v>240003</v>
      </c>
      <c r="D283">
        <v>-14.516999999999999</v>
      </c>
      <c r="E283" t="s">
        <v>4</v>
      </c>
      <c r="F283" t="s">
        <v>43</v>
      </c>
      <c r="G283" t="s">
        <v>8</v>
      </c>
    </row>
    <row r="284" spans="1:7" x14ac:dyDescent="0.3">
      <c r="A284" t="s">
        <v>14</v>
      </c>
      <c r="B284" s="1">
        <v>45808</v>
      </c>
      <c r="C284">
        <v>240009</v>
      </c>
      <c r="D284">
        <v>-5269.1220000000003</v>
      </c>
      <c r="E284" t="s">
        <v>4</v>
      </c>
      <c r="F284" t="s">
        <v>43</v>
      </c>
      <c r="G284" t="s">
        <v>8</v>
      </c>
    </row>
    <row r="285" spans="1:7" x14ac:dyDescent="0.3">
      <c r="A285" t="s">
        <v>14</v>
      </c>
      <c r="B285" s="1">
        <v>45808</v>
      </c>
      <c r="C285">
        <v>242003</v>
      </c>
      <c r="D285">
        <v>-320157.17800000001</v>
      </c>
      <c r="E285" t="s">
        <v>4</v>
      </c>
      <c r="F285" t="s">
        <v>43</v>
      </c>
      <c r="G285" t="s">
        <v>8</v>
      </c>
    </row>
    <row r="286" spans="1:7" x14ac:dyDescent="0.3">
      <c r="A286" t="s">
        <v>14</v>
      </c>
      <c r="B286" s="1">
        <v>45808</v>
      </c>
      <c r="C286">
        <v>242011</v>
      </c>
      <c r="D286">
        <v>197.21</v>
      </c>
      <c r="E286" t="s">
        <v>4</v>
      </c>
      <c r="F286" t="s">
        <v>43</v>
      </c>
      <c r="G286" t="s">
        <v>8</v>
      </c>
    </row>
    <row r="287" spans="1:7" x14ac:dyDescent="0.3">
      <c r="A287" t="s">
        <v>14</v>
      </c>
      <c r="B287" s="1">
        <v>45808</v>
      </c>
      <c r="C287">
        <v>242012</v>
      </c>
      <c r="D287">
        <v>-12390.754999999999</v>
      </c>
      <c r="E287" t="s">
        <v>4</v>
      </c>
      <c r="F287" t="s">
        <v>43</v>
      </c>
      <c r="G287" t="s">
        <v>8</v>
      </c>
    </row>
    <row r="288" spans="1:7" x14ac:dyDescent="0.3">
      <c r="A288" t="s">
        <v>14</v>
      </c>
      <c r="B288" s="1">
        <v>45808</v>
      </c>
      <c r="C288">
        <v>242013</v>
      </c>
      <c r="D288">
        <v>-9858.34</v>
      </c>
      <c r="E288" t="s">
        <v>4</v>
      </c>
      <c r="F288" t="s">
        <v>43</v>
      </c>
      <c r="G288" t="s">
        <v>8</v>
      </c>
    </row>
    <row r="289" spans="1:7" x14ac:dyDescent="0.3">
      <c r="A289" t="s">
        <v>14</v>
      </c>
      <c r="B289" s="1">
        <v>45808</v>
      </c>
      <c r="C289">
        <v>242014</v>
      </c>
      <c r="D289">
        <v>-23626.642</v>
      </c>
      <c r="E289" t="s">
        <v>4</v>
      </c>
      <c r="F289" t="s">
        <v>43</v>
      </c>
      <c r="G289" t="s">
        <v>8</v>
      </c>
    </row>
    <row r="290" spans="1:7" x14ac:dyDescent="0.3">
      <c r="A290" t="s">
        <v>14</v>
      </c>
      <c r="B290" s="1">
        <v>45808</v>
      </c>
      <c r="C290">
        <v>242027</v>
      </c>
      <c r="D290">
        <v>-13852.165999999999</v>
      </c>
      <c r="E290" t="s">
        <v>4</v>
      </c>
      <c r="F290" t="s">
        <v>43</v>
      </c>
      <c r="G290" t="s">
        <v>8</v>
      </c>
    </row>
    <row r="291" spans="1:7" x14ac:dyDescent="0.3">
      <c r="A291" t="s">
        <v>14</v>
      </c>
      <c r="B291" s="1">
        <v>45808</v>
      </c>
      <c r="C291">
        <v>242041</v>
      </c>
      <c r="D291">
        <v>-3109.2689999999998</v>
      </c>
      <c r="E291" t="s">
        <v>4</v>
      </c>
      <c r="F291" t="s">
        <v>43</v>
      </c>
      <c r="G291" t="s">
        <v>8</v>
      </c>
    </row>
    <row r="292" spans="1:7" x14ac:dyDescent="0.3">
      <c r="A292" t="s">
        <v>14</v>
      </c>
      <c r="B292" s="1">
        <v>45808</v>
      </c>
      <c r="C292">
        <v>243002</v>
      </c>
      <c r="D292">
        <v>-10313.92</v>
      </c>
      <c r="E292" t="s">
        <v>4</v>
      </c>
      <c r="F292" t="s">
        <v>43</v>
      </c>
      <c r="G292" t="s">
        <v>8</v>
      </c>
    </row>
    <row r="293" spans="1:7" x14ac:dyDescent="0.3">
      <c r="A293" t="s">
        <v>14</v>
      </c>
      <c r="B293" s="1">
        <v>45808</v>
      </c>
      <c r="C293">
        <v>243007</v>
      </c>
      <c r="D293">
        <v>-10238.308999999999</v>
      </c>
      <c r="E293" t="s">
        <v>4</v>
      </c>
      <c r="F293" t="s">
        <v>43</v>
      </c>
      <c r="G293" t="s">
        <v>8</v>
      </c>
    </row>
    <row r="294" spans="1:7" x14ac:dyDescent="0.3">
      <c r="A294" t="s">
        <v>14</v>
      </c>
      <c r="B294" s="1">
        <v>45808</v>
      </c>
      <c r="C294">
        <v>243010</v>
      </c>
      <c r="D294">
        <v>-866.75699999999995</v>
      </c>
      <c r="E294" t="s">
        <v>4</v>
      </c>
      <c r="F294" t="s">
        <v>43</v>
      </c>
      <c r="G294" t="s">
        <v>8</v>
      </c>
    </row>
    <row r="295" spans="1:7" x14ac:dyDescent="0.3">
      <c r="A295" t="s">
        <v>14</v>
      </c>
      <c r="B295" s="1">
        <v>45808</v>
      </c>
      <c r="C295">
        <v>245010</v>
      </c>
      <c r="D295">
        <v>-4204.4129999999996</v>
      </c>
      <c r="E295" t="s">
        <v>4</v>
      </c>
      <c r="F295" t="s">
        <v>44</v>
      </c>
      <c r="G295" t="s">
        <v>8</v>
      </c>
    </row>
    <row r="296" spans="1:7" x14ac:dyDescent="0.3">
      <c r="A296" t="s">
        <v>14</v>
      </c>
      <c r="B296" s="1">
        <v>45808</v>
      </c>
      <c r="C296">
        <v>245055</v>
      </c>
      <c r="D296">
        <v>-2037.502</v>
      </c>
      <c r="E296" t="s">
        <v>4</v>
      </c>
      <c r="F296" t="s">
        <v>43</v>
      </c>
      <c r="G296" t="s">
        <v>8</v>
      </c>
    </row>
    <row r="297" spans="1:7" x14ac:dyDescent="0.3">
      <c r="A297" t="s">
        <v>14</v>
      </c>
      <c r="B297" s="1">
        <v>45808</v>
      </c>
      <c r="C297">
        <v>245062</v>
      </c>
      <c r="D297">
        <v>-419.964</v>
      </c>
      <c r="E297" t="s">
        <v>4</v>
      </c>
      <c r="F297" t="s">
        <v>43</v>
      </c>
      <c r="G297" t="s">
        <v>8</v>
      </c>
    </row>
    <row r="298" spans="1:7" x14ac:dyDescent="0.3">
      <c r="A298" t="s">
        <v>14</v>
      </c>
      <c r="B298" s="1">
        <v>45808</v>
      </c>
      <c r="C298">
        <v>250003</v>
      </c>
      <c r="D298">
        <v>-33126.01</v>
      </c>
      <c r="E298" t="s">
        <v>4</v>
      </c>
      <c r="F298" t="s">
        <v>45</v>
      </c>
      <c r="G298" t="s">
        <v>8</v>
      </c>
    </row>
    <row r="299" spans="1:7" x14ac:dyDescent="0.3">
      <c r="A299" t="s">
        <v>14</v>
      </c>
      <c r="B299" s="1">
        <v>45808</v>
      </c>
      <c r="C299">
        <v>251002</v>
      </c>
      <c r="D299">
        <v>-3892.3560000000002</v>
      </c>
      <c r="E299" t="s">
        <v>4</v>
      </c>
      <c r="F299" t="s">
        <v>45</v>
      </c>
      <c r="G299" t="s">
        <v>8</v>
      </c>
    </row>
    <row r="300" spans="1:7" x14ac:dyDescent="0.3">
      <c r="A300" t="s">
        <v>14</v>
      </c>
      <c r="B300" s="1">
        <v>45808</v>
      </c>
      <c r="C300">
        <v>251003</v>
      </c>
      <c r="D300">
        <v>-151.39500000000001</v>
      </c>
      <c r="E300" t="s">
        <v>4</v>
      </c>
      <c r="F300" t="s">
        <v>45</v>
      </c>
      <c r="G300" t="s">
        <v>8</v>
      </c>
    </row>
    <row r="301" spans="1:7" x14ac:dyDescent="0.3">
      <c r="A301" t="s">
        <v>14</v>
      </c>
      <c r="B301" s="1">
        <v>45808</v>
      </c>
      <c r="C301">
        <v>257005</v>
      </c>
      <c r="D301">
        <v>9090.4689999999991</v>
      </c>
      <c r="E301" t="s">
        <v>4</v>
      </c>
      <c r="F301" t="s">
        <v>45</v>
      </c>
      <c r="G301" t="s">
        <v>8</v>
      </c>
    </row>
    <row r="302" spans="1:7" x14ac:dyDescent="0.3">
      <c r="A302" t="s">
        <v>14</v>
      </c>
      <c r="B302" s="1">
        <v>45808</v>
      </c>
      <c r="C302">
        <v>257008</v>
      </c>
      <c r="D302">
        <v>-1004.918</v>
      </c>
      <c r="E302" t="s">
        <v>4</v>
      </c>
      <c r="F302" t="s">
        <v>45</v>
      </c>
      <c r="G302" t="s">
        <v>8</v>
      </c>
    </row>
    <row r="303" spans="1:7" x14ac:dyDescent="0.3">
      <c r="A303" t="s">
        <v>14</v>
      </c>
      <c r="B303" s="1">
        <v>45808</v>
      </c>
      <c r="C303">
        <v>257014</v>
      </c>
      <c r="D303">
        <v>3341.404</v>
      </c>
      <c r="E303" t="s">
        <v>4</v>
      </c>
      <c r="F303" t="s">
        <v>45</v>
      </c>
      <c r="G303" t="s">
        <v>8</v>
      </c>
    </row>
    <row r="304" spans="1:7" x14ac:dyDescent="0.3">
      <c r="A304" t="s">
        <v>14</v>
      </c>
      <c r="B304" s="1">
        <v>45808</v>
      </c>
      <c r="C304">
        <v>257030</v>
      </c>
      <c r="D304">
        <v>-18476.345000000001</v>
      </c>
      <c r="E304" t="s">
        <v>4</v>
      </c>
      <c r="F304" t="s">
        <v>45</v>
      </c>
      <c r="G304" t="s">
        <v>8</v>
      </c>
    </row>
    <row r="305" spans="1:7" x14ac:dyDescent="0.3">
      <c r="A305" t="s">
        <v>14</v>
      </c>
      <c r="B305" s="1">
        <v>45808</v>
      </c>
      <c r="C305">
        <v>260004</v>
      </c>
      <c r="D305">
        <v>1075.424</v>
      </c>
      <c r="E305" t="s">
        <v>4</v>
      </c>
      <c r="F305" t="s">
        <v>45</v>
      </c>
      <c r="G305" t="s">
        <v>8</v>
      </c>
    </row>
    <row r="306" spans="1:7" x14ac:dyDescent="0.3">
      <c r="A306" t="s">
        <v>14</v>
      </c>
      <c r="B306" s="1">
        <v>45808</v>
      </c>
      <c r="C306">
        <v>270026</v>
      </c>
      <c r="D306">
        <v>-11697.608</v>
      </c>
      <c r="E306" t="s">
        <v>4</v>
      </c>
      <c r="F306" t="s">
        <v>58</v>
      </c>
      <c r="G306" t="s">
        <v>8</v>
      </c>
    </row>
    <row r="307" spans="1:7" x14ac:dyDescent="0.3">
      <c r="A307" t="s">
        <v>14</v>
      </c>
      <c r="B307" s="1">
        <v>45808</v>
      </c>
      <c r="C307">
        <v>300004</v>
      </c>
      <c r="D307">
        <v>2097.386</v>
      </c>
      <c r="E307" t="s">
        <v>4</v>
      </c>
      <c r="F307" t="s">
        <v>65</v>
      </c>
      <c r="G307" t="s">
        <v>8</v>
      </c>
    </row>
    <row r="308" spans="1:7" x14ac:dyDescent="0.3">
      <c r="A308" t="s">
        <v>14</v>
      </c>
      <c r="B308" s="1">
        <v>45808</v>
      </c>
      <c r="C308">
        <v>300013</v>
      </c>
      <c r="D308">
        <v>8397.6759999999995</v>
      </c>
      <c r="E308" t="s">
        <v>4</v>
      </c>
      <c r="F308" t="s">
        <v>65</v>
      </c>
      <c r="G308" t="s">
        <v>8</v>
      </c>
    </row>
    <row r="309" spans="1:7" x14ac:dyDescent="0.3">
      <c r="A309" t="s">
        <v>14</v>
      </c>
      <c r="B309" s="1">
        <v>45808</v>
      </c>
      <c r="C309">
        <v>300014</v>
      </c>
      <c r="D309">
        <v>951.35599999999999</v>
      </c>
      <c r="E309" t="s">
        <v>4</v>
      </c>
      <c r="F309" t="s">
        <v>65</v>
      </c>
      <c r="G309" t="s">
        <v>8</v>
      </c>
    </row>
    <row r="310" spans="1:7" x14ac:dyDescent="0.3">
      <c r="A310" t="s">
        <v>14</v>
      </c>
      <c r="B310" s="1">
        <v>45808</v>
      </c>
      <c r="C310">
        <v>300504</v>
      </c>
      <c r="D310">
        <v>-2097.386</v>
      </c>
      <c r="E310" t="s">
        <v>4</v>
      </c>
      <c r="F310" t="s">
        <v>65</v>
      </c>
      <c r="G310" t="s">
        <v>8</v>
      </c>
    </row>
    <row r="311" spans="1:7" x14ac:dyDescent="0.3">
      <c r="A311" t="s">
        <v>14</v>
      </c>
      <c r="B311" s="1">
        <v>45808</v>
      </c>
      <c r="C311">
        <v>300513</v>
      </c>
      <c r="D311">
        <v>-8257.0859999999993</v>
      </c>
      <c r="E311" t="s">
        <v>4</v>
      </c>
      <c r="F311" t="s">
        <v>65</v>
      </c>
      <c r="G311" t="s">
        <v>8</v>
      </c>
    </row>
    <row r="312" spans="1:7" x14ac:dyDescent="0.3">
      <c r="A312" t="s">
        <v>14</v>
      </c>
      <c r="B312" s="1">
        <v>45808</v>
      </c>
      <c r="C312">
        <v>300514</v>
      </c>
      <c r="D312">
        <v>-787.49400000000003</v>
      </c>
      <c r="E312" t="s">
        <v>4</v>
      </c>
      <c r="F312" t="s">
        <v>65</v>
      </c>
      <c r="G312" t="s">
        <v>8</v>
      </c>
    </row>
    <row r="313" spans="1:7" x14ac:dyDescent="0.3">
      <c r="A313" t="s">
        <v>14</v>
      </c>
      <c r="B313" s="1">
        <v>45808</v>
      </c>
      <c r="C313">
        <v>301004</v>
      </c>
      <c r="D313">
        <v>4202.4989999999998</v>
      </c>
      <c r="E313" t="s">
        <v>4</v>
      </c>
      <c r="F313" t="s">
        <v>65</v>
      </c>
      <c r="G313" t="s">
        <v>8</v>
      </c>
    </row>
    <row r="314" spans="1:7" x14ac:dyDescent="0.3">
      <c r="A314" t="s">
        <v>14</v>
      </c>
      <c r="B314" s="1">
        <v>45808</v>
      </c>
      <c r="C314">
        <v>301504</v>
      </c>
      <c r="D314">
        <v>-4096.7340000000004</v>
      </c>
      <c r="E314" t="s">
        <v>4</v>
      </c>
      <c r="F314" t="s">
        <v>65</v>
      </c>
      <c r="G314" t="s">
        <v>8</v>
      </c>
    </row>
    <row r="315" spans="1:7" x14ac:dyDescent="0.3">
      <c r="A315" t="s">
        <v>14</v>
      </c>
      <c r="B315" s="1">
        <v>45808</v>
      </c>
      <c r="C315">
        <v>320002</v>
      </c>
      <c r="D315">
        <v>89459.138000000006</v>
      </c>
      <c r="E315" t="s">
        <v>4</v>
      </c>
      <c r="F315" t="s">
        <v>46</v>
      </c>
      <c r="G315" t="s">
        <v>8</v>
      </c>
    </row>
    <row r="316" spans="1:7" x14ac:dyDescent="0.3">
      <c r="A316" t="s">
        <v>14</v>
      </c>
      <c r="B316" s="1">
        <v>45808</v>
      </c>
      <c r="C316">
        <v>320003</v>
      </c>
      <c r="D316">
        <v>101031.716</v>
      </c>
      <c r="E316" t="s">
        <v>4</v>
      </c>
      <c r="F316" t="s">
        <v>46</v>
      </c>
      <c r="G316" t="s">
        <v>8</v>
      </c>
    </row>
    <row r="317" spans="1:7" x14ac:dyDescent="0.3">
      <c r="A317" t="s">
        <v>14</v>
      </c>
      <c r="B317" s="1">
        <v>45808</v>
      </c>
      <c r="C317">
        <v>320004</v>
      </c>
      <c r="D317">
        <v>688.39</v>
      </c>
      <c r="E317" t="s">
        <v>4</v>
      </c>
      <c r="F317" t="s">
        <v>46</v>
      </c>
      <c r="G317" t="s">
        <v>8</v>
      </c>
    </row>
    <row r="318" spans="1:7" x14ac:dyDescent="0.3">
      <c r="A318" t="s">
        <v>14</v>
      </c>
      <c r="B318" s="1">
        <v>45808</v>
      </c>
      <c r="C318">
        <v>320023</v>
      </c>
      <c r="D318">
        <v>-62059.413</v>
      </c>
      <c r="E318" t="s">
        <v>4</v>
      </c>
      <c r="F318" t="s">
        <v>46</v>
      </c>
      <c r="G318" t="s">
        <v>8</v>
      </c>
    </row>
    <row r="319" spans="1:7" x14ac:dyDescent="0.3">
      <c r="A319" t="s">
        <v>14</v>
      </c>
      <c r="B319" s="1">
        <v>45808</v>
      </c>
      <c r="C319">
        <v>320025</v>
      </c>
      <c r="D319">
        <v>20526.345000000001</v>
      </c>
      <c r="E319" t="s">
        <v>4</v>
      </c>
      <c r="F319" t="s">
        <v>46</v>
      </c>
      <c r="G319" t="s">
        <v>8</v>
      </c>
    </row>
    <row r="320" spans="1:7" x14ac:dyDescent="0.3">
      <c r="A320" t="s">
        <v>14</v>
      </c>
      <c r="B320" s="1">
        <v>45808</v>
      </c>
      <c r="C320">
        <v>321002</v>
      </c>
      <c r="D320">
        <v>11.615</v>
      </c>
      <c r="E320" t="s">
        <v>4</v>
      </c>
      <c r="F320" t="s">
        <v>46</v>
      </c>
      <c r="G320" t="s">
        <v>8</v>
      </c>
    </row>
    <row r="321" spans="1:7" x14ac:dyDescent="0.3">
      <c r="A321" t="s">
        <v>14</v>
      </c>
      <c r="B321" s="1">
        <v>45808</v>
      </c>
      <c r="C321">
        <v>321012</v>
      </c>
      <c r="D321">
        <v>6271.7879999999996</v>
      </c>
      <c r="E321" t="s">
        <v>4</v>
      </c>
      <c r="F321" t="s">
        <v>46</v>
      </c>
      <c r="G321" t="s">
        <v>8</v>
      </c>
    </row>
    <row r="322" spans="1:7" x14ac:dyDescent="0.3">
      <c r="A322" t="s">
        <v>14</v>
      </c>
      <c r="B322" s="1">
        <v>45808</v>
      </c>
      <c r="C322">
        <v>321014</v>
      </c>
      <c r="D322">
        <v>4926.8919999999998</v>
      </c>
      <c r="E322" t="s">
        <v>4</v>
      </c>
      <c r="F322" t="s">
        <v>46</v>
      </c>
      <c r="G322" t="s">
        <v>8</v>
      </c>
    </row>
    <row r="323" spans="1:7" x14ac:dyDescent="0.3">
      <c r="A323" t="s">
        <v>14</v>
      </c>
      <c r="B323" s="1">
        <v>45808</v>
      </c>
      <c r="C323">
        <v>321025</v>
      </c>
      <c r="D323">
        <v>3052.7559999999999</v>
      </c>
      <c r="E323" t="s">
        <v>4</v>
      </c>
      <c r="F323" t="s">
        <v>46</v>
      </c>
      <c r="G323" t="s">
        <v>8</v>
      </c>
    </row>
    <row r="324" spans="1:7" x14ac:dyDescent="0.3">
      <c r="A324" t="s">
        <v>14</v>
      </c>
      <c r="B324" s="1">
        <v>45808</v>
      </c>
      <c r="C324">
        <v>321028</v>
      </c>
      <c r="D324">
        <v>7479.6189999999997</v>
      </c>
      <c r="E324" t="s">
        <v>4</v>
      </c>
      <c r="F324" t="s">
        <v>46</v>
      </c>
      <c r="G324" t="s">
        <v>8</v>
      </c>
    </row>
    <row r="325" spans="1:7" x14ac:dyDescent="0.3">
      <c r="A325" t="s">
        <v>14</v>
      </c>
      <c r="B325" s="1">
        <v>45808</v>
      </c>
      <c r="C325">
        <v>321029</v>
      </c>
      <c r="D325">
        <v>5763.8119999999999</v>
      </c>
      <c r="E325" t="s">
        <v>4</v>
      </c>
      <c r="F325" t="s">
        <v>46</v>
      </c>
      <c r="G325" t="s">
        <v>8</v>
      </c>
    </row>
    <row r="326" spans="1:7" x14ac:dyDescent="0.3">
      <c r="A326" t="s">
        <v>14</v>
      </c>
      <c r="B326" s="1">
        <v>45808</v>
      </c>
      <c r="C326">
        <v>340057</v>
      </c>
      <c r="D326">
        <v>229259.02299999999</v>
      </c>
      <c r="E326" t="s">
        <v>4</v>
      </c>
      <c r="F326" t="s">
        <v>47</v>
      </c>
      <c r="G326" t="s">
        <v>8</v>
      </c>
    </row>
    <row r="327" spans="1:7" x14ac:dyDescent="0.3">
      <c r="A327" t="s">
        <v>14</v>
      </c>
      <c r="B327" s="1">
        <v>45808</v>
      </c>
      <c r="C327">
        <v>350003</v>
      </c>
      <c r="D327">
        <v>672.29100000000005</v>
      </c>
      <c r="E327" t="s">
        <v>4</v>
      </c>
      <c r="F327" t="s">
        <v>49</v>
      </c>
      <c r="G327" t="s">
        <v>8</v>
      </c>
    </row>
    <row r="328" spans="1:7" x14ac:dyDescent="0.3">
      <c r="A328" t="s">
        <v>14</v>
      </c>
      <c r="B328" s="1">
        <v>45808</v>
      </c>
      <c r="C328">
        <v>350031</v>
      </c>
      <c r="D328">
        <v>5269.1220000000003</v>
      </c>
      <c r="E328" t="s">
        <v>4</v>
      </c>
      <c r="F328" t="s">
        <v>43</v>
      </c>
      <c r="G328" t="s">
        <v>8</v>
      </c>
    </row>
    <row r="329" spans="1:7" x14ac:dyDescent="0.3">
      <c r="A329" t="s">
        <v>14</v>
      </c>
      <c r="B329" s="1">
        <v>45808</v>
      </c>
      <c r="C329">
        <v>352002</v>
      </c>
      <c r="D329">
        <v>1356.9179999999999</v>
      </c>
      <c r="E329" t="s">
        <v>4</v>
      </c>
      <c r="F329" t="s">
        <v>48</v>
      </c>
      <c r="G329" t="s">
        <v>8</v>
      </c>
    </row>
    <row r="330" spans="1:7" x14ac:dyDescent="0.3">
      <c r="A330" t="s">
        <v>14</v>
      </c>
      <c r="B330" s="1">
        <v>45808</v>
      </c>
      <c r="C330">
        <v>354013</v>
      </c>
      <c r="D330">
        <v>594.02</v>
      </c>
      <c r="E330" t="s">
        <v>4</v>
      </c>
      <c r="F330" t="s">
        <v>46</v>
      </c>
      <c r="G330" t="s">
        <v>8</v>
      </c>
    </row>
    <row r="331" spans="1:7" x14ac:dyDescent="0.3">
      <c r="A331" t="s">
        <v>14</v>
      </c>
      <c r="B331" s="1">
        <v>45808</v>
      </c>
      <c r="C331">
        <v>354014</v>
      </c>
      <c r="D331">
        <v>10726.246999999999</v>
      </c>
      <c r="E331" t="s">
        <v>4</v>
      </c>
      <c r="F331" t="s">
        <v>46</v>
      </c>
      <c r="G331" t="s">
        <v>8</v>
      </c>
    </row>
    <row r="332" spans="1:7" x14ac:dyDescent="0.3">
      <c r="A332" t="s">
        <v>14</v>
      </c>
      <c r="B332" s="1">
        <v>45808</v>
      </c>
      <c r="C332">
        <v>354015</v>
      </c>
      <c r="D332">
        <v>11481.806</v>
      </c>
      <c r="E332" t="s">
        <v>4</v>
      </c>
      <c r="F332" t="s">
        <v>46</v>
      </c>
      <c r="G332" t="s">
        <v>8</v>
      </c>
    </row>
    <row r="333" spans="1:7" x14ac:dyDescent="0.3">
      <c r="A333" t="s">
        <v>14</v>
      </c>
      <c r="B333" s="1">
        <v>45808</v>
      </c>
      <c r="C333">
        <v>355002</v>
      </c>
      <c r="D333">
        <v>965.26599999999996</v>
      </c>
      <c r="E333" t="s">
        <v>4</v>
      </c>
      <c r="F333" t="s">
        <v>49</v>
      </c>
      <c r="G333" t="s">
        <v>8</v>
      </c>
    </row>
    <row r="334" spans="1:7" x14ac:dyDescent="0.3">
      <c r="A334" t="s">
        <v>14</v>
      </c>
      <c r="B334" s="1">
        <v>45808</v>
      </c>
      <c r="C334">
        <v>360022</v>
      </c>
      <c r="D334">
        <v>3764.2020000000002</v>
      </c>
      <c r="E334" t="s">
        <v>4</v>
      </c>
      <c r="F334" t="s">
        <v>58</v>
      </c>
      <c r="G334" t="s">
        <v>8</v>
      </c>
    </row>
    <row r="335" spans="1:7" x14ac:dyDescent="0.3">
      <c r="A335" t="s">
        <v>14</v>
      </c>
      <c r="B335" s="1">
        <v>45808</v>
      </c>
      <c r="C335">
        <v>360026</v>
      </c>
      <c r="D335">
        <v>3764.2020000000002</v>
      </c>
      <c r="E335" t="s">
        <v>4</v>
      </c>
      <c r="F335" t="s">
        <v>58</v>
      </c>
      <c r="G335" t="s">
        <v>8</v>
      </c>
    </row>
    <row r="336" spans="1:7" x14ac:dyDescent="0.3">
      <c r="A336" t="s">
        <v>14</v>
      </c>
      <c r="B336" s="1">
        <v>45808</v>
      </c>
      <c r="C336">
        <v>360028</v>
      </c>
      <c r="D336">
        <v>2822.9639999999999</v>
      </c>
      <c r="E336" t="s">
        <v>4</v>
      </c>
      <c r="F336" t="s">
        <v>58</v>
      </c>
      <c r="G336" t="s">
        <v>8</v>
      </c>
    </row>
    <row r="337" spans="1:7" x14ac:dyDescent="0.3">
      <c r="A337" t="s">
        <v>14</v>
      </c>
      <c r="B337" s="1">
        <v>45808</v>
      </c>
      <c r="C337">
        <v>372004</v>
      </c>
      <c r="D337">
        <v>604.99800000000005</v>
      </c>
      <c r="E337" t="s">
        <v>4</v>
      </c>
      <c r="F337" t="s">
        <v>45</v>
      </c>
      <c r="G337" t="s">
        <v>8</v>
      </c>
    </row>
    <row r="338" spans="1:7" x14ac:dyDescent="0.3">
      <c r="A338" t="s">
        <v>14</v>
      </c>
      <c r="B338" s="1">
        <v>45808</v>
      </c>
      <c r="C338">
        <v>400002</v>
      </c>
      <c r="D338">
        <v>-587.38099999999997</v>
      </c>
      <c r="E338" t="s">
        <v>6</v>
      </c>
      <c r="F338" t="s">
        <v>50</v>
      </c>
      <c r="G338" t="s">
        <v>8</v>
      </c>
    </row>
    <row r="339" spans="1:7" x14ac:dyDescent="0.3">
      <c r="A339" t="s">
        <v>14</v>
      </c>
      <c r="B339" s="1">
        <v>45808</v>
      </c>
      <c r="C339">
        <v>400004</v>
      </c>
      <c r="D339">
        <v>-43288.468000000001</v>
      </c>
      <c r="E339" t="s">
        <v>6</v>
      </c>
      <c r="F339" t="s">
        <v>50</v>
      </c>
      <c r="G339" t="s">
        <v>8</v>
      </c>
    </row>
    <row r="340" spans="1:7" x14ac:dyDescent="0.3">
      <c r="A340" t="s">
        <v>14</v>
      </c>
      <c r="B340" s="1">
        <v>45808</v>
      </c>
      <c r="C340">
        <v>400008</v>
      </c>
      <c r="D340">
        <v>-55.866999999999997</v>
      </c>
      <c r="E340" t="s">
        <v>6</v>
      </c>
      <c r="F340" t="s">
        <v>50</v>
      </c>
      <c r="G340" t="s">
        <v>8</v>
      </c>
    </row>
    <row r="341" spans="1:7" x14ac:dyDescent="0.3">
      <c r="A341" t="s">
        <v>14</v>
      </c>
      <c r="B341" s="1">
        <v>45808</v>
      </c>
      <c r="C341">
        <v>410009</v>
      </c>
      <c r="D341">
        <v>-2273.12</v>
      </c>
      <c r="E341" t="s">
        <v>6</v>
      </c>
      <c r="F341" t="s">
        <v>51</v>
      </c>
      <c r="G341" t="s">
        <v>8</v>
      </c>
    </row>
    <row r="342" spans="1:7" x14ac:dyDescent="0.3">
      <c r="A342" t="s">
        <v>14</v>
      </c>
      <c r="B342" s="1">
        <v>45808</v>
      </c>
      <c r="C342">
        <v>410032</v>
      </c>
      <c r="D342">
        <v>-1585.0909999999999</v>
      </c>
      <c r="E342" t="s">
        <v>6</v>
      </c>
      <c r="F342" t="s">
        <v>51</v>
      </c>
      <c r="G342" t="s">
        <v>8</v>
      </c>
    </row>
    <row r="343" spans="1:7" x14ac:dyDescent="0.3">
      <c r="A343" t="s">
        <v>14</v>
      </c>
      <c r="B343" s="1">
        <v>45808</v>
      </c>
      <c r="C343">
        <v>410036</v>
      </c>
      <c r="D343">
        <v>-2043.9059999999999</v>
      </c>
      <c r="E343" t="s">
        <v>6</v>
      </c>
      <c r="F343" t="s">
        <v>51</v>
      </c>
      <c r="G343" t="s">
        <v>8</v>
      </c>
    </row>
    <row r="344" spans="1:7" x14ac:dyDescent="0.3">
      <c r="A344" t="s">
        <v>14</v>
      </c>
      <c r="B344" s="1">
        <v>45808</v>
      </c>
      <c r="C344">
        <v>410037</v>
      </c>
      <c r="D344">
        <v>-1459.6179999999999</v>
      </c>
      <c r="E344" t="s">
        <v>6</v>
      </c>
      <c r="F344" t="s">
        <v>51</v>
      </c>
      <c r="G344" t="s">
        <v>8</v>
      </c>
    </row>
    <row r="345" spans="1:7" x14ac:dyDescent="0.3">
      <c r="A345" t="s">
        <v>14</v>
      </c>
      <c r="B345" s="1">
        <v>45808</v>
      </c>
      <c r="C345">
        <v>415002</v>
      </c>
      <c r="D345">
        <v>-3397.502</v>
      </c>
      <c r="E345" t="s">
        <v>6</v>
      </c>
      <c r="F345" t="s">
        <v>50</v>
      </c>
      <c r="G345" t="s">
        <v>8</v>
      </c>
    </row>
    <row r="346" spans="1:7" x14ac:dyDescent="0.3">
      <c r="A346" t="s">
        <v>14</v>
      </c>
      <c r="B346" s="1">
        <v>45808</v>
      </c>
      <c r="C346">
        <v>415004</v>
      </c>
      <c r="D346">
        <v>-37031.857000000004</v>
      </c>
      <c r="E346" t="s">
        <v>6</v>
      </c>
      <c r="F346" t="s">
        <v>50</v>
      </c>
      <c r="G346" t="s">
        <v>8</v>
      </c>
    </row>
    <row r="347" spans="1:7" x14ac:dyDescent="0.3">
      <c r="A347" t="s">
        <v>14</v>
      </c>
      <c r="B347" s="1">
        <v>45808</v>
      </c>
      <c r="C347">
        <v>421002</v>
      </c>
      <c r="D347">
        <v>-150.66999999999999</v>
      </c>
      <c r="E347" t="s">
        <v>6</v>
      </c>
      <c r="F347" t="s">
        <v>52</v>
      </c>
      <c r="G347" t="s">
        <v>8</v>
      </c>
    </row>
    <row r="348" spans="1:7" x14ac:dyDescent="0.3">
      <c r="A348" t="s">
        <v>14</v>
      </c>
      <c r="B348" s="1">
        <v>45808</v>
      </c>
      <c r="C348">
        <v>421003</v>
      </c>
      <c r="D348">
        <v>-11839.06</v>
      </c>
      <c r="E348" t="s">
        <v>6</v>
      </c>
      <c r="F348" t="s">
        <v>52</v>
      </c>
      <c r="G348" t="s">
        <v>8</v>
      </c>
    </row>
    <row r="349" spans="1:7" x14ac:dyDescent="0.3">
      <c r="A349" t="s">
        <v>14</v>
      </c>
      <c r="B349" s="1">
        <v>45808</v>
      </c>
      <c r="C349">
        <v>421007</v>
      </c>
      <c r="D349">
        <v>-723.80200000000002</v>
      </c>
      <c r="E349" t="s">
        <v>6</v>
      </c>
      <c r="F349" t="s">
        <v>52</v>
      </c>
      <c r="G349" t="s">
        <v>8</v>
      </c>
    </row>
    <row r="350" spans="1:7" x14ac:dyDescent="0.3">
      <c r="A350" t="s">
        <v>14</v>
      </c>
      <c r="B350" s="1">
        <v>45808</v>
      </c>
      <c r="C350">
        <v>510002</v>
      </c>
      <c r="D350">
        <v>15441.704</v>
      </c>
      <c r="E350" t="s">
        <v>6</v>
      </c>
      <c r="F350" t="s">
        <v>53</v>
      </c>
      <c r="G350" t="s">
        <v>8</v>
      </c>
    </row>
    <row r="351" spans="1:7" x14ac:dyDescent="0.3">
      <c r="A351" t="s">
        <v>14</v>
      </c>
      <c r="B351" s="1">
        <v>45808</v>
      </c>
      <c r="C351">
        <v>510007</v>
      </c>
      <c r="D351">
        <v>413.416</v>
      </c>
      <c r="E351" t="s">
        <v>6</v>
      </c>
      <c r="F351" t="s">
        <v>53</v>
      </c>
      <c r="G351" t="s">
        <v>8</v>
      </c>
    </row>
    <row r="352" spans="1:7" x14ac:dyDescent="0.3">
      <c r="A352" t="s">
        <v>14</v>
      </c>
      <c r="B352" s="1">
        <v>45808</v>
      </c>
      <c r="C352">
        <v>510015</v>
      </c>
      <c r="D352">
        <v>3140.277</v>
      </c>
      <c r="E352" t="s">
        <v>6</v>
      </c>
      <c r="F352" t="s">
        <v>53</v>
      </c>
      <c r="G352" t="s">
        <v>8</v>
      </c>
    </row>
    <row r="353" spans="1:7" x14ac:dyDescent="0.3">
      <c r="A353" t="s">
        <v>14</v>
      </c>
      <c r="B353" s="1">
        <v>45808</v>
      </c>
      <c r="C353">
        <v>510062</v>
      </c>
      <c r="D353">
        <v>378.37200000000001</v>
      </c>
      <c r="E353" t="s">
        <v>6</v>
      </c>
      <c r="F353" t="s">
        <v>53</v>
      </c>
      <c r="G353" t="s">
        <v>8</v>
      </c>
    </row>
    <row r="354" spans="1:7" x14ac:dyDescent="0.3">
      <c r="A354" t="s">
        <v>14</v>
      </c>
      <c r="B354" s="1">
        <v>45808</v>
      </c>
      <c r="C354">
        <v>520020</v>
      </c>
      <c r="D354">
        <v>4.694</v>
      </c>
      <c r="E354" t="s">
        <v>6</v>
      </c>
      <c r="F354" t="s">
        <v>53</v>
      </c>
      <c r="G354" t="s">
        <v>8</v>
      </c>
    </row>
    <row r="355" spans="1:7" x14ac:dyDescent="0.3">
      <c r="A355" t="s">
        <v>14</v>
      </c>
      <c r="B355" s="1">
        <v>45808</v>
      </c>
      <c r="C355">
        <v>541010</v>
      </c>
      <c r="D355">
        <v>459.55599999999998</v>
      </c>
      <c r="E355" t="s">
        <v>6</v>
      </c>
      <c r="F355" t="s">
        <v>61</v>
      </c>
      <c r="G355" t="s">
        <v>8</v>
      </c>
    </row>
    <row r="356" spans="1:7" x14ac:dyDescent="0.3">
      <c r="A356" t="s">
        <v>14</v>
      </c>
      <c r="B356" s="1">
        <v>45808</v>
      </c>
      <c r="C356">
        <v>544006</v>
      </c>
      <c r="D356">
        <v>-5726.8239999999996</v>
      </c>
      <c r="E356" t="s">
        <v>6</v>
      </c>
      <c r="F356" t="s">
        <v>61</v>
      </c>
      <c r="G356" t="s">
        <v>8</v>
      </c>
    </row>
    <row r="357" spans="1:7" x14ac:dyDescent="0.3">
      <c r="A357" t="s">
        <v>14</v>
      </c>
      <c r="B357" s="1">
        <v>45808</v>
      </c>
      <c r="C357">
        <v>546002</v>
      </c>
      <c r="D357">
        <v>70681.881999999998</v>
      </c>
      <c r="E357" t="s">
        <v>6</v>
      </c>
      <c r="F357" t="s">
        <v>51</v>
      </c>
      <c r="G357" t="s">
        <v>8</v>
      </c>
    </row>
    <row r="358" spans="1:7" x14ac:dyDescent="0.3">
      <c r="A358" t="s">
        <v>14</v>
      </c>
      <c r="B358" s="1">
        <v>45808</v>
      </c>
      <c r="C358">
        <v>546008</v>
      </c>
      <c r="D358">
        <v>1311.0509999999999</v>
      </c>
      <c r="E358" t="s">
        <v>6</v>
      </c>
      <c r="F358" t="s">
        <v>51</v>
      </c>
      <c r="G358" t="s">
        <v>8</v>
      </c>
    </row>
    <row r="359" spans="1:7" x14ac:dyDescent="0.3">
      <c r="A359" t="s">
        <v>14</v>
      </c>
      <c r="B359" s="1">
        <v>45808</v>
      </c>
      <c r="C359">
        <v>546035</v>
      </c>
      <c r="D359">
        <v>1637.326</v>
      </c>
      <c r="E359" t="s">
        <v>6</v>
      </c>
      <c r="F359" t="s">
        <v>51</v>
      </c>
      <c r="G359" t="s">
        <v>8</v>
      </c>
    </row>
    <row r="360" spans="1:7" x14ac:dyDescent="0.3">
      <c r="A360" t="s">
        <v>14</v>
      </c>
      <c r="B360" s="1">
        <v>45808</v>
      </c>
      <c r="C360">
        <v>547002</v>
      </c>
      <c r="D360">
        <v>-2819.3820000000001</v>
      </c>
      <c r="E360" t="s">
        <v>6</v>
      </c>
      <c r="F360" t="s">
        <v>54</v>
      </c>
      <c r="G360" t="s">
        <v>8</v>
      </c>
    </row>
    <row r="361" spans="1:7" x14ac:dyDescent="0.3">
      <c r="A361" t="s">
        <v>14</v>
      </c>
      <c r="B361" s="1">
        <v>45808</v>
      </c>
      <c r="C361">
        <v>550003</v>
      </c>
      <c r="D361">
        <v>-738.66399999999999</v>
      </c>
      <c r="E361" t="s">
        <v>6</v>
      </c>
      <c r="F361" t="s">
        <v>62</v>
      </c>
      <c r="G361" t="s">
        <v>8</v>
      </c>
    </row>
    <row r="362" spans="1:7" x14ac:dyDescent="0.3">
      <c r="A362" t="s">
        <v>14</v>
      </c>
      <c r="B362" s="1">
        <v>45808</v>
      </c>
      <c r="C362">
        <v>551003</v>
      </c>
      <c r="D362">
        <v>1485.556</v>
      </c>
      <c r="E362" t="s">
        <v>6</v>
      </c>
      <c r="F362" t="s">
        <v>63</v>
      </c>
      <c r="G362" t="s">
        <v>8</v>
      </c>
    </row>
    <row r="363" spans="1:7" x14ac:dyDescent="0.3">
      <c r="A363" t="s">
        <v>14</v>
      </c>
      <c r="B363" s="1">
        <v>45808</v>
      </c>
      <c r="C363">
        <v>554005</v>
      </c>
      <c r="D363">
        <v>321.98500000000001</v>
      </c>
      <c r="E363" t="s">
        <v>6</v>
      </c>
      <c r="F363" t="s">
        <v>55</v>
      </c>
      <c r="G363" t="s">
        <v>8</v>
      </c>
    </row>
    <row r="364" spans="1:7" x14ac:dyDescent="0.3">
      <c r="A364" t="s">
        <v>14</v>
      </c>
      <c r="B364" s="1">
        <v>45808</v>
      </c>
      <c r="C364">
        <v>554008</v>
      </c>
      <c r="D364">
        <v>29.606999999999999</v>
      </c>
      <c r="E364" t="s">
        <v>6</v>
      </c>
      <c r="F364" t="s">
        <v>55</v>
      </c>
      <c r="G364" t="s">
        <v>8</v>
      </c>
    </row>
    <row r="365" spans="1:7" x14ac:dyDescent="0.3">
      <c r="A365" t="s">
        <v>14</v>
      </c>
      <c r="B365" s="1">
        <v>45808</v>
      </c>
      <c r="C365">
        <v>555004</v>
      </c>
      <c r="D365">
        <v>45.92</v>
      </c>
      <c r="E365" t="s">
        <v>6</v>
      </c>
      <c r="F365" t="s">
        <v>55</v>
      </c>
      <c r="G365" t="s">
        <v>8</v>
      </c>
    </row>
    <row r="366" spans="1:7" x14ac:dyDescent="0.3">
      <c r="A366" t="s">
        <v>14</v>
      </c>
      <c r="B366" s="1">
        <v>45808</v>
      </c>
      <c r="C366">
        <v>555007</v>
      </c>
      <c r="D366">
        <v>231.63399999999999</v>
      </c>
      <c r="E366" t="s">
        <v>6</v>
      </c>
      <c r="F366" t="s">
        <v>55</v>
      </c>
      <c r="G366" t="s">
        <v>8</v>
      </c>
    </row>
    <row r="367" spans="1:7" x14ac:dyDescent="0.3">
      <c r="A367" t="s">
        <v>14</v>
      </c>
      <c r="B367" s="1">
        <v>45808</v>
      </c>
      <c r="C367">
        <v>555508</v>
      </c>
      <c r="D367">
        <v>8.0090000000000003</v>
      </c>
      <c r="E367" t="s">
        <v>6</v>
      </c>
      <c r="F367" t="s">
        <v>55</v>
      </c>
      <c r="G367" t="s">
        <v>8</v>
      </c>
    </row>
    <row r="368" spans="1:7" x14ac:dyDescent="0.3">
      <c r="A368" t="s">
        <v>14</v>
      </c>
      <c r="B368" s="1">
        <v>45808</v>
      </c>
      <c r="C368">
        <v>556002</v>
      </c>
      <c r="D368">
        <v>284.80500000000001</v>
      </c>
      <c r="E368" t="s">
        <v>6</v>
      </c>
      <c r="F368" t="s">
        <v>60</v>
      </c>
      <c r="G368" t="s">
        <v>8</v>
      </c>
    </row>
    <row r="369" spans="1:7" x14ac:dyDescent="0.3">
      <c r="A369" t="s">
        <v>14</v>
      </c>
      <c r="B369" s="1">
        <v>45808</v>
      </c>
      <c r="C369">
        <v>556004</v>
      </c>
      <c r="D369">
        <v>11.3</v>
      </c>
      <c r="E369" t="s">
        <v>6</v>
      </c>
      <c r="F369" t="s">
        <v>55</v>
      </c>
      <c r="G369" t="s">
        <v>8</v>
      </c>
    </row>
    <row r="370" spans="1:7" x14ac:dyDescent="0.3">
      <c r="A370" t="s">
        <v>14</v>
      </c>
      <c r="B370" s="1">
        <v>45808</v>
      </c>
      <c r="C370">
        <v>557002</v>
      </c>
      <c r="D370">
        <v>1392.6479999999999</v>
      </c>
      <c r="E370" t="s">
        <v>6</v>
      </c>
      <c r="F370" t="s">
        <v>56</v>
      </c>
      <c r="G370" t="s">
        <v>8</v>
      </c>
    </row>
    <row r="371" spans="1:7" x14ac:dyDescent="0.3">
      <c r="A371" t="s">
        <v>14</v>
      </c>
      <c r="B371" s="1">
        <v>45808</v>
      </c>
      <c r="C371">
        <v>557003</v>
      </c>
      <c r="D371">
        <v>405.46800000000002</v>
      </c>
      <c r="E371" t="s">
        <v>6</v>
      </c>
      <c r="F371" t="s">
        <v>56</v>
      </c>
      <c r="G371" t="s">
        <v>8</v>
      </c>
    </row>
    <row r="372" spans="1:7" x14ac:dyDescent="0.3">
      <c r="A372" t="s">
        <v>14</v>
      </c>
      <c r="B372" s="1">
        <v>45808</v>
      </c>
      <c r="C372">
        <v>564008</v>
      </c>
      <c r="D372">
        <v>35.648000000000003</v>
      </c>
      <c r="E372" t="s">
        <v>6</v>
      </c>
      <c r="F372" t="s">
        <v>55</v>
      </c>
      <c r="G372" t="s">
        <v>8</v>
      </c>
    </row>
    <row r="373" spans="1:7" x14ac:dyDescent="0.3">
      <c r="A373" t="s">
        <v>14</v>
      </c>
      <c r="B373" s="1">
        <v>45808</v>
      </c>
      <c r="C373">
        <v>564020</v>
      </c>
      <c r="D373">
        <v>246.25399999999999</v>
      </c>
      <c r="E373" t="s">
        <v>6</v>
      </c>
      <c r="F373" t="s">
        <v>57</v>
      </c>
      <c r="G373" t="s">
        <v>8</v>
      </c>
    </row>
    <row r="374" spans="1:7" x14ac:dyDescent="0.3">
      <c r="A374" t="s">
        <v>14</v>
      </c>
      <c r="B374" s="1">
        <v>45808</v>
      </c>
      <c r="C374">
        <v>564023</v>
      </c>
      <c r="D374">
        <v>-4.7119999999999997</v>
      </c>
      <c r="E374" t="s">
        <v>6</v>
      </c>
      <c r="F374" t="s">
        <v>67</v>
      </c>
      <c r="G374" t="s">
        <v>8</v>
      </c>
    </row>
    <row r="375" spans="1:7" x14ac:dyDescent="0.3">
      <c r="A375" t="s">
        <v>14</v>
      </c>
      <c r="B375" s="1">
        <v>45808</v>
      </c>
      <c r="C375">
        <v>570002</v>
      </c>
      <c r="D375">
        <v>63.829000000000001</v>
      </c>
      <c r="E375" t="s">
        <v>6</v>
      </c>
      <c r="F375" t="s">
        <v>66</v>
      </c>
      <c r="G375" t="s">
        <v>8</v>
      </c>
    </row>
    <row r="376" spans="1:7" x14ac:dyDescent="0.3">
      <c r="A376" t="s">
        <v>15</v>
      </c>
      <c r="B376" s="1">
        <v>45808</v>
      </c>
      <c r="C376">
        <v>210002</v>
      </c>
      <c r="D376">
        <v>-867143.10400000005</v>
      </c>
      <c r="E376" t="s">
        <v>4</v>
      </c>
      <c r="F376" t="s">
        <v>42</v>
      </c>
      <c r="G376" t="s">
        <v>5</v>
      </c>
    </row>
    <row r="377" spans="1:7" x14ac:dyDescent="0.3">
      <c r="A377" t="s">
        <v>15</v>
      </c>
      <c r="B377" s="1">
        <v>45808</v>
      </c>
      <c r="C377">
        <v>220002</v>
      </c>
      <c r="D377">
        <v>-246.31899999999999</v>
      </c>
      <c r="E377" t="s">
        <v>4</v>
      </c>
      <c r="F377" t="s">
        <v>42</v>
      </c>
      <c r="G377" t="s">
        <v>5</v>
      </c>
    </row>
    <row r="378" spans="1:7" x14ac:dyDescent="0.3">
      <c r="A378" t="s">
        <v>15</v>
      </c>
      <c r="B378" s="1">
        <v>45808</v>
      </c>
      <c r="C378">
        <v>220005</v>
      </c>
      <c r="D378">
        <v>-6940774.4400000004</v>
      </c>
      <c r="E378" t="s">
        <v>4</v>
      </c>
      <c r="F378" t="s">
        <v>42</v>
      </c>
      <c r="G378" t="s">
        <v>5</v>
      </c>
    </row>
    <row r="379" spans="1:7" x14ac:dyDescent="0.3">
      <c r="A379" t="s">
        <v>15</v>
      </c>
      <c r="B379" s="1">
        <v>45808</v>
      </c>
      <c r="C379">
        <v>220006</v>
      </c>
      <c r="D379">
        <v>-15323196.128</v>
      </c>
      <c r="E379" t="s">
        <v>4</v>
      </c>
      <c r="F379" t="s">
        <v>42</v>
      </c>
      <c r="G379" t="s">
        <v>5</v>
      </c>
    </row>
    <row r="380" spans="1:7" x14ac:dyDescent="0.3">
      <c r="A380" t="s">
        <v>15</v>
      </c>
      <c r="B380" s="1">
        <v>45808</v>
      </c>
      <c r="C380">
        <v>220008</v>
      </c>
      <c r="D380">
        <v>-79666.899999999994</v>
      </c>
      <c r="E380" t="s">
        <v>4</v>
      </c>
      <c r="F380" t="s">
        <v>42</v>
      </c>
      <c r="G380" t="s">
        <v>5</v>
      </c>
    </row>
    <row r="381" spans="1:7" x14ac:dyDescent="0.3">
      <c r="A381" t="s">
        <v>15</v>
      </c>
      <c r="B381" s="1">
        <v>45808</v>
      </c>
      <c r="C381">
        <v>220010</v>
      </c>
      <c r="D381">
        <v>132249.17499999999</v>
      </c>
      <c r="E381" t="s">
        <v>4</v>
      </c>
      <c r="F381" t="s">
        <v>42</v>
      </c>
      <c r="G381" t="s">
        <v>5</v>
      </c>
    </row>
    <row r="382" spans="1:7" x14ac:dyDescent="0.3">
      <c r="A382" t="s">
        <v>15</v>
      </c>
      <c r="B382" s="1">
        <v>45808</v>
      </c>
      <c r="C382">
        <v>220012</v>
      </c>
      <c r="D382">
        <v>-62000</v>
      </c>
      <c r="E382" t="s">
        <v>4</v>
      </c>
      <c r="F382" t="s">
        <v>42</v>
      </c>
      <c r="G382" t="s">
        <v>5</v>
      </c>
    </row>
    <row r="383" spans="1:7" x14ac:dyDescent="0.3">
      <c r="A383" t="s">
        <v>15</v>
      </c>
      <c r="B383" s="1">
        <v>45808</v>
      </c>
      <c r="C383">
        <v>220013</v>
      </c>
      <c r="D383">
        <v>-393297.26899999997</v>
      </c>
      <c r="E383" t="s">
        <v>4</v>
      </c>
      <c r="F383" t="s">
        <v>42</v>
      </c>
      <c r="G383" t="s">
        <v>5</v>
      </c>
    </row>
    <row r="384" spans="1:7" x14ac:dyDescent="0.3">
      <c r="A384" t="s">
        <v>15</v>
      </c>
      <c r="B384" s="1">
        <v>45808</v>
      </c>
      <c r="C384">
        <v>220014</v>
      </c>
      <c r="D384">
        <v>212514.27600000001</v>
      </c>
      <c r="E384" t="s">
        <v>4</v>
      </c>
      <c r="F384" t="s">
        <v>42</v>
      </c>
      <c r="G384" t="s">
        <v>5</v>
      </c>
    </row>
    <row r="385" spans="1:7" x14ac:dyDescent="0.3">
      <c r="A385" t="s">
        <v>15</v>
      </c>
      <c r="B385" s="1">
        <v>45808</v>
      </c>
      <c r="C385">
        <v>220015</v>
      </c>
      <c r="D385">
        <v>-63000.502999999997</v>
      </c>
      <c r="E385" t="s">
        <v>4</v>
      </c>
      <c r="F385" t="s">
        <v>42</v>
      </c>
      <c r="G385" t="s">
        <v>5</v>
      </c>
    </row>
    <row r="386" spans="1:7" x14ac:dyDescent="0.3">
      <c r="A386" t="s">
        <v>15</v>
      </c>
      <c r="B386" s="1">
        <v>45808</v>
      </c>
      <c r="C386">
        <v>234003</v>
      </c>
      <c r="D386">
        <v>-1596436.946</v>
      </c>
      <c r="E386" t="s">
        <v>4</v>
      </c>
      <c r="F386" t="s">
        <v>43</v>
      </c>
      <c r="G386" t="s">
        <v>5</v>
      </c>
    </row>
    <row r="387" spans="1:7" x14ac:dyDescent="0.3">
      <c r="A387" t="s">
        <v>15</v>
      </c>
      <c r="B387" s="1">
        <v>45808</v>
      </c>
      <c r="C387">
        <v>234004</v>
      </c>
      <c r="D387">
        <v>-6068.9650000000001</v>
      </c>
      <c r="E387" t="s">
        <v>4</v>
      </c>
      <c r="F387" t="s">
        <v>43</v>
      </c>
      <c r="G387" t="s">
        <v>5</v>
      </c>
    </row>
    <row r="388" spans="1:7" x14ac:dyDescent="0.3">
      <c r="A388" t="s">
        <v>15</v>
      </c>
      <c r="B388" s="1">
        <v>45808</v>
      </c>
      <c r="C388">
        <v>240002</v>
      </c>
      <c r="D388">
        <v>-89937.054000000004</v>
      </c>
      <c r="E388" t="s">
        <v>4</v>
      </c>
      <c r="F388" t="s">
        <v>43</v>
      </c>
      <c r="G388" t="s">
        <v>5</v>
      </c>
    </row>
    <row r="389" spans="1:7" x14ac:dyDescent="0.3">
      <c r="A389" t="s">
        <v>15</v>
      </c>
      <c r="B389" s="1">
        <v>45808</v>
      </c>
      <c r="C389">
        <v>240003</v>
      </c>
      <c r="D389">
        <v>-4163.4309999999996</v>
      </c>
      <c r="E389" t="s">
        <v>4</v>
      </c>
      <c r="F389" t="s">
        <v>43</v>
      </c>
      <c r="G389" t="s">
        <v>5</v>
      </c>
    </row>
    <row r="390" spans="1:7" x14ac:dyDescent="0.3">
      <c r="A390" t="s">
        <v>15</v>
      </c>
      <c r="B390" s="1">
        <v>45808</v>
      </c>
      <c r="C390">
        <v>240009</v>
      </c>
      <c r="D390">
        <v>22240.53</v>
      </c>
      <c r="E390" t="s">
        <v>4</v>
      </c>
      <c r="F390" t="s">
        <v>43</v>
      </c>
      <c r="G390" t="s">
        <v>5</v>
      </c>
    </row>
    <row r="391" spans="1:7" x14ac:dyDescent="0.3">
      <c r="A391" t="s">
        <v>15</v>
      </c>
      <c r="B391" s="1">
        <v>45808</v>
      </c>
      <c r="C391">
        <v>240010</v>
      </c>
      <c r="D391">
        <v>-12278.832</v>
      </c>
      <c r="E391" t="s">
        <v>4</v>
      </c>
      <c r="F391" t="s">
        <v>43</v>
      </c>
      <c r="G391" t="s">
        <v>5</v>
      </c>
    </row>
    <row r="392" spans="1:7" x14ac:dyDescent="0.3">
      <c r="A392" t="s">
        <v>15</v>
      </c>
      <c r="B392" s="1">
        <v>45808</v>
      </c>
      <c r="C392">
        <v>240011</v>
      </c>
      <c r="D392">
        <v>-25956.734</v>
      </c>
      <c r="E392" t="s">
        <v>4</v>
      </c>
      <c r="F392" t="s">
        <v>43</v>
      </c>
      <c r="G392" t="s">
        <v>5</v>
      </c>
    </row>
    <row r="393" spans="1:7" x14ac:dyDescent="0.3">
      <c r="A393" t="s">
        <v>15</v>
      </c>
      <c r="B393" s="1">
        <v>45808</v>
      </c>
      <c r="C393">
        <v>242018</v>
      </c>
      <c r="D393">
        <v>-20503.05</v>
      </c>
      <c r="E393" t="s">
        <v>4</v>
      </c>
      <c r="F393" t="s">
        <v>43</v>
      </c>
      <c r="G393" t="s">
        <v>5</v>
      </c>
    </row>
    <row r="394" spans="1:7" x14ac:dyDescent="0.3">
      <c r="A394" t="s">
        <v>15</v>
      </c>
      <c r="B394" s="1">
        <v>45808</v>
      </c>
      <c r="C394">
        <v>242021</v>
      </c>
      <c r="D394">
        <v>-18154.650000000001</v>
      </c>
      <c r="E394" t="s">
        <v>4</v>
      </c>
      <c r="F394" t="s">
        <v>43</v>
      </c>
      <c r="G394" t="s">
        <v>5</v>
      </c>
    </row>
    <row r="395" spans="1:7" x14ac:dyDescent="0.3">
      <c r="A395" t="s">
        <v>15</v>
      </c>
      <c r="B395" s="1">
        <v>45808</v>
      </c>
      <c r="C395">
        <v>242041</v>
      </c>
      <c r="D395">
        <v>-535.76900000000001</v>
      </c>
      <c r="E395" t="s">
        <v>4</v>
      </c>
      <c r="F395" t="s">
        <v>43</v>
      </c>
      <c r="G395" t="s">
        <v>5</v>
      </c>
    </row>
    <row r="396" spans="1:7" x14ac:dyDescent="0.3">
      <c r="A396" t="s">
        <v>15</v>
      </c>
      <c r="B396" s="1">
        <v>45808</v>
      </c>
      <c r="C396">
        <v>243002</v>
      </c>
      <c r="D396">
        <v>-828063.77899999998</v>
      </c>
      <c r="E396" t="s">
        <v>4</v>
      </c>
      <c r="F396" t="s">
        <v>43</v>
      </c>
      <c r="G396" t="s">
        <v>5</v>
      </c>
    </row>
    <row r="397" spans="1:7" x14ac:dyDescent="0.3">
      <c r="A397" t="s">
        <v>15</v>
      </c>
      <c r="B397" s="1">
        <v>45808</v>
      </c>
      <c r="C397">
        <v>243003</v>
      </c>
      <c r="D397">
        <v>-62655.133000000002</v>
      </c>
      <c r="E397" t="s">
        <v>4</v>
      </c>
      <c r="F397" t="s">
        <v>43</v>
      </c>
      <c r="G397" t="s">
        <v>5</v>
      </c>
    </row>
    <row r="398" spans="1:7" x14ac:dyDescent="0.3">
      <c r="A398" t="s">
        <v>15</v>
      </c>
      <c r="B398" s="1">
        <v>45808</v>
      </c>
      <c r="C398">
        <v>243004</v>
      </c>
      <c r="D398">
        <v>-135197.20300000001</v>
      </c>
      <c r="E398" t="s">
        <v>4</v>
      </c>
      <c r="F398" t="s">
        <v>43</v>
      </c>
      <c r="G398" t="s">
        <v>5</v>
      </c>
    </row>
    <row r="399" spans="1:7" x14ac:dyDescent="0.3">
      <c r="A399" t="s">
        <v>15</v>
      </c>
      <c r="B399" s="1">
        <v>45808</v>
      </c>
      <c r="C399">
        <v>243005</v>
      </c>
      <c r="D399">
        <v>-29840.6</v>
      </c>
      <c r="E399" t="s">
        <v>4</v>
      </c>
      <c r="F399" t="s">
        <v>43</v>
      </c>
      <c r="G399" t="s">
        <v>5</v>
      </c>
    </row>
    <row r="400" spans="1:7" x14ac:dyDescent="0.3">
      <c r="A400" t="s">
        <v>15</v>
      </c>
      <c r="B400" s="1">
        <v>45808</v>
      </c>
      <c r="C400">
        <v>243009</v>
      </c>
      <c r="D400">
        <v>-22215.107</v>
      </c>
      <c r="E400" t="s">
        <v>4</v>
      </c>
      <c r="F400" t="s">
        <v>43</v>
      </c>
      <c r="G400" t="s">
        <v>5</v>
      </c>
    </row>
    <row r="401" spans="1:7" x14ac:dyDescent="0.3">
      <c r="A401" t="s">
        <v>15</v>
      </c>
      <c r="B401" s="1">
        <v>45808</v>
      </c>
      <c r="C401">
        <v>243010</v>
      </c>
      <c r="D401">
        <v>-42155.213000000003</v>
      </c>
      <c r="E401" t="s">
        <v>4</v>
      </c>
      <c r="F401" t="s">
        <v>43</v>
      </c>
      <c r="G401" t="s">
        <v>5</v>
      </c>
    </row>
    <row r="402" spans="1:7" x14ac:dyDescent="0.3">
      <c r="A402" t="s">
        <v>15</v>
      </c>
      <c r="B402" s="1">
        <v>45808</v>
      </c>
      <c r="C402">
        <v>245002</v>
      </c>
      <c r="D402">
        <v>-227.45400000000001</v>
      </c>
      <c r="E402" t="s">
        <v>4</v>
      </c>
      <c r="F402" t="s">
        <v>43</v>
      </c>
      <c r="G402" t="s">
        <v>5</v>
      </c>
    </row>
    <row r="403" spans="1:7" x14ac:dyDescent="0.3">
      <c r="A403" t="s">
        <v>15</v>
      </c>
      <c r="B403" s="1">
        <v>45808</v>
      </c>
      <c r="C403">
        <v>245004</v>
      </c>
      <c r="D403">
        <v>-201.95699999999999</v>
      </c>
      <c r="E403" t="s">
        <v>4</v>
      </c>
      <c r="F403" t="s">
        <v>43</v>
      </c>
      <c r="G403" t="s">
        <v>5</v>
      </c>
    </row>
    <row r="404" spans="1:7" x14ac:dyDescent="0.3">
      <c r="A404" t="s">
        <v>15</v>
      </c>
      <c r="B404" s="1">
        <v>45808</v>
      </c>
      <c r="C404">
        <v>245006</v>
      </c>
      <c r="D404">
        <v>-169.28200000000001</v>
      </c>
      <c r="E404" t="s">
        <v>4</v>
      </c>
      <c r="F404" t="s">
        <v>43</v>
      </c>
      <c r="G404" t="s">
        <v>5</v>
      </c>
    </row>
    <row r="405" spans="1:7" x14ac:dyDescent="0.3">
      <c r="A405" t="s">
        <v>15</v>
      </c>
      <c r="B405" s="1">
        <v>45808</v>
      </c>
      <c r="C405">
        <v>245010</v>
      </c>
      <c r="D405">
        <v>-335148.05800000002</v>
      </c>
      <c r="E405" t="s">
        <v>4</v>
      </c>
      <c r="F405" t="s">
        <v>44</v>
      </c>
      <c r="G405" t="s">
        <v>5</v>
      </c>
    </row>
    <row r="406" spans="1:7" x14ac:dyDescent="0.3">
      <c r="A406" t="s">
        <v>15</v>
      </c>
      <c r="B406" s="1">
        <v>45808</v>
      </c>
      <c r="C406">
        <v>245015</v>
      </c>
      <c r="D406">
        <v>-17313.462</v>
      </c>
      <c r="E406" t="s">
        <v>4</v>
      </c>
      <c r="F406" t="s">
        <v>43</v>
      </c>
      <c r="G406" t="s">
        <v>5</v>
      </c>
    </row>
    <row r="407" spans="1:7" x14ac:dyDescent="0.3">
      <c r="A407" t="s">
        <v>15</v>
      </c>
      <c r="B407" s="1">
        <v>45808</v>
      </c>
      <c r="C407">
        <v>245017</v>
      </c>
      <c r="D407">
        <v>-6727.4369999999999</v>
      </c>
      <c r="E407" t="s">
        <v>4</v>
      </c>
      <c r="F407" t="s">
        <v>43</v>
      </c>
      <c r="G407" t="s">
        <v>5</v>
      </c>
    </row>
    <row r="408" spans="1:7" x14ac:dyDescent="0.3">
      <c r="A408" t="s">
        <v>15</v>
      </c>
      <c r="B408" s="1">
        <v>45808</v>
      </c>
      <c r="C408">
        <v>245018</v>
      </c>
      <c r="D408">
        <v>-94828.566999999995</v>
      </c>
      <c r="E408" t="s">
        <v>4</v>
      </c>
      <c r="F408" t="s">
        <v>43</v>
      </c>
      <c r="G408" t="s">
        <v>5</v>
      </c>
    </row>
    <row r="409" spans="1:7" x14ac:dyDescent="0.3">
      <c r="A409" t="s">
        <v>15</v>
      </c>
      <c r="B409" s="1">
        <v>45808</v>
      </c>
      <c r="C409">
        <v>245020</v>
      </c>
      <c r="D409">
        <v>-4064.1019999999999</v>
      </c>
      <c r="E409" t="s">
        <v>4</v>
      </c>
      <c r="F409" t="s">
        <v>44</v>
      </c>
      <c r="G409" t="s">
        <v>5</v>
      </c>
    </row>
    <row r="410" spans="1:7" x14ac:dyDescent="0.3">
      <c r="A410" t="s">
        <v>15</v>
      </c>
      <c r="B410" s="1">
        <v>45808</v>
      </c>
      <c r="C410">
        <v>245038</v>
      </c>
      <c r="D410">
        <v>-7085.8440000000001</v>
      </c>
      <c r="E410" t="s">
        <v>4</v>
      </c>
      <c r="F410" t="s">
        <v>45</v>
      </c>
      <c r="G410" t="s">
        <v>5</v>
      </c>
    </row>
    <row r="411" spans="1:7" x14ac:dyDescent="0.3">
      <c r="A411" t="s">
        <v>15</v>
      </c>
      <c r="B411" s="1">
        <v>45808</v>
      </c>
      <c r="C411">
        <v>245041</v>
      </c>
      <c r="D411">
        <v>-23092.053</v>
      </c>
      <c r="E411" t="s">
        <v>4</v>
      </c>
      <c r="F411" t="s">
        <v>43</v>
      </c>
      <c r="G411" t="s">
        <v>5</v>
      </c>
    </row>
    <row r="412" spans="1:7" x14ac:dyDescent="0.3">
      <c r="A412" t="s">
        <v>15</v>
      </c>
      <c r="B412" s="1">
        <v>45808</v>
      </c>
      <c r="C412">
        <v>245044</v>
      </c>
      <c r="D412">
        <v>-76276.573999999993</v>
      </c>
      <c r="E412" t="s">
        <v>4</v>
      </c>
      <c r="F412" t="s">
        <v>43</v>
      </c>
      <c r="G412" t="s">
        <v>5</v>
      </c>
    </row>
    <row r="413" spans="1:7" x14ac:dyDescent="0.3">
      <c r="A413" t="s">
        <v>15</v>
      </c>
      <c r="B413" s="1">
        <v>45808</v>
      </c>
      <c r="C413">
        <v>245046</v>
      </c>
      <c r="D413">
        <v>-2019.9169999999999</v>
      </c>
      <c r="E413" t="s">
        <v>4</v>
      </c>
      <c r="F413" t="s">
        <v>43</v>
      </c>
      <c r="G413" t="s">
        <v>5</v>
      </c>
    </row>
    <row r="414" spans="1:7" x14ac:dyDescent="0.3">
      <c r="A414" t="s">
        <v>15</v>
      </c>
      <c r="B414" s="1">
        <v>45808</v>
      </c>
      <c r="C414">
        <v>245048</v>
      </c>
      <c r="D414">
        <v>-21295.652999999998</v>
      </c>
      <c r="E414" t="s">
        <v>4</v>
      </c>
      <c r="F414" t="s">
        <v>43</v>
      </c>
      <c r="G414" t="s">
        <v>5</v>
      </c>
    </row>
    <row r="415" spans="1:7" x14ac:dyDescent="0.3">
      <c r="A415" t="s">
        <v>15</v>
      </c>
      <c r="B415" s="1">
        <v>45808</v>
      </c>
      <c r="C415">
        <v>245049</v>
      </c>
      <c r="D415">
        <v>-161025.37</v>
      </c>
      <c r="E415" t="s">
        <v>4</v>
      </c>
      <c r="F415" t="s">
        <v>43</v>
      </c>
      <c r="G415" t="s">
        <v>5</v>
      </c>
    </row>
    <row r="416" spans="1:7" x14ac:dyDescent="0.3">
      <c r="A416" t="s">
        <v>15</v>
      </c>
      <c r="B416" s="1">
        <v>45808</v>
      </c>
      <c r="C416">
        <v>245050</v>
      </c>
      <c r="D416">
        <v>-15297.688</v>
      </c>
      <c r="E416" t="s">
        <v>4</v>
      </c>
      <c r="F416" t="s">
        <v>43</v>
      </c>
      <c r="G416" t="s">
        <v>5</v>
      </c>
    </row>
    <row r="417" spans="1:7" x14ac:dyDescent="0.3">
      <c r="A417" t="s">
        <v>15</v>
      </c>
      <c r="B417" s="1">
        <v>45808</v>
      </c>
      <c r="C417">
        <v>245055</v>
      </c>
      <c r="D417">
        <v>-173685.527</v>
      </c>
      <c r="E417" t="s">
        <v>4</v>
      </c>
      <c r="F417" t="s">
        <v>43</v>
      </c>
      <c r="G417" t="s">
        <v>5</v>
      </c>
    </row>
    <row r="418" spans="1:7" x14ac:dyDescent="0.3">
      <c r="A418" t="s">
        <v>15</v>
      </c>
      <c r="B418" s="1">
        <v>45808</v>
      </c>
      <c r="C418">
        <v>245056</v>
      </c>
      <c r="D418">
        <v>-8998.7900000000009</v>
      </c>
      <c r="E418" t="s">
        <v>4</v>
      </c>
      <c r="F418" t="s">
        <v>49</v>
      </c>
      <c r="G418" t="s">
        <v>5</v>
      </c>
    </row>
    <row r="419" spans="1:7" x14ac:dyDescent="0.3">
      <c r="A419" t="s">
        <v>15</v>
      </c>
      <c r="B419" s="1">
        <v>45808</v>
      </c>
      <c r="C419">
        <v>245057</v>
      </c>
      <c r="D419">
        <v>-36363.862000000001</v>
      </c>
      <c r="E419" t="s">
        <v>4</v>
      </c>
      <c r="F419" t="s">
        <v>43</v>
      </c>
      <c r="G419" t="s">
        <v>5</v>
      </c>
    </row>
    <row r="420" spans="1:7" x14ac:dyDescent="0.3">
      <c r="A420" t="s">
        <v>15</v>
      </c>
      <c r="B420" s="1">
        <v>45808</v>
      </c>
      <c r="C420">
        <v>245059</v>
      </c>
      <c r="D420">
        <v>-234.21100000000001</v>
      </c>
      <c r="E420" t="s">
        <v>4</v>
      </c>
      <c r="F420" t="s">
        <v>43</v>
      </c>
      <c r="G420" t="s">
        <v>5</v>
      </c>
    </row>
    <row r="421" spans="1:7" x14ac:dyDescent="0.3">
      <c r="A421" t="s">
        <v>15</v>
      </c>
      <c r="B421" s="1">
        <v>45808</v>
      </c>
      <c r="C421">
        <v>245062</v>
      </c>
      <c r="D421">
        <v>-209501.614</v>
      </c>
      <c r="E421" t="s">
        <v>4</v>
      </c>
      <c r="F421" t="s">
        <v>43</v>
      </c>
      <c r="G421" t="s">
        <v>5</v>
      </c>
    </row>
    <row r="422" spans="1:7" x14ac:dyDescent="0.3">
      <c r="A422" t="s">
        <v>15</v>
      </c>
      <c r="B422" s="1">
        <v>45808</v>
      </c>
      <c r="C422">
        <v>249002</v>
      </c>
      <c r="D422">
        <v>-974112.72600000002</v>
      </c>
      <c r="E422" t="s">
        <v>4</v>
      </c>
      <c r="F422" t="s">
        <v>44</v>
      </c>
      <c r="G422" t="s">
        <v>5</v>
      </c>
    </row>
    <row r="423" spans="1:7" x14ac:dyDescent="0.3">
      <c r="A423" t="s">
        <v>15</v>
      </c>
      <c r="B423" s="1">
        <v>45808</v>
      </c>
      <c r="C423">
        <v>249003</v>
      </c>
      <c r="D423">
        <v>-58782.203999999998</v>
      </c>
      <c r="E423" t="s">
        <v>4</v>
      </c>
      <c r="F423" t="s">
        <v>44</v>
      </c>
      <c r="G423" t="s">
        <v>5</v>
      </c>
    </row>
    <row r="424" spans="1:7" x14ac:dyDescent="0.3">
      <c r="A424" t="s">
        <v>15</v>
      </c>
      <c r="B424" s="1">
        <v>45808</v>
      </c>
      <c r="C424">
        <v>249004</v>
      </c>
      <c r="D424">
        <v>17276.942999999999</v>
      </c>
      <c r="E424" t="s">
        <v>4</v>
      </c>
      <c r="F424" t="s">
        <v>44</v>
      </c>
      <c r="G424" t="s">
        <v>5</v>
      </c>
    </row>
    <row r="425" spans="1:7" x14ac:dyDescent="0.3">
      <c r="A425" t="s">
        <v>15</v>
      </c>
      <c r="B425" s="1">
        <v>45808</v>
      </c>
      <c r="C425">
        <v>250003</v>
      </c>
      <c r="D425">
        <v>-42816.928999999996</v>
      </c>
      <c r="E425" t="s">
        <v>4</v>
      </c>
      <c r="F425" t="s">
        <v>45</v>
      </c>
      <c r="G425" t="s">
        <v>5</v>
      </c>
    </row>
    <row r="426" spans="1:7" x14ac:dyDescent="0.3">
      <c r="A426" t="s">
        <v>15</v>
      </c>
      <c r="B426" s="1">
        <v>45808</v>
      </c>
      <c r="C426">
        <v>250009</v>
      </c>
      <c r="D426">
        <v>-669.6</v>
      </c>
      <c r="E426" t="s">
        <v>4</v>
      </c>
      <c r="F426" t="s">
        <v>43</v>
      </c>
      <c r="G426" t="s">
        <v>5</v>
      </c>
    </row>
    <row r="427" spans="1:7" x14ac:dyDescent="0.3">
      <c r="A427" t="s">
        <v>15</v>
      </c>
      <c r="B427" s="1">
        <v>45808</v>
      </c>
      <c r="C427">
        <v>250017</v>
      </c>
      <c r="D427">
        <v>397638.66</v>
      </c>
      <c r="E427" t="s">
        <v>4</v>
      </c>
      <c r="F427" t="s">
        <v>44</v>
      </c>
      <c r="G427" t="s">
        <v>5</v>
      </c>
    </row>
    <row r="428" spans="1:7" x14ac:dyDescent="0.3">
      <c r="A428" t="s">
        <v>15</v>
      </c>
      <c r="B428" s="1">
        <v>45808</v>
      </c>
      <c r="C428">
        <v>250019</v>
      </c>
      <c r="D428">
        <v>-3100</v>
      </c>
      <c r="E428" t="s">
        <v>4</v>
      </c>
      <c r="F428" t="s">
        <v>45</v>
      </c>
      <c r="G428" t="s">
        <v>5</v>
      </c>
    </row>
    <row r="429" spans="1:7" x14ac:dyDescent="0.3">
      <c r="A429" t="s">
        <v>15</v>
      </c>
      <c r="B429" s="1">
        <v>45808</v>
      </c>
      <c r="C429">
        <v>250020</v>
      </c>
      <c r="D429">
        <v>-11640.877</v>
      </c>
      <c r="E429" t="s">
        <v>4</v>
      </c>
      <c r="F429" t="s">
        <v>45</v>
      </c>
      <c r="G429" t="s">
        <v>5</v>
      </c>
    </row>
    <row r="430" spans="1:7" x14ac:dyDescent="0.3">
      <c r="A430" t="s">
        <v>15</v>
      </c>
      <c r="B430" s="1">
        <v>45808</v>
      </c>
      <c r="C430">
        <v>250021</v>
      </c>
      <c r="D430">
        <v>-22127.037</v>
      </c>
      <c r="E430" t="s">
        <v>4</v>
      </c>
      <c r="F430" t="s">
        <v>45</v>
      </c>
      <c r="G430" t="s">
        <v>5</v>
      </c>
    </row>
    <row r="431" spans="1:7" x14ac:dyDescent="0.3">
      <c r="A431" t="s">
        <v>15</v>
      </c>
      <c r="B431" s="1">
        <v>45808</v>
      </c>
      <c r="C431">
        <v>250022</v>
      </c>
      <c r="D431">
        <v>15441.422</v>
      </c>
      <c r="E431" t="s">
        <v>4</v>
      </c>
      <c r="F431" t="s">
        <v>45</v>
      </c>
      <c r="G431" t="s">
        <v>5</v>
      </c>
    </row>
    <row r="432" spans="1:7" x14ac:dyDescent="0.3">
      <c r="A432" t="s">
        <v>15</v>
      </c>
      <c r="B432" s="1">
        <v>45808</v>
      </c>
      <c r="C432">
        <v>251002</v>
      </c>
      <c r="D432">
        <v>-1426.2170000000001</v>
      </c>
      <c r="E432" t="s">
        <v>4</v>
      </c>
      <c r="F432" t="s">
        <v>45</v>
      </c>
      <c r="G432" t="s">
        <v>5</v>
      </c>
    </row>
    <row r="433" spans="1:7" x14ac:dyDescent="0.3">
      <c r="A433" t="s">
        <v>15</v>
      </c>
      <c r="B433" s="1">
        <v>45808</v>
      </c>
      <c r="C433">
        <v>251003</v>
      </c>
      <c r="D433">
        <v>-3795.1149999999998</v>
      </c>
      <c r="E433" t="s">
        <v>4</v>
      </c>
      <c r="F433" t="s">
        <v>45</v>
      </c>
      <c r="G433" t="s">
        <v>5</v>
      </c>
    </row>
    <row r="434" spans="1:7" x14ac:dyDescent="0.3">
      <c r="A434" t="s">
        <v>15</v>
      </c>
      <c r="B434" s="1">
        <v>45808</v>
      </c>
      <c r="C434">
        <v>255008</v>
      </c>
      <c r="D434">
        <v>-2747.308</v>
      </c>
      <c r="E434" t="s">
        <v>4</v>
      </c>
      <c r="F434" t="s">
        <v>43</v>
      </c>
      <c r="G434" t="s">
        <v>5</v>
      </c>
    </row>
    <row r="435" spans="1:7" x14ac:dyDescent="0.3">
      <c r="A435" t="s">
        <v>15</v>
      </c>
      <c r="B435" s="1">
        <v>45808</v>
      </c>
      <c r="C435">
        <v>255009</v>
      </c>
      <c r="D435">
        <v>-1052.415</v>
      </c>
      <c r="E435" t="s">
        <v>4</v>
      </c>
      <c r="F435" t="s">
        <v>43</v>
      </c>
      <c r="G435" t="s">
        <v>5</v>
      </c>
    </row>
    <row r="436" spans="1:7" x14ac:dyDescent="0.3">
      <c r="A436" t="s">
        <v>15</v>
      </c>
      <c r="B436" s="1">
        <v>45808</v>
      </c>
      <c r="C436">
        <v>255010</v>
      </c>
      <c r="D436">
        <v>-960.99099999999999</v>
      </c>
      <c r="E436" t="s">
        <v>4</v>
      </c>
      <c r="F436" t="s">
        <v>43</v>
      </c>
      <c r="G436" t="s">
        <v>5</v>
      </c>
    </row>
    <row r="437" spans="1:7" x14ac:dyDescent="0.3">
      <c r="A437" t="s">
        <v>15</v>
      </c>
      <c r="B437" s="1">
        <v>45808</v>
      </c>
      <c r="C437">
        <v>255011</v>
      </c>
      <c r="D437">
        <v>-1831.722</v>
      </c>
      <c r="E437" t="s">
        <v>4</v>
      </c>
      <c r="F437" t="s">
        <v>43</v>
      </c>
      <c r="G437" t="s">
        <v>5</v>
      </c>
    </row>
    <row r="438" spans="1:7" x14ac:dyDescent="0.3">
      <c r="A438" t="s">
        <v>15</v>
      </c>
      <c r="B438" s="1">
        <v>45808</v>
      </c>
      <c r="C438">
        <v>255012</v>
      </c>
      <c r="D438">
        <v>-1143.0150000000001</v>
      </c>
      <c r="E438" t="s">
        <v>4</v>
      </c>
      <c r="F438" t="s">
        <v>43</v>
      </c>
      <c r="G438" t="s">
        <v>5</v>
      </c>
    </row>
    <row r="439" spans="1:7" x14ac:dyDescent="0.3">
      <c r="A439" t="s">
        <v>15</v>
      </c>
      <c r="B439" s="1">
        <v>45808</v>
      </c>
      <c r="C439">
        <v>255015</v>
      </c>
      <c r="D439">
        <v>-1016.847</v>
      </c>
      <c r="E439" t="s">
        <v>4</v>
      </c>
      <c r="F439" t="s">
        <v>43</v>
      </c>
      <c r="G439" t="s">
        <v>5</v>
      </c>
    </row>
    <row r="440" spans="1:7" x14ac:dyDescent="0.3">
      <c r="A440" t="s">
        <v>15</v>
      </c>
      <c r="B440" s="1">
        <v>45808</v>
      </c>
      <c r="C440">
        <v>255016</v>
      </c>
      <c r="D440">
        <v>-612.62800000000004</v>
      </c>
      <c r="E440" t="s">
        <v>4</v>
      </c>
      <c r="F440" t="s">
        <v>43</v>
      </c>
      <c r="G440" t="s">
        <v>5</v>
      </c>
    </row>
    <row r="441" spans="1:7" x14ac:dyDescent="0.3">
      <c r="A441" t="s">
        <v>15</v>
      </c>
      <c r="B441" s="1">
        <v>45808</v>
      </c>
      <c r="C441">
        <v>255017</v>
      </c>
      <c r="D441">
        <v>-583.01099999999997</v>
      </c>
      <c r="E441" t="s">
        <v>4</v>
      </c>
      <c r="F441" t="s">
        <v>43</v>
      </c>
      <c r="G441" t="s">
        <v>5</v>
      </c>
    </row>
    <row r="442" spans="1:7" x14ac:dyDescent="0.3">
      <c r="A442" t="s">
        <v>15</v>
      </c>
      <c r="B442" s="1">
        <v>45808</v>
      </c>
      <c r="C442">
        <v>255018</v>
      </c>
      <c r="D442">
        <v>-582.48500000000001</v>
      </c>
      <c r="E442" t="s">
        <v>4</v>
      </c>
      <c r="F442" t="s">
        <v>43</v>
      </c>
      <c r="G442" t="s">
        <v>5</v>
      </c>
    </row>
    <row r="443" spans="1:7" x14ac:dyDescent="0.3">
      <c r="A443" t="s">
        <v>15</v>
      </c>
      <c r="B443" s="1">
        <v>45808</v>
      </c>
      <c r="C443">
        <v>255019</v>
      </c>
      <c r="D443">
        <v>-1218.345</v>
      </c>
      <c r="E443" t="s">
        <v>4</v>
      </c>
      <c r="F443" t="s">
        <v>43</v>
      </c>
      <c r="G443" t="s">
        <v>5</v>
      </c>
    </row>
    <row r="444" spans="1:7" x14ac:dyDescent="0.3">
      <c r="A444" t="s">
        <v>15</v>
      </c>
      <c r="B444" s="1">
        <v>45808</v>
      </c>
      <c r="C444">
        <v>255020</v>
      </c>
      <c r="D444">
        <v>-867.76400000000001</v>
      </c>
      <c r="E444" t="s">
        <v>4</v>
      </c>
      <c r="F444" t="s">
        <v>43</v>
      </c>
      <c r="G444" t="s">
        <v>5</v>
      </c>
    </row>
    <row r="445" spans="1:7" x14ac:dyDescent="0.3">
      <c r="A445" t="s">
        <v>15</v>
      </c>
      <c r="B445" s="1">
        <v>45808</v>
      </c>
      <c r="C445">
        <v>257002</v>
      </c>
      <c r="D445">
        <v>-108.52</v>
      </c>
      <c r="E445" t="s">
        <v>4</v>
      </c>
      <c r="F445" t="s">
        <v>45</v>
      </c>
      <c r="G445" t="s">
        <v>5</v>
      </c>
    </row>
    <row r="446" spans="1:7" x14ac:dyDescent="0.3">
      <c r="A446" t="s">
        <v>15</v>
      </c>
      <c r="B446" s="1">
        <v>45808</v>
      </c>
      <c r="C446">
        <v>257003</v>
      </c>
      <c r="D446">
        <v>-2707.9140000000002</v>
      </c>
      <c r="E446" t="s">
        <v>4</v>
      </c>
      <c r="F446" t="s">
        <v>45</v>
      </c>
      <c r="G446" t="s">
        <v>5</v>
      </c>
    </row>
    <row r="447" spans="1:7" x14ac:dyDescent="0.3">
      <c r="A447" t="s">
        <v>15</v>
      </c>
      <c r="B447" s="1">
        <v>45808</v>
      </c>
      <c r="C447">
        <v>257005</v>
      </c>
      <c r="D447">
        <v>-149116.821</v>
      </c>
      <c r="E447" t="s">
        <v>4</v>
      </c>
      <c r="F447" t="s">
        <v>45</v>
      </c>
      <c r="G447" t="s">
        <v>5</v>
      </c>
    </row>
    <row r="448" spans="1:7" x14ac:dyDescent="0.3">
      <c r="A448" t="s">
        <v>15</v>
      </c>
      <c r="B448" s="1">
        <v>45808</v>
      </c>
      <c r="C448">
        <v>257014</v>
      </c>
      <c r="D448">
        <v>-493463.20799999998</v>
      </c>
      <c r="E448" t="s">
        <v>4</v>
      </c>
      <c r="F448" t="s">
        <v>45</v>
      </c>
      <c r="G448" t="s">
        <v>5</v>
      </c>
    </row>
    <row r="449" spans="1:7" x14ac:dyDescent="0.3">
      <c r="A449" t="s">
        <v>15</v>
      </c>
      <c r="B449" s="1">
        <v>45808</v>
      </c>
      <c r="C449">
        <v>257015</v>
      </c>
      <c r="D449">
        <v>-6446.9030000000002</v>
      </c>
      <c r="E449" t="s">
        <v>4</v>
      </c>
      <c r="F449" t="s">
        <v>45</v>
      </c>
      <c r="G449" t="s">
        <v>5</v>
      </c>
    </row>
    <row r="450" spans="1:7" x14ac:dyDescent="0.3">
      <c r="A450" t="s">
        <v>15</v>
      </c>
      <c r="B450" s="1">
        <v>45808</v>
      </c>
      <c r="C450">
        <v>257016</v>
      </c>
      <c r="D450">
        <v>-498.55799999999999</v>
      </c>
      <c r="E450" t="s">
        <v>4</v>
      </c>
      <c r="F450" t="s">
        <v>45</v>
      </c>
      <c r="G450" t="s">
        <v>5</v>
      </c>
    </row>
    <row r="451" spans="1:7" x14ac:dyDescent="0.3">
      <c r="A451" t="s">
        <v>15</v>
      </c>
      <c r="B451" s="1">
        <v>45808</v>
      </c>
      <c r="C451">
        <v>257018</v>
      </c>
      <c r="D451">
        <v>-4536.982</v>
      </c>
      <c r="E451" t="s">
        <v>4</v>
      </c>
      <c r="F451" t="s">
        <v>45</v>
      </c>
      <c r="G451" t="s">
        <v>5</v>
      </c>
    </row>
    <row r="452" spans="1:7" x14ac:dyDescent="0.3">
      <c r="A452" t="s">
        <v>15</v>
      </c>
      <c r="B452" s="1">
        <v>45808</v>
      </c>
      <c r="C452">
        <v>257020</v>
      </c>
      <c r="D452">
        <v>-0.29499999999999998</v>
      </c>
      <c r="E452" t="s">
        <v>4</v>
      </c>
      <c r="F452" t="s">
        <v>45</v>
      </c>
      <c r="G452" t="s">
        <v>5</v>
      </c>
    </row>
    <row r="453" spans="1:7" x14ac:dyDescent="0.3">
      <c r="A453" t="s">
        <v>15</v>
      </c>
      <c r="B453" s="1">
        <v>45808</v>
      </c>
      <c r="C453">
        <v>257028</v>
      </c>
      <c r="D453">
        <v>-105.277</v>
      </c>
      <c r="E453" t="s">
        <v>4</v>
      </c>
      <c r="F453" t="s">
        <v>45</v>
      </c>
      <c r="G453" t="s">
        <v>5</v>
      </c>
    </row>
    <row r="454" spans="1:7" x14ac:dyDescent="0.3">
      <c r="A454" t="s">
        <v>15</v>
      </c>
      <c r="B454" s="1">
        <v>45808</v>
      </c>
      <c r="C454">
        <v>257029</v>
      </c>
      <c r="D454">
        <v>-481.18799999999999</v>
      </c>
      <c r="E454" t="s">
        <v>4</v>
      </c>
      <c r="F454" t="s">
        <v>45</v>
      </c>
      <c r="G454" t="s">
        <v>5</v>
      </c>
    </row>
    <row r="455" spans="1:7" x14ac:dyDescent="0.3">
      <c r="A455" t="s">
        <v>15</v>
      </c>
      <c r="B455" s="1">
        <v>45808</v>
      </c>
      <c r="C455">
        <v>257030</v>
      </c>
      <c r="D455">
        <v>-679.72199999999998</v>
      </c>
      <c r="E455" t="s">
        <v>4</v>
      </c>
      <c r="F455" t="s">
        <v>45</v>
      </c>
      <c r="G455" t="s">
        <v>5</v>
      </c>
    </row>
    <row r="456" spans="1:7" x14ac:dyDescent="0.3">
      <c r="A456" t="s">
        <v>15</v>
      </c>
      <c r="B456" s="1">
        <v>45808</v>
      </c>
      <c r="C456">
        <v>257038</v>
      </c>
      <c r="D456">
        <v>-43.234000000000002</v>
      </c>
      <c r="E456" t="s">
        <v>4</v>
      </c>
      <c r="F456" t="s">
        <v>45</v>
      </c>
      <c r="G456" t="s">
        <v>5</v>
      </c>
    </row>
    <row r="457" spans="1:7" x14ac:dyDescent="0.3">
      <c r="A457" t="s">
        <v>15</v>
      </c>
      <c r="B457" s="1">
        <v>45808</v>
      </c>
      <c r="C457">
        <v>261014</v>
      </c>
      <c r="D457">
        <v>3165.6129999999998</v>
      </c>
      <c r="E457" t="s">
        <v>4</v>
      </c>
      <c r="F457" t="s">
        <v>45</v>
      </c>
      <c r="G457" t="s">
        <v>5</v>
      </c>
    </row>
    <row r="458" spans="1:7" x14ac:dyDescent="0.3">
      <c r="A458" t="s">
        <v>15</v>
      </c>
      <c r="B458" s="1">
        <v>45808</v>
      </c>
      <c r="C458">
        <v>261015</v>
      </c>
      <c r="D458">
        <v>0.70099999999999996</v>
      </c>
      <c r="E458" t="s">
        <v>4</v>
      </c>
      <c r="F458" t="s">
        <v>45</v>
      </c>
      <c r="G458" t="s">
        <v>5</v>
      </c>
    </row>
    <row r="459" spans="1:7" x14ac:dyDescent="0.3">
      <c r="A459" t="s">
        <v>15</v>
      </c>
      <c r="B459" s="1">
        <v>45808</v>
      </c>
      <c r="C459">
        <v>261016</v>
      </c>
      <c r="D459">
        <v>0.35</v>
      </c>
      <c r="E459" t="s">
        <v>4</v>
      </c>
      <c r="F459" t="s">
        <v>45</v>
      </c>
      <c r="G459" t="s">
        <v>5</v>
      </c>
    </row>
    <row r="460" spans="1:7" x14ac:dyDescent="0.3">
      <c r="A460" t="s">
        <v>15</v>
      </c>
      <c r="B460" s="1">
        <v>45808</v>
      </c>
      <c r="C460">
        <v>261017</v>
      </c>
      <c r="D460">
        <v>2.3809999999999998</v>
      </c>
      <c r="E460" t="s">
        <v>4</v>
      </c>
      <c r="F460" t="s">
        <v>45</v>
      </c>
      <c r="G460" t="s">
        <v>5</v>
      </c>
    </row>
    <row r="461" spans="1:7" x14ac:dyDescent="0.3">
      <c r="A461" t="s">
        <v>15</v>
      </c>
      <c r="B461" s="1">
        <v>45808</v>
      </c>
      <c r="C461">
        <v>261019</v>
      </c>
      <c r="D461">
        <v>628.71199999999999</v>
      </c>
      <c r="E461" t="s">
        <v>4</v>
      </c>
      <c r="F461" t="s">
        <v>45</v>
      </c>
      <c r="G461" t="s">
        <v>5</v>
      </c>
    </row>
    <row r="462" spans="1:7" x14ac:dyDescent="0.3">
      <c r="A462" t="s">
        <v>15</v>
      </c>
      <c r="B462" s="1">
        <v>45808</v>
      </c>
      <c r="C462">
        <v>261023</v>
      </c>
      <c r="D462">
        <v>17603.915000000001</v>
      </c>
      <c r="E462" t="s">
        <v>4</v>
      </c>
      <c r="F462" t="s">
        <v>45</v>
      </c>
      <c r="G462" t="s">
        <v>5</v>
      </c>
    </row>
    <row r="463" spans="1:7" x14ac:dyDescent="0.3">
      <c r="A463" t="s">
        <v>15</v>
      </c>
      <c r="B463" s="1">
        <v>45808</v>
      </c>
      <c r="C463">
        <v>261024</v>
      </c>
      <c r="D463">
        <v>628.71199999999999</v>
      </c>
      <c r="E463" t="s">
        <v>4</v>
      </c>
      <c r="F463" t="s">
        <v>45</v>
      </c>
      <c r="G463" t="s">
        <v>5</v>
      </c>
    </row>
    <row r="464" spans="1:7" x14ac:dyDescent="0.3">
      <c r="A464" t="s">
        <v>15</v>
      </c>
      <c r="B464" s="1">
        <v>45808</v>
      </c>
      <c r="C464">
        <v>262015</v>
      </c>
      <c r="D464">
        <v>477.661</v>
      </c>
      <c r="E464" t="s">
        <v>4</v>
      </c>
      <c r="F464" t="s">
        <v>45</v>
      </c>
      <c r="G464" t="s">
        <v>5</v>
      </c>
    </row>
    <row r="465" spans="1:7" x14ac:dyDescent="0.3">
      <c r="A465" t="s">
        <v>15</v>
      </c>
      <c r="B465" s="1">
        <v>45808</v>
      </c>
      <c r="C465">
        <v>263006</v>
      </c>
      <c r="D465">
        <v>-92031.061000000002</v>
      </c>
      <c r="E465" t="s">
        <v>4</v>
      </c>
      <c r="F465" t="s">
        <v>45</v>
      </c>
      <c r="G465" t="s">
        <v>5</v>
      </c>
    </row>
    <row r="466" spans="1:7" x14ac:dyDescent="0.3">
      <c r="A466" t="s">
        <v>15</v>
      </c>
      <c r="B466" s="1">
        <v>45808</v>
      </c>
      <c r="C466">
        <v>263007</v>
      </c>
      <c r="D466">
        <v>-75688.354000000007</v>
      </c>
      <c r="E466" t="s">
        <v>4</v>
      </c>
      <c r="F466" t="s">
        <v>45</v>
      </c>
      <c r="G466" t="s">
        <v>5</v>
      </c>
    </row>
    <row r="467" spans="1:7" x14ac:dyDescent="0.3">
      <c r="A467" t="s">
        <v>15</v>
      </c>
      <c r="B467" s="1">
        <v>45808</v>
      </c>
      <c r="C467">
        <v>263008</v>
      </c>
      <c r="D467">
        <v>-94894.766000000003</v>
      </c>
      <c r="E467" t="s">
        <v>4</v>
      </c>
      <c r="F467" t="s">
        <v>45</v>
      </c>
      <c r="G467" t="s">
        <v>5</v>
      </c>
    </row>
    <row r="468" spans="1:7" x14ac:dyDescent="0.3">
      <c r="A468" t="s">
        <v>15</v>
      </c>
      <c r="B468" s="1">
        <v>45808</v>
      </c>
      <c r="C468">
        <v>263010</v>
      </c>
      <c r="D468">
        <v>-1022.831</v>
      </c>
      <c r="E468" t="s">
        <v>4</v>
      </c>
      <c r="F468" t="s">
        <v>45</v>
      </c>
      <c r="G468" t="s">
        <v>5</v>
      </c>
    </row>
    <row r="469" spans="1:7" x14ac:dyDescent="0.3">
      <c r="A469" t="s">
        <v>15</v>
      </c>
      <c r="B469" s="1">
        <v>45808</v>
      </c>
      <c r="C469">
        <v>263012</v>
      </c>
      <c r="D469">
        <v>-482.56</v>
      </c>
      <c r="E469" t="s">
        <v>4</v>
      </c>
      <c r="F469" t="s">
        <v>45</v>
      </c>
      <c r="G469" t="s">
        <v>5</v>
      </c>
    </row>
    <row r="470" spans="1:7" x14ac:dyDescent="0.3">
      <c r="A470" t="s">
        <v>15</v>
      </c>
      <c r="B470" s="1">
        <v>45808</v>
      </c>
      <c r="C470">
        <v>263013</v>
      </c>
      <c r="D470">
        <v>-482.56</v>
      </c>
      <c r="E470" t="s">
        <v>4</v>
      </c>
      <c r="F470" t="s">
        <v>45</v>
      </c>
      <c r="G470" t="s">
        <v>5</v>
      </c>
    </row>
    <row r="471" spans="1:7" x14ac:dyDescent="0.3">
      <c r="A471" t="s">
        <v>15</v>
      </c>
      <c r="B471" s="1">
        <v>45808</v>
      </c>
      <c r="C471">
        <v>263014</v>
      </c>
      <c r="D471">
        <v>-5672.5649999999996</v>
      </c>
      <c r="E471" t="s">
        <v>4</v>
      </c>
      <c r="F471" t="s">
        <v>45</v>
      </c>
      <c r="G471" t="s">
        <v>5</v>
      </c>
    </row>
    <row r="472" spans="1:7" x14ac:dyDescent="0.3">
      <c r="A472" t="s">
        <v>15</v>
      </c>
      <c r="B472" s="1">
        <v>45808</v>
      </c>
      <c r="C472">
        <v>270003</v>
      </c>
      <c r="D472">
        <v>-6238.777</v>
      </c>
      <c r="E472" t="s">
        <v>4</v>
      </c>
      <c r="F472" t="s">
        <v>58</v>
      </c>
      <c r="G472" t="s">
        <v>5</v>
      </c>
    </row>
    <row r="473" spans="1:7" x14ac:dyDescent="0.3">
      <c r="A473" t="s">
        <v>15</v>
      </c>
      <c r="B473" s="1">
        <v>45808</v>
      </c>
      <c r="C473">
        <v>270005</v>
      </c>
      <c r="D473">
        <v>-44268.635999999999</v>
      </c>
      <c r="E473" t="s">
        <v>4</v>
      </c>
      <c r="F473" t="s">
        <v>58</v>
      </c>
      <c r="G473" t="s">
        <v>5</v>
      </c>
    </row>
    <row r="474" spans="1:7" x14ac:dyDescent="0.3">
      <c r="A474" t="s">
        <v>15</v>
      </c>
      <c r="B474" s="1">
        <v>45808</v>
      </c>
      <c r="C474">
        <v>270007</v>
      </c>
      <c r="D474">
        <v>-32285.670999999998</v>
      </c>
      <c r="E474" t="s">
        <v>4</v>
      </c>
      <c r="F474" t="s">
        <v>58</v>
      </c>
      <c r="G474" t="s">
        <v>5</v>
      </c>
    </row>
    <row r="475" spans="1:7" x14ac:dyDescent="0.3">
      <c r="A475" t="s">
        <v>15</v>
      </c>
      <c r="B475" s="1">
        <v>45808</v>
      </c>
      <c r="C475">
        <v>270009</v>
      </c>
      <c r="D475">
        <v>-2088.143</v>
      </c>
      <c r="E475" t="s">
        <v>4</v>
      </c>
      <c r="F475" t="s">
        <v>58</v>
      </c>
      <c r="G475" t="s">
        <v>5</v>
      </c>
    </row>
    <row r="476" spans="1:7" x14ac:dyDescent="0.3">
      <c r="A476" t="s">
        <v>15</v>
      </c>
      <c r="B476" s="1">
        <v>45808</v>
      </c>
      <c r="C476">
        <v>270011</v>
      </c>
      <c r="D476">
        <v>-994.77</v>
      </c>
      <c r="E476" t="s">
        <v>4</v>
      </c>
      <c r="F476" t="s">
        <v>58</v>
      </c>
      <c r="G476" t="s">
        <v>5</v>
      </c>
    </row>
    <row r="477" spans="1:7" x14ac:dyDescent="0.3">
      <c r="A477" t="s">
        <v>15</v>
      </c>
      <c r="B477" s="1">
        <v>45808</v>
      </c>
      <c r="C477">
        <v>270012</v>
      </c>
      <c r="D477">
        <v>-666.05399999999997</v>
      </c>
      <c r="E477" t="s">
        <v>4</v>
      </c>
      <c r="F477" t="s">
        <v>58</v>
      </c>
      <c r="G477" t="s">
        <v>5</v>
      </c>
    </row>
    <row r="478" spans="1:7" x14ac:dyDescent="0.3">
      <c r="A478" t="s">
        <v>15</v>
      </c>
      <c r="B478" s="1">
        <v>45808</v>
      </c>
      <c r="C478">
        <v>270014</v>
      </c>
      <c r="D478">
        <v>-2417.2849999999999</v>
      </c>
      <c r="E478" t="s">
        <v>4</v>
      </c>
      <c r="F478" t="s">
        <v>58</v>
      </c>
      <c r="G478" t="s">
        <v>5</v>
      </c>
    </row>
    <row r="479" spans="1:7" x14ac:dyDescent="0.3">
      <c r="A479" t="s">
        <v>15</v>
      </c>
      <c r="B479" s="1">
        <v>45808</v>
      </c>
      <c r="C479">
        <v>270015</v>
      </c>
      <c r="D479">
        <v>-1244.0550000000001</v>
      </c>
      <c r="E479" t="s">
        <v>4</v>
      </c>
      <c r="F479" t="s">
        <v>58</v>
      </c>
      <c r="G479" t="s">
        <v>5</v>
      </c>
    </row>
    <row r="480" spans="1:7" x14ac:dyDescent="0.3">
      <c r="A480" t="s">
        <v>15</v>
      </c>
      <c r="B480" s="1">
        <v>45808</v>
      </c>
      <c r="C480">
        <v>270016</v>
      </c>
      <c r="D480">
        <v>-556.70000000000005</v>
      </c>
      <c r="E480" t="s">
        <v>4</v>
      </c>
      <c r="F480" t="s">
        <v>58</v>
      </c>
      <c r="G480" t="s">
        <v>5</v>
      </c>
    </row>
    <row r="481" spans="1:7" x14ac:dyDescent="0.3">
      <c r="A481" t="s">
        <v>15</v>
      </c>
      <c r="B481" s="1">
        <v>45808</v>
      </c>
      <c r="C481">
        <v>270018</v>
      </c>
      <c r="D481">
        <v>-5731.09</v>
      </c>
      <c r="E481" t="s">
        <v>4</v>
      </c>
      <c r="F481" t="s">
        <v>58</v>
      </c>
      <c r="G481" t="s">
        <v>5</v>
      </c>
    </row>
    <row r="482" spans="1:7" x14ac:dyDescent="0.3">
      <c r="A482" t="s">
        <v>15</v>
      </c>
      <c r="B482" s="1">
        <v>45808</v>
      </c>
      <c r="C482">
        <v>270020</v>
      </c>
      <c r="D482">
        <v>-619848.52300000004</v>
      </c>
      <c r="E482" t="s">
        <v>4</v>
      </c>
      <c r="F482" t="s">
        <v>58</v>
      </c>
      <c r="G482" t="s">
        <v>5</v>
      </c>
    </row>
    <row r="483" spans="1:7" x14ac:dyDescent="0.3">
      <c r="A483" t="s">
        <v>15</v>
      </c>
      <c r="B483" s="1">
        <v>45808</v>
      </c>
      <c r="C483">
        <v>270021</v>
      </c>
      <c r="D483">
        <v>-4424.2290000000003</v>
      </c>
      <c r="E483" t="s">
        <v>4</v>
      </c>
      <c r="F483" t="s">
        <v>58</v>
      </c>
      <c r="G483" t="s">
        <v>5</v>
      </c>
    </row>
    <row r="484" spans="1:7" x14ac:dyDescent="0.3">
      <c r="A484" t="s">
        <v>15</v>
      </c>
      <c r="B484" s="1">
        <v>45808</v>
      </c>
      <c r="C484">
        <v>270024</v>
      </c>
      <c r="D484">
        <v>-378953.07500000001</v>
      </c>
      <c r="E484" t="s">
        <v>4</v>
      </c>
      <c r="F484" t="s">
        <v>58</v>
      </c>
      <c r="G484" t="s">
        <v>5</v>
      </c>
    </row>
    <row r="485" spans="1:7" x14ac:dyDescent="0.3">
      <c r="A485" t="s">
        <v>15</v>
      </c>
      <c r="B485" s="1">
        <v>45808</v>
      </c>
      <c r="C485">
        <v>270025</v>
      </c>
      <c r="D485">
        <v>-319374.87599999999</v>
      </c>
      <c r="E485" t="s">
        <v>4</v>
      </c>
      <c r="F485" t="s">
        <v>58</v>
      </c>
      <c r="G485" t="s">
        <v>5</v>
      </c>
    </row>
    <row r="486" spans="1:7" x14ac:dyDescent="0.3">
      <c r="A486" t="s">
        <v>15</v>
      </c>
      <c r="B486" s="1">
        <v>45808</v>
      </c>
      <c r="C486">
        <v>270026</v>
      </c>
      <c r="D486">
        <v>-1445042.3529999999</v>
      </c>
      <c r="E486" t="s">
        <v>4</v>
      </c>
      <c r="F486" t="s">
        <v>58</v>
      </c>
      <c r="G486" t="s">
        <v>5</v>
      </c>
    </row>
    <row r="487" spans="1:7" x14ac:dyDescent="0.3">
      <c r="A487" t="s">
        <v>15</v>
      </c>
      <c r="B487" s="1">
        <v>45808</v>
      </c>
      <c r="C487">
        <v>275002</v>
      </c>
      <c r="D487">
        <v>-26813.679</v>
      </c>
      <c r="E487" t="s">
        <v>4</v>
      </c>
      <c r="F487" t="s">
        <v>58</v>
      </c>
      <c r="G487" t="s">
        <v>5</v>
      </c>
    </row>
    <row r="488" spans="1:7" x14ac:dyDescent="0.3">
      <c r="A488" t="s">
        <v>15</v>
      </c>
      <c r="B488" s="1">
        <v>45808</v>
      </c>
      <c r="C488">
        <v>300002</v>
      </c>
      <c r="D488">
        <v>123858.61500000001</v>
      </c>
      <c r="E488" t="s">
        <v>4</v>
      </c>
      <c r="F488" t="s">
        <v>65</v>
      </c>
      <c r="G488" t="s">
        <v>5</v>
      </c>
    </row>
    <row r="489" spans="1:7" x14ac:dyDescent="0.3">
      <c r="A489" t="s">
        <v>15</v>
      </c>
      <c r="B489" s="1">
        <v>45808</v>
      </c>
      <c r="C489">
        <v>300003</v>
      </c>
      <c r="D489">
        <v>1127652.318</v>
      </c>
      <c r="E489" t="s">
        <v>4</v>
      </c>
      <c r="F489" t="s">
        <v>65</v>
      </c>
      <c r="G489" t="s">
        <v>5</v>
      </c>
    </row>
    <row r="490" spans="1:7" x14ac:dyDescent="0.3">
      <c r="A490" t="s">
        <v>15</v>
      </c>
      <c r="B490" s="1">
        <v>45808</v>
      </c>
      <c r="C490">
        <v>300004</v>
      </c>
      <c r="D490">
        <v>1041324.939</v>
      </c>
      <c r="E490" t="s">
        <v>4</v>
      </c>
      <c r="F490" t="s">
        <v>65</v>
      </c>
      <c r="G490" t="s">
        <v>5</v>
      </c>
    </row>
    <row r="491" spans="1:7" x14ac:dyDescent="0.3">
      <c r="A491" t="s">
        <v>15</v>
      </c>
      <c r="B491" s="1">
        <v>45808</v>
      </c>
      <c r="C491">
        <v>300005</v>
      </c>
      <c r="D491">
        <v>465536.6</v>
      </c>
      <c r="E491" t="s">
        <v>4</v>
      </c>
      <c r="F491" t="s">
        <v>65</v>
      </c>
      <c r="G491" t="s">
        <v>5</v>
      </c>
    </row>
    <row r="492" spans="1:7" x14ac:dyDescent="0.3">
      <c r="A492" t="s">
        <v>15</v>
      </c>
      <c r="B492" s="1">
        <v>45808</v>
      </c>
      <c r="C492">
        <v>300006</v>
      </c>
      <c r="D492">
        <v>7066.4669999999996</v>
      </c>
      <c r="E492" t="s">
        <v>4</v>
      </c>
      <c r="F492" t="s">
        <v>65</v>
      </c>
      <c r="G492" t="s">
        <v>5</v>
      </c>
    </row>
    <row r="493" spans="1:7" x14ac:dyDescent="0.3">
      <c r="A493" t="s">
        <v>15</v>
      </c>
      <c r="B493" s="1">
        <v>45808</v>
      </c>
      <c r="C493">
        <v>300008</v>
      </c>
      <c r="D493">
        <v>1321195.9939999999</v>
      </c>
      <c r="E493" t="s">
        <v>4</v>
      </c>
      <c r="F493" t="s">
        <v>65</v>
      </c>
      <c r="G493" t="s">
        <v>5</v>
      </c>
    </row>
    <row r="494" spans="1:7" x14ac:dyDescent="0.3">
      <c r="A494" t="s">
        <v>15</v>
      </c>
      <c r="B494" s="1">
        <v>45808</v>
      </c>
      <c r="C494">
        <v>300009</v>
      </c>
      <c r="D494">
        <v>277794.86599999998</v>
      </c>
      <c r="E494" t="s">
        <v>4</v>
      </c>
      <c r="F494" t="s">
        <v>65</v>
      </c>
      <c r="G494" t="s">
        <v>5</v>
      </c>
    </row>
    <row r="495" spans="1:7" x14ac:dyDescent="0.3">
      <c r="A495" t="s">
        <v>15</v>
      </c>
      <c r="B495" s="1">
        <v>45808</v>
      </c>
      <c r="C495">
        <v>300010</v>
      </c>
      <c r="D495">
        <v>17407.902999999998</v>
      </c>
      <c r="E495" t="s">
        <v>4</v>
      </c>
      <c r="F495" t="s">
        <v>65</v>
      </c>
      <c r="G495" t="s">
        <v>5</v>
      </c>
    </row>
    <row r="496" spans="1:7" x14ac:dyDescent="0.3">
      <c r="A496" t="s">
        <v>15</v>
      </c>
      <c r="B496" s="1">
        <v>45808</v>
      </c>
      <c r="C496">
        <v>300011</v>
      </c>
      <c r="D496">
        <v>22849.65</v>
      </c>
      <c r="E496" t="s">
        <v>4</v>
      </c>
      <c r="F496" t="s">
        <v>65</v>
      </c>
      <c r="G496" t="s">
        <v>5</v>
      </c>
    </row>
    <row r="497" spans="1:7" x14ac:dyDescent="0.3">
      <c r="A497" t="s">
        <v>15</v>
      </c>
      <c r="B497" s="1">
        <v>45808</v>
      </c>
      <c r="C497">
        <v>300012</v>
      </c>
      <c r="D497">
        <v>1774716.7679999999</v>
      </c>
      <c r="E497" t="s">
        <v>4</v>
      </c>
      <c r="F497" t="s">
        <v>65</v>
      </c>
      <c r="G497" t="s">
        <v>5</v>
      </c>
    </row>
    <row r="498" spans="1:7" x14ac:dyDescent="0.3">
      <c r="A498" t="s">
        <v>15</v>
      </c>
      <c r="B498" s="1">
        <v>45808</v>
      </c>
      <c r="C498">
        <v>300014</v>
      </c>
      <c r="D498">
        <v>1482029.45</v>
      </c>
      <c r="E498" t="s">
        <v>4</v>
      </c>
      <c r="F498" t="s">
        <v>65</v>
      </c>
      <c r="G498" t="s">
        <v>5</v>
      </c>
    </row>
    <row r="499" spans="1:7" x14ac:dyDescent="0.3">
      <c r="A499" t="s">
        <v>15</v>
      </c>
      <c r="B499" s="1">
        <v>45808</v>
      </c>
      <c r="C499">
        <v>300502</v>
      </c>
      <c r="D499">
        <v>-34091.644</v>
      </c>
      <c r="E499" t="s">
        <v>4</v>
      </c>
      <c r="F499" t="s">
        <v>65</v>
      </c>
      <c r="G499" t="s">
        <v>5</v>
      </c>
    </row>
    <row r="500" spans="1:7" x14ac:dyDescent="0.3">
      <c r="A500" t="s">
        <v>15</v>
      </c>
      <c r="B500" s="1">
        <v>45808</v>
      </c>
      <c r="C500">
        <v>300503</v>
      </c>
      <c r="D500">
        <v>-757670.87699999998</v>
      </c>
      <c r="E500" t="s">
        <v>4</v>
      </c>
      <c r="F500" t="s">
        <v>65</v>
      </c>
      <c r="G500" t="s">
        <v>5</v>
      </c>
    </row>
    <row r="501" spans="1:7" x14ac:dyDescent="0.3">
      <c r="A501" t="s">
        <v>15</v>
      </c>
      <c r="B501" s="1">
        <v>45808</v>
      </c>
      <c r="C501">
        <v>300504</v>
      </c>
      <c r="D501">
        <v>-781991.3</v>
      </c>
      <c r="E501" t="s">
        <v>4</v>
      </c>
      <c r="F501" t="s">
        <v>65</v>
      </c>
      <c r="G501" t="s">
        <v>5</v>
      </c>
    </row>
    <row r="502" spans="1:7" x14ac:dyDescent="0.3">
      <c r="A502" t="s">
        <v>15</v>
      </c>
      <c r="B502" s="1">
        <v>45808</v>
      </c>
      <c r="C502">
        <v>300505</v>
      </c>
      <c r="D502">
        <v>-434573.83100000001</v>
      </c>
      <c r="E502" t="s">
        <v>4</v>
      </c>
      <c r="F502" t="s">
        <v>65</v>
      </c>
      <c r="G502" t="s">
        <v>5</v>
      </c>
    </row>
    <row r="503" spans="1:7" x14ac:dyDescent="0.3">
      <c r="A503" t="s">
        <v>15</v>
      </c>
      <c r="B503" s="1">
        <v>45808</v>
      </c>
      <c r="C503">
        <v>300506</v>
      </c>
      <c r="D503">
        <v>-2894.7440000000001</v>
      </c>
      <c r="E503" t="s">
        <v>4</v>
      </c>
      <c r="F503" t="s">
        <v>65</v>
      </c>
      <c r="G503" t="s">
        <v>5</v>
      </c>
    </row>
    <row r="504" spans="1:7" x14ac:dyDescent="0.3">
      <c r="A504" t="s">
        <v>15</v>
      </c>
      <c r="B504" s="1">
        <v>45808</v>
      </c>
      <c r="C504">
        <v>300508</v>
      </c>
      <c r="D504">
        <v>-666868.01199999999</v>
      </c>
      <c r="E504" t="s">
        <v>4</v>
      </c>
      <c r="F504" t="s">
        <v>65</v>
      </c>
      <c r="G504" t="s">
        <v>5</v>
      </c>
    </row>
    <row r="505" spans="1:7" x14ac:dyDescent="0.3">
      <c r="A505" t="s">
        <v>15</v>
      </c>
      <c r="B505" s="1">
        <v>45808</v>
      </c>
      <c r="C505">
        <v>300509</v>
      </c>
      <c r="D505">
        <v>-250472.323</v>
      </c>
      <c r="E505" t="s">
        <v>4</v>
      </c>
      <c r="F505" t="s">
        <v>65</v>
      </c>
      <c r="G505" t="s">
        <v>5</v>
      </c>
    </row>
    <row r="506" spans="1:7" x14ac:dyDescent="0.3">
      <c r="A506" t="s">
        <v>15</v>
      </c>
      <c r="B506" s="1">
        <v>45808</v>
      </c>
      <c r="C506">
        <v>300510</v>
      </c>
      <c r="D506">
        <v>-17105.704000000002</v>
      </c>
      <c r="E506" t="s">
        <v>4</v>
      </c>
      <c r="F506" t="s">
        <v>65</v>
      </c>
      <c r="G506" t="s">
        <v>5</v>
      </c>
    </row>
    <row r="507" spans="1:7" x14ac:dyDescent="0.3">
      <c r="A507" t="s">
        <v>15</v>
      </c>
      <c r="B507" s="1">
        <v>45808</v>
      </c>
      <c r="C507">
        <v>300511</v>
      </c>
      <c r="D507">
        <v>-22111.502</v>
      </c>
      <c r="E507" t="s">
        <v>4</v>
      </c>
      <c r="F507" t="s">
        <v>65</v>
      </c>
      <c r="G507" t="s">
        <v>5</v>
      </c>
    </row>
    <row r="508" spans="1:7" x14ac:dyDescent="0.3">
      <c r="A508" t="s">
        <v>15</v>
      </c>
      <c r="B508" s="1">
        <v>45808</v>
      </c>
      <c r="C508">
        <v>300512</v>
      </c>
      <c r="D508">
        <v>-1540913.257</v>
      </c>
      <c r="E508" t="s">
        <v>4</v>
      </c>
      <c r="F508" t="s">
        <v>65</v>
      </c>
      <c r="G508" t="s">
        <v>5</v>
      </c>
    </row>
    <row r="509" spans="1:7" x14ac:dyDescent="0.3">
      <c r="A509" t="s">
        <v>15</v>
      </c>
      <c r="B509" s="1">
        <v>45808</v>
      </c>
      <c r="C509">
        <v>300514</v>
      </c>
      <c r="D509">
        <v>-958072.38</v>
      </c>
      <c r="E509" t="s">
        <v>4</v>
      </c>
      <c r="F509" t="s">
        <v>65</v>
      </c>
      <c r="G509" t="s">
        <v>5</v>
      </c>
    </row>
    <row r="510" spans="1:7" x14ac:dyDescent="0.3">
      <c r="A510" t="s">
        <v>15</v>
      </c>
      <c r="B510" s="1">
        <v>45808</v>
      </c>
      <c r="C510">
        <v>301002</v>
      </c>
      <c r="D510">
        <v>126927.077</v>
      </c>
      <c r="E510" t="s">
        <v>4</v>
      </c>
      <c r="F510" t="s">
        <v>68</v>
      </c>
      <c r="G510" t="s">
        <v>5</v>
      </c>
    </row>
    <row r="511" spans="1:7" x14ac:dyDescent="0.3">
      <c r="A511" t="s">
        <v>15</v>
      </c>
      <c r="B511" s="1">
        <v>45808</v>
      </c>
      <c r="C511">
        <v>301004</v>
      </c>
      <c r="D511">
        <v>1967526.5</v>
      </c>
      <c r="E511" t="s">
        <v>4</v>
      </c>
      <c r="F511" t="s">
        <v>65</v>
      </c>
      <c r="G511" t="s">
        <v>5</v>
      </c>
    </row>
    <row r="512" spans="1:7" x14ac:dyDescent="0.3">
      <c r="A512" t="s">
        <v>15</v>
      </c>
      <c r="B512" s="1">
        <v>45808</v>
      </c>
      <c r="C512">
        <v>301005</v>
      </c>
      <c r="D512">
        <v>292417.38400000002</v>
      </c>
      <c r="E512" t="s">
        <v>4</v>
      </c>
      <c r="F512" t="s">
        <v>65</v>
      </c>
      <c r="G512" t="s">
        <v>5</v>
      </c>
    </row>
    <row r="513" spans="1:7" x14ac:dyDescent="0.3">
      <c r="A513" t="s">
        <v>15</v>
      </c>
      <c r="B513" s="1">
        <v>45808</v>
      </c>
      <c r="C513">
        <v>301502</v>
      </c>
      <c r="D513">
        <v>-126927.07399999999</v>
      </c>
      <c r="E513" t="s">
        <v>4</v>
      </c>
      <c r="F513" t="s">
        <v>68</v>
      </c>
      <c r="G513" t="s">
        <v>5</v>
      </c>
    </row>
    <row r="514" spans="1:7" x14ac:dyDescent="0.3">
      <c r="A514" t="s">
        <v>15</v>
      </c>
      <c r="B514" s="1">
        <v>45808</v>
      </c>
      <c r="C514">
        <v>301504</v>
      </c>
      <c r="D514">
        <v>-1829318.5589999999</v>
      </c>
      <c r="E514" t="s">
        <v>4</v>
      </c>
      <c r="F514" t="s">
        <v>65</v>
      </c>
      <c r="G514" t="s">
        <v>5</v>
      </c>
    </row>
    <row r="515" spans="1:7" x14ac:dyDescent="0.3">
      <c r="A515" t="s">
        <v>15</v>
      </c>
      <c r="B515" s="1">
        <v>45808</v>
      </c>
      <c r="C515">
        <v>301505</v>
      </c>
      <c r="D515">
        <v>-292417.37800000003</v>
      </c>
      <c r="E515" t="s">
        <v>4</v>
      </c>
      <c r="F515" t="s">
        <v>65</v>
      </c>
      <c r="G515" t="s">
        <v>5</v>
      </c>
    </row>
    <row r="516" spans="1:7" x14ac:dyDescent="0.3">
      <c r="A516" t="s">
        <v>15</v>
      </c>
      <c r="B516" s="1">
        <v>45808</v>
      </c>
      <c r="C516">
        <v>303002</v>
      </c>
      <c r="D516">
        <v>96292.752999999997</v>
      </c>
      <c r="E516" t="s">
        <v>4</v>
      </c>
      <c r="F516" t="s">
        <v>65</v>
      </c>
      <c r="G516" t="s">
        <v>5</v>
      </c>
    </row>
    <row r="517" spans="1:7" x14ac:dyDescent="0.3">
      <c r="A517" t="s">
        <v>15</v>
      </c>
      <c r="B517" s="1">
        <v>45808</v>
      </c>
      <c r="C517">
        <v>303003</v>
      </c>
      <c r="D517">
        <v>7781.4650000000001</v>
      </c>
      <c r="E517" t="s">
        <v>4</v>
      </c>
      <c r="F517" t="s">
        <v>65</v>
      </c>
      <c r="G517" t="s">
        <v>5</v>
      </c>
    </row>
    <row r="518" spans="1:7" x14ac:dyDescent="0.3">
      <c r="A518" t="s">
        <v>15</v>
      </c>
      <c r="B518" s="1">
        <v>45808</v>
      </c>
      <c r="C518">
        <v>304002</v>
      </c>
      <c r="D518">
        <v>2401156.9040000001</v>
      </c>
      <c r="E518" t="s">
        <v>4</v>
      </c>
      <c r="F518" t="s">
        <v>65</v>
      </c>
      <c r="G518" t="s">
        <v>5</v>
      </c>
    </row>
    <row r="519" spans="1:7" x14ac:dyDescent="0.3">
      <c r="A519" t="s">
        <v>15</v>
      </c>
      <c r="B519" s="1">
        <v>45808</v>
      </c>
      <c r="C519">
        <v>304502</v>
      </c>
      <c r="D519">
        <v>-1049606.5870000001</v>
      </c>
      <c r="E519" t="s">
        <v>4</v>
      </c>
      <c r="F519" t="s">
        <v>65</v>
      </c>
      <c r="G519" t="s">
        <v>5</v>
      </c>
    </row>
    <row r="520" spans="1:7" x14ac:dyDescent="0.3">
      <c r="A520" t="s">
        <v>15</v>
      </c>
      <c r="B520" s="1">
        <v>45808</v>
      </c>
      <c r="C520">
        <v>310002</v>
      </c>
      <c r="D520">
        <v>4196708.7220000001</v>
      </c>
      <c r="E520" t="s">
        <v>4</v>
      </c>
      <c r="F520" t="s">
        <v>42</v>
      </c>
      <c r="G520" t="s">
        <v>5</v>
      </c>
    </row>
    <row r="521" spans="1:7" x14ac:dyDescent="0.3">
      <c r="A521" t="s">
        <v>15</v>
      </c>
      <c r="B521" s="1">
        <v>45808</v>
      </c>
      <c r="C521">
        <v>310004</v>
      </c>
      <c r="D521">
        <v>127099.955</v>
      </c>
      <c r="E521" t="s">
        <v>4</v>
      </c>
      <c r="F521" t="s">
        <v>42</v>
      </c>
      <c r="G521" t="s">
        <v>5</v>
      </c>
    </row>
    <row r="522" spans="1:7" x14ac:dyDescent="0.3">
      <c r="A522" t="s">
        <v>15</v>
      </c>
      <c r="B522" s="1">
        <v>45808</v>
      </c>
      <c r="C522">
        <v>310005</v>
      </c>
      <c r="D522">
        <v>138903.25</v>
      </c>
      <c r="E522" t="s">
        <v>4</v>
      </c>
      <c r="F522" t="s">
        <v>42</v>
      </c>
      <c r="G522" t="s">
        <v>5</v>
      </c>
    </row>
    <row r="523" spans="1:7" x14ac:dyDescent="0.3">
      <c r="A523" t="s">
        <v>15</v>
      </c>
      <c r="B523" s="1">
        <v>45808</v>
      </c>
      <c r="C523">
        <v>310007</v>
      </c>
      <c r="D523">
        <v>334751.18699999998</v>
      </c>
      <c r="E523" t="s">
        <v>4</v>
      </c>
      <c r="F523" t="s">
        <v>42</v>
      </c>
      <c r="G523" t="s">
        <v>5</v>
      </c>
    </row>
    <row r="524" spans="1:7" x14ac:dyDescent="0.3">
      <c r="A524" t="s">
        <v>15</v>
      </c>
      <c r="B524" s="1">
        <v>45808</v>
      </c>
      <c r="C524">
        <v>310016</v>
      </c>
      <c r="D524">
        <v>727512.65</v>
      </c>
      <c r="E524" t="s">
        <v>4</v>
      </c>
      <c r="F524" t="s">
        <v>42</v>
      </c>
      <c r="G524" t="s">
        <v>5</v>
      </c>
    </row>
    <row r="525" spans="1:7" x14ac:dyDescent="0.3">
      <c r="A525" t="s">
        <v>15</v>
      </c>
      <c r="B525" s="1">
        <v>45808</v>
      </c>
      <c r="C525">
        <v>310017</v>
      </c>
      <c r="D525">
        <v>39387.707000000002</v>
      </c>
      <c r="E525" t="s">
        <v>4</v>
      </c>
      <c r="F525" t="s">
        <v>42</v>
      </c>
      <c r="G525" t="s">
        <v>5</v>
      </c>
    </row>
    <row r="526" spans="1:7" x14ac:dyDescent="0.3">
      <c r="A526" t="s">
        <v>15</v>
      </c>
      <c r="B526" s="1">
        <v>45808</v>
      </c>
      <c r="C526">
        <v>310021</v>
      </c>
      <c r="D526">
        <v>63.031999999999996</v>
      </c>
      <c r="E526" t="s">
        <v>4</v>
      </c>
      <c r="F526" t="s">
        <v>42</v>
      </c>
      <c r="G526" t="s">
        <v>5</v>
      </c>
    </row>
    <row r="527" spans="1:7" x14ac:dyDescent="0.3">
      <c r="A527" t="s">
        <v>15</v>
      </c>
      <c r="B527" s="1">
        <v>45808</v>
      </c>
      <c r="C527">
        <v>310031</v>
      </c>
      <c r="D527">
        <v>73609.5</v>
      </c>
      <c r="E527" t="s">
        <v>4</v>
      </c>
      <c r="F527" t="s">
        <v>42</v>
      </c>
      <c r="G527" t="s">
        <v>5</v>
      </c>
    </row>
    <row r="528" spans="1:7" x14ac:dyDescent="0.3">
      <c r="A528" t="s">
        <v>15</v>
      </c>
      <c r="B528" s="1">
        <v>45808</v>
      </c>
      <c r="C528">
        <v>310034</v>
      </c>
      <c r="D528">
        <v>3.9E-2</v>
      </c>
      <c r="E528" t="s">
        <v>4</v>
      </c>
      <c r="F528" t="s">
        <v>42</v>
      </c>
      <c r="G528" t="s">
        <v>5</v>
      </c>
    </row>
    <row r="529" spans="1:7" x14ac:dyDescent="0.3">
      <c r="A529" t="s">
        <v>15</v>
      </c>
      <c r="B529" s="1">
        <v>45808</v>
      </c>
      <c r="C529">
        <v>310036</v>
      </c>
      <c r="D529">
        <v>40145.775000000001</v>
      </c>
      <c r="E529" t="s">
        <v>4</v>
      </c>
      <c r="F529" t="s">
        <v>42</v>
      </c>
      <c r="G529" t="s">
        <v>5</v>
      </c>
    </row>
    <row r="530" spans="1:7" x14ac:dyDescent="0.3">
      <c r="A530" t="s">
        <v>15</v>
      </c>
      <c r="B530" s="1">
        <v>45808</v>
      </c>
      <c r="C530">
        <v>315003</v>
      </c>
      <c r="D530">
        <v>499950.47</v>
      </c>
      <c r="E530" t="s">
        <v>4</v>
      </c>
      <c r="F530" t="s">
        <v>47</v>
      </c>
      <c r="G530" t="s">
        <v>5</v>
      </c>
    </row>
    <row r="531" spans="1:7" x14ac:dyDescent="0.3">
      <c r="A531" t="s">
        <v>15</v>
      </c>
      <c r="B531" s="1">
        <v>45808</v>
      </c>
      <c r="C531">
        <v>315004</v>
      </c>
      <c r="D531">
        <v>132274.46900000001</v>
      </c>
      <c r="E531" t="s">
        <v>4</v>
      </c>
      <c r="F531" t="s">
        <v>47</v>
      </c>
      <c r="G531" t="s">
        <v>5</v>
      </c>
    </row>
    <row r="532" spans="1:7" x14ac:dyDescent="0.3">
      <c r="A532" t="s">
        <v>15</v>
      </c>
      <c r="B532" s="1">
        <v>45808</v>
      </c>
      <c r="C532">
        <v>315010</v>
      </c>
      <c r="D532">
        <v>310018.342</v>
      </c>
      <c r="E532" t="s">
        <v>4</v>
      </c>
      <c r="F532" t="s">
        <v>47</v>
      </c>
      <c r="G532" t="s">
        <v>5</v>
      </c>
    </row>
    <row r="533" spans="1:7" x14ac:dyDescent="0.3">
      <c r="A533" t="s">
        <v>15</v>
      </c>
      <c r="B533" s="1">
        <v>45808</v>
      </c>
      <c r="C533">
        <v>315011</v>
      </c>
      <c r="D533">
        <v>232513.59599999999</v>
      </c>
      <c r="E533" t="s">
        <v>4</v>
      </c>
      <c r="F533" t="s">
        <v>47</v>
      </c>
      <c r="G533" t="s">
        <v>5</v>
      </c>
    </row>
    <row r="534" spans="1:7" x14ac:dyDescent="0.3">
      <c r="A534" t="s">
        <v>15</v>
      </c>
      <c r="B534" s="1">
        <v>45808</v>
      </c>
      <c r="C534">
        <v>315012</v>
      </c>
      <c r="D534">
        <v>108518.448</v>
      </c>
      <c r="E534" t="s">
        <v>4</v>
      </c>
      <c r="F534" t="s">
        <v>47</v>
      </c>
      <c r="G534" t="s">
        <v>5</v>
      </c>
    </row>
    <row r="535" spans="1:7" x14ac:dyDescent="0.3">
      <c r="A535" t="s">
        <v>15</v>
      </c>
      <c r="B535" s="1">
        <v>45808</v>
      </c>
      <c r="C535">
        <v>315013</v>
      </c>
      <c r="D535">
        <v>125644.44500000001</v>
      </c>
      <c r="E535" t="s">
        <v>4</v>
      </c>
      <c r="F535" t="s">
        <v>47</v>
      </c>
      <c r="G535" t="s">
        <v>5</v>
      </c>
    </row>
    <row r="536" spans="1:7" x14ac:dyDescent="0.3">
      <c r="A536" t="s">
        <v>15</v>
      </c>
      <c r="B536" s="1">
        <v>45808</v>
      </c>
      <c r="C536">
        <v>315017</v>
      </c>
      <c r="D536">
        <v>61996.9</v>
      </c>
      <c r="E536" t="s">
        <v>4</v>
      </c>
      <c r="F536" t="s">
        <v>47</v>
      </c>
      <c r="G536" t="s">
        <v>5</v>
      </c>
    </row>
    <row r="537" spans="1:7" x14ac:dyDescent="0.3">
      <c r="A537" t="s">
        <v>15</v>
      </c>
      <c r="B537" s="1">
        <v>45808</v>
      </c>
      <c r="C537">
        <v>316002</v>
      </c>
      <c r="D537">
        <v>155259.005</v>
      </c>
      <c r="E537" t="s">
        <v>4</v>
      </c>
      <c r="F537" t="s">
        <v>47</v>
      </c>
      <c r="G537" t="s">
        <v>5</v>
      </c>
    </row>
    <row r="538" spans="1:7" x14ac:dyDescent="0.3">
      <c r="A538" t="s">
        <v>15</v>
      </c>
      <c r="B538" s="1">
        <v>45808</v>
      </c>
      <c r="C538">
        <v>316003</v>
      </c>
      <c r="D538">
        <v>308953.74800000002</v>
      </c>
      <c r="E538" t="s">
        <v>4</v>
      </c>
      <c r="F538" t="s">
        <v>47</v>
      </c>
      <c r="G538" t="s">
        <v>5</v>
      </c>
    </row>
    <row r="539" spans="1:7" x14ac:dyDescent="0.3">
      <c r="A539" t="s">
        <v>15</v>
      </c>
      <c r="B539" s="1">
        <v>45808</v>
      </c>
      <c r="C539">
        <v>316004</v>
      </c>
      <c r="D539">
        <v>155000.155</v>
      </c>
      <c r="E539" t="s">
        <v>4</v>
      </c>
      <c r="F539" t="s">
        <v>47</v>
      </c>
      <c r="G539" t="s">
        <v>5</v>
      </c>
    </row>
    <row r="540" spans="1:7" x14ac:dyDescent="0.3">
      <c r="A540" t="s">
        <v>15</v>
      </c>
      <c r="B540" s="1">
        <v>45808</v>
      </c>
      <c r="C540">
        <v>316005</v>
      </c>
      <c r="D540">
        <v>312774.511</v>
      </c>
      <c r="E540" t="s">
        <v>4</v>
      </c>
      <c r="F540" t="s">
        <v>47</v>
      </c>
      <c r="G540" t="s">
        <v>5</v>
      </c>
    </row>
    <row r="541" spans="1:7" x14ac:dyDescent="0.3">
      <c r="A541" t="s">
        <v>15</v>
      </c>
      <c r="B541" s="1">
        <v>45808</v>
      </c>
      <c r="C541">
        <v>320002</v>
      </c>
      <c r="D541">
        <v>125863.766</v>
      </c>
      <c r="E541" t="s">
        <v>4</v>
      </c>
      <c r="F541" t="s">
        <v>46</v>
      </c>
      <c r="G541" t="s">
        <v>5</v>
      </c>
    </row>
    <row r="542" spans="1:7" x14ac:dyDescent="0.3">
      <c r="A542" t="s">
        <v>15</v>
      </c>
      <c r="B542" s="1">
        <v>45808</v>
      </c>
      <c r="C542">
        <v>320003</v>
      </c>
      <c r="D542">
        <v>1181876.0819999999</v>
      </c>
      <c r="E542" t="s">
        <v>4</v>
      </c>
      <c r="F542" t="s">
        <v>46</v>
      </c>
      <c r="G542" t="s">
        <v>5</v>
      </c>
    </row>
    <row r="543" spans="1:7" x14ac:dyDescent="0.3">
      <c r="A543" t="s">
        <v>15</v>
      </c>
      <c r="B543" s="1">
        <v>45808</v>
      </c>
      <c r="C543">
        <v>320004</v>
      </c>
      <c r="D543">
        <v>3135.585</v>
      </c>
      <c r="E543" t="s">
        <v>4</v>
      </c>
      <c r="F543" t="s">
        <v>46</v>
      </c>
      <c r="G543" t="s">
        <v>5</v>
      </c>
    </row>
    <row r="544" spans="1:7" x14ac:dyDescent="0.3">
      <c r="A544" t="s">
        <v>15</v>
      </c>
      <c r="B544" s="1">
        <v>45808</v>
      </c>
      <c r="C544">
        <v>320006</v>
      </c>
      <c r="D544">
        <v>-324.16899999999998</v>
      </c>
      <c r="E544" t="s">
        <v>4</v>
      </c>
      <c r="F544" t="s">
        <v>46</v>
      </c>
      <c r="G544" t="s">
        <v>5</v>
      </c>
    </row>
    <row r="545" spans="1:7" x14ac:dyDescent="0.3">
      <c r="A545" t="s">
        <v>15</v>
      </c>
      <c r="B545" s="1">
        <v>45808</v>
      </c>
      <c r="C545">
        <v>320008</v>
      </c>
      <c r="D545">
        <v>-369.92</v>
      </c>
      <c r="E545" t="s">
        <v>4</v>
      </c>
      <c r="F545" t="s">
        <v>46</v>
      </c>
      <c r="G545" t="s">
        <v>5</v>
      </c>
    </row>
    <row r="546" spans="1:7" x14ac:dyDescent="0.3">
      <c r="A546" t="s">
        <v>15</v>
      </c>
      <c r="B546" s="1">
        <v>45808</v>
      </c>
      <c r="C546">
        <v>320010</v>
      </c>
      <c r="D546">
        <v>-81393.599000000002</v>
      </c>
      <c r="E546" t="s">
        <v>4</v>
      </c>
      <c r="F546" t="s">
        <v>46</v>
      </c>
      <c r="G546" t="s">
        <v>5</v>
      </c>
    </row>
    <row r="547" spans="1:7" x14ac:dyDescent="0.3">
      <c r="A547" t="s">
        <v>15</v>
      </c>
      <c r="B547" s="1">
        <v>45808</v>
      </c>
      <c r="C547">
        <v>320013</v>
      </c>
      <c r="D547">
        <v>-33679.576000000001</v>
      </c>
      <c r="E547" t="s">
        <v>4</v>
      </c>
      <c r="F547" t="s">
        <v>46</v>
      </c>
      <c r="G547" t="s">
        <v>5</v>
      </c>
    </row>
    <row r="548" spans="1:7" x14ac:dyDescent="0.3">
      <c r="A548" t="s">
        <v>15</v>
      </c>
      <c r="B548" s="1">
        <v>45808</v>
      </c>
      <c r="C548">
        <v>320016</v>
      </c>
      <c r="D548">
        <v>-13617.835999999999</v>
      </c>
      <c r="E548" t="s">
        <v>4</v>
      </c>
      <c r="F548" t="s">
        <v>46</v>
      </c>
      <c r="G548" t="s">
        <v>5</v>
      </c>
    </row>
    <row r="549" spans="1:7" x14ac:dyDescent="0.3">
      <c r="A549" t="s">
        <v>15</v>
      </c>
      <c r="B549" s="1">
        <v>45808</v>
      </c>
      <c r="C549">
        <v>320017</v>
      </c>
      <c r="D549">
        <v>1553.913</v>
      </c>
      <c r="E549" t="s">
        <v>4</v>
      </c>
      <c r="F549" t="s">
        <v>46</v>
      </c>
      <c r="G549" t="s">
        <v>5</v>
      </c>
    </row>
    <row r="550" spans="1:7" x14ac:dyDescent="0.3">
      <c r="A550" t="s">
        <v>15</v>
      </c>
      <c r="B550" s="1">
        <v>45808</v>
      </c>
      <c r="C550">
        <v>320018</v>
      </c>
      <c r="D550">
        <v>-2130.1120000000001</v>
      </c>
      <c r="E550" t="s">
        <v>4</v>
      </c>
      <c r="F550" t="s">
        <v>46</v>
      </c>
      <c r="G550" t="s">
        <v>5</v>
      </c>
    </row>
    <row r="551" spans="1:7" x14ac:dyDescent="0.3">
      <c r="A551" t="s">
        <v>15</v>
      </c>
      <c r="B551" s="1">
        <v>45808</v>
      </c>
      <c r="C551">
        <v>320019</v>
      </c>
      <c r="D551">
        <v>-22.346</v>
      </c>
      <c r="E551" t="s">
        <v>4</v>
      </c>
      <c r="F551" t="s">
        <v>46</v>
      </c>
      <c r="G551" t="s">
        <v>5</v>
      </c>
    </row>
    <row r="552" spans="1:7" x14ac:dyDescent="0.3">
      <c r="A552" t="s">
        <v>15</v>
      </c>
      <c r="B552" s="1">
        <v>45808</v>
      </c>
      <c r="C552">
        <v>320020</v>
      </c>
      <c r="D552">
        <v>-2343.9499999999998</v>
      </c>
      <c r="E552" t="s">
        <v>4</v>
      </c>
      <c r="F552" t="s">
        <v>46</v>
      </c>
      <c r="G552" t="s">
        <v>5</v>
      </c>
    </row>
    <row r="553" spans="1:7" x14ac:dyDescent="0.3">
      <c r="A553" t="s">
        <v>15</v>
      </c>
      <c r="B553" s="1">
        <v>45808</v>
      </c>
      <c r="C553">
        <v>320023</v>
      </c>
      <c r="D553">
        <v>-170185.041</v>
      </c>
      <c r="E553" t="s">
        <v>4</v>
      </c>
      <c r="F553" t="s">
        <v>46</v>
      </c>
      <c r="G553" t="s">
        <v>5</v>
      </c>
    </row>
    <row r="554" spans="1:7" x14ac:dyDescent="0.3">
      <c r="A554" t="s">
        <v>15</v>
      </c>
      <c r="B554" s="1">
        <v>45808</v>
      </c>
      <c r="C554">
        <v>320024</v>
      </c>
      <c r="D554">
        <v>54252.733</v>
      </c>
      <c r="E554" t="s">
        <v>4</v>
      </c>
      <c r="F554" t="s">
        <v>46</v>
      </c>
      <c r="G554" t="s">
        <v>5</v>
      </c>
    </row>
    <row r="555" spans="1:7" x14ac:dyDescent="0.3">
      <c r="A555" t="s">
        <v>15</v>
      </c>
      <c r="B555" s="1">
        <v>45808</v>
      </c>
      <c r="C555">
        <v>320025</v>
      </c>
      <c r="D555">
        <v>-20542.875</v>
      </c>
      <c r="E555" t="s">
        <v>4</v>
      </c>
      <c r="F555" t="s">
        <v>46</v>
      </c>
      <c r="G555" t="s">
        <v>5</v>
      </c>
    </row>
    <row r="556" spans="1:7" x14ac:dyDescent="0.3">
      <c r="A556" t="s">
        <v>15</v>
      </c>
      <c r="B556" s="1">
        <v>45808</v>
      </c>
      <c r="C556">
        <v>321002</v>
      </c>
      <c r="D556">
        <v>851938.64300000004</v>
      </c>
      <c r="E556" t="s">
        <v>4</v>
      </c>
      <c r="F556" t="s">
        <v>46</v>
      </c>
      <c r="G556" t="s">
        <v>5</v>
      </c>
    </row>
    <row r="557" spans="1:7" x14ac:dyDescent="0.3">
      <c r="A557" t="s">
        <v>15</v>
      </c>
      <c r="B557" s="1">
        <v>45808</v>
      </c>
      <c r="C557">
        <v>321004</v>
      </c>
      <c r="D557">
        <v>-70299.547000000006</v>
      </c>
      <c r="E557" t="s">
        <v>4</v>
      </c>
      <c r="F557" t="s">
        <v>46</v>
      </c>
      <c r="G557" t="s">
        <v>5</v>
      </c>
    </row>
    <row r="558" spans="1:7" x14ac:dyDescent="0.3">
      <c r="A558" t="s">
        <v>15</v>
      </c>
      <c r="B558" s="1">
        <v>45808</v>
      </c>
      <c r="C558">
        <v>321010</v>
      </c>
      <c r="D558">
        <v>-147546.541</v>
      </c>
      <c r="E558" t="s">
        <v>4</v>
      </c>
      <c r="F558" t="s">
        <v>46</v>
      </c>
      <c r="G558" t="s">
        <v>5</v>
      </c>
    </row>
    <row r="559" spans="1:7" x14ac:dyDescent="0.3">
      <c r="A559" t="s">
        <v>15</v>
      </c>
      <c r="B559" s="1">
        <v>45808</v>
      </c>
      <c r="C559">
        <v>321012</v>
      </c>
      <c r="D559">
        <v>169639.11199999999</v>
      </c>
      <c r="E559" t="s">
        <v>4</v>
      </c>
      <c r="F559" t="s">
        <v>46</v>
      </c>
      <c r="G559" t="s">
        <v>5</v>
      </c>
    </row>
    <row r="560" spans="1:7" x14ac:dyDescent="0.3">
      <c r="A560" t="s">
        <v>15</v>
      </c>
      <c r="B560" s="1">
        <v>45808</v>
      </c>
      <c r="C560">
        <v>321013</v>
      </c>
      <c r="D560">
        <v>513877.22399999999</v>
      </c>
      <c r="E560" t="s">
        <v>4</v>
      </c>
      <c r="F560" t="s">
        <v>46</v>
      </c>
      <c r="G560" t="s">
        <v>5</v>
      </c>
    </row>
    <row r="561" spans="1:7" x14ac:dyDescent="0.3">
      <c r="A561" t="s">
        <v>15</v>
      </c>
      <c r="B561" s="1">
        <v>45808</v>
      </c>
      <c r="C561">
        <v>321014</v>
      </c>
      <c r="D561">
        <v>141372.50700000001</v>
      </c>
      <c r="E561" t="s">
        <v>4</v>
      </c>
      <c r="F561" t="s">
        <v>46</v>
      </c>
      <c r="G561" t="s">
        <v>5</v>
      </c>
    </row>
    <row r="562" spans="1:7" x14ac:dyDescent="0.3">
      <c r="A562" t="s">
        <v>15</v>
      </c>
      <c r="B562" s="1">
        <v>45808</v>
      </c>
      <c r="C562">
        <v>321017</v>
      </c>
      <c r="D562">
        <v>-11607.721</v>
      </c>
      <c r="E562" t="s">
        <v>4</v>
      </c>
      <c r="F562" t="s">
        <v>46</v>
      </c>
      <c r="G562" t="s">
        <v>5</v>
      </c>
    </row>
    <row r="563" spans="1:7" x14ac:dyDescent="0.3">
      <c r="A563" t="s">
        <v>15</v>
      </c>
      <c r="B563" s="1">
        <v>45808</v>
      </c>
      <c r="C563">
        <v>321018</v>
      </c>
      <c r="D563">
        <v>4037.5729999999999</v>
      </c>
      <c r="E563" t="s">
        <v>4</v>
      </c>
      <c r="F563" t="s">
        <v>46</v>
      </c>
      <c r="G563" t="s">
        <v>5</v>
      </c>
    </row>
    <row r="564" spans="1:7" x14ac:dyDescent="0.3">
      <c r="A564" t="s">
        <v>15</v>
      </c>
      <c r="B564" s="1">
        <v>45808</v>
      </c>
      <c r="C564">
        <v>321021</v>
      </c>
      <c r="D564">
        <v>324843.27</v>
      </c>
      <c r="E564" t="s">
        <v>4</v>
      </c>
      <c r="F564" t="s">
        <v>46</v>
      </c>
      <c r="G564" t="s">
        <v>5</v>
      </c>
    </row>
    <row r="565" spans="1:7" x14ac:dyDescent="0.3">
      <c r="A565" t="s">
        <v>15</v>
      </c>
      <c r="B565" s="1">
        <v>45808</v>
      </c>
      <c r="C565">
        <v>321025</v>
      </c>
      <c r="D565">
        <v>826677.071</v>
      </c>
      <c r="E565" t="s">
        <v>4</v>
      </c>
      <c r="F565" t="s">
        <v>46</v>
      </c>
      <c r="G565" t="s">
        <v>5</v>
      </c>
    </row>
    <row r="566" spans="1:7" x14ac:dyDescent="0.3">
      <c r="A566" t="s">
        <v>15</v>
      </c>
      <c r="B566" s="1">
        <v>45808</v>
      </c>
      <c r="C566">
        <v>321027</v>
      </c>
      <c r="D566">
        <v>10427.606</v>
      </c>
      <c r="E566" t="s">
        <v>4</v>
      </c>
      <c r="F566" t="s">
        <v>46</v>
      </c>
      <c r="G566" t="s">
        <v>5</v>
      </c>
    </row>
    <row r="567" spans="1:7" x14ac:dyDescent="0.3">
      <c r="A567" t="s">
        <v>15</v>
      </c>
      <c r="B567" s="1">
        <v>45808</v>
      </c>
      <c r="C567">
        <v>321028</v>
      </c>
      <c r="D567">
        <v>57291.481</v>
      </c>
      <c r="E567" t="s">
        <v>4</v>
      </c>
      <c r="F567" t="s">
        <v>46</v>
      </c>
      <c r="G567" t="s">
        <v>5</v>
      </c>
    </row>
    <row r="568" spans="1:7" x14ac:dyDescent="0.3">
      <c r="A568" t="s">
        <v>15</v>
      </c>
      <c r="B568" s="1">
        <v>45808</v>
      </c>
      <c r="C568">
        <v>321029</v>
      </c>
      <c r="D568">
        <v>-224578.19200000001</v>
      </c>
      <c r="E568" t="s">
        <v>4</v>
      </c>
      <c r="F568" t="s">
        <v>46</v>
      </c>
      <c r="G568" t="s">
        <v>5</v>
      </c>
    </row>
    <row r="569" spans="1:7" x14ac:dyDescent="0.3">
      <c r="A569" t="s">
        <v>15</v>
      </c>
      <c r="B569" s="1">
        <v>45808</v>
      </c>
      <c r="C569">
        <v>321030</v>
      </c>
      <c r="D569">
        <v>114425.224</v>
      </c>
      <c r="E569" t="s">
        <v>4</v>
      </c>
      <c r="F569" t="s">
        <v>46</v>
      </c>
      <c r="G569" t="s">
        <v>5</v>
      </c>
    </row>
    <row r="570" spans="1:7" x14ac:dyDescent="0.3">
      <c r="A570" t="s">
        <v>15</v>
      </c>
      <c r="B570" s="1">
        <v>45808</v>
      </c>
      <c r="C570">
        <v>321031</v>
      </c>
      <c r="D570">
        <v>186070.777</v>
      </c>
      <c r="E570" t="s">
        <v>4</v>
      </c>
      <c r="F570" t="s">
        <v>46</v>
      </c>
      <c r="G570" t="s">
        <v>5</v>
      </c>
    </row>
    <row r="571" spans="1:7" x14ac:dyDescent="0.3">
      <c r="A571" t="s">
        <v>15</v>
      </c>
      <c r="B571" s="1">
        <v>45808</v>
      </c>
      <c r="C571">
        <v>321038</v>
      </c>
      <c r="D571">
        <v>603.90499999999997</v>
      </c>
      <c r="E571" t="s">
        <v>4</v>
      </c>
      <c r="F571" t="s">
        <v>46</v>
      </c>
      <c r="G571" t="s">
        <v>5</v>
      </c>
    </row>
    <row r="572" spans="1:7" x14ac:dyDescent="0.3">
      <c r="A572" t="s">
        <v>15</v>
      </c>
      <c r="B572" s="1">
        <v>45808</v>
      </c>
      <c r="C572">
        <v>321041</v>
      </c>
      <c r="D572">
        <v>17944.883999999998</v>
      </c>
      <c r="E572" t="s">
        <v>4</v>
      </c>
      <c r="F572" t="s">
        <v>46</v>
      </c>
      <c r="G572" t="s">
        <v>5</v>
      </c>
    </row>
    <row r="573" spans="1:7" x14ac:dyDescent="0.3">
      <c r="A573" t="s">
        <v>15</v>
      </c>
      <c r="B573" s="1">
        <v>45808</v>
      </c>
      <c r="C573">
        <v>321042</v>
      </c>
      <c r="D573">
        <v>4570.8490000000002</v>
      </c>
      <c r="E573" t="s">
        <v>4</v>
      </c>
      <c r="F573" t="s">
        <v>46</v>
      </c>
      <c r="G573" t="s">
        <v>5</v>
      </c>
    </row>
    <row r="574" spans="1:7" x14ac:dyDescent="0.3">
      <c r="A574" t="s">
        <v>15</v>
      </c>
      <c r="B574" s="1">
        <v>45808</v>
      </c>
      <c r="C574">
        <v>321045</v>
      </c>
      <c r="D574">
        <v>19406.280999999999</v>
      </c>
      <c r="E574" t="s">
        <v>4</v>
      </c>
      <c r="F574" t="s">
        <v>46</v>
      </c>
      <c r="G574" t="s">
        <v>5</v>
      </c>
    </row>
    <row r="575" spans="1:7" x14ac:dyDescent="0.3">
      <c r="A575" t="s">
        <v>15</v>
      </c>
      <c r="B575" s="1">
        <v>45808</v>
      </c>
      <c r="C575">
        <v>330002</v>
      </c>
      <c r="D575">
        <v>5442.442</v>
      </c>
      <c r="E575" t="s">
        <v>4</v>
      </c>
      <c r="F575" t="s">
        <v>43</v>
      </c>
      <c r="G575" t="s">
        <v>5</v>
      </c>
    </row>
    <row r="576" spans="1:7" x14ac:dyDescent="0.3">
      <c r="A576" t="s">
        <v>15</v>
      </c>
      <c r="B576" s="1">
        <v>45808</v>
      </c>
      <c r="C576">
        <v>330020</v>
      </c>
      <c r="D576">
        <v>21.704000000000001</v>
      </c>
      <c r="E576" t="s">
        <v>4</v>
      </c>
      <c r="F576" t="s">
        <v>43</v>
      </c>
      <c r="G576" t="s">
        <v>5</v>
      </c>
    </row>
    <row r="577" spans="1:7" x14ac:dyDescent="0.3">
      <c r="A577" t="s">
        <v>15</v>
      </c>
      <c r="B577" s="1">
        <v>45808</v>
      </c>
      <c r="C577">
        <v>330033</v>
      </c>
      <c r="D577">
        <v>32.691000000000003</v>
      </c>
      <c r="E577" t="s">
        <v>4</v>
      </c>
      <c r="F577" t="s">
        <v>43</v>
      </c>
      <c r="G577" t="s">
        <v>5</v>
      </c>
    </row>
    <row r="578" spans="1:7" x14ac:dyDescent="0.3">
      <c r="A578" t="s">
        <v>15</v>
      </c>
      <c r="B578" s="1">
        <v>45808</v>
      </c>
      <c r="C578">
        <v>330044</v>
      </c>
      <c r="D578">
        <v>-2085.377</v>
      </c>
      <c r="E578" t="s">
        <v>4</v>
      </c>
      <c r="F578" t="s">
        <v>43</v>
      </c>
      <c r="G578" t="s">
        <v>5</v>
      </c>
    </row>
    <row r="579" spans="1:7" x14ac:dyDescent="0.3">
      <c r="A579" t="s">
        <v>15</v>
      </c>
      <c r="B579" s="1">
        <v>45808</v>
      </c>
      <c r="C579">
        <v>330051</v>
      </c>
      <c r="D579">
        <v>1866.393</v>
      </c>
      <c r="E579" t="s">
        <v>4</v>
      </c>
      <c r="F579" t="s">
        <v>43</v>
      </c>
      <c r="G579" t="s">
        <v>5</v>
      </c>
    </row>
    <row r="580" spans="1:7" x14ac:dyDescent="0.3">
      <c r="A580" t="s">
        <v>15</v>
      </c>
      <c r="B580" s="1">
        <v>45808</v>
      </c>
      <c r="C580">
        <v>330052</v>
      </c>
      <c r="D580">
        <v>328.38299999999998</v>
      </c>
      <c r="E580" t="s">
        <v>4</v>
      </c>
      <c r="F580" t="s">
        <v>43</v>
      </c>
      <c r="G580" t="s">
        <v>5</v>
      </c>
    </row>
    <row r="581" spans="1:7" x14ac:dyDescent="0.3">
      <c r="A581" t="s">
        <v>15</v>
      </c>
      <c r="B581" s="1">
        <v>45808</v>
      </c>
      <c r="C581">
        <v>330054</v>
      </c>
      <c r="D581">
        <v>113.634</v>
      </c>
      <c r="E581" t="s">
        <v>4</v>
      </c>
      <c r="F581" t="s">
        <v>43</v>
      </c>
      <c r="G581" t="s">
        <v>5</v>
      </c>
    </row>
    <row r="582" spans="1:7" x14ac:dyDescent="0.3">
      <c r="A582" t="s">
        <v>15</v>
      </c>
      <c r="B582" s="1">
        <v>45808</v>
      </c>
      <c r="C582">
        <v>330055</v>
      </c>
      <c r="D582">
        <v>-134.07900000000001</v>
      </c>
      <c r="E582" t="s">
        <v>4</v>
      </c>
      <c r="F582" t="s">
        <v>43</v>
      </c>
      <c r="G582" t="s">
        <v>5</v>
      </c>
    </row>
    <row r="583" spans="1:7" x14ac:dyDescent="0.3">
      <c r="A583" t="s">
        <v>15</v>
      </c>
      <c r="B583" s="1">
        <v>45808</v>
      </c>
      <c r="C583">
        <v>330091</v>
      </c>
      <c r="D583">
        <v>4984.9440000000004</v>
      </c>
      <c r="E583" t="s">
        <v>4</v>
      </c>
      <c r="F583" t="s">
        <v>43</v>
      </c>
      <c r="G583" t="s">
        <v>5</v>
      </c>
    </row>
    <row r="584" spans="1:7" x14ac:dyDescent="0.3">
      <c r="A584" t="s">
        <v>15</v>
      </c>
      <c r="B584" s="1">
        <v>45808</v>
      </c>
      <c r="C584">
        <v>330107</v>
      </c>
      <c r="D584">
        <v>973.40099999999995</v>
      </c>
      <c r="E584" t="s">
        <v>4</v>
      </c>
      <c r="F584" t="s">
        <v>43</v>
      </c>
      <c r="G584" t="s">
        <v>5</v>
      </c>
    </row>
    <row r="585" spans="1:7" x14ac:dyDescent="0.3">
      <c r="A585" t="s">
        <v>15</v>
      </c>
      <c r="B585" s="1">
        <v>45808</v>
      </c>
      <c r="C585">
        <v>330126</v>
      </c>
      <c r="D585">
        <v>1549.886</v>
      </c>
      <c r="E585" t="s">
        <v>4</v>
      </c>
      <c r="F585" t="s">
        <v>43</v>
      </c>
      <c r="G585" t="s">
        <v>5</v>
      </c>
    </row>
    <row r="586" spans="1:7" x14ac:dyDescent="0.3">
      <c r="A586" t="s">
        <v>15</v>
      </c>
      <c r="B586" s="1">
        <v>45808</v>
      </c>
      <c r="C586">
        <v>330129</v>
      </c>
      <c r="D586">
        <v>6657.4740000000002</v>
      </c>
      <c r="E586" t="s">
        <v>4</v>
      </c>
      <c r="F586" t="s">
        <v>43</v>
      </c>
      <c r="G586" t="s">
        <v>5</v>
      </c>
    </row>
    <row r="587" spans="1:7" x14ac:dyDescent="0.3">
      <c r="A587" t="s">
        <v>15</v>
      </c>
      <c r="B587" s="1">
        <v>45808</v>
      </c>
      <c r="C587">
        <v>330130</v>
      </c>
      <c r="D587">
        <v>39785.582000000002</v>
      </c>
      <c r="E587" t="s">
        <v>4</v>
      </c>
      <c r="F587" t="s">
        <v>43</v>
      </c>
      <c r="G587" t="s">
        <v>5</v>
      </c>
    </row>
    <row r="588" spans="1:7" x14ac:dyDescent="0.3">
      <c r="A588" t="s">
        <v>15</v>
      </c>
      <c r="B588" s="1">
        <v>45808</v>
      </c>
      <c r="C588">
        <v>330131</v>
      </c>
      <c r="D588">
        <v>-47501.728999999999</v>
      </c>
      <c r="E588" t="s">
        <v>4</v>
      </c>
      <c r="F588" t="s">
        <v>43</v>
      </c>
      <c r="G588" t="s">
        <v>5</v>
      </c>
    </row>
    <row r="589" spans="1:7" x14ac:dyDescent="0.3">
      <c r="A589" t="s">
        <v>15</v>
      </c>
      <c r="B589" s="1">
        <v>45808</v>
      </c>
      <c r="C589">
        <v>330132</v>
      </c>
      <c r="D589">
        <v>9484.8449999999993</v>
      </c>
      <c r="E589" t="s">
        <v>4</v>
      </c>
      <c r="F589" t="s">
        <v>43</v>
      </c>
      <c r="G589" t="s">
        <v>5</v>
      </c>
    </row>
    <row r="590" spans="1:7" x14ac:dyDescent="0.3">
      <c r="A590" t="s">
        <v>15</v>
      </c>
      <c r="B590" s="1">
        <v>45808</v>
      </c>
      <c r="C590">
        <v>330137</v>
      </c>
      <c r="D590">
        <v>3755.8180000000002</v>
      </c>
      <c r="E590" t="s">
        <v>4</v>
      </c>
      <c r="F590" t="s">
        <v>43</v>
      </c>
      <c r="G590" t="s">
        <v>5</v>
      </c>
    </row>
    <row r="591" spans="1:7" x14ac:dyDescent="0.3">
      <c r="A591" t="s">
        <v>15</v>
      </c>
      <c r="B591" s="1">
        <v>45808</v>
      </c>
      <c r="C591">
        <v>330146</v>
      </c>
      <c r="D591">
        <v>51.220999999999997</v>
      </c>
      <c r="E591" t="s">
        <v>4</v>
      </c>
      <c r="F591" t="s">
        <v>43</v>
      </c>
      <c r="G591" t="s">
        <v>5</v>
      </c>
    </row>
    <row r="592" spans="1:7" x14ac:dyDescent="0.3">
      <c r="A592" t="s">
        <v>15</v>
      </c>
      <c r="B592" s="1">
        <v>45808</v>
      </c>
      <c r="C592">
        <v>340003</v>
      </c>
      <c r="D592">
        <v>27.684000000000001</v>
      </c>
      <c r="E592" t="s">
        <v>4</v>
      </c>
      <c r="F592" t="s">
        <v>47</v>
      </c>
      <c r="G592" t="s">
        <v>5</v>
      </c>
    </row>
    <row r="593" spans="1:7" x14ac:dyDescent="0.3">
      <c r="A593" t="s">
        <v>15</v>
      </c>
      <c r="B593" s="1">
        <v>45808</v>
      </c>
      <c r="C593">
        <v>340004</v>
      </c>
      <c r="D593">
        <v>3905.19</v>
      </c>
      <c r="E593" t="s">
        <v>4</v>
      </c>
      <c r="F593" t="s">
        <v>47</v>
      </c>
      <c r="G593" t="s">
        <v>5</v>
      </c>
    </row>
    <row r="594" spans="1:7" x14ac:dyDescent="0.3">
      <c r="A594" t="s">
        <v>15</v>
      </c>
      <c r="B594" s="1">
        <v>45808</v>
      </c>
      <c r="C594">
        <v>340006</v>
      </c>
      <c r="D594">
        <v>4303090.4780000001</v>
      </c>
      <c r="E594" t="s">
        <v>4</v>
      </c>
      <c r="F594" t="s">
        <v>47</v>
      </c>
      <c r="G594" t="s">
        <v>5</v>
      </c>
    </row>
    <row r="595" spans="1:7" x14ac:dyDescent="0.3">
      <c r="A595" t="s">
        <v>15</v>
      </c>
      <c r="B595" s="1">
        <v>45808</v>
      </c>
      <c r="C595">
        <v>340012</v>
      </c>
      <c r="D595">
        <v>909155.58700000006</v>
      </c>
      <c r="E595" t="s">
        <v>4</v>
      </c>
      <c r="F595" t="s">
        <v>47</v>
      </c>
      <c r="G595" t="s">
        <v>5</v>
      </c>
    </row>
    <row r="596" spans="1:7" x14ac:dyDescent="0.3">
      <c r="A596" t="s">
        <v>15</v>
      </c>
      <c r="B596" s="1">
        <v>45808</v>
      </c>
      <c r="C596">
        <v>340013</v>
      </c>
      <c r="D596">
        <v>94099799.297999993</v>
      </c>
      <c r="E596" t="s">
        <v>4</v>
      </c>
      <c r="F596" t="s">
        <v>47</v>
      </c>
      <c r="G596" t="s">
        <v>5</v>
      </c>
    </row>
    <row r="597" spans="1:7" x14ac:dyDescent="0.3">
      <c r="A597" t="s">
        <v>15</v>
      </c>
      <c r="B597" s="1">
        <v>45808</v>
      </c>
      <c r="C597">
        <v>340014</v>
      </c>
      <c r="D597">
        <v>-94987225.422999993</v>
      </c>
      <c r="E597" t="s">
        <v>4</v>
      </c>
      <c r="F597" t="s">
        <v>47</v>
      </c>
      <c r="G597" t="s">
        <v>5</v>
      </c>
    </row>
    <row r="598" spans="1:7" x14ac:dyDescent="0.3">
      <c r="A598" t="s">
        <v>15</v>
      </c>
      <c r="B598" s="1">
        <v>45808</v>
      </c>
      <c r="C598">
        <v>340022</v>
      </c>
      <c r="D598">
        <v>817727.701</v>
      </c>
      <c r="E598" t="s">
        <v>4</v>
      </c>
      <c r="F598" t="s">
        <v>47</v>
      </c>
      <c r="G598" t="s">
        <v>5</v>
      </c>
    </row>
    <row r="599" spans="1:7" x14ac:dyDescent="0.3">
      <c r="A599" t="s">
        <v>15</v>
      </c>
      <c r="B599" s="1">
        <v>45808</v>
      </c>
      <c r="C599">
        <v>340023</v>
      </c>
      <c r="D599">
        <v>33452.457000000002</v>
      </c>
      <c r="E599" t="s">
        <v>4</v>
      </c>
      <c r="F599" t="s">
        <v>47</v>
      </c>
      <c r="G599" t="s">
        <v>5</v>
      </c>
    </row>
    <row r="600" spans="1:7" x14ac:dyDescent="0.3">
      <c r="A600" t="s">
        <v>15</v>
      </c>
      <c r="B600" s="1">
        <v>45808</v>
      </c>
      <c r="C600">
        <v>340024</v>
      </c>
      <c r="D600">
        <v>-851180.15800000005</v>
      </c>
      <c r="E600" t="s">
        <v>4</v>
      </c>
      <c r="F600" t="s">
        <v>47</v>
      </c>
      <c r="G600" t="s">
        <v>5</v>
      </c>
    </row>
    <row r="601" spans="1:7" x14ac:dyDescent="0.3">
      <c r="A601" t="s">
        <v>15</v>
      </c>
      <c r="B601" s="1">
        <v>45808</v>
      </c>
      <c r="C601">
        <v>340029</v>
      </c>
      <c r="D601">
        <v>187.33699999999999</v>
      </c>
      <c r="E601" t="s">
        <v>4</v>
      </c>
      <c r="F601" t="s">
        <v>47</v>
      </c>
      <c r="G601" t="s">
        <v>5</v>
      </c>
    </row>
    <row r="602" spans="1:7" x14ac:dyDescent="0.3">
      <c r="A602" t="s">
        <v>15</v>
      </c>
      <c r="B602" s="1">
        <v>45808</v>
      </c>
      <c r="C602">
        <v>340033</v>
      </c>
      <c r="D602">
        <v>164.06</v>
      </c>
      <c r="E602" t="s">
        <v>4</v>
      </c>
      <c r="F602" t="s">
        <v>47</v>
      </c>
      <c r="G602" t="s">
        <v>5</v>
      </c>
    </row>
    <row r="603" spans="1:7" x14ac:dyDescent="0.3">
      <c r="A603" t="s">
        <v>15</v>
      </c>
      <c r="B603" s="1">
        <v>45808</v>
      </c>
      <c r="C603">
        <v>340038</v>
      </c>
      <c r="D603">
        <v>1757.0360000000001</v>
      </c>
      <c r="E603" t="s">
        <v>4</v>
      </c>
      <c r="F603" t="s">
        <v>47</v>
      </c>
      <c r="G603" t="s">
        <v>5</v>
      </c>
    </row>
    <row r="604" spans="1:7" x14ac:dyDescent="0.3">
      <c r="A604" t="s">
        <v>15</v>
      </c>
      <c r="B604" s="1">
        <v>45808</v>
      </c>
      <c r="C604">
        <v>340055</v>
      </c>
      <c r="D604">
        <v>63.481999999999999</v>
      </c>
      <c r="E604" t="s">
        <v>4</v>
      </c>
      <c r="F604" t="s">
        <v>47</v>
      </c>
      <c r="G604" t="s">
        <v>5</v>
      </c>
    </row>
    <row r="605" spans="1:7" x14ac:dyDescent="0.3">
      <c r="A605" t="s">
        <v>15</v>
      </c>
      <c r="B605" s="1">
        <v>45808</v>
      </c>
      <c r="C605">
        <v>340056</v>
      </c>
      <c r="D605">
        <v>1200.933</v>
      </c>
      <c r="E605" t="s">
        <v>4</v>
      </c>
      <c r="F605" t="s">
        <v>47</v>
      </c>
      <c r="G605" t="s">
        <v>5</v>
      </c>
    </row>
    <row r="606" spans="1:7" x14ac:dyDescent="0.3">
      <c r="A606" t="s">
        <v>15</v>
      </c>
      <c r="B606" s="1">
        <v>45808</v>
      </c>
      <c r="C606">
        <v>340058</v>
      </c>
      <c r="D606">
        <v>114170.952</v>
      </c>
      <c r="E606" t="s">
        <v>4</v>
      </c>
      <c r="F606" t="s">
        <v>47</v>
      </c>
      <c r="G606" t="s">
        <v>5</v>
      </c>
    </row>
    <row r="607" spans="1:7" x14ac:dyDescent="0.3">
      <c r="A607" t="s">
        <v>15</v>
      </c>
      <c r="B607" s="1">
        <v>45808</v>
      </c>
      <c r="C607">
        <v>340060</v>
      </c>
      <c r="D607">
        <v>1603.6379999999999</v>
      </c>
      <c r="E607" t="s">
        <v>4</v>
      </c>
      <c r="F607" t="s">
        <v>47</v>
      </c>
      <c r="G607" t="s">
        <v>5</v>
      </c>
    </row>
    <row r="608" spans="1:7" x14ac:dyDescent="0.3">
      <c r="A608" t="s">
        <v>15</v>
      </c>
      <c r="B608" s="1">
        <v>45808</v>
      </c>
      <c r="C608">
        <v>340070</v>
      </c>
      <c r="D608">
        <v>12567.616</v>
      </c>
      <c r="E608" t="s">
        <v>4</v>
      </c>
      <c r="F608" t="s">
        <v>47</v>
      </c>
      <c r="G608" t="s">
        <v>5</v>
      </c>
    </row>
    <row r="609" spans="1:7" x14ac:dyDescent="0.3">
      <c r="A609" t="s">
        <v>15</v>
      </c>
      <c r="B609" s="1">
        <v>45808</v>
      </c>
      <c r="C609">
        <v>340076</v>
      </c>
      <c r="D609">
        <v>6013.8940000000002</v>
      </c>
      <c r="E609" t="s">
        <v>4</v>
      </c>
      <c r="F609" t="s">
        <v>47</v>
      </c>
      <c r="G609" t="s">
        <v>5</v>
      </c>
    </row>
    <row r="610" spans="1:7" x14ac:dyDescent="0.3">
      <c r="A610" t="s">
        <v>15</v>
      </c>
      <c r="B610" s="1">
        <v>45808</v>
      </c>
      <c r="C610">
        <v>340077</v>
      </c>
      <c r="D610">
        <v>3869.451</v>
      </c>
      <c r="E610" t="s">
        <v>4</v>
      </c>
      <c r="F610" t="s">
        <v>47</v>
      </c>
      <c r="G610" t="s">
        <v>5</v>
      </c>
    </row>
    <row r="611" spans="1:7" x14ac:dyDescent="0.3">
      <c r="A611" t="s">
        <v>15</v>
      </c>
      <c r="B611" s="1">
        <v>45808</v>
      </c>
      <c r="C611">
        <v>340089</v>
      </c>
      <c r="D611">
        <v>2.7919999999999998</v>
      </c>
      <c r="E611" t="s">
        <v>4</v>
      </c>
      <c r="F611" t="s">
        <v>47</v>
      </c>
      <c r="G611" t="s">
        <v>5</v>
      </c>
    </row>
    <row r="612" spans="1:7" x14ac:dyDescent="0.3">
      <c r="A612" t="s">
        <v>15</v>
      </c>
      <c r="B612" s="1">
        <v>45808</v>
      </c>
      <c r="C612">
        <v>340135</v>
      </c>
      <c r="D612">
        <v>6599738.7450000001</v>
      </c>
      <c r="E612" t="s">
        <v>4</v>
      </c>
      <c r="F612" t="s">
        <v>47</v>
      </c>
      <c r="G612" t="s">
        <v>5</v>
      </c>
    </row>
    <row r="613" spans="1:7" x14ac:dyDescent="0.3">
      <c r="A613" t="s">
        <v>15</v>
      </c>
      <c r="B613" s="1">
        <v>45808</v>
      </c>
      <c r="C613">
        <v>340136</v>
      </c>
      <c r="D613">
        <v>-6593748.7110000001</v>
      </c>
      <c r="E613" t="s">
        <v>4</v>
      </c>
      <c r="F613" t="s">
        <v>47</v>
      </c>
      <c r="G613" t="s">
        <v>5</v>
      </c>
    </row>
    <row r="614" spans="1:7" x14ac:dyDescent="0.3">
      <c r="A614" t="s">
        <v>15</v>
      </c>
      <c r="B614" s="1">
        <v>45808</v>
      </c>
      <c r="C614">
        <v>340138</v>
      </c>
      <c r="D614">
        <v>-4838052.1069999998</v>
      </c>
      <c r="E614" t="s">
        <v>4</v>
      </c>
      <c r="F614" t="s">
        <v>47</v>
      </c>
      <c r="G614" t="s">
        <v>5</v>
      </c>
    </row>
    <row r="615" spans="1:7" x14ac:dyDescent="0.3">
      <c r="A615" t="s">
        <v>15</v>
      </c>
      <c r="B615" s="1">
        <v>45808</v>
      </c>
      <c r="C615">
        <v>340268</v>
      </c>
      <c r="D615">
        <v>737366.12</v>
      </c>
      <c r="E615" t="s">
        <v>4</v>
      </c>
      <c r="F615" t="s">
        <v>47</v>
      </c>
      <c r="G615" t="s">
        <v>5</v>
      </c>
    </row>
    <row r="616" spans="1:7" x14ac:dyDescent="0.3">
      <c r="A616" t="s">
        <v>15</v>
      </c>
      <c r="B616" s="1">
        <v>45808</v>
      </c>
      <c r="C616">
        <v>340269</v>
      </c>
      <c r="D616">
        <v>3166962.446</v>
      </c>
      <c r="E616" t="s">
        <v>4</v>
      </c>
      <c r="F616" t="s">
        <v>47</v>
      </c>
      <c r="G616" t="s">
        <v>5</v>
      </c>
    </row>
    <row r="617" spans="1:7" x14ac:dyDescent="0.3">
      <c r="A617" t="s">
        <v>15</v>
      </c>
      <c r="B617" s="1">
        <v>45808</v>
      </c>
      <c r="C617">
        <v>340270</v>
      </c>
      <c r="D617">
        <v>-3891771.0150000001</v>
      </c>
      <c r="E617" t="s">
        <v>4</v>
      </c>
      <c r="F617" t="s">
        <v>47</v>
      </c>
      <c r="G617" t="s">
        <v>5</v>
      </c>
    </row>
    <row r="618" spans="1:7" x14ac:dyDescent="0.3">
      <c r="A618" t="s">
        <v>15</v>
      </c>
      <c r="B618" s="1">
        <v>45808</v>
      </c>
      <c r="C618">
        <v>340274</v>
      </c>
      <c r="D618">
        <v>304949.625</v>
      </c>
      <c r="E618" t="s">
        <v>4</v>
      </c>
      <c r="F618" t="s">
        <v>47</v>
      </c>
      <c r="G618" t="s">
        <v>5</v>
      </c>
    </row>
    <row r="619" spans="1:7" x14ac:dyDescent="0.3">
      <c r="A619" t="s">
        <v>15</v>
      </c>
      <c r="B619" s="1">
        <v>45808</v>
      </c>
      <c r="C619">
        <v>340275</v>
      </c>
      <c r="D619">
        <v>32394964.953000002</v>
      </c>
      <c r="E619" t="s">
        <v>4</v>
      </c>
      <c r="F619" t="s">
        <v>47</v>
      </c>
      <c r="G619" t="s">
        <v>5</v>
      </c>
    </row>
    <row r="620" spans="1:7" x14ac:dyDescent="0.3">
      <c r="A620" t="s">
        <v>15</v>
      </c>
      <c r="B620" s="1">
        <v>45808</v>
      </c>
      <c r="C620">
        <v>340276</v>
      </c>
      <c r="D620">
        <v>-32674241.800000001</v>
      </c>
      <c r="E620" t="s">
        <v>4</v>
      </c>
      <c r="F620" t="s">
        <v>47</v>
      </c>
      <c r="G620" t="s">
        <v>5</v>
      </c>
    </row>
    <row r="621" spans="1:7" x14ac:dyDescent="0.3">
      <c r="A621" t="s">
        <v>15</v>
      </c>
      <c r="B621" s="1">
        <v>45808</v>
      </c>
      <c r="C621">
        <v>340286</v>
      </c>
      <c r="D621">
        <v>1081.5419999999999</v>
      </c>
      <c r="E621" t="s">
        <v>4</v>
      </c>
      <c r="F621" t="s">
        <v>47</v>
      </c>
      <c r="G621" t="s">
        <v>5</v>
      </c>
    </row>
    <row r="622" spans="1:7" x14ac:dyDescent="0.3">
      <c r="A622" t="s">
        <v>15</v>
      </c>
      <c r="B622" s="1">
        <v>45808</v>
      </c>
      <c r="C622">
        <v>340289</v>
      </c>
      <c r="D622">
        <v>1652.663</v>
      </c>
      <c r="E622" t="s">
        <v>4</v>
      </c>
      <c r="F622" t="s">
        <v>47</v>
      </c>
      <c r="G622" t="s">
        <v>5</v>
      </c>
    </row>
    <row r="623" spans="1:7" x14ac:dyDescent="0.3">
      <c r="A623" t="s">
        <v>15</v>
      </c>
      <c r="B623" s="1">
        <v>45808</v>
      </c>
      <c r="C623">
        <v>340299</v>
      </c>
      <c r="D623">
        <v>6270835.358</v>
      </c>
      <c r="E623" t="s">
        <v>4</v>
      </c>
      <c r="F623" t="s">
        <v>47</v>
      </c>
      <c r="G623" t="s">
        <v>5</v>
      </c>
    </row>
    <row r="624" spans="1:7" x14ac:dyDescent="0.3">
      <c r="A624" t="s">
        <v>15</v>
      </c>
      <c r="B624" s="1">
        <v>45808</v>
      </c>
      <c r="C624">
        <v>340300</v>
      </c>
      <c r="D624">
        <v>-5719689.5609999998</v>
      </c>
      <c r="E624" t="s">
        <v>4</v>
      </c>
      <c r="F624" t="s">
        <v>47</v>
      </c>
      <c r="G624" t="s">
        <v>5</v>
      </c>
    </row>
    <row r="625" spans="1:7" x14ac:dyDescent="0.3">
      <c r="A625" t="s">
        <v>15</v>
      </c>
      <c r="B625" s="1">
        <v>45808</v>
      </c>
      <c r="C625">
        <v>340301</v>
      </c>
      <c r="D625">
        <v>137131.495</v>
      </c>
      <c r="E625" t="s">
        <v>4</v>
      </c>
      <c r="F625" t="s">
        <v>47</v>
      </c>
      <c r="G625" t="s">
        <v>5</v>
      </c>
    </row>
    <row r="626" spans="1:7" x14ac:dyDescent="0.3">
      <c r="A626" t="s">
        <v>15</v>
      </c>
      <c r="B626" s="1">
        <v>45808</v>
      </c>
      <c r="C626">
        <v>340302</v>
      </c>
      <c r="D626">
        <v>-135738.337</v>
      </c>
      <c r="E626" t="s">
        <v>4</v>
      </c>
      <c r="F626" t="s">
        <v>47</v>
      </c>
      <c r="G626" t="s">
        <v>5</v>
      </c>
    </row>
    <row r="627" spans="1:7" x14ac:dyDescent="0.3">
      <c r="A627" t="s">
        <v>15</v>
      </c>
      <c r="B627" s="1">
        <v>45808</v>
      </c>
      <c r="C627">
        <v>340303</v>
      </c>
      <c r="D627">
        <v>143563.37700000001</v>
      </c>
      <c r="E627" t="s">
        <v>4</v>
      </c>
      <c r="F627" t="s">
        <v>47</v>
      </c>
      <c r="G627" t="s">
        <v>5</v>
      </c>
    </row>
    <row r="628" spans="1:7" x14ac:dyDescent="0.3">
      <c r="A628" t="s">
        <v>15</v>
      </c>
      <c r="B628" s="1">
        <v>45808</v>
      </c>
      <c r="C628">
        <v>340304</v>
      </c>
      <c r="D628">
        <v>-152338.09599999999</v>
      </c>
      <c r="E628" t="s">
        <v>4</v>
      </c>
      <c r="F628" t="s">
        <v>47</v>
      </c>
      <c r="G628" t="s">
        <v>5</v>
      </c>
    </row>
    <row r="629" spans="1:7" x14ac:dyDescent="0.3">
      <c r="A629" t="s">
        <v>15</v>
      </c>
      <c r="B629" s="1">
        <v>45808</v>
      </c>
      <c r="C629">
        <v>340305</v>
      </c>
      <c r="D629">
        <v>34712.947</v>
      </c>
      <c r="E629" t="s">
        <v>4</v>
      </c>
      <c r="F629" t="s">
        <v>47</v>
      </c>
      <c r="G629" t="s">
        <v>5</v>
      </c>
    </row>
    <row r="630" spans="1:7" x14ac:dyDescent="0.3">
      <c r="A630" t="s">
        <v>15</v>
      </c>
      <c r="B630" s="1">
        <v>45808</v>
      </c>
      <c r="C630">
        <v>340306</v>
      </c>
      <c r="D630">
        <v>-36053.050999999999</v>
      </c>
      <c r="E630" t="s">
        <v>4</v>
      </c>
      <c r="F630" t="s">
        <v>47</v>
      </c>
      <c r="G630" t="s">
        <v>5</v>
      </c>
    </row>
    <row r="631" spans="1:7" x14ac:dyDescent="0.3">
      <c r="A631" t="s">
        <v>15</v>
      </c>
      <c r="B631" s="1">
        <v>45808</v>
      </c>
      <c r="C631">
        <v>340307</v>
      </c>
      <c r="D631">
        <v>1361621.2949999999</v>
      </c>
      <c r="E631" t="s">
        <v>4</v>
      </c>
      <c r="F631" t="s">
        <v>47</v>
      </c>
      <c r="G631" t="s">
        <v>5</v>
      </c>
    </row>
    <row r="632" spans="1:7" x14ac:dyDescent="0.3">
      <c r="A632" t="s">
        <v>15</v>
      </c>
      <c r="B632" s="1">
        <v>45808</v>
      </c>
      <c r="C632">
        <v>340308</v>
      </c>
      <c r="D632">
        <v>-1421122.05</v>
      </c>
      <c r="E632" t="s">
        <v>4</v>
      </c>
      <c r="F632" t="s">
        <v>47</v>
      </c>
      <c r="G632" t="s">
        <v>5</v>
      </c>
    </row>
    <row r="633" spans="1:7" x14ac:dyDescent="0.3">
      <c r="A633" t="s">
        <v>15</v>
      </c>
      <c r="B633" s="1">
        <v>45808</v>
      </c>
      <c r="C633">
        <v>340309</v>
      </c>
      <c r="D633">
        <v>1.141</v>
      </c>
      <c r="E633" t="s">
        <v>4</v>
      </c>
      <c r="F633" t="s">
        <v>47</v>
      </c>
      <c r="G633" t="s">
        <v>5</v>
      </c>
    </row>
    <row r="634" spans="1:7" x14ac:dyDescent="0.3">
      <c r="A634" t="s">
        <v>15</v>
      </c>
      <c r="B634" s="1">
        <v>45808</v>
      </c>
      <c r="C634">
        <v>340310</v>
      </c>
      <c r="D634">
        <v>-13.73</v>
      </c>
      <c r="E634" t="s">
        <v>4</v>
      </c>
      <c r="F634" t="s">
        <v>47</v>
      </c>
      <c r="G634" t="s">
        <v>5</v>
      </c>
    </row>
    <row r="635" spans="1:7" x14ac:dyDescent="0.3">
      <c r="A635" t="s">
        <v>15</v>
      </c>
      <c r="B635" s="1">
        <v>45808</v>
      </c>
      <c r="C635">
        <v>340311</v>
      </c>
      <c r="D635">
        <v>1173706.611</v>
      </c>
      <c r="E635" t="s">
        <v>4</v>
      </c>
      <c r="F635" t="s">
        <v>47</v>
      </c>
      <c r="G635" t="s">
        <v>5</v>
      </c>
    </row>
    <row r="636" spans="1:7" x14ac:dyDescent="0.3">
      <c r="A636" t="s">
        <v>15</v>
      </c>
      <c r="B636" s="1">
        <v>45808</v>
      </c>
      <c r="C636">
        <v>340312</v>
      </c>
      <c r="D636">
        <v>-1171860.3810000001</v>
      </c>
      <c r="E636" t="s">
        <v>4</v>
      </c>
      <c r="F636" t="s">
        <v>47</v>
      </c>
      <c r="G636" t="s">
        <v>5</v>
      </c>
    </row>
    <row r="637" spans="1:7" x14ac:dyDescent="0.3">
      <c r="A637" t="s">
        <v>15</v>
      </c>
      <c r="B637" s="1">
        <v>45808</v>
      </c>
      <c r="C637">
        <v>340321</v>
      </c>
      <c r="D637">
        <v>155</v>
      </c>
      <c r="E637" t="s">
        <v>4</v>
      </c>
      <c r="F637" t="s">
        <v>47</v>
      </c>
      <c r="G637" t="s">
        <v>5</v>
      </c>
    </row>
    <row r="638" spans="1:7" x14ac:dyDescent="0.3">
      <c r="A638" t="s">
        <v>15</v>
      </c>
      <c r="B638" s="1">
        <v>45808</v>
      </c>
      <c r="C638">
        <v>345004</v>
      </c>
      <c r="D638">
        <v>3382.7910000000002</v>
      </c>
      <c r="E638" t="s">
        <v>4</v>
      </c>
      <c r="F638" t="s">
        <v>47</v>
      </c>
      <c r="G638" t="s">
        <v>5</v>
      </c>
    </row>
    <row r="639" spans="1:7" x14ac:dyDescent="0.3">
      <c r="A639" t="s">
        <v>15</v>
      </c>
      <c r="B639" s="1">
        <v>45808</v>
      </c>
      <c r="C639">
        <v>345005</v>
      </c>
      <c r="D639">
        <v>131973.49299999999</v>
      </c>
      <c r="E639" t="s">
        <v>4</v>
      </c>
      <c r="F639" t="s">
        <v>47</v>
      </c>
      <c r="G639" t="s">
        <v>5</v>
      </c>
    </row>
    <row r="640" spans="1:7" x14ac:dyDescent="0.3">
      <c r="A640" t="s">
        <v>15</v>
      </c>
      <c r="B640" s="1">
        <v>45808</v>
      </c>
      <c r="C640">
        <v>345006</v>
      </c>
      <c r="D640">
        <v>754774.64300000004</v>
      </c>
      <c r="E640" t="s">
        <v>4</v>
      </c>
      <c r="F640" t="s">
        <v>47</v>
      </c>
      <c r="G640" t="s">
        <v>5</v>
      </c>
    </row>
    <row r="641" spans="1:7" x14ac:dyDescent="0.3">
      <c r="A641" t="s">
        <v>15</v>
      </c>
      <c r="B641" s="1">
        <v>45808</v>
      </c>
      <c r="C641">
        <v>345011</v>
      </c>
      <c r="D641">
        <v>560805.84299999999</v>
      </c>
      <c r="E641" t="s">
        <v>4</v>
      </c>
      <c r="F641" t="s">
        <v>47</v>
      </c>
      <c r="G641" t="s">
        <v>5</v>
      </c>
    </row>
    <row r="642" spans="1:7" x14ac:dyDescent="0.3">
      <c r="A642" t="s">
        <v>15</v>
      </c>
      <c r="B642" s="1">
        <v>45808</v>
      </c>
      <c r="C642">
        <v>345015</v>
      </c>
      <c r="D642">
        <v>6048919.4460000005</v>
      </c>
      <c r="E642" t="s">
        <v>4</v>
      </c>
      <c r="F642" t="s">
        <v>47</v>
      </c>
      <c r="G642" t="s">
        <v>5</v>
      </c>
    </row>
    <row r="643" spans="1:7" x14ac:dyDescent="0.3">
      <c r="A643" t="s">
        <v>15</v>
      </c>
      <c r="B643" s="1">
        <v>45808</v>
      </c>
      <c r="C643">
        <v>345016</v>
      </c>
      <c r="D643">
        <v>1860000</v>
      </c>
      <c r="E643" t="s">
        <v>4</v>
      </c>
      <c r="F643" t="s">
        <v>47</v>
      </c>
      <c r="G643" t="s">
        <v>5</v>
      </c>
    </row>
    <row r="644" spans="1:7" x14ac:dyDescent="0.3">
      <c r="A644" t="s">
        <v>15</v>
      </c>
      <c r="B644" s="1">
        <v>45808</v>
      </c>
      <c r="C644">
        <v>345017</v>
      </c>
      <c r="D644">
        <v>1007500</v>
      </c>
      <c r="E644" t="s">
        <v>4</v>
      </c>
      <c r="F644" t="s">
        <v>47</v>
      </c>
      <c r="G644" t="s">
        <v>5</v>
      </c>
    </row>
    <row r="645" spans="1:7" x14ac:dyDescent="0.3">
      <c r="A645" t="s">
        <v>15</v>
      </c>
      <c r="B645" s="1">
        <v>45808</v>
      </c>
      <c r="C645">
        <v>345018</v>
      </c>
      <c r="D645">
        <v>232500</v>
      </c>
      <c r="E645" t="s">
        <v>4</v>
      </c>
      <c r="F645" t="s">
        <v>47</v>
      </c>
      <c r="G645" t="s">
        <v>5</v>
      </c>
    </row>
    <row r="646" spans="1:7" x14ac:dyDescent="0.3">
      <c r="A646" t="s">
        <v>15</v>
      </c>
      <c r="B646" s="1">
        <v>45808</v>
      </c>
      <c r="C646">
        <v>348007</v>
      </c>
      <c r="D646">
        <v>2747.308</v>
      </c>
      <c r="E646" t="s">
        <v>4</v>
      </c>
      <c r="F646" t="s">
        <v>47</v>
      </c>
      <c r="G646" t="s">
        <v>5</v>
      </c>
    </row>
    <row r="647" spans="1:7" x14ac:dyDescent="0.3">
      <c r="A647" t="s">
        <v>15</v>
      </c>
      <c r="B647" s="1">
        <v>45808</v>
      </c>
      <c r="C647">
        <v>348008</v>
      </c>
      <c r="D647">
        <v>1052.415</v>
      </c>
      <c r="E647" t="s">
        <v>4</v>
      </c>
      <c r="F647" t="s">
        <v>47</v>
      </c>
      <c r="G647" t="s">
        <v>5</v>
      </c>
    </row>
    <row r="648" spans="1:7" x14ac:dyDescent="0.3">
      <c r="A648" t="s">
        <v>15</v>
      </c>
      <c r="B648" s="1">
        <v>45808</v>
      </c>
      <c r="C648">
        <v>348009</v>
      </c>
      <c r="D648">
        <v>960.99099999999999</v>
      </c>
      <c r="E648" t="s">
        <v>4</v>
      </c>
      <c r="F648" t="s">
        <v>47</v>
      </c>
      <c r="G648" t="s">
        <v>5</v>
      </c>
    </row>
    <row r="649" spans="1:7" x14ac:dyDescent="0.3">
      <c r="A649" t="s">
        <v>15</v>
      </c>
      <c r="B649" s="1">
        <v>45808</v>
      </c>
      <c r="C649">
        <v>348010</v>
      </c>
      <c r="D649">
        <v>1831.722</v>
      </c>
      <c r="E649" t="s">
        <v>4</v>
      </c>
      <c r="F649" t="s">
        <v>47</v>
      </c>
      <c r="G649" t="s">
        <v>5</v>
      </c>
    </row>
    <row r="650" spans="1:7" x14ac:dyDescent="0.3">
      <c r="A650" t="s">
        <v>15</v>
      </c>
      <c r="B650" s="1">
        <v>45808</v>
      </c>
      <c r="C650">
        <v>348011</v>
      </c>
      <c r="D650">
        <v>1143.0150000000001</v>
      </c>
      <c r="E650" t="s">
        <v>4</v>
      </c>
      <c r="F650" t="s">
        <v>47</v>
      </c>
      <c r="G650" t="s">
        <v>5</v>
      </c>
    </row>
    <row r="651" spans="1:7" x14ac:dyDescent="0.3">
      <c r="A651" t="s">
        <v>15</v>
      </c>
      <c r="B651" s="1">
        <v>45808</v>
      </c>
      <c r="C651">
        <v>348014</v>
      </c>
      <c r="D651">
        <v>1016.847</v>
      </c>
      <c r="E651" t="s">
        <v>4</v>
      </c>
      <c r="F651" t="s">
        <v>47</v>
      </c>
      <c r="G651" t="s">
        <v>5</v>
      </c>
    </row>
    <row r="652" spans="1:7" x14ac:dyDescent="0.3">
      <c r="A652" t="s">
        <v>15</v>
      </c>
      <c r="B652" s="1">
        <v>45808</v>
      </c>
      <c r="C652">
        <v>348015</v>
      </c>
      <c r="D652">
        <v>612.62800000000004</v>
      </c>
      <c r="E652" t="s">
        <v>4</v>
      </c>
      <c r="F652" t="s">
        <v>47</v>
      </c>
      <c r="G652" t="s">
        <v>5</v>
      </c>
    </row>
    <row r="653" spans="1:7" x14ac:dyDescent="0.3">
      <c r="A653" t="s">
        <v>15</v>
      </c>
      <c r="B653" s="1">
        <v>45808</v>
      </c>
      <c r="C653">
        <v>348016</v>
      </c>
      <c r="D653">
        <v>583.01099999999997</v>
      </c>
      <c r="E653" t="s">
        <v>4</v>
      </c>
      <c r="F653" t="s">
        <v>47</v>
      </c>
      <c r="G653" t="s">
        <v>5</v>
      </c>
    </row>
    <row r="654" spans="1:7" x14ac:dyDescent="0.3">
      <c r="A654" t="s">
        <v>15</v>
      </c>
      <c r="B654" s="1">
        <v>45808</v>
      </c>
      <c r="C654">
        <v>348017</v>
      </c>
      <c r="D654">
        <v>582.48500000000001</v>
      </c>
      <c r="E654" t="s">
        <v>4</v>
      </c>
      <c r="F654" t="s">
        <v>47</v>
      </c>
      <c r="G654" t="s">
        <v>5</v>
      </c>
    </row>
    <row r="655" spans="1:7" x14ac:dyDescent="0.3">
      <c r="A655" t="s">
        <v>15</v>
      </c>
      <c r="B655" s="1">
        <v>45808</v>
      </c>
      <c r="C655">
        <v>348018</v>
      </c>
      <c r="D655">
        <v>1218.345</v>
      </c>
      <c r="E655" t="s">
        <v>4</v>
      </c>
      <c r="F655" t="s">
        <v>47</v>
      </c>
      <c r="G655" t="s">
        <v>5</v>
      </c>
    </row>
    <row r="656" spans="1:7" x14ac:dyDescent="0.3">
      <c r="A656" t="s">
        <v>15</v>
      </c>
      <c r="B656" s="1">
        <v>45808</v>
      </c>
      <c r="C656">
        <v>348019</v>
      </c>
      <c r="D656">
        <v>867.76499999999999</v>
      </c>
      <c r="E656" t="s">
        <v>4</v>
      </c>
      <c r="F656" t="s">
        <v>47</v>
      </c>
      <c r="G656" t="s">
        <v>5</v>
      </c>
    </row>
    <row r="657" spans="1:7" x14ac:dyDescent="0.3">
      <c r="A657" t="s">
        <v>15</v>
      </c>
      <c r="B657" s="1">
        <v>45808</v>
      </c>
      <c r="C657">
        <v>348020</v>
      </c>
      <c r="D657">
        <v>23250</v>
      </c>
      <c r="E657" t="s">
        <v>4</v>
      </c>
      <c r="F657" t="s">
        <v>47</v>
      </c>
      <c r="G657" t="s">
        <v>5</v>
      </c>
    </row>
    <row r="658" spans="1:7" x14ac:dyDescent="0.3">
      <c r="A658" t="s">
        <v>15</v>
      </c>
      <c r="B658" s="1">
        <v>45808</v>
      </c>
      <c r="C658">
        <v>350002</v>
      </c>
      <c r="D658">
        <v>11014.66</v>
      </c>
      <c r="E658" t="s">
        <v>4</v>
      </c>
      <c r="F658" t="s">
        <v>49</v>
      </c>
      <c r="G658" t="s">
        <v>5</v>
      </c>
    </row>
    <row r="659" spans="1:7" x14ac:dyDescent="0.3">
      <c r="A659" t="s">
        <v>15</v>
      </c>
      <c r="B659" s="1">
        <v>45808</v>
      </c>
      <c r="C659">
        <v>350003</v>
      </c>
      <c r="D659">
        <v>31780.453000000001</v>
      </c>
      <c r="E659" t="s">
        <v>4</v>
      </c>
      <c r="F659" t="s">
        <v>49</v>
      </c>
      <c r="G659" t="s">
        <v>5</v>
      </c>
    </row>
    <row r="660" spans="1:7" x14ac:dyDescent="0.3">
      <c r="A660" t="s">
        <v>15</v>
      </c>
      <c r="B660" s="1">
        <v>45808</v>
      </c>
      <c r="C660">
        <v>350006</v>
      </c>
      <c r="D660">
        <v>28392.062999999998</v>
      </c>
      <c r="E660" t="s">
        <v>4</v>
      </c>
      <c r="F660" t="s">
        <v>43</v>
      </c>
      <c r="G660" t="s">
        <v>5</v>
      </c>
    </row>
    <row r="661" spans="1:7" x14ac:dyDescent="0.3">
      <c r="A661" t="s">
        <v>15</v>
      </c>
      <c r="B661" s="1">
        <v>45808</v>
      </c>
      <c r="C661">
        <v>350007</v>
      </c>
      <c r="D661">
        <v>15.677</v>
      </c>
      <c r="E661" t="s">
        <v>4</v>
      </c>
      <c r="F661" t="s">
        <v>49</v>
      </c>
      <c r="G661" t="s">
        <v>5</v>
      </c>
    </row>
    <row r="662" spans="1:7" x14ac:dyDescent="0.3">
      <c r="A662" t="s">
        <v>15</v>
      </c>
      <c r="B662" s="1">
        <v>45808</v>
      </c>
      <c r="C662">
        <v>350012</v>
      </c>
      <c r="D662">
        <v>-54013.892999999996</v>
      </c>
      <c r="E662" t="s">
        <v>4</v>
      </c>
      <c r="F662" t="s">
        <v>49</v>
      </c>
      <c r="G662" t="s">
        <v>5</v>
      </c>
    </row>
    <row r="663" spans="1:7" x14ac:dyDescent="0.3">
      <c r="A663" t="s">
        <v>15</v>
      </c>
      <c r="B663" s="1">
        <v>45808</v>
      </c>
      <c r="C663">
        <v>350031</v>
      </c>
      <c r="D663">
        <v>107.468</v>
      </c>
      <c r="E663" t="s">
        <v>4</v>
      </c>
      <c r="F663" t="s">
        <v>43</v>
      </c>
      <c r="G663" t="s">
        <v>5</v>
      </c>
    </row>
    <row r="664" spans="1:7" x14ac:dyDescent="0.3">
      <c r="A664" t="s">
        <v>15</v>
      </c>
      <c r="B664" s="1">
        <v>45808</v>
      </c>
      <c r="C664">
        <v>350034</v>
      </c>
      <c r="D664">
        <v>8998.7900000000009</v>
      </c>
      <c r="E664" t="s">
        <v>4</v>
      </c>
      <c r="F664" t="s">
        <v>49</v>
      </c>
      <c r="G664" t="s">
        <v>5</v>
      </c>
    </row>
    <row r="665" spans="1:7" x14ac:dyDescent="0.3">
      <c r="A665" t="s">
        <v>15</v>
      </c>
      <c r="B665" s="1">
        <v>45808</v>
      </c>
      <c r="C665">
        <v>350035</v>
      </c>
      <c r="D665">
        <v>53485.805999999997</v>
      </c>
      <c r="E665" t="s">
        <v>4</v>
      </c>
      <c r="F665" t="s">
        <v>49</v>
      </c>
      <c r="G665" t="s">
        <v>5</v>
      </c>
    </row>
    <row r="666" spans="1:7" x14ac:dyDescent="0.3">
      <c r="A666" t="s">
        <v>15</v>
      </c>
      <c r="B666" s="1">
        <v>45808</v>
      </c>
      <c r="C666">
        <v>352002</v>
      </c>
      <c r="D666">
        <v>275397.66899999999</v>
      </c>
      <c r="E666" t="s">
        <v>4</v>
      </c>
      <c r="F666" t="s">
        <v>48</v>
      </c>
      <c r="G666" t="s">
        <v>5</v>
      </c>
    </row>
    <row r="667" spans="1:7" x14ac:dyDescent="0.3">
      <c r="A667" t="s">
        <v>15</v>
      </c>
      <c r="B667" s="1">
        <v>45808</v>
      </c>
      <c r="C667">
        <v>352003</v>
      </c>
      <c r="D667">
        <v>17770.118999999999</v>
      </c>
      <c r="E667" t="s">
        <v>4</v>
      </c>
      <c r="F667" t="s">
        <v>48</v>
      </c>
      <c r="G667" t="s">
        <v>5</v>
      </c>
    </row>
    <row r="668" spans="1:7" x14ac:dyDescent="0.3">
      <c r="A668" t="s">
        <v>15</v>
      </c>
      <c r="B668" s="1">
        <v>45808</v>
      </c>
      <c r="C668">
        <v>352005</v>
      </c>
      <c r="D668">
        <v>-14228.74</v>
      </c>
      <c r="E668" t="s">
        <v>4</v>
      </c>
      <c r="F668" t="s">
        <v>48</v>
      </c>
      <c r="G668" t="s">
        <v>5</v>
      </c>
    </row>
    <row r="669" spans="1:7" x14ac:dyDescent="0.3">
      <c r="A669" t="s">
        <v>15</v>
      </c>
      <c r="B669" s="1">
        <v>45808</v>
      </c>
      <c r="C669">
        <v>352006</v>
      </c>
      <c r="D669">
        <v>-38818.337</v>
      </c>
      <c r="E669" t="s">
        <v>4</v>
      </c>
      <c r="F669" t="s">
        <v>48</v>
      </c>
      <c r="G669" t="s">
        <v>5</v>
      </c>
    </row>
    <row r="670" spans="1:7" x14ac:dyDescent="0.3">
      <c r="A670" t="s">
        <v>15</v>
      </c>
      <c r="B670" s="1">
        <v>45808</v>
      </c>
      <c r="C670">
        <v>354008</v>
      </c>
      <c r="D670">
        <v>-2964.5920000000001</v>
      </c>
      <c r="E670" t="s">
        <v>4</v>
      </c>
      <c r="F670" t="s">
        <v>46</v>
      </c>
      <c r="G670" t="s">
        <v>5</v>
      </c>
    </row>
    <row r="671" spans="1:7" x14ac:dyDescent="0.3">
      <c r="A671" t="s">
        <v>15</v>
      </c>
      <c r="B671" s="1">
        <v>45808</v>
      </c>
      <c r="C671">
        <v>354011</v>
      </c>
      <c r="D671">
        <v>-42611.856</v>
      </c>
      <c r="E671" t="s">
        <v>4</v>
      </c>
      <c r="F671" t="s">
        <v>46</v>
      </c>
      <c r="G671" t="s">
        <v>5</v>
      </c>
    </row>
    <row r="672" spans="1:7" x14ac:dyDescent="0.3">
      <c r="A672" t="s">
        <v>15</v>
      </c>
      <c r="B672" s="1">
        <v>45808</v>
      </c>
      <c r="C672">
        <v>354012</v>
      </c>
      <c r="D672">
        <v>28074.142</v>
      </c>
      <c r="E672" t="s">
        <v>4</v>
      </c>
      <c r="F672" t="s">
        <v>46</v>
      </c>
      <c r="G672" t="s">
        <v>5</v>
      </c>
    </row>
    <row r="673" spans="1:7" x14ac:dyDescent="0.3">
      <c r="A673" t="s">
        <v>15</v>
      </c>
      <c r="B673" s="1">
        <v>45808</v>
      </c>
      <c r="C673">
        <v>354013</v>
      </c>
      <c r="D673">
        <v>56806.442999999999</v>
      </c>
      <c r="E673" t="s">
        <v>4</v>
      </c>
      <c r="F673" t="s">
        <v>46</v>
      </c>
      <c r="G673" t="s">
        <v>5</v>
      </c>
    </row>
    <row r="674" spans="1:7" x14ac:dyDescent="0.3">
      <c r="A674" t="s">
        <v>15</v>
      </c>
      <c r="B674" s="1">
        <v>45808</v>
      </c>
      <c r="C674">
        <v>354014</v>
      </c>
      <c r="D674">
        <v>314388.13500000001</v>
      </c>
      <c r="E674" t="s">
        <v>4</v>
      </c>
      <c r="F674" t="s">
        <v>46</v>
      </c>
      <c r="G674" t="s">
        <v>5</v>
      </c>
    </row>
    <row r="675" spans="1:7" x14ac:dyDescent="0.3">
      <c r="A675" t="s">
        <v>15</v>
      </c>
      <c r="B675" s="1">
        <v>45808</v>
      </c>
      <c r="C675">
        <v>354015</v>
      </c>
      <c r="D675">
        <v>7325.241</v>
      </c>
      <c r="E675" t="s">
        <v>4</v>
      </c>
      <c r="F675" t="s">
        <v>46</v>
      </c>
      <c r="G675" t="s">
        <v>5</v>
      </c>
    </row>
    <row r="676" spans="1:7" x14ac:dyDescent="0.3">
      <c r="A676" t="s">
        <v>15</v>
      </c>
      <c r="B676" s="1">
        <v>45808</v>
      </c>
      <c r="C676">
        <v>355002</v>
      </c>
      <c r="D676">
        <v>226383.03899999999</v>
      </c>
      <c r="E676" t="s">
        <v>4</v>
      </c>
      <c r="F676" t="s">
        <v>49</v>
      </c>
      <c r="G676" t="s">
        <v>5</v>
      </c>
    </row>
    <row r="677" spans="1:7" x14ac:dyDescent="0.3">
      <c r="A677" t="s">
        <v>15</v>
      </c>
      <c r="B677" s="1">
        <v>45808</v>
      </c>
      <c r="C677">
        <v>355009</v>
      </c>
      <c r="D677">
        <v>381.41199999999998</v>
      </c>
      <c r="E677" t="s">
        <v>4</v>
      </c>
      <c r="F677" t="s">
        <v>49</v>
      </c>
      <c r="G677" t="s">
        <v>5</v>
      </c>
    </row>
    <row r="678" spans="1:7" x14ac:dyDescent="0.3">
      <c r="A678" t="s">
        <v>15</v>
      </c>
      <c r="B678" s="1">
        <v>45808</v>
      </c>
      <c r="C678">
        <v>355013</v>
      </c>
      <c r="D678">
        <v>43776.489000000001</v>
      </c>
      <c r="E678" t="s">
        <v>4</v>
      </c>
      <c r="F678" t="s">
        <v>49</v>
      </c>
      <c r="G678" t="s">
        <v>5</v>
      </c>
    </row>
    <row r="679" spans="1:7" x14ac:dyDescent="0.3">
      <c r="A679" t="s">
        <v>15</v>
      </c>
      <c r="B679" s="1">
        <v>45808</v>
      </c>
      <c r="C679">
        <v>355014</v>
      </c>
      <c r="D679">
        <v>80524.256999999998</v>
      </c>
      <c r="E679" t="s">
        <v>4</v>
      </c>
      <c r="F679" t="s">
        <v>49</v>
      </c>
      <c r="G679" t="s">
        <v>5</v>
      </c>
    </row>
    <row r="680" spans="1:7" x14ac:dyDescent="0.3">
      <c r="A680" t="s">
        <v>15</v>
      </c>
      <c r="B680" s="1">
        <v>45808</v>
      </c>
      <c r="C680">
        <v>355015</v>
      </c>
      <c r="D680">
        <v>220078.42</v>
      </c>
      <c r="E680" t="s">
        <v>4</v>
      </c>
      <c r="F680" t="s">
        <v>49</v>
      </c>
      <c r="G680" t="s">
        <v>5</v>
      </c>
    </row>
    <row r="681" spans="1:7" x14ac:dyDescent="0.3">
      <c r="A681" t="s">
        <v>15</v>
      </c>
      <c r="B681" s="1">
        <v>45808</v>
      </c>
      <c r="C681">
        <v>356002</v>
      </c>
      <c r="D681">
        <v>220169.84700000001</v>
      </c>
      <c r="E681" t="s">
        <v>4</v>
      </c>
      <c r="F681" t="s">
        <v>48</v>
      </c>
      <c r="G681" t="s">
        <v>5</v>
      </c>
    </row>
    <row r="682" spans="1:7" x14ac:dyDescent="0.3">
      <c r="A682" t="s">
        <v>15</v>
      </c>
      <c r="B682" s="1">
        <v>45808</v>
      </c>
      <c r="C682">
        <v>356003</v>
      </c>
      <c r="D682">
        <v>-105439.88800000001</v>
      </c>
      <c r="E682" t="s">
        <v>4</v>
      </c>
      <c r="F682" t="s">
        <v>48</v>
      </c>
      <c r="G682" t="s">
        <v>5</v>
      </c>
    </row>
    <row r="683" spans="1:7" x14ac:dyDescent="0.3">
      <c r="A683" t="s">
        <v>15</v>
      </c>
      <c r="B683" s="1">
        <v>45808</v>
      </c>
      <c r="C683">
        <v>356004</v>
      </c>
      <c r="D683">
        <v>7517.2439999999997</v>
      </c>
      <c r="E683" t="s">
        <v>4</v>
      </c>
      <c r="F683" t="s">
        <v>48</v>
      </c>
      <c r="G683" t="s">
        <v>5</v>
      </c>
    </row>
    <row r="684" spans="1:7" x14ac:dyDescent="0.3">
      <c r="A684" t="s">
        <v>15</v>
      </c>
      <c r="B684" s="1">
        <v>45808</v>
      </c>
      <c r="C684">
        <v>356005</v>
      </c>
      <c r="D684">
        <v>649.57299999999998</v>
      </c>
      <c r="E684" t="s">
        <v>4</v>
      </c>
      <c r="F684" t="s">
        <v>48</v>
      </c>
      <c r="G684" t="s">
        <v>5</v>
      </c>
    </row>
    <row r="685" spans="1:7" x14ac:dyDescent="0.3">
      <c r="A685" t="s">
        <v>15</v>
      </c>
      <c r="B685" s="1">
        <v>45808</v>
      </c>
      <c r="C685">
        <v>360003</v>
      </c>
      <c r="D685">
        <v>4351.6270000000004</v>
      </c>
      <c r="E685" t="s">
        <v>4</v>
      </c>
      <c r="F685" t="s">
        <v>58</v>
      </c>
      <c r="G685" t="s">
        <v>5</v>
      </c>
    </row>
    <row r="686" spans="1:7" x14ac:dyDescent="0.3">
      <c r="A686" t="s">
        <v>15</v>
      </c>
      <c r="B686" s="1">
        <v>45808</v>
      </c>
      <c r="C686">
        <v>360005</v>
      </c>
      <c r="D686">
        <v>46653.572999999997</v>
      </c>
      <c r="E686" t="s">
        <v>4</v>
      </c>
      <c r="F686" t="s">
        <v>58</v>
      </c>
      <c r="G686" t="s">
        <v>5</v>
      </c>
    </row>
    <row r="687" spans="1:7" x14ac:dyDescent="0.3">
      <c r="A687" t="s">
        <v>15</v>
      </c>
      <c r="B687" s="1">
        <v>45808</v>
      </c>
      <c r="C687">
        <v>360009</v>
      </c>
      <c r="D687">
        <v>40429.805999999997</v>
      </c>
      <c r="E687" t="s">
        <v>4</v>
      </c>
      <c r="F687" t="s">
        <v>58</v>
      </c>
      <c r="G687" t="s">
        <v>5</v>
      </c>
    </row>
    <row r="688" spans="1:7" x14ac:dyDescent="0.3">
      <c r="A688" t="s">
        <v>15</v>
      </c>
      <c r="B688" s="1">
        <v>45808</v>
      </c>
      <c r="C688">
        <v>360013</v>
      </c>
      <c r="D688">
        <v>59455.959000000003</v>
      </c>
      <c r="E688" t="s">
        <v>4</v>
      </c>
      <c r="F688" t="s">
        <v>58</v>
      </c>
      <c r="G688" t="s">
        <v>5</v>
      </c>
    </row>
    <row r="689" spans="1:7" x14ac:dyDescent="0.3">
      <c r="A689" t="s">
        <v>15</v>
      </c>
      <c r="B689" s="1">
        <v>45808</v>
      </c>
      <c r="C689">
        <v>360016</v>
      </c>
      <c r="D689">
        <v>10108.454</v>
      </c>
      <c r="E689" t="s">
        <v>4</v>
      </c>
      <c r="F689" t="s">
        <v>58</v>
      </c>
      <c r="G689" t="s">
        <v>5</v>
      </c>
    </row>
    <row r="690" spans="1:7" x14ac:dyDescent="0.3">
      <c r="A690" t="s">
        <v>15</v>
      </c>
      <c r="B690" s="1">
        <v>45808</v>
      </c>
      <c r="C690">
        <v>360017</v>
      </c>
      <c r="D690">
        <v>71672.911999999997</v>
      </c>
      <c r="E690" t="s">
        <v>4</v>
      </c>
      <c r="F690" t="s">
        <v>58</v>
      </c>
      <c r="G690" t="s">
        <v>5</v>
      </c>
    </row>
    <row r="691" spans="1:7" x14ac:dyDescent="0.3">
      <c r="A691" t="s">
        <v>15</v>
      </c>
      <c r="B691" s="1">
        <v>45808</v>
      </c>
      <c r="C691">
        <v>360019</v>
      </c>
      <c r="D691">
        <v>1147</v>
      </c>
      <c r="E691" t="s">
        <v>4</v>
      </c>
      <c r="F691" t="s">
        <v>58</v>
      </c>
      <c r="G691" t="s">
        <v>5</v>
      </c>
    </row>
    <row r="692" spans="1:7" x14ac:dyDescent="0.3">
      <c r="A692" t="s">
        <v>15</v>
      </c>
      <c r="B692" s="1">
        <v>45808</v>
      </c>
      <c r="C692">
        <v>360030</v>
      </c>
      <c r="D692">
        <v>1061750</v>
      </c>
      <c r="E692" t="s">
        <v>4</v>
      </c>
      <c r="F692" t="s">
        <v>58</v>
      </c>
      <c r="G692" t="s">
        <v>5</v>
      </c>
    </row>
    <row r="693" spans="1:7" x14ac:dyDescent="0.3">
      <c r="A693" t="s">
        <v>15</v>
      </c>
      <c r="B693" s="1">
        <v>45808</v>
      </c>
      <c r="C693">
        <v>360031</v>
      </c>
      <c r="D693">
        <v>673.58500000000004</v>
      </c>
      <c r="E693" t="s">
        <v>4</v>
      </c>
      <c r="F693" t="s">
        <v>58</v>
      </c>
      <c r="G693" t="s">
        <v>5</v>
      </c>
    </row>
    <row r="694" spans="1:7" x14ac:dyDescent="0.3">
      <c r="A694" t="s">
        <v>15</v>
      </c>
      <c r="B694" s="1">
        <v>45808</v>
      </c>
      <c r="C694">
        <v>362006</v>
      </c>
      <c r="D694">
        <v>-1E-3</v>
      </c>
      <c r="E694" t="s">
        <v>4</v>
      </c>
      <c r="F694" t="s">
        <v>58</v>
      </c>
      <c r="G694" t="s">
        <v>5</v>
      </c>
    </row>
    <row r="695" spans="1:7" x14ac:dyDescent="0.3">
      <c r="A695" t="s">
        <v>15</v>
      </c>
      <c r="B695" s="1">
        <v>45808</v>
      </c>
      <c r="C695">
        <v>362007</v>
      </c>
      <c r="D695">
        <v>18564.174999999999</v>
      </c>
      <c r="E695" t="s">
        <v>4</v>
      </c>
      <c r="F695" t="s">
        <v>58</v>
      </c>
      <c r="G695" t="s">
        <v>5</v>
      </c>
    </row>
    <row r="696" spans="1:7" x14ac:dyDescent="0.3">
      <c r="A696" t="s">
        <v>15</v>
      </c>
      <c r="B696" s="1">
        <v>45808</v>
      </c>
      <c r="C696">
        <v>362012</v>
      </c>
      <c r="D696">
        <v>-1E-3</v>
      </c>
      <c r="E696" t="s">
        <v>4</v>
      </c>
      <c r="F696" t="s">
        <v>58</v>
      </c>
      <c r="G696" t="s">
        <v>5</v>
      </c>
    </row>
    <row r="697" spans="1:7" x14ac:dyDescent="0.3">
      <c r="A697" t="s">
        <v>15</v>
      </c>
      <c r="B697" s="1">
        <v>45808</v>
      </c>
      <c r="C697">
        <v>362015</v>
      </c>
      <c r="D697">
        <v>499986.266</v>
      </c>
      <c r="E697" t="s">
        <v>4</v>
      </c>
      <c r="F697" t="s">
        <v>58</v>
      </c>
      <c r="G697" t="s">
        <v>5</v>
      </c>
    </row>
    <row r="698" spans="1:7" x14ac:dyDescent="0.3">
      <c r="A698" t="s">
        <v>15</v>
      </c>
      <c r="B698" s="1">
        <v>45808</v>
      </c>
      <c r="C698">
        <v>362016</v>
      </c>
      <c r="D698">
        <v>381425.09600000002</v>
      </c>
      <c r="E698" t="s">
        <v>4</v>
      </c>
      <c r="F698" t="s">
        <v>58</v>
      </c>
      <c r="G698" t="s">
        <v>5</v>
      </c>
    </row>
    <row r="699" spans="1:7" x14ac:dyDescent="0.3">
      <c r="A699" t="s">
        <v>15</v>
      </c>
      <c r="B699" s="1">
        <v>45808</v>
      </c>
      <c r="C699">
        <v>362017</v>
      </c>
      <c r="D699">
        <v>332388.52399999998</v>
      </c>
      <c r="E699" t="s">
        <v>4</v>
      </c>
      <c r="F699" t="s">
        <v>58</v>
      </c>
      <c r="G699" t="s">
        <v>5</v>
      </c>
    </row>
    <row r="700" spans="1:7" x14ac:dyDescent="0.3">
      <c r="A700" t="s">
        <v>15</v>
      </c>
      <c r="B700" s="1">
        <v>45808</v>
      </c>
      <c r="C700">
        <v>362018</v>
      </c>
      <c r="D700">
        <v>261675.08199999999</v>
      </c>
      <c r="E700" t="s">
        <v>4</v>
      </c>
      <c r="F700" t="s">
        <v>58</v>
      </c>
      <c r="G700" t="s">
        <v>5</v>
      </c>
    </row>
    <row r="701" spans="1:7" x14ac:dyDescent="0.3">
      <c r="A701" t="s">
        <v>15</v>
      </c>
      <c r="B701" s="1">
        <v>45808</v>
      </c>
      <c r="C701">
        <v>362019</v>
      </c>
      <c r="D701">
        <v>4517.4719999999998</v>
      </c>
      <c r="E701" t="s">
        <v>4</v>
      </c>
      <c r="F701" t="s">
        <v>58</v>
      </c>
      <c r="G701" t="s">
        <v>5</v>
      </c>
    </row>
    <row r="702" spans="1:7" x14ac:dyDescent="0.3">
      <c r="A702" t="s">
        <v>15</v>
      </c>
      <c r="B702" s="1">
        <v>45808</v>
      </c>
      <c r="C702">
        <v>364502</v>
      </c>
      <c r="D702">
        <v>623120.01699999999</v>
      </c>
      <c r="E702" t="s">
        <v>4</v>
      </c>
      <c r="F702" t="s">
        <v>58</v>
      </c>
      <c r="G702" t="s">
        <v>5</v>
      </c>
    </row>
    <row r="703" spans="1:7" x14ac:dyDescent="0.3">
      <c r="A703" t="s">
        <v>15</v>
      </c>
      <c r="B703" s="1">
        <v>45808</v>
      </c>
      <c r="C703">
        <v>365002</v>
      </c>
      <c r="D703">
        <v>391.69400000000002</v>
      </c>
      <c r="E703" t="s">
        <v>4</v>
      </c>
      <c r="F703" t="s">
        <v>45</v>
      </c>
      <c r="G703" t="s">
        <v>5</v>
      </c>
    </row>
    <row r="704" spans="1:7" x14ac:dyDescent="0.3">
      <c r="A704" t="s">
        <v>15</v>
      </c>
      <c r="B704" s="1">
        <v>45808</v>
      </c>
      <c r="C704">
        <v>365003</v>
      </c>
      <c r="D704">
        <v>23570.334999999999</v>
      </c>
      <c r="E704" t="s">
        <v>4</v>
      </c>
      <c r="F704" t="s">
        <v>45</v>
      </c>
      <c r="G704" t="s">
        <v>5</v>
      </c>
    </row>
    <row r="705" spans="1:7" x14ac:dyDescent="0.3">
      <c r="A705" t="s">
        <v>15</v>
      </c>
      <c r="B705" s="1">
        <v>45808</v>
      </c>
      <c r="C705">
        <v>365004</v>
      </c>
      <c r="D705">
        <v>134469.45499999999</v>
      </c>
      <c r="E705" t="s">
        <v>4</v>
      </c>
      <c r="F705" t="s">
        <v>45</v>
      </c>
      <c r="G705" t="s">
        <v>5</v>
      </c>
    </row>
    <row r="706" spans="1:7" x14ac:dyDescent="0.3">
      <c r="A706" t="s">
        <v>15</v>
      </c>
      <c r="B706" s="1">
        <v>45808</v>
      </c>
      <c r="C706">
        <v>365005</v>
      </c>
      <c r="D706">
        <v>391.69400000000002</v>
      </c>
      <c r="E706" t="s">
        <v>4</v>
      </c>
      <c r="F706" t="s">
        <v>45</v>
      </c>
      <c r="G706" t="s">
        <v>5</v>
      </c>
    </row>
    <row r="707" spans="1:7" x14ac:dyDescent="0.3">
      <c r="A707" t="s">
        <v>15</v>
      </c>
      <c r="B707" s="1">
        <v>45808</v>
      </c>
      <c r="C707">
        <v>365006</v>
      </c>
      <c r="D707">
        <v>23414.897000000001</v>
      </c>
      <c r="E707" t="s">
        <v>4</v>
      </c>
      <c r="F707" t="s">
        <v>45</v>
      </c>
      <c r="G707" t="s">
        <v>5</v>
      </c>
    </row>
    <row r="708" spans="1:7" x14ac:dyDescent="0.3">
      <c r="A708" t="s">
        <v>15</v>
      </c>
      <c r="B708" s="1">
        <v>45808</v>
      </c>
      <c r="C708">
        <v>365007</v>
      </c>
      <c r="D708">
        <v>105318.857</v>
      </c>
      <c r="E708" t="s">
        <v>4</v>
      </c>
      <c r="F708" t="s">
        <v>45</v>
      </c>
      <c r="G708" t="s">
        <v>5</v>
      </c>
    </row>
    <row r="709" spans="1:7" x14ac:dyDescent="0.3">
      <c r="A709" t="s">
        <v>15</v>
      </c>
      <c r="B709" s="1">
        <v>45808</v>
      </c>
      <c r="C709">
        <v>365008</v>
      </c>
      <c r="D709">
        <v>5656.6760000000004</v>
      </c>
      <c r="E709" t="s">
        <v>4</v>
      </c>
      <c r="F709" t="s">
        <v>45</v>
      </c>
      <c r="G709" t="s">
        <v>5</v>
      </c>
    </row>
    <row r="710" spans="1:7" x14ac:dyDescent="0.3">
      <c r="A710" t="s">
        <v>15</v>
      </c>
      <c r="B710" s="1">
        <v>45808</v>
      </c>
      <c r="C710">
        <v>365009</v>
      </c>
      <c r="D710">
        <v>150393.158</v>
      </c>
      <c r="E710" t="s">
        <v>4</v>
      </c>
      <c r="F710" t="s">
        <v>45</v>
      </c>
      <c r="G710" t="s">
        <v>5</v>
      </c>
    </row>
    <row r="711" spans="1:7" x14ac:dyDescent="0.3">
      <c r="A711" t="s">
        <v>15</v>
      </c>
      <c r="B711" s="1">
        <v>45808</v>
      </c>
      <c r="C711">
        <v>365010</v>
      </c>
      <c r="D711">
        <v>328142.739</v>
      </c>
      <c r="E711" t="s">
        <v>4</v>
      </c>
      <c r="F711" t="s">
        <v>45</v>
      </c>
      <c r="G711" t="s">
        <v>5</v>
      </c>
    </row>
    <row r="712" spans="1:7" x14ac:dyDescent="0.3">
      <c r="A712" t="s">
        <v>15</v>
      </c>
      <c r="B712" s="1">
        <v>45808</v>
      </c>
      <c r="C712">
        <v>365020</v>
      </c>
      <c r="D712">
        <v>370.69200000000001</v>
      </c>
      <c r="E712" t="s">
        <v>4</v>
      </c>
      <c r="F712" t="s">
        <v>45</v>
      </c>
      <c r="G712" t="s">
        <v>5</v>
      </c>
    </row>
    <row r="713" spans="1:7" x14ac:dyDescent="0.3">
      <c r="A713" t="s">
        <v>15</v>
      </c>
      <c r="B713" s="1">
        <v>45808</v>
      </c>
      <c r="C713">
        <v>365021</v>
      </c>
      <c r="D713">
        <v>87022.426000000007</v>
      </c>
      <c r="E713" t="s">
        <v>4</v>
      </c>
      <c r="F713" t="s">
        <v>45</v>
      </c>
      <c r="G713" t="s">
        <v>5</v>
      </c>
    </row>
    <row r="714" spans="1:7" x14ac:dyDescent="0.3">
      <c r="A714" t="s">
        <v>15</v>
      </c>
      <c r="B714" s="1">
        <v>45808</v>
      </c>
      <c r="C714">
        <v>370002</v>
      </c>
      <c r="D714">
        <v>54408.339</v>
      </c>
      <c r="E714" t="s">
        <v>4</v>
      </c>
      <c r="F714" t="s">
        <v>45</v>
      </c>
      <c r="G714" t="s">
        <v>5</v>
      </c>
    </row>
    <row r="715" spans="1:7" x14ac:dyDescent="0.3">
      <c r="A715" t="s">
        <v>15</v>
      </c>
      <c r="B715" s="1">
        <v>45808</v>
      </c>
      <c r="C715">
        <v>372008</v>
      </c>
      <c r="D715">
        <v>1162.0940000000001</v>
      </c>
      <c r="E715" t="s">
        <v>4</v>
      </c>
      <c r="F715" t="s">
        <v>45</v>
      </c>
      <c r="G715" t="s">
        <v>5</v>
      </c>
    </row>
    <row r="716" spans="1:7" x14ac:dyDescent="0.3">
      <c r="A716" t="s">
        <v>15</v>
      </c>
      <c r="B716" s="1">
        <v>45808</v>
      </c>
      <c r="C716">
        <v>400002</v>
      </c>
      <c r="D716">
        <v>-54623.482000000004</v>
      </c>
      <c r="E716" t="s">
        <v>6</v>
      </c>
      <c r="F716" t="s">
        <v>50</v>
      </c>
      <c r="G716" t="s">
        <v>5</v>
      </c>
    </row>
    <row r="717" spans="1:7" x14ac:dyDescent="0.3">
      <c r="A717" t="s">
        <v>15</v>
      </c>
      <c r="B717" s="1">
        <v>45808</v>
      </c>
      <c r="C717">
        <v>410002</v>
      </c>
      <c r="D717">
        <v>-1670358.564</v>
      </c>
      <c r="E717" t="s">
        <v>6</v>
      </c>
      <c r="F717" t="s">
        <v>51</v>
      </c>
      <c r="G717" t="s">
        <v>5</v>
      </c>
    </row>
    <row r="718" spans="1:7" x14ac:dyDescent="0.3">
      <c r="A718" t="s">
        <v>15</v>
      </c>
      <c r="B718" s="1">
        <v>45808</v>
      </c>
      <c r="C718">
        <v>410005</v>
      </c>
      <c r="D718">
        <v>-49789.851999999999</v>
      </c>
      <c r="E718" t="s">
        <v>6</v>
      </c>
      <c r="F718" t="s">
        <v>51</v>
      </c>
      <c r="G718" t="s">
        <v>5</v>
      </c>
    </row>
    <row r="719" spans="1:7" x14ac:dyDescent="0.3">
      <c r="A719" t="s">
        <v>15</v>
      </c>
      <c r="B719" s="1">
        <v>45808</v>
      </c>
      <c r="C719">
        <v>410006</v>
      </c>
      <c r="D719">
        <v>-284873.22499999998</v>
      </c>
      <c r="E719" t="s">
        <v>6</v>
      </c>
      <c r="F719" t="s">
        <v>51</v>
      </c>
      <c r="G719" t="s">
        <v>5</v>
      </c>
    </row>
    <row r="720" spans="1:7" x14ac:dyDescent="0.3">
      <c r="A720" t="s">
        <v>15</v>
      </c>
      <c r="B720" s="1">
        <v>45808</v>
      </c>
      <c r="C720">
        <v>410009</v>
      </c>
      <c r="D720">
        <v>-141372.50700000001</v>
      </c>
      <c r="E720" t="s">
        <v>6</v>
      </c>
      <c r="F720" t="s">
        <v>51</v>
      </c>
      <c r="G720" t="s">
        <v>5</v>
      </c>
    </row>
    <row r="721" spans="1:7" x14ac:dyDescent="0.3">
      <c r="A721" t="s">
        <v>15</v>
      </c>
      <c r="B721" s="1">
        <v>45808</v>
      </c>
      <c r="C721">
        <v>410015</v>
      </c>
      <c r="D721">
        <v>-124340.765</v>
      </c>
      <c r="E721" t="s">
        <v>6</v>
      </c>
      <c r="F721" t="s">
        <v>51</v>
      </c>
      <c r="G721" t="s">
        <v>5</v>
      </c>
    </row>
    <row r="722" spans="1:7" x14ac:dyDescent="0.3">
      <c r="A722" t="s">
        <v>15</v>
      </c>
      <c r="B722" s="1">
        <v>45808</v>
      </c>
      <c r="C722">
        <v>410016</v>
      </c>
      <c r="D722">
        <v>-6434.0959999999995</v>
      </c>
      <c r="E722" t="s">
        <v>6</v>
      </c>
      <c r="F722" t="s">
        <v>51</v>
      </c>
      <c r="G722" t="s">
        <v>5</v>
      </c>
    </row>
    <row r="723" spans="1:7" x14ac:dyDescent="0.3">
      <c r="A723" t="s">
        <v>15</v>
      </c>
      <c r="B723" s="1">
        <v>45808</v>
      </c>
      <c r="C723">
        <v>410018</v>
      </c>
      <c r="D723">
        <v>-69707.368000000002</v>
      </c>
      <c r="E723" t="s">
        <v>6</v>
      </c>
      <c r="F723" t="s">
        <v>51</v>
      </c>
      <c r="G723" t="s">
        <v>5</v>
      </c>
    </row>
    <row r="724" spans="1:7" x14ac:dyDescent="0.3">
      <c r="A724" t="s">
        <v>15</v>
      </c>
      <c r="B724" s="1">
        <v>45808</v>
      </c>
      <c r="C724">
        <v>410019</v>
      </c>
      <c r="D724">
        <v>-18234.439999999999</v>
      </c>
      <c r="E724" t="s">
        <v>6</v>
      </c>
      <c r="F724" t="s">
        <v>51</v>
      </c>
      <c r="G724" t="s">
        <v>5</v>
      </c>
    </row>
    <row r="725" spans="1:7" x14ac:dyDescent="0.3">
      <c r="A725" t="s">
        <v>15</v>
      </c>
      <c r="B725" s="1">
        <v>45808</v>
      </c>
      <c r="C725">
        <v>410032</v>
      </c>
      <c r="D725">
        <v>-198146.25099999999</v>
      </c>
      <c r="E725" t="s">
        <v>6</v>
      </c>
      <c r="F725" t="s">
        <v>51</v>
      </c>
      <c r="G725" t="s">
        <v>5</v>
      </c>
    </row>
    <row r="726" spans="1:7" x14ac:dyDescent="0.3">
      <c r="A726" t="s">
        <v>15</v>
      </c>
      <c r="B726" s="1">
        <v>45808</v>
      </c>
      <c r="C726">
        <v>410035</v>
      </c>
      <c r="D726">
        <v>-10.337</v>
      </c>
      <c r="E726" t="s">
        <v>6</v>
      </c>
      <c r="F726" t="s">
        <v>51</v>
      </c>
      <c r="G726" t="s">
        <v>5</v>
      </c>
    </row>
    <row r="727" spans="1:7" x14ac:dyDescent="0.3">
      <c r="A727" t="s">
        <v>15</v>
      </c>
      <c r="B727" s="1">
        <v>45808</v>
      </c>
      <c r="C727">
        <v>410036</v>
      </c>
      <c r="D727">
        <v>-178209.60699999999</v>
      </c>
      <c r="E727" t="s">
        <v>6</v>
      </c>
      <c r="F727" t="s">
        <v>51</v>
      </c>
      <c r="G727" t="s">
        <v>5</v>
      </c>
    </row>
    <row r="728" spans="1:7" x14ac:dyDescent="0.3">
      <c r="A728" t="s">
        <v>15</v>
      </c>
      <c r="B728" s="1">
        <v>45808</v>
      </c>
      <c r="C728">
        <v>410037</v>
      </c>
      <c r="D728">
        <v>-1580806.915</v>
      </c>
      <c r="E728" t="s">
        <v>6</v>
      </c>
      <c r="F728" t="s">
        <v>51</v>
      </c>
      <c r="G728" t="s">
        <v>5</v>
      </c>
    </row>
    <row r="729" spans="1:7" x14ac:dyDescent="0.3">
      <c r="A729" t="s">
        <v>15</v>
      </c>
      <c r="B729" s="1">
        <v>45808</v>
      </c>
      <c r="C729">
        <v>410039</v>
      </c>
      <c r="D729">
        <v>-147820.36600000001</v>
      </c>
      <c r="E729" t="s">
        <v>6</v>
      </c>
      <c r="F729" t="s">
        <v>51</v>
      </c>
      <c r="G729" t="s">
        <v>5</v>
      </c>
    </row>
    <row r="730" spans="1:7" x14ac:dyDescent="0.3">
      <c r="A730" t="s">
        <v>15</v>
      </c>
      <c r="B730" s="1">
        <v>45808</v>
      </c>
      <c r="C730">
        <v>410040</v>
      </c>
      <c r="D730">
        <v>-29007.355</v>
      </c>
      <c r="E730" t="s">
        <v>6</v>
      </c>
      <c r="F730" t="s">
        <v>51</v>
      </c>
      <c r="G730" t="s">
        <v>5</v>
      </c>
    </row>
    <row r="731" spans="1:7" x14ac:dyDescent="0.3">
      <c r="A731" t="s">
        <v>15</v>
      </c>
      <c r="B731" s="1">
        <v>45808</v>
      </c>
      <c r="C731">
        <v>410046</v>
      </c>
      <c r="D731">
        <v>-2629.0059999999999</v>
      </c>
      <c r="E731" t="s">
        <v>6</v>
      </c>
      <c r="F731" t="s">
        <v>51</v>
      </c>
      <c r="G731" t="s">
        <v>5</v>
      </c>
    </row>
    <row r="732" spans="1:7" x14ac:dyDescent="0.3">
      <c r="A732" t="s">
        <v>15</v>
      </c>
      <c r="B732" s="1">
        <v>45808</v>
      </c>
      <c r="C732">
        <v>410049</v>
      </c>
      <c r="D732">
        <v>1296.8230000000001</v>
      </c>
      <c r="E732" t="s">
        <v>6</v>
      </c>
      <c r="F732" t="s">
        <v>51</v>
      </c>
      <c r="G732" t="s">
        <v>5</v>
      </c>
    </row>
    <row r="733" spans="1:7" x14ac:dyDescent="0.3">
      <c r="A733" t="s">
        <v>15</v>
      </c>
      <c r="B733" s="1">
        <v>45808</v>
      </c>
      <c r="C733">
        <v>415002</v>
      </c>
      <c r="D733">
        <v>-539688.76399999997</v>
      </c>
      <c r="E733" t="s">
        <v>6</v>
      </c>
      <c r="F733" t="s">
        <v>50</v>
      </c>
      <c r="G733" t="s">
        <v>5</v>
      </c>
    </row>
    <row r="734" spans="1:7" x14ac:dyDescent="0.3">
      <c r="A734" t="s">
        <v>15</v>
      </c>
      <c r="B734" s="1">
        <v>45808</v>
      </c>
      <c r="C734">
        <v>415008</v>
      </c>
      <c r="D734">
        <v>-176.95400000000001</v>
      </c>
      <c r="E734" t="s">
        <v>6</v>
      </c>
      <c r="F734" t="s">
        <v>50</v>
      </c>
      <c r="G734" t="s">
        <v>5</v>
      </c>
    </row>
    <row r="735" spans="1:7" x14ac:dyDescent="0.3">
      <c r="A735" t="s">
        <v>15</v>
      </c>
      <c r="B735" s="1">
        <v>45808</v>
      </c>
      <c r="C735">
        <v>420003</v>
      </c>
      <c r="D735">
        <v>-39.082999999999998</v>
      </c>
      <c r="E735" t="s">
        <v>6</v>
      </c>
      <c r="F735" t="s">
        <v>52</v>
      </c>
      <c r="G735" t="s">
        <v>5</v>
      </c>
    </row>
    <row r="736" spans="1:7" x14ac:dyDescent="0.3">
      <c r="A736" t="s">
        <v>15</v>
      </c>
      <c r="B736" s="1">
        <v>45808</v>
      </c>
      <c r="C736">
        <v>420004</v>
      </c>
      <c r="D736">
        <v>-89876.751999999993</v>
      </c>
      <c r="E736" t="s">
        <v>6</v>
      </c>
      <c r="F736" t="s">
        <v>52</v>
      </c>
      <c r="G736" t="s">
        <v>5</v>
      </c>
    </row>
    <row r="737" spans="1:7" x14ac:dyDescent="0.3">
      <c r="A737" t="s">
        <v>15</v>
      </c>
      <c r="B737" s="1">
        <v>45808</v>
      </c>
      <c r="C737">
        <v>420006</v>
      </c>
      <c r="D737">
        <v>-7720.7470000000003</v>
      </c>
      <c r="E737" t="s">
        <v>6</v>
      </c>
      <c r="F737" t="s">
        <v>52</v>
      </c>
      <c r="G737" t="s">
        <v>5</v>
      </c>
    </row>
    <row r="738" spans="1:7" x14ac:dyDescent="0.3">
      <c r="A738" t="s">
        <v>15</v>
      </c>
      <c r="B738" s="1">
        <v>45808</v>
      </c>
      <c r="C738">
        <v>420007</v>
      </c>
      <c r="D738">
        <v>-628.952</v>
      </c>
      <c r="E738" t="s">
        <v>6</v>
      </c>
      <c r="F738" t="s">
        <v>52</v>
      </c>
      <c r="G738" t="s">
        <v>5</v>
      </c>
    </row>
    <row r="739" spans="1:7" x14ac:dyDescent="0.3">
      <c r="A739" t="s">
        <v>15</v>
      </c>
      <c r="B739" s="1">
        <v>45808</v>
      </c>
      <c r="C739">
        <v>421002</v>
      </c>
      <c r="D739">
        <v>-40790.341</v>
      </c>
      <c r="E739" t="s">
        <v>6</v>
      </c>
      <c r="F739" t="s">
        <v>52</v>
      </c>
      <c r="G739" t="s">
        <v>5</v>
      </c>
    </row>
    <row r="740" spans="1:7" x14ac:dyDescent="0.3">
      <c r="A740" t="s">
        <v>15</v>
      </c>
      <c r="B740" s="1">
        <v>45808</v>
      </c>
      <c r="C740">
        <v>421003</v>
      </c>
      <c r="D740">
        <v>4372.1220000000003</v>
      </c>
      <c r="E740" t="s">
        <v>6</v>
      </c>
      <c r="F740" t="s">
        <v>52</v>
      </c>
      <c r="G740" t="s">
        <v>5</v>
      </c>
    </row>
    <row r="741" spans="1:7" x14ac:dyDescent="0.3">
      <c r="A741" t="s">
        <v>15</v>
      </c>
      <c r="B741" s="1">
        <v>45808</v>
      </c>
      <c r="C741">
        <v>421004</v>
      </c>
      <c r="D741">
        <v>-636.53899999999999</v>
      </c>
      <c r="E741" t="s">
        <v>6</v>
      </c>
      <c r="F741" t="s">
        <v>52</v>
      </c>
      <c r="G741" t="s">
        <v>5</v>
      </c>
    </row>
    <row r="742" spans="1:7" x14ac:dyDescent="0.3">
      <c r="A742" t="s">
        <v>15</v>
      </c>
      <c r="B742" s="1">
        <v>45808</v>
      </c>
      <c r="C742">
        <v>421007</v>
      </c>
      <c r="D742">
        <v>-8565.3889999999992</v>
      </c>
      <c r="E742" t="s">
        <v>6</v>
      </c>
      <c r="F742" t="s">
        <v>52</v>
      </c>
      <c r="G742" t="s">
        <v>5</v>
      </c>
    </row>
    <row r="743" spans="1:7" x14ac:dyDescent="0.3">
      <c r="A743" t="s">
        <v>15</v>
      </c>
      <c r="B743" s="1">
        <v>45808</v>
      </c>
      <c r="C743">
        <v>421008</v>
      </c>
      <c r="D743">
        <v>-68332.565000000002</v>
      </c>
      <c r="E743" t="s">
        <v>6</v>
      </c>
      <c r="F743" t="s">
        <v>52</v>
      </c>
      <c r="G743" t="s">
        <v>5</v>
      </c>
    </row>
    <row r="744" spans="1:7" x14ac:dyDescent="0.3">
      <c r="A744" t="s">
        <v>15</v>
      </c>
      <c r="B744" s="1">
        <v>45808</v>
      </c>
      <c r="C744">
        <v>423002</v>
      </c>
      <c r="D744">
        <v>1161.412</v>
      </c>
      <c r="E744" t="s">
        <v>6</v>
      </c>
      <c r="F744" t="s">
        <v>52</v>
      </c>
      <c r="G744" t="s">
        <v>5</v>
      </c>
    </row>
    <row r="745" spans="1:7" x14ac:dyDescent="0.3">
      <c r="A745" t="s">
        <v>15</v>
      </c>
      <c r="B745" s="1">
        <v>45808</v>
      </c>
      <c r="C745">
        <v>423011</v>
      </c>
      <c r="D745">
        <v>3130.97</v>
      </c>
      <c r="E745" t="s">
        <v>6</v>
      </c>
      <c r="F745" t="s">
        <v>52</v>
      </c>
      <c r="G745" t="s">
        <v>5</v>
      </c>
    </row>
    <row r="746" spans="1:7" x14ac:dyDescent="0.3">
      <c r="A746" t="s">
        <v>15</v>
      </c>
      <c r="B746" s="1">
        <v>45808</v>
      </c>
      <c r="C746">
        <v>423012</v>
      </c>
      <c r="D746">
        <v>-9816.7520000000004</v>
      </c>
      <c r="E746" t="s">
        <v>6</v>
      </c>
      <c r="F746" t="s">
        <v>52</v>
      </c>
      <c r="G746" t="s">
        <v>5</v>
      </c>
    </row>
    <row r="747" spans="1:7" x14ac:dyDescent="0.3">
      <c r="A747" t="s">
        <v>15</v>
      </c>
      <c r="B747" s="1">
        <v>45808</v>
      </c>
      <c r="C747">
        <v>510002</v>
      </c>
      <c r="D747">
        <v>1162855.8319999999</v>
      </c>
      <c r="E747" t="s">
        <v>6</v>
      </c>
      <c r="F747" t="s">
        <v>53</v>
      </c>
      <c r="G747" t="s">
        <v>5</v>
      </c>
    </row>
    <row r="748" spans="1:7" x14ac:dyDescent="0.3">
      <c r="A748" t="s">
        <v>15</v>
      </c>
      <c r="B748" s="1">
        <v>45808</v>
      </c>
      <c r="C748">
        <v>510003</v>
      </c>
      <c r="D748">
        <v>143849.886</v>
      </c>
      <c r="E748" t="s">
        <v>6</v>
      </c>
      <c r="F748" t="s">
        <v>53</v>
      </c>
      <c r="G748" t="s">
        <v>5</v>
      </c>
    </row>
    <row r="749" spans="1:7" x14ac:dyDescent="0.3">
      <c r="A749" t="s">
        <v>15</v>
      </c>
      <c r="B749" s="1">
        <v>45808</v>
      </c>
      <c r="C749">
        <v>510004</v>
      </c>
      <c r="D749">
        <v>1925210.844</v>
      </c>
      <c r="E749" t="s">
        <v>6</v>
      </c>
      <c r="F749" t="s">
        <v>53</v>
      </c>
      <c r="G749" t="s">
        <v>5</v>
      </c>
    </row>
    <row r="750" spans="1:7" x14ac:dyDescent="0.3">
      <c r="A750" t="s">
        <v>15</v>
      </c>
      <c r="B750" s="1">
        <v>45808</v>
      </c>
      <c r="C750">
        <v>510005</v>
      </c>
      <c r="D750">
        <v>36383.436000000002</v>
      </c>
      <c r="E750" t="s">
        <v>6</v>
      </c>
      <c r="F750" t="s">
        <v>53</v>
      </c>
      <c r="G750" t="s">
        <v>5</v>
      </c>
    </row>
    <row r="751" spans="1:7" x14ac:dyDescent="0.3">
      <c r="A751" t="s">
        <v>15</v>
      </c>
      <c r="B751" s="1">
        <v>45808</v>
      </c>
      <c r="C751">
        <v>510006</v>
      </c>
      <c r="D751">
        <v>57127.31</v>
      </c>
      <c r="E751" t="s">
        <v>6</v>
      </c>
      <c r="F751" t="s">
        <v>53</v>
      </c>
      <c r="G751" t="s">
        <v>5</v>
      </c>
    </row>
    <row r="752" spans="1:7" x14ac:dyDescent="0.3">
      <c r="A752" t="s">
        <v>15</v>
      </c>
      <c r="B752" s="1">
        <v>45808</v>
      </c>
      <c r="C752">
        <v>510007</v>
      </c>
      <c r="D752">
        <v>327658.087</v>
      </c>
      <c r="E752" t="s">
        <v>6</v>
      </c>
      <c r="F752" t="s">
        <v>53</v>
      </c>
      <c r="G752" t="s">
        <v>5</v>
      </c>
    </row>
    <row r="753" spans="1:7" x14ac:dyDescent="0.3">
      <c r="A753" t="s">
        <v>15</v>
      </c>
      <c r="B753" s="1">
        <v>45808</v>
      </c>
      <c r="C753">
        <v>510009</v>
      </c>
      <c r="D753">
        <v>14669.561</v>
      </c>
      <c r="E753" t="s">
        <v>6</v>
      </c>
      <c r="F753" t="s">
        <v>53</v>
      </c>
      <c r="G753" t="s">
        <v>5</v>
      </c>
    </row>
    <row r="754" spans="1:7" x14ac:dyDescent="0.3">
      <c r="A754" t="s">
        <v>15</v>
      </c>
      <c r="B754" s="1">
        <v>45808</v>
      </c>
      <c r="C754">
        <v>510011</v>
      </c>
      <c r="D754">
        <v>54835.245999999999</v>
      </c>
      <c r="E754" t="s">
        <v>6</v>
      </c>
      <c r="F754" t="s">
        <v>53</v>
      </c>
      <c r="G754" t="s">
        <v>5</v>
      </c>
    </row>
    <row r="755" spans="1:7" x14ac:dyDescent="0.3">
      <c r="A755" t="s">
        <v>15</v>
      </c>
      <c r="B755" s="1">
        <v>45808</v>
      </c>
      <c r="C755">
        <v>510012</v>
      </c>
      <c r="D755">
        <v>23981.073</v>
      </c>
      <c r="E755" t="s">
        <v>6</v>
      </c>
      <c r="F755" t="s">
        <v>53</v>
      </c>
      <c r="G755" t="s">
        <v>5</v>
      </c>
    </row>
    <row r="756" spans="1:7" x14ac:dyDescent="0.3">
      <c r="A756" t="s">
        <v>15</v>
      </c>
      <c r="B756" s="1">
        <v>45808</v>
      </c>
      <c r="C756">
        <v>510013</v>
      </c>
      <c r="D756">
        <v>-285.495</v>
      </c>
      <c r="E756" t="s">
        <v>6</v>
      </c>
      <c r="F756" t="s">
        <v>53</v>
      </c>
      <c r="G756" t="s">
        <v>5</v>
      </c>
    </row>
    <row r="757" spans="1:7" x14ac:dyDescent="0.3">
      <c r="A757" t="s">
        <v>15</v>
      </c>
      <c r="B757" s="1">
        <v>45808</v>
      </c>
      <c r="C757">
        <v>510018</v>
      </c>
      <c r="D757">
        <v>52065.489000000001</v>
      </c>
      <c r="E757" t="s">
        <v>6</v>
      </c>
      <c r="F757" t="s">
        <v>53</v>
      </c>
      <c r="G757" t="s">
        <v>5</v>
      </c>
    </row>
    <row r="758" spans="1:7" x14ac:dyDescent="0.3">
      <c r="A758" t="s">
        <v>15</v>
      </c>
      <c r="B758" s="1">
        <v>45808</v>
      </c>
      <c r="C758">
        <v>510021</v>
      </c>
      <c r="D758">
        <v>8236.0499999999993</v>
      </c>
      <c r="E758" t="s">
        <v>6</v>
      </c>
      <c r="F758" t="s">
        <v>53</v>
      </c>
      <c r="G758" t="s">
        <v>5</v>
      </c>
    </row>
    <row r="759" spans="1:7" x14ac:dyDescent="0.3">
      <c r="A759" t="s">
        <v>15</v>
      </c>
      <c r="B759" s="1">
        <v>45808</v>
      </c>
      <c r="C759">
        <v>510026</v>
      </c>
      <c r="D759">
        <v>16784.627</v>
      </c>
      <c r="E759" t="s">
        <v>6</v>
      </c>
      <c r="F759" t="s">
        <v>53</v>
      </c>
      <c r="G759" t="s">
        <v>5</v>
      </c>
    </row>
    <row r="760" spans="1:7" x14ac:dyDescent="0.3">
      <c r="A760" t="s">
        <v>15</v>
      </c>
      <c r="B760" s="1">
        <v>45808</v>
      </c>
      <c r="C760">
        <v>510046</v>
      </c>
      <c r="D760">
        <v>11.596</v>
      </c>
      <c r="E760" t="s">
        <v>6</v>
      </c>
      <c r="F760" t="s">
        <v>53</v>
      </c>
      <c r="G760" t="s">
        <v>5</v>
      </c>
    </row>
    <row r="761" spans="1:7" x14ac:dyDescent="0.3">
      <c r="A761" t="s">
        <v>15</v>
      </c>
      <c r="B761" s="1">
        <v>45808</v>
      </c>
      <c r="C761">
        <v>510048</v>
      </c>
      <c r="D761">
        <v>28393.466</v>
      </c>
      <c r="E761" t="s">
        <v>6</v>
      </c>
      <c r="F761" t="s">
        <v>61</v>
      </c>
      <c r="G761" t="s">
        <v>5</v>
      </c>
    </row>
    <row r="762" spans="1:7" x14ac:dyDescent="0.3">
      <c r="A762" t="s">
        <v>15</v>
      </c>
      <c r="B762" s="1">
        <v>45808</v>
      </c>
      <c r="C762">
        <v>510049</v>
      </c>
      <c r="D762">
        <v>302.24700000000001</v>
      </c>
      <c r="E762" t="s">
        <v>6</v>
      </c>
      <c r="F762" t="s">
        <v>60</v>
      </c>
      <c r="G762" t="s">
        <v>5</v>
      </c>
    </row>
    <row r="763" spans="1:7" x14ac:dyDescent="0.3">
      <c r="A763" t="s">
        <v>15</v>
      </c>
      <c r="B763" s="1">
        <v>45808</v>
      </c>
      <c r="C763">
        <v>510057</v>
      </c>
      <c r="D763">
        <v>729.91200000000003</v>
      </c>
      <c r="E763" t="s">
        <v>6</v>
      </c>
      <c r="F763" t="s">
        <v>53</v>
      </c>
      <c r="G763" t="s">
        <v>5</v>
      </c>
    </row>
    <row r="764" spans="1:7" x14ac:dyDescent="0.3">
      <c r="A764" t="s">
        <v>15</v>
      </c>
      <c r="B764" s="1">
        <v>45808</v>
      </c>
      <c r="C764">
        <v>510059</v>
      </c>
      <c r="D764">
        <v>5987.1959999999999</v>
      </c>
      <c r="E764" t="s">
        <v>6</v>
      </c>
      <c r="F764" t="s">
        <v>53</v>
      </c>
      <c r="G764" t="s">
        <v>5</v>
      </c>
    </row>
    <row r="765" spans="1:7" x14ac:dyDescent="0.3">
      <c r="A765" t="s">
        <v>15</v>
      </c>
      <c r="B765" s="1">
        <v>45808</v>
      </c>
      <c r="C765">
        <v>510060</v>
      </c>
      <c r="D765">
        <v>-10327.375</v>
      </c>
      <c r="E765" t="s">
        <v>6</v>
      </c>
      <c r="F765" t="s">
        <v>53</v>
      </c>
      <c r="G765" t="s">
        <v>5</v>
      </c>
    </row>
    <row r="766" spans="1:7" x14ac:dyDescent="0.3">
      <c r="A766" t="s">
        <v>15</v>
      </c>
      <c r="B766" s="1">
        <v>45808</v>
      </c>
      <c r="C766">
        <v>510062</v>
      </c>
      <c r="D766">
        <v>15562.502</v>
      </c>
      <c r="E766" t="s">
        <v>6</v>
      </c>
      <c r="F766" t="s">
        <v>53</v>
      </c>
      <c r="G766" t="s">
        <v>5</v>
      </c>
    </row>
    <row r="767" spans="1:7" x14ac:dyDescent="0.3">
      <c r="A767" t="s">
        <v>15</v>
      </c>
      <c r="B767" s="1">
        <v>45808</v>
      </c>
      <c r="C767">
        <v>510063</v>
      </c>
      <c r="D767">
        <v>8663.7669999999998</v>
      </c>
      <c r="E767" t="s">
        <v>6</v>
      </c>
      <c r="F767" t="s">
        <v>53</v>
      </c>
      <c r="G767" t="s">
        <v>5</v>
      </c>
    </row>
    <row r="768" spans="1:7" x14ac:dyDescent="0.3">
      <c r="A768" t="s">
        <v>15</v>
      </c>
      <c r="B768" s="1">
        <v>45808</v>
      </c>
      <c r="C768">
        <v>510064</v>
      </c>
      <c r="D768">
        <v>73357.865000000005</v>
      </c>
      <c r="E768" t="s">
        <v>6</v>
      </c>
      <c r="F768" t="s">
        <v>53</v>
      </c>
      <c r="G768" t="s">
        <v>5</v>
      </c>
    </row>
    <row r="769" spans="1:7" x14ac:dyDescent="0.3">
      <c r="A769" t="s">
        <v>15</v>
      </c>
      <c r="B769" s="1">
        <v>45808</v>
      </c>
      <c r="C769">
        <v>520020</v>
      </c>
      <c r="D769">
        <v>21268.306</v>
      </c>
      <c r="E769" t="s">
        <v>6</v>
      </c>
      <c r="F769" t="s">
        <v>53</v>
      </c>
      <c r="G769" t="s">
        <v>5</v>
      </c>
    </row>
    <row r="770" spans="1:7" x14ac:dyDescent="0.3">
      <c r="A770" t="s">
        <v>15</v>
      </c>
      <c r="B770" s="1">
        <v>45808</v>
      </c>
      <c r="C770">
        <v>520021</v>
      </c>
      <c r="D770">
        <v>1489.4960000000001</v>
      </c>
      <c r="E770" t="s">
        <v>6</v>
      </c>
      <c r="F770" t="s">
        <v>60</v>
      </c>
      <c r="G770" t="s">
        <v>5</v>
      </c>
    </row>
    <row r="771" spans="1:7" x14ac:dyDescent="0.3">
      <c r="A771" t="s">
        <v>15</v>
      </c>
      <c r="B771" s="1">
        <v>45808</v>
      </c>
      <c r="C771">
        <v>520022</v>
      </c>
      <c r="D771">
        <v>984.34100000000001</v>
      </c>
      <c r="E771" t="s">
        <v>6</v>
      </c>
      <c r="F771" t="s">
        <v>53</v>
      </c>
      <c r="G771" t="s">
        <v>5</v>
      </c>
    </row>
    <row r="772" spans="1:7" x14ac:dyDescent="0.3">
      <c r="A772" t="s">
        <v>15</v>
      </c>
      <c r="B772" s="1">
        <v>45808</v>
      </c>
      <c r="C772">
        <v>540004</v>
      </c>
      <c r="D772">
        <v>265.73500000000001</v>
      </c>
      <c r="E772" t="s">
        <v>6</v>
      </c>
      <c r="F772" t="s">
        <v>67</v>
      </c>
      <c r="G772" t="s">
        <v>5</v>
      </c>
    </row>
    <row r="773" spans="1:7" x14ac:dyDescent="0.3">
      <c r="A773" t="s">
        <v>15</v>
      </c>
      <c r="B773" s="1">
        <v>45808</v>
      </c>
      <c r="C773">
        <v>540008</v>
      </c>
      <c r="D773">
        <v>23568.406999999999</v>
      </c>
      <c r="E773" t="s">
        <v>6</v>
      </c>
      <c r="F773" t="s">
        <v>67</v>
      </c>
      <c r="G773" t="s">
        <v>5</v>
      </c>
    </row>
    <row r="774" spans="1:7" x14ac:dyDescent="0.3">
      <c r="A774" t="s">
        <v>15</v>
      </c>
      <c r="B774" s="1">
        <v>45808</v>
      </c>
      <c r="C774">
        <v>541003</v>
      </c>
      <c r="D774">
        <v>764.49599999999998</v>
      </c>
      <c r="E774" t="s">
        <v>6</v>
      </c>
      <c r="F774" t="s">
        <v>61</v>
      </c>
      <c r="G774" t="s">
        <v>5</v>
      </c>
    </row>
    <row r="775" spans="1:7" x14ac:dyDescent="0.3">
      <c r="A775" t="s">
        <v>15</v>
      </c>
      <c r="B775" s="1">
        <v>45808</v>
      </c>
      <c r="C775">
        <v>541004</v>
      </c>
      <c r="D775">
        <v>9175.86</v>
      </c>
      <c r="E775" t="s">
        <v>6</v>
      </c>
      <c r="F775" t="s">
        <v>61</v>
      </c>
      <c r="G775" t="s">
        <v>5</v>
      </c>
    </row>
    <row r="776" spans="1:7" x14ac:dyDescent="0.3">
      <c r="A776" t="s">
        <v>15</v>
      </c>
      <c r="B776" s="1">
        <v>45808</v>
      </c>
      <c r="C776">
        <v>541008</v>
      </c>
      <c r="D776">
        <v>5649.2060000000001</v>
      </c>
      <c r="E776" t="s">
        <v>6</v>
      </c>
      <c r="F776" t="s">
        <v>61</v>
      </c>
      <c r="G776" t="s">
        <v>5</v>
      </c>
    </row>
    <row r="777" spans="1:7" x14ac:dyDescent="0.3">
      <c r="A777" t="s">
        <v>15</v>
      </c>
      <c r="B777" s="1">
        <v>45808</v>
      </c>
      <c r="C777">
        <v>541009</v>
      </c>
      <c r="D777">
        <v>1171.0730000000001</v>
      </c>
      <c r="E777" t="s">
        <v>6</v>
      </c>
      <c r="F777" t="s">
        <v>61</v>
      </c>
      <c r="G777" t="s">
        <v>5</v>
      </c>
    </row>
    <row r="778" spans="1:7" x14ac:dyDescent="0.3">
      <c r="A778" t="s">
        <v>15</v>
      </c>
      <c r="B778" s="1">
        <v>45808</v>
      </c>
      <c r="C778">
        <v>541010</v>
      </c>
      <c r="D778">
        <v>11658.527</v>
      </c>
      <c r="E778" t="s">
        <v>6</v>
      </c>
      <c r="F778" t="s">
        <v>61</v>
      </c>
      <c r="G778" t="s">
        <v>5</v>
      </c>
    </row>
    <row r="779" spans="1:7" x14ac:dyDescent="0.3">
      <c r="A779" t="s">
        <v>15</v>
      </c>
      <c r="B779" s="1">
        <v>45808</v>
      </c>
      <c r="C779">
        <v>541013</v>
      </c>
      <c r="D779">
        <v>19923.991000000002</v>
      </c>
      <c r="E779" t="s">
        <v>6</v>
      </c>
      <c r="F779" t="s">
        <v>61</v>
      </c>
      <c r="G779" t="s">
        <v>5</v>
      </c>
    </row>
    <row r="780" spans="1:7" x14ac:dyDescent="0.3">
      <c r="A780" t="s">
        <v>15</v>
      </c>
      <c r="B780" s="1">
        <v>45808</v>
      </c>
      <c r="C780">
        <v>541021</v>
      </c>
      <c r="D780">
        <v>-26709.441999999999</v>
      </c>
      <c r="E780" t="s">
        <v>6</v>
      </c>
      <c r="F780" t="s">
        <v>61</v>
      </c>
      <c r="G780" t="s">
        <v>5</v>
      </c>
    </row>
    <row r="781" spans="1:7" x14ac:dyDescent="0.3">
      <c r="A781" t="s">
        <v>15</v>
      </c>
      <c r="B781" s="1">
        <v>45808</v>
      </c>
      <c r="C781">
        <v>541022</v>
      </c>
      <c r="D781">
        <v>-1.7000000000000001E-2</v>
      </c>
      <c r="E781" t="s">
        <v>6</v>
      </c>
      <c r="F781" t="s">
        <v>61</v>
      </c>
      <c r="G781" t="s">
        <v>5</v>
      </c>
    </row>
    <row r="782" spans="1:7" x14ac:dyDescent="0.3">
      <c r="A782" t="s">
        <v>15</v>
      </c>
      <c r="B782" s="1">
        <v>45808</v>
      </c>
      <c r="C782">
        <v>544002</v>
      </c>
      <c r="D782">
        <v>8934.6110000000008</v>
      </c>
      <c r="E782" t="s">
        <v>6</v>
      </c>
      <c r="F782" t="s">
        <v>61</v>
      </c>
      <c r="G782" t="s">
        <v>5</v>
      </c>
    </row>
    <row r="783" spans="1:7" x14ac:dyDescent="0.3">
      <c r="A783" t="s">
        <v>15</v>
      </c>
      <c r="B783" s="1">
        <v>45808</v>
      </c>
      <c r="C783">
        <v>544003</v>
      </c>
      <c r="D783">
        <v>-1905.653</v>
      </c>
      <c r="E783" t="s">
        <v>6</v>
      </c>
      <c r="F783" t="s">
        <v>61</v>
      </c>
      <c r="G783" t="s">
        <v>5</v>
      </c>
    </row>
    <row r="784" spans="1:7" x14ac:dyDescent="0.3">
      <c r="A784" t="s">
        <v>15</v>
      </c>
      <c r="B784" s="1">
        <v>45808</v>
      </c>
      <c r="C784">
        <v>544006</v>
      </c>
      <c r="D784">
        <v>542.45699999999999</v>
      </c>
      <c r="E784" t="s">
        <v>6</v>
      </c>
      <c r="F784" t="s">
        <v>61</v>
      </c>
      <c r="G784" t="s">
        <v>5</v>
      </c>
    </row>
    <row r="785" spans="1:7" x14ac:dyDescent="0.3">
      <c r="A785" t="s">
        <v>15</v>
      </c>
      <c r="B785" s="1">
        <v>45808</v>
      </c>
      <c r="C785">
        <v>547002</v>
      </c>
      <c r="D785">
        <v>51049.527000000002</v>
      </c>
      <c r="E785" t="s">
        <v>6</v>
      </c>
      <c r="F785" t="s">
        <v>54</v>
      </c>
      <c r="G785" t="s">
        <v>5</v>
      </c>
    </row>
    <row r="786" spans="1:7" x14ac:dyDescent="0.3">
      <c r="A786" t="s">
        <v>15</v>
      </c>
      <c r="B786" s="1">
        <v>45808</v>
      </c>
      <c r="C786">
        <v>547006</v>
      </c>
      <c r="D786">
        <v>45189.381999999998</v>
      </c>
      <c r="E786" t="s">
        <v>6</v>
      </c>
      <c r="F786" t="s">
        <v>54</v>
      </c>
      <c r="G786" t="s">
        <v>5</v>
      </c>
    </row>
    <row r="787" spans="1:7" x14ac:dyDescent="0.3">
      <c r="A787" t="s">
        <v>15</v>
      </c>
      <c r="B787" s="1">
        <v>45808</v>
      </c>
      <c r="C787">
        <v>547011</v>
      </c>
      <c r="D787">
        <v>397.02800000000002</v>
      </c>
      <c r="E787" t="s">
        <v>6</v>
      </c>
      <c r="F787" t="s">
        <v>54</v>
      </c>
      <c r="G787" t="s">
        <v>5</v>
      </c>
    </row>
    <row r="788" spans="1:7" x14ac:dyDescent="0.3">
      <c r="A788" t="s">
        <v>15</v>
      </c>
      <c r="B788" s="1">
        <v>45808</v>
      </c>
      <c r="C788">
        <v>550002</v>
      </c>
      <c r="D788">
        <v>91961.373999999996</v>
      </c>
      <c r="E788" t="s">
        <v>6</v>
      </c>
      <c r="F788" t="s">
        <v>62</v>
      </c>
      <c r="G788" t="s">
        <v>5</v>
      </c>
    </row>
    <row r="789" spans="1:7" x14ac:dyDescent="0.3">
      <c r="A789" t="s">
        <v>15</v>
      </c>
      <c r="B789" s="1">
        <v>45808</v>
      </c>
      <c r="C789">
        <v>550003</v>
      </c>
      <c r="D789">
        <v>261.72399999999999</v>
      </c>
      <c r="E789" t="s">
        <v>6</v>
      </c>
      <c r="F789" t="s">
        <v>62</v>
      </c>
      <c r="G789" t="s">
        <v>5</v>
      </c>
    </row>
    <row r="790" spans="1:7" x14ac:dyDescent="0.3">
      <c r="A790" t="s">
        <v>15</v>
      </c>
      <c r="B790" s="1">
        <v>45808</v>
      </c>
      <c r="C790">
        <v>550004</v>
      </c>
      <c r="D790">
        <v>4752.1450000000004</v>
      </c>
      <c r="E790" t="s">
        <v>6</v>
      </c>
      <c r="F790" t="s">
        <v>62</v>
      </c>
      <c r="G790" t="s">
        <v>5</v>
      </c>
    </row>
    <row r="791" spans="1:7" x14ac:dyDescent="0.3">
      <c r="A791" t="s">
        <v>15</v>
      </c>
      <c r="B791" s="1">
        <v>45808</v>
      </c>
      <c r="C791">
        <v>550007</v>
      </c>
      <c r="D791">
        <v>-556.30899999999997</v>
      </c>
      <c r="E791" t="s">
        <v>6</v>
      </c>
      <c r="F791" t="s">
        <v>62</v>
      </c>
      <c r="G791" t="s">
        <v>5</v>
      </c>
    </row>
    <row r="792" spans="1:7" x14ac:dyDescent="0.3">
      <c r="A792" t="s">
        <v>15</v>
      </c>
      <c r="B792" s="1">
        <v>45808</v>
      </c>
      <c r="C792">
        <v>551002</v>
      </c>
      <c r="D792">
        <v>14038.89</v>
      </c>
      <c r="E792" t="s">
        <v>6</v>
      </c>
      <c r="F792" t="s">
        <v>63</v>
      </c>
      <c r="G792" t="s">
        <v>5</v>
      </c>
    </row>
    <row r="793" spans="1:7" x14ac:dyDescent="0.3">
      <c r="A793" t="s">
        <v>15</v>
      </c>
      <c r="B793" s="1">
        <v>45808</v>
      </c>
      <c r="C793">
        <v>551003</v>
      </c>
      <c r="D793">
        <v>110307.048</v>
      </c>
      <c r="E793" t="s">
        <v>6</v>
      </c>
      <c r="F793" t="s">
        <v>63</v>
      </c>
      <c r="G793" t="s">
        <v>5</v>
      </c>
    </row>
    <row r="794" spans="1:7" x14ac:dyDescent="0.3">
      <c r="A794" t="s">
        <v>15</v>
      </c>
      <c r="B794" s="1">
        <v>45808</v>
      </c>
      <c r="C794">
        <v>551007</v>
      </c>
      <c r="D794">
        <v>31</v>
      </c>
      <c r="E794" t="s">
        <v>6</v>
      </c>
      <c r="F794" t="s">
        <v>63</v>
      </c>
      <c r="G794" t="s">
        <v>5</v>
      </c>
    </row>
    <row r="795" spans="1:7" x14ac:dyDescent="0.3">
      <c r="A795" t="s">
        <v>15</v>
      </c>
      <c r="B795" s="1">
        <v>45808</v>
      </c>
      <c r="C795">
        <v>551008</v>
      </c>
      <c r="D795">
        <v>1656.2249999999999</v>
      </c>
      <c r="E795" t="s">
        <v>6</v>
      </c>
      <c r="F795" t="s">
        <v>63</v>
      </c>
      <c r="G795" t="s">
        <v>5</v>
      </c>
    </row>
    <row r="796" spans="1:7" x14ac:dyDescent="0.3">
      <c r="A796" t="s">
        <v>15</v>
      </c>
      <c r="B796" s="1">
        <v>45808</v>
      </c>
      <c r="C796">
        <v>551011</v>
      </c>
      <c r="D796">
        <v>1224.596</v>
      </c>
      <c r="E796" t="s">
        <v>6</v>
      </c>
      <c r="F796" t="s">
        <v>61</v>
      </c>
      <c r="G796" t="s">
        <v>5</v>
      </c>
    </row>
    <row r="797" spans="1:7" x14ac:dyDescent="0.3">
      <c r="A797" t="s">
        <v>15</v>
      </c>
      <c r="B797" s="1">
        <v>45808</v>
      </c>
      <c r="C797">
        <v>551012</v>
      </c>
      <c r="D797">
        <v>4417.5</v>
      </c>
      <c r="E797" t="s">
        <v>6</v>
      </c>
      <c r="F797" t="s">
        <v>63</v>
      </c>
      <c r="G797" t="s">
        <v>5</v>
      </c>
    </row>
    <row r="798" spans="1:7" x14ac:dyDescent="0.3">
      <c r="A798" t="s">
        <v>15</v>
      </c>
      <c r="B798" s="1">
        <v>45808</v>
      </c>
      <c r="C798">
        <v>551014</v>
      </c>
      <c r="D798">
        <v>927.53300000000002</v>
      </c>
      <c r="E798" t="s">
        <v>6</v>
      </c>
      <c r="F798" t="s">
        <v>63</v>
      </c>
      <c r="G798" t="s">
        <v>5</v>
      </c>
    </row>
    <row r="799" spans="1:7" x14ac:dyDescent="0.3">
      <c r="A799" t="s">
        <v>15</v>
      </c>
      <c r="B799" s="1">
        <v>45808</v>
      </c>
      <c r="C799">
        <v>552002</v>
      </c>
      <c r="D799">
        <v>19301.183000000001</v>
      </c>
      <c r="E799" t="s">
        <v>6</v>
      </c>
      <c r="F799" t="s">
        <v>55</v>
      </c>
      <c r="G799" t="s">
        <v>5</v>
      </c>
    </row>
    <row r="800" spans="1:7" x14ac:dyDescent="0.3">
      <c r="A800" t="s">
        <v>15</v>
      </c>
      <c r="B800" s="1">
        <v>45808</v>
      </c>
      <c r="C800">
        <v>552502</v>
      </c>
      <c r="D800">
        <v>-693.36</v>
      </c>
      <c r="E800" t="s">
        <v>6</v>
      </c>
      <c r="F800" t="s">
        <v>55</v>
      </c>
      <c r="G800" t="s">
        <v>5</v>
      </c>
    </row>
    <row r="801" spans="1:7" x14ac:dyDescent="0.3">
      <c r="A801" t="s">
        <v>15</v>
      </c>
      <c r="B801" s="1">
        <v>45808</v>
      </c>
      <c r="C801">
        <v>552503</v>
      </c>
      <c r="D801">
        <v>956.23400000000004</v>
      </c>
      <c r="E801" t="s">
        <v>6</v>
      </c>
      <c r="F801" t="s">
        <v>55</v>
      </c>
      <c r="G801" t="s">
        <v>5</v>
      </c>
    </row>
    <row r="802" spans="1:7" x14ac:dyDescent="0.3">
      <c r="A802" t="s">
        <v>15</v>
      </c>
      <c r="B802" s="1">
        <v>45808</v>
      </c>
      <c r="C802">
        <v>552504</v>
      </c>
      <c r="D802">
        <v>487.32100000000003</v>
      </c>
      <c r="E802" t="s">
        <v>6</v>
      </c>
      <c r="F802" t="s">
        <v>55</v>
      </c>
      <c r="G802" t="s">
        <v>5</v>
      </c>
    </row>
    <row r="803" spans="1:7" x14ac:dyDescent="0.3">
      <c r="A803" t="s">
        <v>15</v>
      </c>
      <c r="B803" s="1">
        <v>45808</v>
      </c>
      <c r="C803">
        <v>554002</v>
      </c>
      <c r="D803">
        <v>16663.03</v>
      </c>
      <c r="E803" t="s">
        <v>6</v>
      </c>
      <c r="F803" t="s">
        <v>55</v>
      </c>
      <c r="G803" t="s">
        <v>5</v>
      </c>
    </row>
    <row r="804" spans="1:7" x14ac:dyDescent="0.3">
      <c r="A804" t="s">
        <v>15</v>
      </c>
      <c r="B804" s="1">
        <v>45808</v>
      </c>
      <c r="C804">
        <v>554003</v>
      </c>
      <c r="D804">
        <v>15466.019</v>
      </c>
      <c r="E804" t="s">
        <v>6</v>
      </c>
      <c r="F804" t="s">
        <v>55</v>
      </c>
      <c r="G804" t="s">
        <v>5</v>
      </c>
    </row>
    <row r="805" spans="1:7" x14ac:dyDescent="0.3">
      <c r="A805" t="s">
        <v>15</v>
      </c>
      <c r="B805" s="1">
        <v>45808</v>
      </c>
      <c r="C805">
        <v>554004</v>
      </c>
      <c r="D805">
        <v>12663.143</v>
      </c>
      <c r="E805" t="s">
        <v>6</v>
      </c>
      <c r="F805" t="s">
        <v>55</v>
      </c>
      <c r="G805" t="s">
        <v>5</v>
      </c>
    </row>
    <row r="806" spans="1:7" x14ac:dyDescent="0.3">
      <c r="A806" t="s">
        <v>15</v>
      </c>
      <c r="B806" s="1">
        <v>45808</v>
      </c>
      <c r="C806">
        <v>554005</v>
      </c>
      <c r="D806">
        <v>-7235.7020000000002</v>
      </c>
      <c r="E806" t="s">
        <v>6</v>
      </c>
      <c r="F806" t="s">
        <v>55</v>
      </c>
      <c r="G806" t="s">
        <v>5</v>
      </c>
    </row>
    <row r="807" spans="1:7" x14ac:dyDescent="0.3">
      <c r="A807" t="s">
        <v>15</v>
      </c>
      <c r="B807" s="1">
        <v>45808</v>
      </c>
      <c r="C807">
        <v>554006</v>
      </c>
      <c r="D807">
        <v>2378.4160000000002</v>
      </c>
      <c r="E807" t="s">
        <v>6</v>
      </c>
      <c r="F807" t="s">
        <v>55</v>
      </c>
      <c r="G807" t="s">
        <v>5</v>
      </c>
    </row>
    <row r="808" spans="1:7" x14ac:dyDescent="0.3">
      <c r="A808" t="s">
        <v>15</v>
      </c>
      <c r="B808" s="1">
        <v>45808</v>
      </c>
      <c r="C808">
        <v>554007</v>
      </c>
      <c r="D808">
        <v>121585.113</v>
      </c>
      <c r="E808" t="s">
        <v>6</v>
      </c>
      <c r="F808" t="s">
        <v>55</v>
      </c>
      <c r="G808" t="s">
        <v>5</v>
      </c>
    </row>
    <row r="809" spans="1:7" x14ac:dyDescent="0.3">
      <c r="A809" t="s">
        <v>15</v>
      </c>
      <c r="B809" s="1">
        <v>45808</v>
      </c>
      <c r="C809">
        <v>554008</v>
      </c>
      <c r="D809">
        <v>388.101</v>
      </c>
      <c r="E809" t="s">
        <v>6</v>
      </c>
      <c r="F809" t="s">
        <v>55</v>
      </c>
      <c r="G809" t="s">
        <v>5</v>
      </c>
    </row>
    <row r="810" spans="1:7" x14ac:dyDescent="0.3">
      <c r="A810" t="s">
        <v>15</v>
      </c>
      <c r="B810" s="1">
        <v>45808</v>
      </c>
      <c r="C810">
        <v>555002</v>
      </c>
      <c r="D810">
        <v>106.01300000000001</v>
      </c>
      <c r="E810" t="s">
        <v>6</v>
      </c>
      <c r="F810" t="s">
        <v>55</v>
      </c>
      <c r="G810" t="s">
        <v>5</v>
      </c>
    </row>
    <row r="811" spans="1:7" x14ac:dyDescent="0.3">
      <c r="A811" t="s">
        <v>15</v>
      </c>
      <c r="B811" s="1">
        <v>45808</v>
      </c>
      <c r="C811">
        <v>555003</v>
      </c>
      <c r="D811">
        <v>44.161999999999999</v>
      </c>
      <c r="E811" t="s">
        <v>6</v>
      </c>
      <c r="F811" t="s">
        <v>55</v>
      </c>
      <c r="G811" t="s">
        <v>5</v>
      </c>
    </row>
    <row r="812" spans="1:7" x14ac:dyDescent="0.3">
      <c r="A812" t="s">
        <v>15</v>
      </c>
      <c r="B812" s="1">
        <v>45808</v>
      </c>
      <c r="C812">
        <v>555004</v>
      </c>
      <c r="D812">
        <v>17.648</v>
      </c>
      <c r="E812" t="s">
        <v>6</v>
      </c>
      <c r="F812" t="s">
        <v>55</v>
      </c>
      <c r="G812" t="s">
        <v>5</v>
      </c>
    </row>
    <row r="813" spans="1:7" x14ac:dyDescent="0.3">
      <c r="A813" t="s">
        <v>15</v>
      </c>
      <c r="B813" s="1">
        <v>45808</v>
      </c>
      <c r="C813">
        <v>555005</v>
      </c>
      <c r="D813">
        <v>175.72900000000001</v>
      </c>
      <c r="E813" t="s">
        <v>6</v>
      </c>
      <c r="F813" t="s">
        <v>55</v>
      </c>
      <c r="G813" t="s">
        <v>5</v>
      </c>
    </row>
    <row r="814" spans="1:7" x14ac:dyDescent="0.3">
      <c r="A814" t="s">
        <v>15</v>
      </c>
      <c r="B814" s="1">
        <v>45808</v>
      </c>
      <c r="C814">
        <v>555007</v>
      </c>
      <c r="D814">
        <v>4143.9279999999999</v>
      </c>
      <c r="E814" t="s">
        <v>6</v>
      </c>
      <c r="F814" t="s">
        <v>55</v>
      </c>
      <c r="G814" t="s">
        <v>5</v>
      </c>
    </row>
    <row r="815" spans="1:7" x14ac:dyDescent="0.3">
      <c r="A815" t="s">
        <v>15</v>
      </c>
      <c r="B815" s="1">
        <v>45808</v>
      </c>
      <c r="C815">
        <v>555008</v>
      </c>
      <c r="D815">
        <v>386.44099999999997</v>
      </c>
      <c r="E815" t="s">
        <v>6</v>
      </c>
      <c r="F815" t="s">
        <v>55</v>
      </c>
      <c r="G815" t="s">
        <v>5</v>
      </c>
    </row>
    <row r="816" spans="1:7" x14ac:dyDescent="0.3">
      <c r="A816" t="s">
        <v>15</v>
      </c>
      <c r="B816" s="1">
        <v>45808</v>
      </c>
      <c r="C816">
        <v>555009</v>
      </c>
      <c r="D816">
        <v>14981.347</v>
      </c>
      <c r="E816" t="s">
        <v>6</v>
      </c>
      <c r="F816" t="s">
        <v>53</v>
      </c>
      <c r="G816" t="s">
        <v>5</v>
      </c>
    </row>
    <row r="817" spans="1:7" x14ac:dyDescent="0.3">
      <c r="A817" t="s">
        <v>15</v>
      </c>
      <c r="B817" s="1">
        <v>45808</v>
      </c>
      <c r="C817">
        <v>555010</v>
      </c>
      <c r="D817">
        <v>1435.039</v>
      </c>
      <c r="E817" t="s">
        <v>6</v>
      </c>
      <c r="F817" t="s">
        <v>55</v>
      </c>
      <c r="G817" t="s">
        <v>5</v>
      </c>
    </row>
    <row r="818" spans="1:7" x14ac:dyDescent="0.3">
      <c r="A818" t="s">
        <v>15</v>
      </c>
      <c r="B818" s="1">
        <v>45808</v>
      </c>
      <c r="C818">
        <v>555504</v>
      </c>
      <c r="D818">
        <v>4832.2470000000003</v>
      </c>
      <c r="E818" t="s">
        <v>6</v>
      </c>
      <c r="F818" t="s">
        <v>55</v>
      </c>
      <c r="G818" t="s">
        <v>5</v>
      </c>
    </row>
    <row r="819" spans="1:7" x14ac:dyDescent="0.3">
      <c r="A819" t="s">
        <v>15</v>
      </c>
      <c r="B819" s="1">
        <v>45808</v>
      </c>
      <c r="C819">
        <v>555508</v>
      </c>
      <c r="D819">
        <v>641.44399999999996</v>
      </c>
      <c r="E819" t="s">
        <v>6</v>
      </c>
      <c r="F819" t="s">
        <v>55</v>
      </c>
      <c r="G819" t="s">
        <v>5</v>
      </c>
    </row>
    <row r="820" spans="1:7" x14ac:dyDescent="0.3">
      <c r="A820" t="s">
        <v>15</v>
      </c>
      <c r="B820" s="1">
        <v>45808</v>
      </c>
      <c r="C820">
        <v>555511</v>
      </c>
      <c r="D820">
        <v>1264.5419999999999</v>
      </c>
      <c r="E820" t="s">
        <v>6</v>
      </c>
      <c r="F820" t="s">
        <v>55</v>
      </c>
      <c r="G820" t="s">
        <v>5</v>
      </c>
    </row>
    <row r="821" spans="1:7" x14ac:dyDescent="0.3">
      <c r="A821" t="s">
        <v>15</v>
      </c>
      <c r="B821" s="1">
        <v>45808</v>
      </c>
      <c r="C821">
        <v>556002</v>
      </c>
      <c r="D821">
        <v>5185.558</v>
      </c>
      <c r="E821" t="s">
        <v>6</v>
      </c>
      <c r="F821" t="s">
        <v>60</v>
      </c>
      <c r="G821" t="s">
        <v>5</v>
      </c>
    </row>
    <row r="822" spans="1:7" x14ac:dyDescent="0.3">
      <c r="A822" t="s">
        <v>15</v>
      </c>
      <c r="B822" s="1">
        <v>45808</v>
      </c>
      <c r="C822">
        <v>556003</v>
      </c>
      <c r="D822">
        <v>3753.962</v>
      </c>
      <c r="E822" t="s">
        <v>6</v>
      </c>
      <c r="F822" t="s">
        <v>55</v>
      </c>
      <c r="G822" t="s">
        <v>5</v>
      </c>
    </row>
    <row r="823" spans="1:7" x14ac:dyDescent="0.3">
      <c r="A823" t="s">
        <v>15</v>
      </c>
      <c r="B823" s="1">
        <v>45808</v>
      </c>
      <c r="C823">
        <v>556004</v>
      </c>
      <c r="D823">
        <v>3770.7910000000002</v>
      </c>
      <c r="E823" t="s">
        <v>6</v>
      </c>
      <c r="F823" t="s">
        <v>55</v>
      </c>
      <c r="G823" t="s">
        <v>5</v>
      </c>
    </row>
    <row r="824" spans="1:7" x14ac:dyDescent="0.3">
      <c r="A824" t="s">
        <v>15</v>
      </c>
      <c r="B824" s="1">
        <v>45808</v>
      </c>
      <c r="C824">
        <v>557002</v>
      </c>
      <c r="D824">
        <v>155496.03099999999</v>
      </c>
      <c r="E824" t="s">
        <v>6</v>
      </c>
      <c r="F824" t="s">
        <v>56</v>
      </c>
      <c r="G824" t="s">
        <v>5</v>
      </c>
    </row>
    <row r="825" spans="1:7" x14ac:dyDescent="0.3">
      <c r="A825" t="s">
        <v>15</v>
      </c>
      <c r="B825" s="1">
        <v>45808</v>
      </c>
      <c r="C825">
        <v>557003</v>
      </c>
      <c r="D825">
        <v>17517.097000000002</v>
      </c>
      <c r="E825" t="s">
        <v>6</v>
      </c>
      <c r="F825" t="s">
        <v>56</v>
      </c>
      <c r="G825" t="s">
        <v>5</v>
      </c>
    </row>
    <row r="826" spans="1:7" x14ac:dyDescent="0.3">
      <c r="A826" t="s">
        <v>15</v>
      </c>
      <c r="B826" s="1">
        <v>45808</v>
      </c>
      <c r="C826">
        <v>557006</v>
      </c>
      <c r="D826">
        <v>2015</v>
      </c>
      <c r="E826" t="s">
        <v>6</v>
      </c>
      <c r="F826" t="s">
        <v>56</v>
      </c>
      <c r="G826" t="s">
        <v>5</v>
      </c>
    </row>
    <row r="827" spans="1:7" x14ac:dyDescent="0.3">
      <c r="A827" t="s">
        <v>15</v>
      </c>
      <c r="B827" s="1">
        <v>45808</v>
      </c>
      <c r="C827">
        <v>557008</v>
      </c>
      <c r="D827">
        <v>27.434999999999999</v>
      </c>
      <c r="E827" t="s">
        <v>6</v>
      </c>
      <c r="F827" t="s">
        <v>56</v>
      </c>
      <c r="G827" t="s">
        <v>5</v>
      </c>
    </row>
    <row r="828" spans="1:7" x14ac:dyDescent="0.3">
      <c r="A828" t="s">
        <v>15</v>
      </c>
      <c r="B828" s="1">
        <v>45808</v>
      </c>
      <c r="C828">
        <v>558003</v>
      </c>
      <c r="D828">
        <v>7504.2860000000001</v>
      </c>
      <c r="E828" t="s">
        <v>6</v>
      </c>
      <c r="F828" t="s">
        <v>57</v>
      </c>
      <c r="G828" t="s">
        <v>5</v>
      </c>
    </row>
    <row r="829" spans="1:7" x14ac:dyDescent="0.3">
      <c r="A829" t="s">
        <v>15</v>
      </c>
      <c r="B829" s="1">
        <v>45808</v>
      </c>
      <c r="C829">
        <v>558006</v>
      </c>
      <c r="D829">
        <v>32427.161</v>
      </c>
      <c r="E829" t="s">
        <v>6</v>
      </c>
      <c r="F829" t="s">
        <v>57</v>
      </c>
      <c r="G829" t="s">
        <v>5</v>
      </c>
    </row>
    <row r="830" spans="1:7" x14ac:dyDescent="0.3">
      <c r="A830" t="s">
        <v>15</v>
      </c>
      <c r="B830" s="1">
        <v>45808</v>
      </c>
      <c r="C830">
        <v>558011</v>
      </c>
      <c r="D830">
        <v>341.69799999999998</v>
      </c>
      <c r="E830" t="s">
        <v>6</v>
      </c>
      <c r="F830" t="s">
        <v>57</v>
      </c>
      <c r="G830" t="s">
        <v>5</v>
      </c>
    </row>
    <row r="831" spans="1:7" x14ac:dyDescent="0.3">
      <c r="A831" t="s">
        <v>15</v>
      </c>
      <c r="B831" s="1">
        <v>45808</v>
      </c>
      <c r="C831">
        <v>558012</v>
      </c>
      <c r="D831">
        <v>-366.30399999999997</v>
      </c>
      <c r="E831" t="s">
        <v>6</v>
      </c>
      <c r="F831" t="s">
        <v>60</v>
      </c>
      <c r="G831" t="s">
        <v>5</v>
      </c>
    </row>
    <row r="832" spans="1:7" x14ac:dyDescent="0.3">
      <c r="A832" t="s">
        <v>15</v>
      </c>
      <c r="B832" s="1">
        <v>45808</v>
      </c>
      <c r="C832">
        <v>559002</v>
      </c>
      <c r="D832">
        <v>1299.277</v>
      </c>
      <c r="E832" t="s">
        <v>6</v>
      </c>
      <c r="F832" t="s">
        <v>60</v>
      </c>
      <c r="G832" t="s">
        <v>5</v>
      </c>
    </row>
    <row r="833" spans="1:7" x14ac:dyDescent="0.3">
      <c r="A833" t="s">
        <v>15</v>
      </c>
      <c r="B833" s="1">
        <v>45808</v>
      </c>
      <c r="C833">
        <v>560002</v>
      </c>
      <c r="D833">
        <v>620</v>
      </c>
      <c r="E833" t="s">
        <v>6</v>
      </c>
      <c r="F833" t="s">
        <v>56</v>
      </c>
      <c r="G833" t="s">
        <v>5</v>
      </c>
    </row>
    <row r="834" spans="1:7" x14ac:dyDescent="0.3">
      <c r="A834" t="s">
        <v>15</v>
      </c>
      <c r="B834" s="1">
        <v>45808</v>
      </c>
      <c r="C834">
        <v>560006</v>
      </c>
      <c r="D834">
        <v>-116.25</v>
      </c>
      <c r="E834" t="s">
        <v>6</v>
      </c>
      <c r="F834" t="s">
        <v>56</v>
      </c>
      <c r="G834" t="s">
        <v>5</v>
      </c>
    </row>
    <row r="835" spans="1:7" x14ac:dyDescent="0.3">
      <c r="A835" t="s">
        <v>15</v>
      </c>
      <c r="B835" s="1">
        <v>45808</v>
      </c>
      <c r="C835">
        <v>560007</v>
      </c>
      <c r="D835">
        <v>861.11</v>
      </c>
      <c r="E835" t="s">
        <v>6</v>
      </c>
      <c r="F835" t="s">
        <v>56</v>
      </c>
      <c r="G835" t="s">
        <v>5</v>
      </c>
    </row>
    <row r="836" spans="1:7" x14ac:dyDescent="0.3">
      <c r="A836" t="s">
        <v>15</v>
      </c>
      <c r="B836" s="1">
        <v>45808</v>
      </c>
      <c r="C836">
        <v>561002</v>
      </c>
      <c r="D836">
        <v>-6731.0309999999999</v>
      </c>
      <c r="E836" t="s">
        <v>6</v>
      </c>
      <c r="F836" t="s">
        <v>70</v>
      </c>
      <c r="G836" t="s">
        <v>5</v>
      </c>
    </row>
    <row r="837" spans="1:7" x14ac:dyDescent="0.3">
      <c r="A837" t="s">
        <v>15</v>
      </c>
      <c r="B837" s="1">
        <v>45808</v>
      </c>
      <c r="C837">
        <v>564005</v>
      </c>
      <c r="D837">
        <v>29840.6</v>
      </c>
      <c r="E837" t="s">
        <v>6</v>
      </c>
      <c r="F837" t="s">
        <v>56</v>
      </c>
      <c r="G837" t="s">
        <v>5</v>
      </c>
    </row>
    <row r="838" spans="1:7" x14ac:dyDescent="0.3">
      <c r="A838" t="s">
        <v>15</v>
      </c>
      <c r="B838" s="1">
        <v>45808</v>
      </c>
      <c r="C838">
        <v>564006</v>
      </c>
      <c r="D838">
        <v>-1.593</v>
      </c>
      <c r="E838" t="s">
        <v>6</v>
      </c>
      <c r="F838" t="s">
        <v>57</v>
      </c>
      <c r="G838" t="s">
        <v>5</v>
      </c>
    </row>
    <row r="839" spans="1:7" x14ac:dyDescent="0.3">
      <c r="A839" t="s">
        <v>15</v>
      </c>
      <c r="B839" s="1">
        <v>45808</v>
      </c>
      <c r="C839">
        <v>564008</v>
      </c>
      <c r="D839">
        <v>249.524</v>
      </c>
      <c r="E839" t="s">
        <v>6</v>
      </c>
      <c r="F839" t="s">
        <v>55</v>
      </c>
      <c r="G839" t="s">
        <v>5</v>
      </c>
    </row>
    <row r="840" spans="1:7" x14ac:dyDescent="0.3">
      <c r="A840" t="s">
        <v>15</v>
      </c>
      <c r="B840" s="1">
        <v>45808</v>
      </c>
      <c r="C840">
        <v>564011</v>
      </c>
      <c r="D840">
        <v>384.43700000000001</v>
      </c>
      <c r="E840" t="s">
        <v>6</v>
      </c>
      <c r="F840" t="s">
        <v>55</v>
      </c>
      <c r="G840" t="s">
        <v>5</v>
      </c>
    </row>
    <row r="841" spans="1:7" x14ac:dyDescent="0.3">
      <c r="A841" t="s">
        <v>15</v>
      </c>
      <c r="B841" s="1">
        <v>45808</v>
      </c>
      <c r="C841">
        <v>564014</v>
      </c>
      <c r="D841">
        <v>929.56399999999996</v>
      </c>
      <c r="E841" t="s">
        <v>6</v>
      </c>
      <c r="F841" t="s">
        <v>55</v>
      </c>
      <c r="G841" t="s">
        <v>5</v>
      </c>
    </row>
    <row r="842" spans="1:7" x14ac:dyDescent="0.3">
      <c r="A842" t="s">
        <v>15</v>
      </c>
      <c r="B842" s="1">
        <v>45808</v>
      </c>
      <c r="C842">
        <v>564015</v>
      </c>
      <c r="D842">
        <v>14699.502</v>
      </c>
      <c r="E842" t="s">
        <v>6</v>
      </c>
      <c r="F842" t="s">
        <v>55</v>
      </c>
      <c r="G842" t="s">
        <v>5</v>
      </c>
    </row>
    <row r="843" spans="1:7" x14ac:dyDescent="0.3">
      <c r="A843" t="s">
        <v>15</v>
      </c>
      <c r="B843" s="1">
        <v>45808</v>
      </c>
      <c r="C843">
        <v>564016</v>
      </c>
      <c r="D843">
        <v>13927.081</v>
      </c>
      <c r="E843" t="s">
        <v>6</v>
      </c>
      <c r="F843" t="s">
        <v>55</v>
      </c>
      <c r="G843" t="s">
        <v>5</v>
      </c>
    </row>
    <row r="844" spans="1:7" x14ac:dyDescent="0.3">
      <c r="A844" t="s">
        <v>15</v>
      </c>
      <c r="B844" s="1">
        <v>45808</v>
      </c>
      <c r="C844">
        <v>564017</v>
      </c>
      <c r="D844">
        <v>7151.3289999999997</v>
      </c>
      <c r="E844" t="s">
        <v>6</v>
      </c>
      <c r="F844" t="s">
        <v>55</v>
      </c>
      <c r="G844" t="s">
        <v>5</v>
      </c>
    </row>
    <row r="845" spans="1:7" x14ac:dyDescent="0.3">
      <c r="A845" t="s">
        <v>15</v>
      </c>
      <c r="B845" s="1">
        <v>45808</v>
      </c>
      <c r="C845">
        <v>564019</v>
      </c>
      <c r="D845">
        <v>-29637.919000000002</v>
      </c>
      <c r="E845" t="s">
        <v>6</v>
      </c>
      <c r="F845" t="s">
        <v>51</v>
      </c>
      <c r="G845" t="s">
        <v>5</v>
      </c>
    </row>
    <row r="846" spans="1:7" x14ac:dyDescent="0.3">
      <c r="A846" t="s">
        <v>15</v>
      </c>
      <c r="B846" s="1">
        <v>45808</v>
      </c>
      <c r="C846">
        <v>564020</v>
      </c>
      <c r="D846">
        <v>434.06799999999998</v>
      </c>
      <c r="E846" t="s">
        <v>6</v>
      </c>
      <c r="F846" t="s">
        <v>57</v>
      </c>
      <c r="G846" t="s">
        <v>5</v>
      </c>
    </row>
    <row r="847" spans="1:7" x14ac:dyDescent="0.3">
      <c r="A847" t="s">
        <v>15</v>
      </c>
      <c r="B847" s="1">
        <v>45808</v>
      </c>
      <c r="C847">
        <v>564021</v>
      </c>
      <c r="D847">
        <v>88.185000000000002</v>
      </c>
      <c r="E847" t="s">
        <v>6</v>
      </c>
      <c r="F847" t="s">
        <v>57</v>
      </c>
      <c r="G847" t="s">
        <v>5</v>
      </c>
    </row>
    <row r="848" spans="1:7" x14ac:dyDescent="0.3">
      <c r="A848" t="s">
        <v>15</v>
      </c>
      <c r="B848" s="1">
        <v>45808</v>
      </c>
      <c r="C848">
        <v>564023</v>
      </c>
      <c r="D848">
        <v>2038.252</v>
      </c>
      <c r="E848" t="s">
        <v>6</v>
      </c>
      <c r="F848" t="s">
        <v>67</v>
      </c>
      <c r="G848" t="s">
        <v>5</v>
      </c>
    </row>
    <row r="849" spans="1:7" x14ac:dyDescent="0.3">
      <c r="A849" t="s">
        <v>15</v>
      </c>
      <c r="B849" s="1">
        <v>45808</v>
      </c>
      <c r="C849">
        <v>564030</v>
      </c>
      <c r="D849">
        <v>15500</v>
      </c>
      <c r="E849" t="s">
        <v>6</v>
      </c>
      <c r="F849" t="s">
        <v>69</v>
      </c>
      <c r="G849" t="s">
        <v>5</v>
      </c>
    </row>
    <row r="850" spans="1:7" x14ac:dyDescent="0.3">
      <c r="A850" t="s">
        <v>15</v>
      </c>
      <c r="B850" s="1">
        <v>45808</v>
      </c>
      <c r="C850">
        <v>570002</v>
      </c>
      <c r="D850">
        <v>121060.63400000001</v>
      </c>
      <c r="E850" t="s">
        <v>6</v>
      </c>
      <c r="F850" t="s">
        <v>66</v>
      </c>
      <c r="G850" t="s">
        <v>5</v>
      </c>
    </row>
    <row r="851" spans="1:7" x14ac:dyDescent="0.3">
      <c r="A851" t="s">
        <v>15</v>
      </c>
      <c r="B851" s="1">
        <v>45808</v>
      </c>
      <c r="C851">
        <v>570004</v>
      </c>
      <c r="D851">
        <v>68035.778999999995</v>
      </c>
      <c r="E851" t="s">
        <v>6</v>
      </c>
      <c r="F851" t="s">
        <v>66</v>
      </c>
      <c r="G851" t="s">
        <v>5</v>
      </c>
    </row>
    <row r="852" spans="1:7" x14ac:dyDescent="0.3">
      <c r="A852" t="s">
        <v>16</v>
      </c>
      <c r="B852" s="1">
        <v>45808</v>
      </c>
      <c r="C852">
        <v>210002</v>
      </c>
      <c r="D852">
        <v>45917.464999999997</v>
      </c>
      <c r="E852" t="s">
        <v>4</v>
      </c>
      <c r="F852" t="s">
        <v>42</v>
      </c>
      <c r="G852" t="s">
        <v>5</v>
      </c>
    </row>
    <row r="853" spans="1:7" x14ac:dyDescent="0.3">
      <c r="A853" t="s">
        <v>16</v>
      </c>
      <c r="B853" s="1">
        <v>45808</v>
      </c>
      <c r="C853">
        <v>220003</v>
      </c>
      <c r="D853">
        <v>-3170112.03</v>
      </c>
      <c r="E853" t="s">
        <v>4</v>
      </c>
      <c r="F853" t="s">
        <v>42</v>
      </c>
      <c r="G853" t="s">
        <v>5</v>
      </c>
    </row>
    <row r="854" spans="1:7" x14ac:dyDescent="0.3">
      <c r="A854" t="s">
        <v>16</v>
      </c>
      <c r="B854" s="1">
        <v>45808</v>
      </c>
      <c r="C854">
        <v>220004</v>
      </c>
      <c r="D854">
        <v>-707177.39500000002</v>
      </c>
      <c r="E854" t="s">
        <v>4</v>
      </c>
      <c r="F854" t="s">
        <v>42</v>
      </c>
      <c r="G854" t="s">
        <v>5</v>
      </c>
    </row>
    <row r="855" spans="1:7" x14ac:dyDescent="0.3">
      <c r="A855" t="s">
        <v>16</v>
      </c>
      <c r="B855" s="1">
        <v>45808</v>
      </c>
      <c r="C855">
        <v>220006</v>
      </c>
      <c r="D855">
        <v>4334378.7359999996</v>
      </c>
      <c r="E855" t="s">
        <v>4</v>
      </c>
      <c r="F855" t="s">
        <v>42</v>
      </c>
      <c r="G855" t="s">
        <v>5</v>
      </c>
    </row>
    <row r="856" spans="1:7" x14ac:dyDescent="0.3">
      <c r="A856" t="s">
        <v>16</v>
      </c>
      <c r="B856" s="1">
        <v>45808</v>
      </c>
      <c r="C856">
        <v>220007</v>
      </c>
      <c r="D856">
        <v>-456024.50799999997</v>
      </c>
      <c r="E856" t="s">
        <v>4</v>
      </c>
      <c r="F856" t="s">
        <v>42</v>
      </c>
      <c r="G856" t="s">
        <v>5</v>
      </c>
    </row>
    <row r="857" spans="1:7" x14ac:dyDescent="0.3">
      <c r="A857" t="s">
        <v>16</v>
      </c>
      <c r="B857" s="1">
        <v>45808</v>
      </c>
      <c r="C857">
        <v>310016</v>
      </c>
      <c r="D857">
        <v>-7227.65</v>
      </c>
      <c r="E857" t="s">
        <v>4</v>
      </c>
      <c r="F857" t="s">
        <v>42</v>
      </c>
      <c r="G857" t="s">
        <v>5</v>
      </c>
    </row>
    <row r="858" spans="1:7" x14ac:dyDescent="0.3">
      <c r="A858" t="s">
        <v>16</v>
      </c>
      <c r="B858" s="1">
        <v>45808</v>
      </c>
      <c r="C858">
        <v>310017</v>
      </c>
      <c r="D858">
        <v>-39387.707000000002</v>
      </c>
      <c r="E858" t="s">
        <v>4</v>
      </c>
      <c r="F858" t="s">
        <v>42</v>
      </c>
      <c r="G858" t="s">
        <v>5</v>
      </c>
    </row>
    <row r="859" spans="1:7" x14ac:dyDescent="0.3">
      <c r="A859" t="s">
        <v>16</v>
      </c>
      <c r="B859" s="1">
        <v>45808</v>
      </c>
      <c r="C859">
        <v>310021</v>
      </c>
      <c r="D859">
        <v>-63.031999999999996</v>
      </c>
      <c r="E859" t="s">
        <v>4</v>
      </c>
      <c r="F859" t="s">
        <v>42</v>
      </c>
      <c r="G859" t="s">
        <v>5</v>
      </c>
    </row>
    <row r="860" spans="1:7" x14ac:dyDescent="0.3">
      <c r="A860" t="s">
        <v>16</v>
      </c>
      <c r="B860" s="1">
        <v>45808</v>
      </c>
      <c r="C860">
        <v>310032</v>
      </c>
      <c r="D860">
        <v>-303.87900000000002</v>
      </c>
      <c r="E860" t="s">
        <v>4</v>
      </c>
      <c r="F860" t="s">
        <v>42</v>
      </c>
      <c r="G860" t="s">
        <v>5</v>
      </c>
    </row>
    <row r="861" spans="1:7" x14ac:dyDescent="0.3">
      <c r="A861" t="s">
        <v>18</v>
      </c>
      <c r="B861" s="1">
        <v>45808</v>
      </c>
      <c r="C861">
        <v>220006</v>
      </c>
      <c r="D861">
        <v>-82402.217999999993</v>
      </c>
      <c r="E861" t="s">
        <v>4</v>
      </c>
      <c r="F861" t="s">
        <v>42</v>
      </c>
      <c r="G861" t="s">
        <v>5</v>
      </c>
    </row>
    <row r="862" spans="1:7" x14ac:dyDescent="0.3">
      <c r="A862" t="s">
        <v>18</v>
      </c>
      <c r="B862" s="1">
        <v>45808</v>
      </c>
      <c r="C862">
        <v>300004</v>
      </c>
      <c r="D862">
        <v>13.552</v>
      </c>
      <c r="E862" t="s">
        <v>4</v>
      </c>
      <c r="F862" t="s">
        <v>65</v>
      </c>
      <c r="G862" t="s">
        <v>5</v>
      </c>
    </row>
    <row r="863" spans="1:7" x14ac:dyDescent="0.3">
      <c r="A863" t="s">
        <v>18</v>
      </c>
      <c r="B863" s="1">
        <v>45808</v>
      </c>
      <c r="C863">
        <v>300005</v>
      </c>
      <c r="D863">
        <v>985.01099999999997</v>
      </c>
      <c r="E863" t="s">
        <v>4</v>
      </c>
      <c r="F863" t="s">
        <v>65</v>
      </c>
      <c r="G863" t="s">
        <v>5</v>
      </c>
    </row>
    <row r="864" spans="1:7" x14ac:dyDescent="0.3">
      <c r="A864" t="s">
        <v>18</v>
      </c>
      <c r="B864" s="1">
        <v>45808</v>
      </c>
      <c r="C864">
        <v>300008</v>
      </c>
      <c r="D864">
        <v>1072.2280000000001</v>
      </c>
      <c r="E864" t="s">
        <v>4</v>
      </c>
      <c r="F864" t="s">
        <v>65</v>
      </c>
      <c r="G864" t="s">
        <v>5</v>
      </c>
    </row>
    <row r="865" spans="1:7" x14ac:dyDescent="0.3">
      <c r="A865" t="s">
        <v>18</v>
      </c>
      <c r="B865" s="1">
        <v>45808</v>
      </c>
      <c r="C865">
        <v>300009</v>
      </c>
      <c r="D865">
        <v>114.89</v>
      </c>
      <c r="E865" t="s">
        <v>4</v>
      </c>
      <c r="F865" t="s">
        <v>65</v>
      </c>
      <c r="G865" t="s">
        <v>5</v>
      </c>
    </row>
    <row r="866" spans="1:7" x14ac:dyDescent="0.3">
      <c r="A866" t="s">
        <v>18</v>
      </c>
      <c r="B866" s="1">
        <v>45808</v>
      </c>
      <c r="C866">
        <v>300014</v>
      </c>
      <c r="D866">
        <v>503.34699999999998</v>
      </c>
      <c r="E866" t="s">
        <v>4</v>
      </c>
      <c r="F866" t="s">
        <v>65</v>
      </c>
      <c r="G866" t="s">
        <v>5</v>
      </c>
    </row>
    <row r="867" spans="1:7" x14ac:dyDescent="0.3">
      <c r="A867" t="s">
        <v>18</v>
      </c>
      <c r="B867" s="1">
        <v>45808</v>
      </c>
      <c r="C867">
        <v>300504</v>
      </c>
      <c r="D867">
        <v>-13.552</v>
      </c>
      <c r="E867" t="s">
        <v>4</v>
      </c>
      <c r="F867" t="s">
        <v>65</v>
      </c>
      <c r="G867" t="s">
        <v>5</v>
      </c>
    </row>
    <row r="868" spans="1:7" x14ac:dyDescent="0.3">
      <c r="A868" t="s">
        <v>18</v>
      </c>
      <c r="B868" s="1">
        <v>45808</v>
      </c>
      <c r="C868">
        <v>300505</v>
      </c>
      <c r="D868">
        <v>-985.01099999999997</v>
      </c>
      <c r="E868" t="s">
        <v>4</v>
      </c>
      <c r="F868" t="s">
        <v>65</v>
      </c>
      <c r="G868" t="s">
        <v>5</v>
      </c>
    </row>
    <row r="869" spans="1:7" x14ac:dyDescent="0.3">
      <c r="A869" t="s">
        <v>18</v>
      </c>
      <c r="B869" s="1">
        <v>45808</v>
      </c>
      <c r="C869">
        <v>300508</v>
      </c>
      <c r="D869">
        <v>-1072.2280000000001</v>
      </c>
      <c r="E869" t="s">
        <v>4</v>
      </c>
      <c r="F869" t="s">
        <v>65</v>
      </c>
      <c r="G869" t="s">
        <v>5</v>
      </c>
    </row>
    <row r="870" spans="1:7" x14ac:dyDescent="0.3">
      <c r="A870" t="s">
        <v>18</v>
      </c>
      <c r="B870" s="1">
        <v>45808</v>
      </c>
      <c r="C870">
        <v>300509</v>
      </c>
      <c r="D870">
        <v>-114.89</v>
      </c>
      <c r="E870" t="s">
        <v>4</v>
      </c>
      <c r="F870" t="s">
        <v>65</v>
      </c>
      <c r="G870" t="s">
        <v>5</v>
      </c>
    </row>
    <row r="871" spans="1:7" x14ac:dyDescent="0.3">
      <c r="A871" t="s">
        <v>18</v>
      </c>
      <c r="B871" s="1">
        <v>45808</v>
      </c>
      <c r="C871">
        <v>300514</v>
      </c>
      <c r="D871">
        <v>-503.34699999999998</v>
      </c>
      <c r="E871" t="s">
        <v>4</v>
      </c>
      <c r="F871" t="s">
        <v>65</v>
      </c>
      <c r="G871" t="s">
        <v>5</v>
      </c>
    </row>
    <row r="872" spans="1:7" x14ac:dyDescent="0.3">
      <c r="A872" t="s">
        <v>18</v>
      </c>
      <c r="B872" s="1">
        <v>45808</v>
      </c>
      <c r="C872">
        <v>330060</v>
      </c>
      <c r="D872">
        <v>79858.87</v>
      </c>
      <c r="E872" t="s">
        <v>4</v>
      </c>
      <c r="F872" t="s">
        <v>43</v>
      </c>
      <c r="G872" t="s">
        <v>5</v>
      </c>
    </row>
    <row r="873" spans="1:7" x14ac:dyDescent="0.3">
      <c r="A873" t="s">
        <v>18</v>
      </c>
      <c r="B873" s="1">
        <v>45808</v>
      </c>
      <c r="C873">
        <v>340048</v>
      </c>
      <c r="D873">
        <v>1934.53</v>
      </c>
      <c r="E873" t="s">
        <v>4</v>
      </c>
      <c r="F873" t="s">
        <v>47</v>
      </c>
      <c r="G873" t="s">
        <v>5</v>
      </c>
    </row>
    <row r="874" spans="1:7" x14ac:dyDescent="0.3">
      <c r="A874" t="s">
        <v>18</v>
      </c>
      <c r="B874" s="1">
        <v>45808</v>
      </c>
      <c r="C874">
        <v>362018</v>
      </c>
      <c r="D874">
        <v>3.371</v>
      </c>
      <c r="E874" t="s">
        <v>4</v>
      </c>
      <c r="F874" t="s">
        <v>58</v>
      </c>
      <c r="G874" t="s">
        <v>5</v>
      </c>
    </row>
    <row r="875" spans="1:7" x14ac:dyDescent="0.3">
      <c r="A875" t="s">
        <v>18</v>
      </c>
      <c r="B875" s="1">
        <v>45808</v>
      </c>
      <c r="C875">
        <v>364502</v>
      </c>
      <c r="D875">
        <v>313.69600000000003</v>
      </c>
      <c r="E875" t="s">
        <v>4</v>
      </c>
      <c r="F875" t="s">
        <v>58</v>
      </c>
      <c r="G875" t="s">
        <v>5</v>
      </c>
    </row>
    <row r="876" spans="1:7" x14ac:dyDescent="0.3">
      <c r="A876" t="s">
        <v>18</v>
      </c>
      <c r="B876" s="1">
        <v>45808</v>
      </c>
      <c r="C876">
        <v>421002</v>
      </c>
      <c r="D876">
        <v>16.893999999999998</v>
      </c>
      <c r="E876" t="s">
        <v>6</v>
      </c>
      <c r="F876" t="s">
        <v>52</v>
      </c>
      <c r="G876" t="s">
        <v>5</v>
      </c>
    </row>
    <row r="877" spans="1:7" x14ac:dyDescent="0.3">
      <c r="A877" t="s">
        <v>18</v>
      </c>
      <c r="B877" s="1">
        <v>45808</v>
      </c>
      <c r="C877">
        <v>421003</v>
      </c>
      <c r="D877">
        <v>270.37099999999998</v>
      </c>
      <c r="E877" t="s">
        <v>6</v>
      </c>
      <c r="F877" t="s">
        <v>52</v>
      </c>
      <c r="G877" t="s">
        <v>5</v>
      </c>
    </row>
    <row r="878" spans="1:7" x14ac:dyDescent="0.3">
      <c r="A878" t="s">
        <v>19</v>
      </c>
      <c r="B878" s="1">
        <v>45808</v>
      </c>
      <c r="C878">
        <v>210002</v>
      </c>
      <c r="D878">
        <v>-38863.832999999999</v>
      </c>
      <c r="E878" t="s">
        <v>4</v>
      </c>
      <c r="F878" t="s">
        <v>42</v>
      </c>
      <c r="G878" t="s">
        <v>5</v>
      </c>
    </row>
    <row r="879" spans="1:7" x14ac:dyDescent="0.3">
      <c r="A879" t="s">
        <v>19</v>
      </c>
      <c r="B879" s="1">
        <v>45808</v>
      </c>
      <c r="C879">
        <v>220006</v>
      </c>
      <c r="D879">
        <v>-241668.75599999999</v>
      </c>
      <c r="E879" t="s">
        <v>4</v>
      </c>
      <c r="F879" t="s">
        <v>42</v>
      </c>
      <c r="G879" t="s">
        <v>5</v>
      </c>
    </row>
    <row r="880" spans="1:7" x14ac:dyDescent="0.3">
      <c r="A880" t="s">
        <v>19</v>
      </c>
      <c r="B880" s="1">
        <v>45808</v>
      </c>
      <c r="C880">
        <v>240002</v>
      </c>
      <c r="D880">
        <v>557.95799999999997</v>
      </c>
      <c r="E880" t="s">
        <v>4</v>
      </c>
      <c r="F880" t="s">
        <v>43</v>
      </c>
      <c r="G880" t="s">
        <v>5</v>
      </c>
    </row>
    <row r="881" spans="1:7" x14ac:dyDescent="0.3">
      <c r="A881" t="s">
        <v>19</v>
      </c>
      <c r="B881" s="1">
        <v>45808</v>
      </c>
      <c r="C881">
        <v>240009</v>
      </c>
      <c r="D881">
        <v>-1126.325</v>
      </c>
      <c r="E881" t="s">
        <v>4</v>
      </c>
      <c r="F881" t="s">
        <v>43</v>
      </c>
      <c r="G881" t="s">
        <v>5</v>
      </c>
    </row>
    <row r="882" spans="1:7" x14ac:dyDescent="0.3">
      <c r="A882" t="s">
        <v>19</v>
      </c>
      <c r="B882" s="1">
        <v>45808</v>
      </c>
      <c r="C882">
        <v>242003</v>
      </c>
      <c r="D882">
        <v>10169.745000000001</v>
      </c>
      <c r="E882" t="s">
        <v>4</v>
      </c>
      <c r="F882" t="s">
        <v>43</v>
      </c>
      <c r="G882" t="s">
        <v>5</v>
      </c>
    </row>
    <row r="883" spans="1:7" x14ac:dyDescent="0.3">
      <c r="A883" t="s">
        <v>19</v>
      </c>
      <c r="B883" s="1">
        <v>45808</v>
      </c>
      <c r="C883">
        <v>242041</v>
      </c>
      <c r="D883">
        <v>30.286000000000001</v>
      </c>
      <c r="E883" t="s">
        <v>4</v>
      </c>
      <c r="F883" t="s">
        <v>43</v>
      </c>
      <c r="G883" t="s">
        <v>5</v>
      </c>
    </row>
    <row r="884" spans="1:7" x14ac:dyDescent="0.3">
      <c r="A884" t="s">
        <v>19</v>
      </c>
      <c r="B884" s="1">
        <v>45808</v>
      </c>
      <c r="C884">
        <v>243002</v>
      </c>
      <c r="D884">
        <v>-201.58600000000001</v>
      </c>
      <c r="E884" t="s">
        <v>4</v>
      </c>
      <c r="F884" t="s">
        <v>43</v>
      </c>
      <c r="G884" t="s">
        <v>5</v>
      </c>
    </row>
    <row r="885" spans="1:7" x14ac:dyDescent="0.3">
      <c r="A885" t="s">
        <v>19</v>
      </c>
      <c r="B885" s="1">
        <v>45808</v>
      </c>
      <c r="C885">
        <v>245010</v>
      </c>
      <c r="D885">
        <v>-2959.989</v>
      </c>
      <c r="E885" t="s">
        <v>4</v>
      </c>
      <c r="F885" t="s">
        <v>44</v>
      </c>
      <c r="G885" t="s">
        <v>5</v>
      </c>
    </row>
    <row r="886" spans="1:7" x14ac:dyDescent="0.3">
      <c r="A886" t="s">
        <v>19</v>
      </c>
      <c r="B886" s="1">
        <v>45808</v>
      </c>
      <c r="C886">
        <v>245055</v>
      </c>
      <c r="D886">
        <v>-3530.2460000000001</v>
      </c>
      <c r="E886" t="s">
        <v>4</v>
      </c>
      <c r="F886" t="s">
        <v>43</v>
      </c>
      <c r="G886" t="s">
        <v>5</v>
      </c>
    </row>
    <row r="887" spans="1:7" x14ac:dyDescent="0.3">
      <c r="A887" t="s">
        <v>19</v>
      </c>
      <c r="B887" s="1">
        <v>45808</v>
      </c>
      <c r="C887">
        <v>245062</v>
      </c>
      <c r="D887">
        <v>-767.66600000000005</v>
      </c>
      <c r="E887" t="s">
        <v>4</v>
      </c>
      <c r="F887" t="s">
        <v>43</v>
      </c>
      <c r="G887" t="s">
        <v>5</v>
      </c>
    </row>
    <row r="888" spans="1:7" x14ac:dyDescent="0.3">
      <c r="A888" t="s">
        <v>19</v>
      </c>
      <c r="B888" s="1">
        <v>45808</v>
      </c>
      <c r="C888">
        <v>249002</v>
      </c>
      <c r="D888">
        <v>-12271.513999999999</v>
      </c>
      <c r="E888" t="s">
        <v>4</v>
      </c>
      <c r="F888" t="s">
        <v>44</v>
      </c>
      <c r="G888" t="s">
        <v>5</v>
      </c>
    </row>
    <row r="889" spans="1:7" x14ac:dyDescent="0.3">
      <c r="A889" t="s">
        <v>19</v>
      </c>
      <c r="B889" s="1">
        <v>45808</v>
      </c>
      <c r="C889">
        <v>300005</v>
      </c>
      <c r="D889">
        <v>6465.8289999999997</v>
      </c>
      <c r="E889" t="s">
        <v>4</v>
      </c>
      <c r="F889" t="s">
        <v>65</v>
      </c>
      <c r="G889" t="s">
        <v>5</v>
      </c>
    </row>
    <row r="890" spans="1:7" x14ac:dyDescent="0.3">
      <c r="A890" t="s">
        <v>19</v>
      </c>
      <c r="B890" s="1">
        <v>45808</v>
      </c>
      <c r="C890">
        <v>300008</v>
      </c>
      <c r="D890">
        <v>4744.5</v>
      </c>
      <c r="E890" t="s">
        <v>4</v>
      </c>
      <c r="F890" t="s">
        <v>65</v>
      </c>
      <c r="G890" t="s">
        <v>5</v>
      </c>
    </row>
    <row r="891" spans="1:7" x14ac:dyDescent="0.3">
      <c r="A891" t="s">
        <v>19</v>
      </c>
      <c r="B891" s="1">
        <v>45808</v>
      </c>
      <c r="C891">
        <v>300011</v>
      </c>
      <c r="D891">
        <v>19.503</v>
      </c>
      <c r="E891" t="s">
        <v>4</v>
      </c>
      <c r="F891" t="s">
        <v>65</v>
      </c>
      <c r="G891" t="s">
        <v>5</v>
      </c>
    </row>
    <row r="892" spans="1:7" x14ac:dyDescent="0.3">
      <c r="A892" t="s">
        <v>19</v>
      </c>
      <c r="B892" s="1">
        <v>45808</v>
      </c>
      <c r="C892">
        <v>300012</v>
      </c>
      <c r="D892">
        <v>3670.0140000000001</v>
      </c>
      <c r="E892" t="s">
        <v>4</v>
      </c>
      <c r="F892" t="s">
        <v>65</v>
      </c>
      <c r="G892" t="s">
        <v>5</v>
      </c>
    </row>
    <row r="893" spans="1:7" x14ac:dyDescent="0.3">
      <c r="A893" t="s">
        <v>19</v>
      </c>
      <c r="B893" s="1">
        <v>45808</v>
      </c>
      <c r="C893">
        <v>300505</v>
      </c>
      <c r="D893">
        <v>-6186.7049999999999</v>
      </c>
      <c r="E893" t="s">
        <v>4</v>
      </c>
      <c r="F893" t="s">
        <v>65</v>
      </c>
      <c r="G893" t="s">
        <v>5</v>
      </c>
    </row>
    <row r="894" spans="1:7" x14ac:dyDescent="0.3">
      <c r="A894" t="s">
        <v>19</v>
      </c>
      <c r="B894" s="1">
        <v>45808</v>
      </c>
      <c r="C894">
        <v>300508</v>
      </c>
      <c r="D894">
        <v>-4744.5</v>
      </c>
      <c r="E894" t="s">
        <v>4</v>
      </c>
      <c r="F894" t="s">
        <v>65</v>
      </c>
      <c r="G894" t="s">
        <v>5</v>
      </c>
    </row>
    <row r="895" spans="1:7" x14ac:dyDescent="0.3">
      <c r="A895" t="s">
        <v>19</v>
      </c>
      <c r="B895" s="1">
        <v>45808</v>
      </c>
      <c r="C895">
        <v>300511</v>
      </c>
      <c r="D895">
        <v>-19.503</v>
      </c>
      <c r="E895" t="s">
        <v>4</v>
      </c>
      <c r="F895" t="s">
        <v>65</v>
      </c>
      <c r="G895" t="s">
        <v>5</v>
      </c>
    </row>
    <row r="896" spans="1:7" x14ac:dyDescent="0.3">
      <c r="A896" t="s">
        <v>19</v>
      </c>
      <c r="B896" s="1">
        <v>45808</v>
      </c>
      <c r="C896">
        <v>300512</v>
      </c>
      <c r="D896">
        <v>-3670.0140000000001</v>
      </c>
      <c r="E896" t="s">
        <v>4</v>
      </c>
      <c r="F896" t="s">
        <v>65</v>
      </c>
      <c r="G896" t="s">
        <v>5</v>
      </c>
    </row>
    <row r="897" spans="1:7" x14ac:dyDescent="0.3">
      <c r="A897" t="s">
        <v>19</v>
      </c>
      <c r="B897" s="1">
        <v>45808</v>
      </c>
      <c r="C897">
        <v>321006</v>
      </c>
      <c r="D897">
        <v>23931.234</v>
      </c>
      <c r="E897" t="s">
        <v>4</v>
      </c>
      <c r="F897" t="s">
        <v>46</v>
      </c>
      <c r="G897" t="s">
        <v>5</v>
      </c>
    </row>
    <row r="898" spans="1:7" x14ac:dyDescent="0.3">
      <c r="A898" t="s">
        <v>19</v>
      </c>
      <c r="B898" s="1">
        <v>45808</v>
      </c>
      <c r="C898">
        <v>321014</v>
      </c>
      <c r="D898">
        <v>8146.4250000000002</v>
      </c>
      <c r="E898" t="s">
        <v>4</v>
      </c>
      <c r="F898" t="s">
        <v>46</v>
      </c>
      <c r="G898" t="s">
        <v>5</v>
      </c>
    </row>
    <row r="899" spans="1:7" x14ac:dyDescent="0.3">
      <c r="A899" t="s">
        <v>19</v>
      </c>
      <c r="B899" s="1">
        <v>45808</v>
      </c>
      <c r="C899">
        <v>321031</v>
      </c>
      <c r="D899">
        <v>5297.1930000000002</v>
      </c>
      <c r="E899" t="s">
        <v>4</v>
      </c>
      <c r="F899" t="s">
        <v>46</v>
      </c>
      <c r="G899" t="s">
        <v>5</v>
      </c>
    </row>
    <row r="900" spans="1:7" x14ac:dyDescent="0.3">
      <c r="A900" t="s">
        <v>19</v>
      </c>
      <c r="B900" s="1">
        <v>45808</v>
      </c>
      <c r="C900">
        <v>321042</v>
      </c>
      <c r="D900">
        <v>22.329000000000001</v>
      </c>
      <c r="E900" t="s">
        <v>4</v>
      </c>
      <c r="F900" t="s">
        <v>46</v>
      </c>
      <c r="G900" t="s">
        <v>5</v>
      </c>
    </row>
    <row r="901" spans="1:7" x14ac:dyDescent="0.3">
      <c r="A901" t="s">
        <v>19</v>
      </c>
      <c r="B901" s="1">
        <v>45808</v>
      </c>
      <c r="C901">
        <v>330049</v>
      </c>
      <c r="D901">
        <v>165508.86199999999</v>
      </c>
      <c r="E901" t="s">
        <v>4</v>
      </c>
      <c r="F901" t="s">
        <v>43</v>
      </c>
      <c r="G901" t="s">
        <v>5</v>
      </c>
    </row>
    <row r="902" spans="1:7" x14ac:dyDescent="0.3">
      <c r="A902" t="s">
        <v>19</v>
      </c>
      <c r="B902" s="1">
        <v>45808</v>
      </c>
      <c r="C902">
        <v>330060</v>
      </c>
      <c r="D902">
        <v>-79736.657999999996</v>
      </c>
      <c r="E902" t="s">
        <v>4</v>
      </c>
      <c r="F902" t="s">
        <v>43</v>
      </c>
      <c r="G902" t="s">
        <v>5</v>
      </c>
    </row>
    <row r="903" spans="1:7" x14ac:dyDescent="0.3">
      <c r="A903" t="s">
        <v>19</v>
      </c>
      <c r="B903" s="1">
        <v>45808</v>
      </c>
      <c r="C903">
        <v>340101</v>
      </c>
      <c r="D903">
        <v>4511.3710000000001</v>
      </c>
      <c r="E903" t="s">
        <v>4</v>
      </c>
      <c r="F903" t="s">
        <v>48</v>
      </c>
      <c r="G903" t="s">
        <v>5</v>
      </c>
    </row>
    <row r="904" spans="1:7" x14ac:dyDescent="0.3">
      <c r="A904" t="s">
        <v>19</v>
      </c>
      <c r="B904" s="1">
        <v>45808</v>
      </c>
      <c r="C904">
        <v>340121</v>
      </c>
      <c r="D904">
        <v>151902.76199999999</v>
      </c>
      <c r="E904" t="s">
        <v>4</v>
      </c>
      <c r="F904" t="s">
        <v>47</v>
      </c>
      <c r="G904" t="s">
        <v>5</v>
      </c>
    </row>
    <row r="905" spans="1:7" x14ac:dyDescent="0.3">
      <c r="A905" t="s">
        <v>19</v>
      </c>
      <c r="B905" s="1">
        <v>45808</v>
      </c>
      <c r="C905">
        <v>350003</v>
      </c>
      <c r="D905">
        <v>59.095999999999997</v>
      </c>
      <c r="E905" t="s">
        <v>4</v>
      </c>
      <c r="F905" t="s">
        <v>49</v>
      </c>
      <c r="G905" t="s">
        <v>5</v>
      </c>
    </row>
    <row r="906" spans="1:7" x14ac:dyDescent="0.3">
      <c r="A906" t="s">
        <v>19</v>
      </c>
      <c r="B906" s="1">
        <v>45808</v>
      </c>
      <c r="C906">
        <v>350031</v>
      </c>
      <c r="D906">
        <v>1126.325</v>
      </c>
      <c r="E906" t="s">
        <v>4</v>
      </c>
      <c r="F906" t="s">
        <v>43</v>
      </c>
      <c r="G906" t="s">
        <v>5</v>
      </c>
    </row>
    <row r="907" spans="1:7" x14ac:dyDescent="0.3">
      <c r="A907" t="s">
        <v>19</v>
      </c>
      <c r="B907" s="1">
        <v>45808</v>
      </c>
      <c r="C907">
        <v>352002</v>
      </c>
      <c r="D907">
        <v>983.346</v>
      </c>
      <c r="E907" t="s">
        <v>4</v>
      </c>
      <c r="F907" t="s">
        <v>48</v>
      </c>
      <c r="G907" t="s">
        <v>5</v>
      </c>
    </row>
    <row r="908" spans="1:7" x14ac:dyDescent="0.3">
      <c r="A908" t="s">
        <v>19</v>
      </c>
      <c r="B908" s="1">
        <v>45808</v>
      </c>
      <c r="C908">
        <v>355002</v>
      </c>
      <c r="D908">
        <v>2869.1179999999999</v>
      </c>
      <c r="E908" t="s">
        <v>4</v>
      </c>
      <c r="F908" t="s">
        <v>49</v>
      </c>
      <c r="G908" t="s">
        <v>5</v>
      </c>
    </row>
    <row r="909" spans="1:7" x14ac:dyDescent="0.3">
      <c r="A909" t="s">
        <v>19</v>
      </c>
      <c r="B909" s="1">
        <v>45808</v>
      </c>
      <c r="C909">
        <v>355014</v>
      </c>
      <c r="D909">
        <v>133.529</v>
      </c>
      <c r="E909" t="s">
        <v>4</v>
      </c>
      <c r="F909" t="s">
        <v>49</v>
      </c>
      <c r="G909" t="s">
        <v>5</v>
      </c>
    </row>
    <row r="910" spans="1:7" x14ac:dyDescent="0.3">
      <c r="A910" t="s">
        <v>19</v>
      </c>
      <c r="B910" s="1">
        <v>45808</v>
      </c>
      <c r="C910">
        <v>372004</v>
      </c>
      <c r="D910">
        <v>118.354</v>
      </c>
      <c r="E910" t="s">
        <v>4</v>
      </c>
      <c r="F910" t="s">
        <v>45</v>
      </c>
      <c r="G910" t="s">
        <v>5</v>
      </c>
    </row>
    <row r="911" spans="1:7" x14ac:dyDescent="0.3">
      <c r="A911" t="s">
        <v>19</v>
      </c>
      <c r="B911" s="1">
        <v>45808</v>
      </c>
      <c r="C911">
        <v>410009</v>
      </c>
      <c r="D911">
        <v>-1682.213</v>
      </c>
      <c r="E911" t="s">
        <v>6</v>
      </c>
      <c r="F911" t="s">
        <v>51</v>
      </c>
      <c r="G911" t="s">
        <v>5</v>
      </c>
    </row>
    <row r="912" spans="1:7" x14ac:dyDescent="0.3">
      <c r="A912" t="s">
        <v>19</v>
      </c>
      <c r="B912" s="1">
        <v>45808</v>
      </c>
      <c r="C912">
        <v>410039</v>
      </c>
      <c r="D912">
        <v>-1577.577</v>
      </c>
      <c r="E912" t="s">
        <v>6</v>
      </c>
      <c r="F912" t="s">
        <v>51</v>
      </c>
      <c r="G912" t="s">
        <v>5</v>
      </c>
    </row>
    <row r="913" spans="1:7" x14ac:dyDescent="0.3">
      <c r="A913" t="s">
        <v>19</v>
      </c>
      <c r="B913" s="1">
        <v>45808</v>
      </c>
      <c r="C913">
        <v>421003</v>
      </c>
      <c r="D913">
        <v>-388.483</v>
      </c>
      <c r="E913" t="s">
        <v>6</v>
      </c>
      <c r="F913" t="s">
        <v>52</v>
      </c>
      <c r="G913" t="s">
        <v>5</v>
      </c>
    </row>
    <row r="914" spans="1:7" x14ac:dyDescent="0.3">
      <c r="A914" t="s">
        <v>19</v>
      </c>
      <c r="B914" s="1">
        <v>45808</v>
      </c>
      <c r="C914">
        <v>421007</v>
      </c>
      <c r="D914">
        <v>-10.967000000000001</v>
      </c>
      <c r="E914" t="s">
        <v>6</v>
      </c>
      <c r="F914" t="s">
        <v>52</v>
      </c>
      <c r="G914" t="s">
        <v>5</v>
      </c>
    </row>
    <row r="915" spans="1:7" x14ac:dyDescent="0.3">
      <c r="A915" t="s">
        <v>19</v>
      </c>
      <c r="B915" s="1">
        <v>45808</v>
      </c>
      <c r="C915">
        <v>510002</v>
      </c>
      <c r="D915">
        <v>5172.2240000000002</v>
      </c>
      <c r="E915" t="s">
        <v>6</v>
      </c>
      <c r="F915" t="s">
        <v>53</v>
      </c>
      <c r="G915" t="s">
        <v>5</v>
      </c>
    </row>
    <row r="916" spans="1:7" x14ac:dyDescent="0.3">
      <c r="A916" t="s">
        <v>19</v>
      </c>
      <c r="B916" s="1">
        <v>45808</v>
      </c>
      <c r="C916">
        <v>510005</v>
      </c>
      <c r="D916">
        <v>426.76900000000001</v>
      </c>
      <c r="E916" t="s">
        <v>6</v>
      </c>
      <c r="F916" t="s">
        <v>53</v>
      </c>
      <c r="G916" t="s">
        <v>5</v>
      </c>
    </row>
    <row r="917" spans="1:7" x14ac:dyDescent="0.3">
      <c r="A917" t="s">
        <v>19</v>
      </c>
      <c r="B917" s="1">
        <v>45808</v>
      </c>
      <c r="C917">
        <v>510006</v>
      </c>
      <c r="D917">
        <v>369.42599999999999</v>
      </c>
      <c r="E917" t="s">
        <v>6</v>
      </c>
      <c r="F917" t="s">
        <v>53</v>
      </c>
      <c r="G917" t="s">
        <v>5</v>
      </c>
    </row>
    <row r="918" spans="1:7" x14ac:dyDescent="0.3">
      <c r="A918" t="s">
        <v>19</v>
      </c>
      <c r="B918" s="1">
        <v>45808</v>
      </c>
      <c r="C918">
        <v>510007</v>
      </c>
      <c r="D918">
        <v>761.94600000000003</v>
      </c>
      <c r="E918" t="s">
        <v>6</v>
      </c>
      <c r="F918" t="s">
        <v>53</v>
      </c>
      <c r="G918" t="s">
        <v>5</v>
      </c>
    </row>
    <row r="919" spans="1:7" x14ac:dyDescent="0.3">
      <c r="A919" t="s">
        <v>19</v>
      </c>
      <c r="B919" s="1">
        <v>45808</v>
      </c>
      <c r="C919">
        <v>510062</v>
      </c>
      <c r="D919">
        <v>618.14599999999996</v>
      </c>
      <c r="E919" t="s">
        <v>6</v>
      </c>
      <c r="F919" t="s">
        <v>53</v>
      </c>
      <c r="G919" t="s">
        <v>5</v>
      </c>
    </row>
    <row r="920" spans="1:7" x14ac:dyDescent="0.3">
      <c r="A920" t="s">
        <v>19</v>
      </c>
      <c r="B920" s="1">
        <v>45808</v>
      </c>
      <c r="C920">
        <v>510065</v>
      </c>
      <c r="D920">
        <v>51.008000000000003</v>
      </c>
      <c r="E920" t="s">
        <v>6</v>
      </c>
      <c r="F920" t="s">
        <v>53</v>
      </c>
      <c r="G920" t="s">
        <v>5</v>
      </c>
    </row>
    <row r="921" spans="1:7" x14ac:dyDescent="0.3">
      <c r="A921" t="s">
        <v>19</v>
      </c>
      <c r="B921" s="1">
        <v>45808</v>
      </c>
      <c r="C921">
        <v>541010</v>
      </c>
      <c r="D921">
        <v>227.27600000000001</v>
      </c>
      <c r="E921" t="s">
        <v>6</v>
      </c>
      <c r="F921" t="s">
        <v>61</v>
      </c>
      <c r="G921" t="s">
        <v>5</v>
      </c>
    </row>
    <row r="922" spans="1:7" x14ac:dyDescent="0.3">
      <c r="A922" t="s">
        <v>19</v>
      </c>
      <c r="B922" s="1">
        <v>45808</v>
      </c>
      <c r="C922">
        <v>552502</v>
      </c>
      <c r="D922">
        <v>478.46699999999998</v>
      </c>
      <c r="E922" t="s">
        <v>6</v>
      </c>
      <c r="F922" t="s">
        <v>55</v>
      </c>
      <c r="G922" t="s">
        <v>5</v>
      </c>
    </row>
    <row r="923" spans="1:7" x14ac:dyDescent="0.3">
      <c r="A923" t="s">
        <v>19</v>
      </c>
      <c r="B923" s="1">
        <v>45808</v>
      </c>
      <c r="C923">
        <v>552504</v>
      </c>
      <c r="D923">
        <v>68.846000000000004</v>
      </c>
      <c r="E923" t="s">
        <v>6</v>
      </c>
      <c r="F923" t="s">
        <v>55</v>
      </c>
      <c r="G923" t="s">
        <v>5</v>
      </c>
    </row>
    <row r="924" spans="1:7" x14ac:dyDescent="0.3">
      <c r="A924" t="s">
        <v>19</v>
      </c>
      <c r="B924" s="1">
        <v>45808</v>
      </c>
      <c r="C924">
        <v>555007</v>
      </c>
      <c r="D924">
        <v>608.63300000000004</v>
      </c>
      <c r="E924" t="s">
        <v>6</v>
      </c>
      <c r="F924" t="s">
        <v>55</v>
      </c>
      <c r="G924" t="s">
        <v>5</v>
      </c>
    </row>
    <row r="925" spans="1:7" x14ac:dyDescent="0.3">
      <c r="A925" t="s">
        <v>19</v>
      </c>
      <c r="B925" s="1">
        <v>45808</v>
      </c>
      <c r="C925">
        <v>555508</v>
      </c>
      <c r="D925">
        <v>1.3009999999999999</v>
      </c>
      <c r="E925" t="s">
        <v>6</v>
      </c>
      <c r="F925" t="s">
        <v>55</v>
      </c>
      <c r="G925" t="s">
        <v>5</v>
      </c>
    </row>
    <row r="926" spans="1:7" x14ac:dyDescent="0.3">
      <c r="A926" t="s">
        <v>19</v>
      </c>
      <c r="B926" s="1">
        <v>45808</v>
      </c>
      <c r="C926">
        <v>557002</v>
      </c>
      <c r="D926">
        <v>20.713000000000001</v>
      </c>
      <c r="E926" t="s">
        <v>6</v>
      </c>
      <c r="F926" t="s">
        <v>56</v>
      </c>
      <c r="G926" t="s">
        <v>5</v>
      </c>
    </row>
    <row r="927" spans="1:7" x14ac:dyDescent="0.3">
      <c r="A927" t="s">
        <v>19</v>
      </c>
      <c r="B927" s="1">
        <v>45808</v>
      </c>
      <c r="C927">
        <v>558006</v>
      </c>
      <c r="D927">
        <v>123.75700000000001</v>
      </c>
      <c r="E927" t="s">
        <v>6</v>
      </c>
      <c r="F927" t="s">
        <v>57</v>
      </c>
      <c r="G927" t="s">
        <v>5</v>
      </c>
    </row>
    <row r="928" spans="1:7" x14ac:dyDescent="0.3">
      <c r="A928" t="s">
        <v>19</v>
      </c>
      <c r="B928" s="1">
        <v>45808</v>
      </c>
      <c r="C928">
        <v>560008</v>
      </c>
      <c r="D928">
        <v>56.935000000000002</v>
      </c>
      <c r="E928" t="s">
        <v>6</v>
      </c>
      <c r="F928" t="s">
        <v>56</v>
      </c>
      <c r="G928" t="s">
        <v>5</v>
      </c>
    </row>
    <row r="929" spans="1:7" x14ac:dyDescent="0.3">
      <c r="A929" t="s">
        <v>19</v>
      </c>
      <c r="B929" s="1">
        <v>45808</v>
      </c>
      <c r="C929">
        <v>564006</v>
      </c>
      <c r="D929">
        <v>-2E-3</v>
      </c>
      <c r="E929" t="s">
        <v>6</v>
      </c>
      <c r="F929" t="s">
        <v>57</v>
      </c>
      <c r="G929" t="s">
        <v>5</v>
      </c>
    </row>
    <row r="930" spans="1:7" x14ac:dyDescent="0.3">
      <c r="A930" t="s">
        <v>19</v>
      </c>
      <c r="B930" s="1">
        <v>45808</v>
      </c>
      <c r="C930">
        <v>564020</v>
      </c>
      <c r="D930">
        <v>89.331999999999994</v>
      </c>
      <c r="E930" t="s">
        <v>6</v>
      </c>
      <c r="F930" t="s">
        <v>57</v>
      </c>
      <c r="G930" t="s">
        <v>5</v>
      </c>
    </row>
    <row r="931" spans="1:7" x14ac:dyDescent="0.3">
      <c r="A931" t="s">
        <v>19</v>
      </c>
      <c r="B931" s="1">
        <v>45808</v>
      </c>
      <c r="C931">
        <v>570002</v>
      </c>
      <c r="D931">
        <v>23.155999999999999</v>
      </c>
      <c r="E931" t="s">
        <v>6</v>
      </c>
      <c r="F931" t="s">
        <v>66</v>
      </c>
      <c r="G931" t="s">
        <v>5</v>
      </c>
    </row>
    <row r="932" spans="1:7" x14ac:dyDescent="0.3">
      <c r="A932" t="s">
        <v>20</v>
      </c>
      <c r="B932" s="1">
        <v>45808</v>
      </c>
      <c r="C932">
        <v>210002</v>
      </c>
      <c r="D932">
        <v>-137.68700000000001</v>
      </c>
      <c r="E932" t="s">
        <v>4</v>
      </c>
      <c r="F932" t="s">
        <v>42</v>
      </c>
      <c r="G932" t="s">
        <v>5</v>
      </c>
    </row>
    <row r="933" spans="1:7" x14ac:dyDescent="0.3">
      <c r="A933" t="s">
        <v>20</v>
      </c>
      <c r="B933" s="1">
        <v>45808</v>
      </c>
      <c r="C933">
        <v>220006</v>
      </c>
      <c r="D933">
        <v>-40973.252999999997</v>
      </c>
      <c r="E933" t="s">
        <v>4</v>
      </c>
      <c r="F933" t="s">
        <v>42</v>
      </c>
      <c r="G933" t="s">
        <v>5</v>
      </c>
    </row>
    <row r="934" spans="1:7" x14ac:dyDescent="0.3">
      <c r="A934" t="s">
        <v>20</v>
      </c>
      <c r="B934" s="1">
        <v>45808</v>
      </c>
      <c r="C934">
        <v>240002</v>
      </c>
      <c r="D934">
        <v>-152.21600000000001</v>
      </c>
      <c r="E934" t="s">
        <v>4</v>
      </c>
      <c r="F934" t="s">
        <v>43</v>
      </c>
      <c r="G934" t="s">
        <v>5</v>
      </c>
    </row>
    <row r="935" spans="1:7" x14ac:dyDescent="0.3">
      <c r="A935" t="s">
        <v>20</v>
      </c>
      <c r="B935" s="1">
        <v>45808</v>
      </c>
      <c r="C935">
        <v>242003</v>
      </c>
      <c r="D935">
        <v>-10313.27</v>
      </c>
      <c r="E935" t="s">
        <v>4</v>
      </c>
      <c r="F935" t="s">
        <v>43</v>
      </c>
      <c r="G935" t="s">
        <v>5</v>
      </c>
    </row>
    <row r="936" spans="1:7" x14ac:dyDescent="0.3">
      <c r="A936" t="s">
        <v>20</v>
      </c>
      <c r="B936" s="1">
        <v>45808</v>
      </c>
      <c r="C936">
        <v>242011</v>
      </c>
      <c r="D936">
        <v>-186.04900000000001</v>
      </c>
      <c r="E936" t="s">
        <v>4</v>
      </c>
      <c r="F936" t="s">
        <v>43</v>
      </c>
      <c r="G936" t="s">
        <v>5</v>
      </c>
    </row>
    <row r="937" spans="1:7" x14ac:dyDescent="0.3">
      <c r="A937" t="s">
        <v>20</v>
      </c>
      <c r="B937" s="1">
        <v>45808</v>
      </c>
      <c r="C937">
        <v>242013</v>
      </c>
      <c r="D937">
        <v>186.04900000000001</v>
      </c>
      <c r="E937" t="s">
        <v>4</v>
      </c>
      <c r="F937" t="s">
        <v>43</v>
      </c>
      <c r="G937" t="s">
        <v>5</v>
      </c>
    </row>
    <row r="938" spans="1:7" x14ac:dyDescent="0.3">
      <c r="A938" t="s">
        <v>20</v>
      </c>
      <c r="B938" s="1">
        <v>45808</v>
      </c>
      <c r="C938">
        <v>243002</v>
      </c>
      <c r="D938">
        <v>-275.94499999999999</v>
      </c>
      <c r="E938" t="s">
        <v>4</v>
      </c>
      <c r="F938" t="s">
        <v>43</v>
      </c>
      <c r="G938" t="s">
        <v>5</v>
      </c>
    </row>
    <row r="939" spans="1:7" x14ac:dyDescent="0.3">
      <c r="A939" t="s">
        <v>20</v>
      </c>
      <c r="B939" s="1">
        <v>45808</v>
      </c>
      <c r="C939">
        <v>251003</v>
      </c>
      <c r="D939">
        <v>-3325.1860000000001</v>
      </c>
      <c r="E939" t="s">
        <v>4</v>
      </c>
      <c r="F939" t="s">
        <v>45</v>
      </c>
      <c r="G939" t="s">
        <v>5</v>
      </c>
    </row>
    <row r="940" spans="1:7" x14ac:dyDescent="0.3">
      <c r="A940" t="s">
        <v>20</v>
      </c>
      <c r="B940" s="1">
        <v>45808</v>
      </c>
      <c r="C940">
        <v>251005</v>
      </c>
      <c r="D940">
        <v>1484.1</v>
      </c>
      <c r="E940" t="s">
        <v>4</v>
      </c>
      <c r="F940" t="s">
        <v>46</v>
      </c>
      <c r="G940" t="s">
        <v>5</v>
      </c>
    </row>
    <row r="941" spans="1:7" x14ac:dyDescent="0.3">
      <c r="A941" t="s">
        <v>20</v>
      </c>
      <c r="B941" s="1">
        <v>45808</v>
      </c>
      <c r="C941">
        <v>260004</v>
      </c>
      <c r="D941">
        <v>-811.54</v>
      </c>
      <c r="E941" t="s">
        <v>4</v>
      </c>
      <c r="F941" t="s">
        <v>45</v>
      </c>
      <c r="G941" t="s">
        <v>5</v>
      </c>
    </row>
    <row r="942" spans="1:7" x14ac:dyDescent="0.3">
      <c r="A942" t="s">
        <v>20</v>
      </c>
      <c r="B942" s="1">
        <v>45808</v>
      </c>
      <c r="C942">
        <v>270026</v>
      </c>
      <c r="D942">
        <v>-2510.17</v>
      </c>
      <c r="E942" t="s">
        <v>4</v>
      </c>
      <c r="F942" t="s">
        <v>58</v>
      </c>
      <c r="G942" t="s">
        <v>5</v>
      </c>
    </row>
    <row r="943" spans="1:7" x14ac:dyDescent="0.3">
      <c r="A943" t="s">
        <v>20</v>
      </c>
      <c r="B943" s="1">
        <v>45808</v>
      </c>
      <c r="C943">
        <v>300008</v>
      </c>
      <c r="D943">
        <v>239.548</v>
      </c>
      <c r="E943" t="s">
        <v>4</v>
      </c>
      <c r="F943" t="s">
        <v>65</v>
      </c>
      <c r="G943" t="s">
        <v>5</v>
      </c>
    </row>
    <row r="944" spans="1:7" x14ac:dyDescent="0.3">
      <c r="A944" t="s">
        <v>20</v>
      </c>
      <c r="B944" s="1">
        <v>45808</v>
      </c>
      <c r="C944">
        <v>300508</v>
      </c>
      <c r="D944">
        <v>-239.548</v>
      </c>
      <c r="E944" t="s">
        <v>4</v>
      </c>
      <c r="F944" t="s">
        <v>65</v>
      </c>
      <c r="G944" t="s">
        <v>5</v>
      </c>
    </row>
    <row r="945" spans="1:7" x14ac:dyDescent="0.3">
      <c r="A945" t="s">
        <v>20</v>
      </c>
      <c r="B945" s="1">
        <v>45808</v>
      </c>
      <c r="C945">
        <v>320003</v>
      </c>
      <c r="D945">
        <v>14695.967000000001</v>
      </c>
      <c r="E945" t="s">
        <v>4</v>
      </c>
      <c r="F945" t="s">
        <v>46</v>
      </c>
      <c r="G945" t="s">
        <v>5</v>
      </c>
    </row>
    <row r="946" spans="1:7" x14ac:dyDescent="0.3">
      <c r="A946" t="s">
        <v>20</v>
      </c>
      <c r="B946" s="1">
        <v>45808</v>
      </c>
      <c r="C946">
        <v>320004</v>
      </c>
      <c r="D946">
        <v>341.24599999999998</v>
      </c>
      <c r="E946" t="s">
        <v>4</v>
      </c>
      <c r="F946" t="s">
        <v>46</v>
      </c>
      <c r="G946" t="s">
        <v>5</v>
      </c>
    </row>
    <row r="947" spans="1:7" x14ac:dyDescent="0.3">
      <c r="A947" t="s">
        <v>20</v>
      </c>
      <c r="B947" s="1">
        <v>45808</v>
      </c>
      <c r="C947">
        <v>340261</v>
      </c>
      <c r="D947">
        <v>37010.093000000001</v>
      </c>
      <c r="E947" t="s">
        <v>4</v>
      </c>
      <c r="F947" t="s">
        <v>47</v>
      </c>
      <c r="G947" t="s">
        <v>5</v>
      </c>
    </row>
    <row r="948" spans="1:7" x14ac:dyDescent="0.3">
      <c r="A948" t="s">
        <v>20</v>
      </c>
      <c r="B948" s="1">
        <v>45808</v>
      </c>
      <c r="C948">
        <v>354014</v>
      </c>
      <c r="D948">
        <v>1758.335</v>
      </c>
      <c r="E948" t="s">
        <v>4</v>
      </c>
      <c r="F948" t="s">
        <v>46</v>
      </c>
      <c r="G948" t="s">
        <v>5</v>
      </c>
    </row>
    <row r="949" spans="1:7" x14ac:dyDescent="0.3">
      <c r="A949" t="s">
        <v>20</v>
      </c>
      <c r="B949" s="1">
        <v>45808</v>
      </c>
      <c r="C949">
        <v>355013</v>
      </c>
      <c r="D949">
        <v>346.971</v>
      </c>
      <c r="E949" t="s">
        <v>4</v>
      </c>
      <c r="F949" t="s">
        <v>49</v>
      </c>
      <c r="G949" t="s">
        <v>5</v>
      </c>
    </row>
    <row r="950" spans="1:7" x14ac:dyDescent="0.3">
      <c r="A950" t="s">
        <v>20</v>
      </c>
      <c r="B950" s="1">
        <v>45808</v>
      </c>
      <c r="C950">
        <v>355014</v>
      </c>
      <c r="D950">
        <v>32.564999999999998</v>
      </c>
      <c r="E950" t="s">
        <v>4</v>
      </c>
      <c r="F950" t="s">
        <v>49</v>
      </c>
      <c r="G950" t="s">
        <v>5</v>
      </c>
    </row>
    <row r="951" spans="1:7" x14ac:dyDescent="0.3">
      <c r="A951" t="s">
        <v>20</v>
      </c>
      <c r="B951" s="1">
        <v>45808</v>
      </c>
      <c r="C951">
        <v>360028</v>
      </c>
      <c r="D951">
        <v>136.00700000000001</v>
      </c>
      <c r="E951" t="s">
        <v>4</v>
      </c>
      <c r="F951" t="s">
        <v>58</v>
      </c>
      <c r="G951" t="s">
        <v>5</v>
      </c>
    </row>
    <row r="952" spans="1:7" x14ac:dyDescent="0.3">
      <c r="A952" t="s">
        <v>20</v>
      </c>
      <c r="B952" s="1">
        <v>45808</v>
      </c>
      <c r="C952">
        <v>360030</v>
      </c>
      <c r="D952">
        <v>950.755</v>
      </c>
      <c r="E952" t="s">
        <v>4</v>
      </c>
      <c r="F952" t="s">
        <v>58</v>
      </c>
      <c r="G952" t="s">
        <v>5</v>
      </c>
    </row>
    <row r="953" spans="1:7" x14ac:dyDescent="0.3">
      <c r="A953" t="s">
        <v>20</v>
      </c>
      <c r="B953" s="1">
        <v>45808</v>
      </c>
      <c r="C953">
        <v>360032</v>
      </c>
      <c r="D953">
        <v>808.16700000000003</v>
      </c>
      <c r="E953" t="s">
        <v>4</v>
      </c>
      <c r="F953" t="s">
        <v>58</v>
      </c>
      <c r="G953" t="s">
        <v>5</v>
      </c>
    </row>
    <row r="954" spans="1:7" x14ac:dyDescent="0.3">
      <c r="A954" t="s">
        <v>20</v>
      </c>
      <c r="B954" s="1">
        <v>45808</v>
      </c>
      <c r="C954">
        <v>372004</v>
      </c>
      <c r="D954">
        <v>62.454999999999998</v>
      </c>
      <c r="E954" t="s">
        <v>4</v>
      </c>
      <c r="F954" t="s">
        <v>45</v>
      </c>
      <c r="G954" t="s">
        <v>5</v>
      </c>
    </row>
    <row r="955" spans="1:7" x14ac:dyDescent="0.3">
      <c r="A955" t="s">
        <v>20</v>
      </c>
      <c r="B955" s="1">
        <v>45808</v>
      </c>
      <c r="C955">
        <v>415002</v>
      </c>
      <c r="D955">
        <v>249.23699999999999</v>
      </c>
      <c r="E955" t="s">
        <v>6</v>
      </c>
      <c r="F955" t="s">
        <v>50</v>
      </c>
      <c r="G955" t="s">
        <v>5</v>
      </c>
    </row>
    <row r="956" spans="1:7" x14ac:dyDescent="0.3">
      <c r="A956" t="s">
        <v>20</v>
      </c>
      <c r="B956" s="1">
        <v>45808</v>
      </c>
      <c r="C956">
        <v>415004</v>
      </c>
      <c r="D956">
        <v>-12.250999999999999</v>
      </c>
      <c r="E956" t="s">
        <v>6</v>
      </c>
      <c r="F956" t="s">
        <v>50</v>
      </c>
      <c r="G956" t="s">
        <v>5</v>
      </c>
    </row>
    <row r="957" spans="1:7" x14ac:dyDescent="0.3">
      <c r="A957" t="s">
        <v>20</v>
      </c>
      <c r="B957" s="1">
        <v>45808</v>
      </c>
      <c r="C957">
        <v>421007</v>
      </c>
      <c r="D957">
        <v>-310.202</v>
      </c>
      <c r="E957" t="s">
        <v>6</v>
      </c>
      <c r="F957" t="s">
        <v>52</v>
      </c>
      <c r="G957" t="s">
        <v>5</v>
      </c>
    </row>
    <row r="958" spans="1:7" x14ac:dyDescent="0.3">
      <c r="A958" t="s">
        <v>20</v>
      </c>
      <c r="B958" s="1">
        <v>45808</v>
      </c>
      <c r="C958">
        <v>546002</v>
      </c>
      <c r="D958">
        <v>10.414</v>
      </c>
      <c r="E958" t="s">
        <v>6</v>
      </c>
      <c r="F958" t="s">
        <v>51</v>
      </c>
      <c r="G958" t="s">
        <v>5</v>
      </c>
    </row>
    <row r="959" spans="1:7" x14ac:dyDescent="0.3">
      <c r="A959" t="s">
        <v>20</v>
      </c>
      <c r="B959" s="1">
        <v>45808</v>
      </c>
      <c r="C959">
        <v>556004</v>
      </c>
      <c r="D959">
        <v>1.45</v>
      </c>
      <c r="E959" t="s">
        <v>6</v>
      </c>
      <c r="F959" t="s">
        <v>55</v>
      </c>
      <c r="G959" t="s">
        <v>5</v>
      </c>
    </row>
    <row r="960" spans="1:7" x14ac:dyDescent="0.3">
      <c r="A960" t="s">
        <v>20</v>
      </c>
      <c r="B960" s="1">
        <v>45808</v>
      </c>
      <c r="C960">
        <v>557002</v>
      </c>
      <c r="D960">
        <v>873.15</v>
      </c>
      <c r="E960" t="s">
        <v>6</v>
      </c>
      <c r="F960" t="s">
        <v>56</v>
      </c>
      <c r="G960" t="s">
        <v>5</v>
      </c>
    </row>
    <row r="961" spans="1:7" x14ac:dyDescent="0.3">
      <c r="A961" t="s">
        <v>20</v>
      </c>
      <c r="B961" s="1">
        <v>45808</v>
      </c>
      <c r="C961">
        <v>558006</v>
      </c>
      <c r="D961">
        <v>9.2390000000000008</v>
      </c>
      <c r="E961" t="s">
        <v>6</v>
      </c>
      <c r="F961" t="s">
        <v>57</v>
      </c>
      <c r="G961" t="s">
        <v>5</v>
      </c>
    </row>
    <row r="962" spans="1:7" x14ac:dyDescent="0.3">
      <c r="A962" t="s">
        <v>20</v>
      </c>
      <c r="B962" s="1">
        <v>45808</v>
      </c>
      <c r="C962">
        <v>560008</v>
      </c>
      <c r="D962">
        <v>40.143999999999998</v>
      </c>
      <c r="E962" t="s">
        <v>6</v>
      </c>
      <c r="F962" t="s">
        <v>56</v>
      </c>
      <c r="G962" t="s">
        <v>5</v>
      </c>
    </row>
    <row r="963" spans="1:7" x14ac:dyDescent="0.3">
      <c r="A963" t="s">
        <v>20</v>
      </c>
      <c r="B963" s="1">
        <v>45808</v>
      </c>
      <c r="C963">
        <v>564020</v>
      </c>
      <c r="D963">
        <v>5.484</v>
      </c>
      <c r="E963" t="s">
        <v>6</v>
      </c>
      <c r="F963" t="s">
        <v>57</v>
      </c>
      <c r="G963" t="s">
        <v>5</v>
      </c>
    </row>
    <row r="964" spans="1:7" x14ac:dyDescent="0.3">
      <c r="A964" t="s">
        <v>21</v>
      </c>
      <c r="B964" s="1">
        <v>45808</v>
      </c>
      <c r="C964">
        <v>210002</v>
      </c>
      <c r="D964">
        <v>-306.11599999999999</v>
      </c>
      <c r="E964" t="s">
        <v>4</v>
      </c>
      <c r="F964" t="s">
        <v>42</v>
      </c>
      <c r="G964" t="s">
        <v>7</v>
      </c>
    </row>
    <row r="965" spans="1:7" x14ac:dyDescent="0.3">
      <c r="A965" t="s">
        <v>21</v>
      </c>
      <c r="B965" s="1">
        <v>45808</v>
      </c>
      <c r="C965">
        <v>220006</v>
      </c>
      <c r="D965">
        <v>10396.813</v>
      </c>
      <c r="E965" t="s">
        <v>4</v>
      </c>
      <c r="F965" t="s">
        <v>42</v>
      </c>
      <c r="G965" t="s">
        <v>7</v>
      </c>
    </row>
    <row r="966" spans="1:7" x14ac:dyDescent="0.3">
      <c r="A966" t="s">
        <v>21</v>
      </c>
      <c r="B966" s="1">
        <v>45808</v>
      </c>
      <c r="C966">
        <v>242003</v>
      </c>
      <c r="D966">
        <v>-16981.731</v>
      </c>
      <c r="E966" t="s">
        <v>4</v>
      </c>
      <c r="F966" t="s">
        <v>43</v>
      </c>
      <c r="G966" t="s">
        <v>7</v>
      </c>
    </row>
    <row r="967" spans="1:7" x14ac:dyDescent="0.3">
      <c r="A967" t="s">
        <v>21</v>
      </c>
      <c r="B967" s="1">
        <v>45808</v>
      </c>
      <c r="C967">
        <v>242011</v>
      </c>
      <c r="D967">
        <v>-18109.282999999999</v>
      </c>
      <c r="E967" t="s">
        <v>4</v>
      </c>
      <c r="F967" t="s">
        <v>43</v>
      </c>
      <c r="G967" t="s">
        <v>7</v>
      </c>
    </row>
    <row r="968" spans="1:7" x14ac:dyDescent="0.3">
      <c r="A968" t="s">
        <v>21</v>
      </c>
      <c r="B968" s="1">
        <v>45808</v>
      </c>
      <c r="C968">
        <v>242012</v>
      </c>
      <c r="D968">
        <v>-15148.942999999999</v>
      </c>
      <c r="E968" t="s">
        <v>4</v>
      </c>
      <c r="F968" t="s">
        <v>43</v>
      </c>
      <c r="G968" t="s">
        <v>7</v>
      </c>
    </row>
    <row r="969" spans="1:7" x14ac:dyDescent="0.3">
      <c r="A969" t="s">
        <v>21</v>
      </c>
      <c r="B969" s="1">
        <v>45808</v>
      </c>
      <c r="C969">
        <v>242014</v>
      </c>
      <c r="D969">
        <v>-3507.6959999999999</v>
      </c>
      <c r="E969" t="s">
        <v>4</v>
      </c>
      <c r="F969" t="s">
        <v>43</v>
      </c>
      <c r="G969" t="s">
        <v>7</v>
      </c>
    </row>
    <row r="970" spans="1:7" x14ac:dyDescent="0.3">
      <c r="A970" t="s">
        <v>21</v>
      </c>
      <c r="B970" s="1">
        <v>45808</v>
      </c>
      <c r="C970">
        <v>242030</v>
      </c>
      <c r="D970">
        <v>-284.08999999999997</v>
      </c>
      <c r="E970" t="s">
        <v>4</v>
      </c>
      <c r="F970" t="s">
        <v>43</v>
      </c>
      <c r="G970" t="s">
        <v>7</v>
      </c>
    </row>
    <row r="971" spans="1:7" x14ac:dyDescent="0.3">
      <c r="A971" t="s">
        <v>21</v>
      </c>
      <c r="B971" s="1">
        <v>45808</v>
      </c>
      <c r="C971">
        <v>242041</v>
      </c>
      <c r="D971">
        <v>3842.9639999999999</v>
      </c>
      <c r="E971" t="s">
        <v>4</v>
      </c>
      <c r="F971" t="s">
        <v>43</v>
      </c>
      <c r="G971" t="s">
        <v>7</v>
      </c>
    </row>
    <row r="972" spans="1:7" x14ac:dyDescent="0.3">
      <c r="A972" t="s">
        <v>21</v>
      </c>
      <c r="B972" s="1">
        <v>45808</v>
      </c>
      <c r="C972">
        <v>243002</v>
      </c>
      <c r="D972">
        <v>-613.80399999999997</v>
      </c>
      <c r="E972" t="s">
        <v>4</v>
      </c>
      <c r="F972" t="s">
        <v>43</v>
      </c>
      <c r="G972" t="s">
        <v>7</v>
      </c>
    </row>
    <row r="973" spans="1:7" x14ac:dyDescent="0.3">
      <c r="A973" t="s">
        <v>21</v>
      </c>
      <c r="B973" s="1">
        <v>45808</v>
      </c>
      <c r="C973">
        <v>245055</v>
      </c>
      <c r="D973">
        <v>1051.9770000000001</v>
      </c>
      <c r="E973" t="s">
        <v>4</v>
      </c>
      <c r="F973" t="s">
        <v>43</v>
      </c>
      <c r="G973" t="s">
        <v>7</v>
      </c>
    </row>
    <row r="974" spans="1:7" x14ac:dyDescent="0.3">
      <c r="A974" t="s">
        <v>21</v>
      </c>
      <c r="B974" s="1">
        <v>45808</v>
      </c>
      <c r="C974">
        <v>245062</v>
      </c>
      <c r="D974">
        <v>-18.134</v>
      </c>
      <c r="E974" t="s">
        <v>4</v>
      </c>
      <c r="F974" t="s">
        <v>43</v>
      </c>
      <c r="G974" t="s">
        <v>7</v>
      </c>
    </row>
    <row r="975" spans="1:7" x14ac:dyDescent="0.3">
      <c r="A975" t="s">
        <v>21</v>
      </c>
      <c r="B975" s="1">
        <v>45808</v>
      </c>
      <c r="C975">
        <v>251002</v>
      </c>
      <c r="D975">
        <v>-400.96699999999998</v>
      </c>
      <c r="E975" t="s">
        <v>4</v>
      </c>
      <c r="F975" t="s">
        <v>45</v>
      </c>
      <c r="G975" t="s">
        <v>7</v>
      </c>
    </row>
    <row r="976" spans="1:7" x14ac:dyDescent="0.3">
      <c r="A976" t="s">
        <v>21</v>
      </c>
      <c r="B976" s="1">
        <v>45808</v>
      </c>
      <c r="C976">
        <v>251003</v>
      </c>
      <c r="D976">
        <v>-25408.248</v>
      </c>
      <c r="E976" t="s">
        <v>4</v>
      </c>
      <c r="F976" t="s">
        <v>45</v>
      </c>
      <c r="G976" t="s">
        <v>7</v>
      </c>
    </row>
    <row r="977" spans="1:7" x14ac:dyDescent="0.3">
      <c r="A977" t="s">
        <v>21</v>
      </c>
      <c r="B977" s="1">
        <v>45808</v>
      </c>
      <c r="C977">
        <v>257008</v>
      </c>
      <c r="D977">
        <v>-1957.1110000000001</v>
      </c>
      <c r="E977" t="s">
        <v>4</v>
      </c>
      <c r="F977" t="s">
        <v>45</v>
      </c>
      <c r="G977" t="s">
        <v>7</v>
      </c>
    </row>
    <row r="978" spans="1:7" x14ac:dyDescent="0.3">
      <c r="A978" t="s">
        <v>21</v>
      </c>
      <c r="B978" s="1">
        <v>45808</v>
      </c>
      <c r="C978">
        <v>257028</v>
      </c>
      <c r="D978">
        <v>1499.635</v>
      </c>
      <c r="E978" t="s">
        <v>4</v>
      </c>
      <c r="F978" t="s">
        <v>45</v>
      </c>
      <c r="G978" t="s">
        <v>7</v>
      </c>
    </row>
    <row r="979" spans="1:7" x14ac:dyDescent="0.3">
      <c r="A979" t="s">
        <v>21</v>
      </c>
      <c r="B979" s="1">
        <v>45808</v>
      </c>
      <c r="C979">
        <v>257030</v>
      </c>
      <c r="D979">
        <v>-1529.3969999999999</v>
      </c>
      <c r="E979" t="s">
        <v>4</v>
      </c>
      <c r="F979" t="s">
        <v>45</v>
      </c>
      <c r="G979" t="s">
        <v>7</v>
      </c>
    </row>
    <row r="980" spans="1:7" x14ac:dyDescent="0.3">
      <c r="A980" t="s">
        <v>21</v>
      </c>
      <c r="B980" s="1">
        <v>45808</v>
      </c>
      <c r="C980">
        <v>260004</v>
      </c>
      <c r="D980">
        <v>-11683.013000000001</v>
      </c>
      <c r="E980" t="s">
        <v>4</v>
      </c>
      <c r="F980" t="s">
        <v>45</v>
      </c>
      <c r="G980" t="s">
        <v>7</v>
      </c>
    </row>
    <row r="981" spans="1:7" x14ac:dyDescent="0.3">
      <c r="A981" t="s">
        <v>21</v>
      </c>
      <c r="B981" s="1">
        <v>45808</v>
      </c>
      <c r="C981">
        <v>270026</v>
      </c>
      <c r="D981">
        <v>-4981.8980000000001</v>
      </c>
      <c r="E981" t="s">
        <v>4</v>
      </c>
      <c r="F981" t="s">
        <v>58</v>
      </c>
      <c r="G981" t="s">
        <v>7</v>
      </c>
    </row>
    <row r="982" spans="1:7" x14ac:dyDescent="0.3">
      <c r="A982" t="s">
        <v>21</v>
      </c>
      <c r="B982" s="1">
        <v>45808</v>
      </c>
      <c r="C982">
        <v>320003</v>
      </c>
      <c r="D982">
        <v>12122.022000000001</v>
      </c>
      <c r="E982" t="s">
        <v>4</v>
      </c>
      <c r="F982" t="s">
        <v>46</v>
      </c>
      <c r="G982" t="s">
        <v>7</v>
      </c>
    </row>
    <row r="983" spans="1:7" x14ac:dyDescent="0.3">
      <c r="A983" t="s">
        <v>21</v>
      </c>
      <c r="B983" s="1">
        <v>45808</v>
      </c>
      <c r="C983">
        <v>320004</v>
      </c>
      <c r="D983">
        <v>-234.762</v>
      </c>
      <c r="E983" t="s">
        <v>4</v>
      </c>
      <c r="F983" t="s">
        <v>46</v>
      </c>
      <c r="G983" t="s">
        <v>7</v>
      </c>
    </row>
    <row r="984" spans="1:7" x14ac:dyDescent="0.3">
      <c r="A984" t="s">
        <v>21</v>
      </c>
      <c r="B984" s="1">
        <v>45808</v>
      </c>
      <c r="C984">
        <v>321002</v>
      </c>
      <c r="D984">
        <v>1688.701</v>
      </c>
      <c r="E984" t="s">
        <v>4</v>
      </c>
      <c r="F984" t="s">
        <v>46</v>
      </c>
      <c r="G984" t="s">
        <v>7</v>
      </c>
    </row>
    <row r="985" spans="1:7" x14ac:dyDescent="0.3">
      <c r="A985" t="s">
        <v>21</v>
      </c>
      <c r="B985" s="1">
        <v>45808</v>
      </c>
      <c r="C985">
        <v>321010</v>
      </c>
      <c r="D985">
        <v>12.579000000000001</v>
      </c>
      <c r="E985" t="s">
        <v>4</v>
      </c>
      <c r="F985" t="s">
        <v>46</v>
      </c>
      <c r="G985" t="s">
        <v>7</v>
      </c>
    </row>
    <row r="986" spans="1:7" x14ac:dyDescent="0.3">
      <c r="A986" t="s">
        <v>21</v>
      </c>
      <c r="B986" s="1">
        <v>45808</v>
      </c>
      <c r="C986">
        <v>321012</v>
      </c>
      <c r="D986">
        <v>4288.3739999999998</v>
      </c>
      <c r="E986" t="s">
        <v>4</v>
      </c>
      <c r="F986" t="s">
        <v>46</v>
      </c>
      <c r="G986" t="s">
        <v>7</v>
      </c>
    </row>
    <row r="987" spans="1:7" x14ac:dyDescent="0.3">
      <c r="A987" t="s">
        <v>21</v>
      </c>
      <c r="B987" s="1">
        <v>45808</v>
      </c>
      <c r="C987">
        <v>321013</v>
      </c>
      <c r="D987">
        <v>27.524000000000001</v>
      </c>
      <c r="E987" t="s">
        <v>4</v>
      </c>
      <c r="F987" t="s">
        <v>46</v>
      </c>
      <c r="G987" t="s">
        <v>7</v>
      </c>
    </row>
    <row r="988" spans="1:7" x14ac:dyDescent="0.3">
      <c r="A988" t="s">
        <v>21</v>
      </c>
      <c r="B988" s="1">
        <v>45808</v>
      </c>
      <c r="C988">
        <v>321014</v>
      </c>
      <c r="D988">
        <v>12.579000000000001</v>
      </c>
      <c r="E988" t="s">
        <v>4</v>
      </c>
      <c r="F988" t="s">
        <v>46</v>
      </c>
      <c r="G988" t="s">
        <v>7</v>
      </c>
    </row>
    <row r="989" spans="1:7" x14ac:dyDescent="0.3">
      <c r="A989" t="s">
        <v>21</v>
      </c>
      <c r="B989" s="1">
        <v>45808</v>
      </c>
      <c r="C989">
        <v>321025</v>
      </c>
      <c r="D989">
        <v>829.16399999999999</v>
      </c>
      <c r="E989" t="s">
        <v>4</v>
      </c>
      <c r="F989" t="s">
        <v>46</v>
      </c>
      <c r="G989" t="s">
        <v>7</v>
      </c>
    </row>
    <row r="990" spans="1:7" x14ac:dyDescent="0.3">
      <c r="A990" t="s">
        <v>21</v>
      </c>
      <c r="B990" s="1">
        <v>45808</v>
      </c>
      <c r="C990">
        <v>321029</v>
      </c>
      <c r="D990">
        <v>13138.126</v>
      </c>
      <c r="E990" t="s">
        <v>4</v>
      </c>
      <c r="F990" t="s">
        <v>46</v>
      </c>
      <c r="G990" t="s">
        <v>7</v>
      </c>
    </row>
    <row r="991" spans="1:7" x14ac:dyDescent="0.3">
      <c r="A991" t="s">
        <v>21</v>
      </c>
      <c r="B991" s="1">
        <v>45808</v>
      </c>
      <c r="C991">
        <v>321031</v>
      </c>
      <c r="D991">
        <v>719.62400000000002</v>
      </c>
      <c r="E991" t="s">
        <v>4</v>
      </c>
      <c r="F991" t="s">
        <v>46</v>
      </c>
      <c r="G991" t="s">
        <v>7</v>
      </c>
    </row>
    <row r="992" spans="1:7" x14ac:dyDescent="0.3">
      <c r="A992" t="s">
        <v>21</v>
      </c>
      <c r="B992" s="1">
        <v>45808</v>
      </c>
      <c r="C992">
        <v>321042</v>
      </c>
      <c r="D992">
        <v>-28.387</v>
      </c>
      <c r="E992" t="s">
        <v>4</v>
      </c>
      <c r="F992" t="s">
        <v>46</v>
      </c>
      <c r="G992" t="s">
        <v>7</v>
      </c>
    </row>
    <row r="993" spans="1:7" x14ac:dyDescent="0.3">
      <c r="A993" t="s">
        <v>21</v>
      </c>
      <c r="B993" s="1">
        <v>45808</v>
      </c>
      <c r="C993">
        <v>340265</v>
      </c>
      <c r="D993">
        <v>289738.13299999997</v>
      </c>
      <c r="E993" t="s">
        <v>4</v>
      </c>
      <c r="F993" t="s">
        <v>47</v>
      </c>
      <c r="G993" t="s">
        <v>7</v>
      </c>
    </row>
    <row r="994" spans="1:7" x14ac:dyDescent="0.3">
      <c r="A994" t="s">
        <v>21</v>
      </c>
      <c r="B994" s="1">
        <v>45808</v>
      </c>
      <c r="C994">
        <v>340266</v>
      </c>
      <c r="D994">
        <v>-257719.31200000001</v>
      </c>
      <c r="E994" t="s">
        <v>4</v>
      </c>
      <c r="F994" t="s">
        <v>47</v>
      </c>
      <c r="G994" t="s">
        <v>7</v>
      </c>
    </row>
    <row r="995" spans="1:7" x14ac:dyDescent="0.3">
      <c r="A995" t="s">
        <v>21</v>
      </c>
      <c r="B995" s="1">
        <v>45808</v>
      </c>
      <c r="C995">
        <v>352002</v>
      </c>
      <c r="D995">
        <v>1469.355</v>
      </c>
      <c r="E995" t="s">
        <v>4</v>
      </c>
      <c r="F995" t="s">
        <v>48</v>
      </c>
      <c r="G995" t="s">
        <v>7</v>
      </c>
    </row>
    <row r="996" spans="1:7" x14ac:dyDescent="0.3">
      <c r="A996" t="s">
        <v>21</v>
      </c>
      <c r="B996" s="1">
        <v>45808</v>
      </c>
      <c r="C996">
        <v>354014</v>
      </c>
      <c r="D996">
        <v>1226.3900000000001</v>
      </c>
      <c r="E996" t="s">
        <v>4</v>
      </c>
      <c r="F996" t="s">
        <v>46</v>
      </c>
      <c r="G996" t="s">
        <v>7</v>
      </c>
    </row>
    <row r="997" spans="1:7" x14ac:dyDescent="0.3">
      <c r="A997" t="s">
        <v>21</v>
      </c>
      <c r="B997" s="1">
        <v>45808</v>
      </c>
      <c r="C997">
        <v>360028</v>
      </c>
      <c r="D997">
        <v>4981.8980000000001</v>
      </c>
      <c r="E997" t="s">
        <v>4</v>
      </c>
      <c r="F997" t="s">
        <v>58</v>
      </c>
      <c r="G997" t="s">
        <v>7</v>
      </c>
    </row>
    <row r="998" spans="1:7" x14ac:dyDescent="0.3">
      <c r="A998" t="s">
        <v>21</v>
      </c>
      <c r="B998" s="1">
        <v>45808</v>
      </c>
      <c r="C998">
        <v>360030</v>
      </c>
      <c r="D998">
        <v>523.36599999999999</v>
      </c>
      <c r="E998" t="s">
        <v>4</v>
      </c>
      <c r="F998" t="s">
        <v>58</v>
      </c>
      <c r="G998" t="s">
        <v>7</v>
      </c>
    </row>
    <row r="999" spans="1:7" x14ac:dyDescent="0.3">
      <c r="A999" t="s">
        <v>21</v>
      </c>
      <c r="B999" s="1">
        <v>45808</v>
      </c>
      <c r="C999">
        <v>372004</v>
      </c>
      <c r="D999">
        <v>4944.91</v>
      </c>
      <c r="E999" t="s">
        <v>4</v>
      </c>
      <c r="F999" t="s">
        <v>45</v>
      </c>
      <c r="G999" t="s">
        <v>7</v>
      </c>
    </row>
    <row r="1000" spans="1:7" x14ac:dyDescent="0.3">
      <c r="A1000" t="s">
        <v>21</v>
      </c>
      <c r="B1000" s="1">
        <v>45808</v>
      </c>
      <c r="C1000">
        <v>410002</v>
      </c>
      <c r="D1000">
        <v>-3536.8739999999998</v>
      </c>
      <c r="E1000" t="s">
        <v>6</v>
      </c>
      <c r="F1000" t="s">
        <v>51</v>
      </c>
      <c r="G1000" t="s">
        <v>7</v>
      </c>
    </row>
    <row r="1001" spans="1:7" x14ac:dyDescent="0.3">
      <c r="A1001" t="s">
        <v>21</v>
      </c>
      <c r="B1001" s="1">
        <v>45808</v>
      </c>
      <c r="C1001">
        <v>410006</v>
      </c>
      <c r="D1001">
        <v>-44.264000000000003</v>
      </c>
      <c r="E1001" t="s">
        <v>6</v>
      </c>
      <c r="F1001" t="s">
        <v>51</v>
      </c>
      <c r="G1001" t="s">
        <v>7</v>
      </c>
    </row>
    <row r="1002" spans="1:7" x14ac:dyDescent="0.3">
      <c r="A1002" t="s">
        <v>21</v>
      </c>
      <c r="B1002" s="1">
        <v>45808</v>
      </c>
      <c r="C1002">
        <v>410032</v>
      </c>
      <c r="D1002">
        <v>-356.351</v>
      </c>
      <c r="E1002" t="s">
        <v>6</v>
      </c>
      <c r="F1002" t="s">
        <v>51</v>
      </c>
      <c r="G1002" t="s">
        <v>7</v>
      </c>
    </row>
    <row r="1003" spans="1:7" x14ac:dyDescent="0.3">
      <c r="A1003" t="s">
        <v>21</v>
      </c>
      <c r="B1003" s="1">
        <v>45808</v>
      </c>
      <c r="C1003">
        <v>410037</v>
      </c>
      <c r="D1003">
        <v>-1416.1379999999999</v>
      </c>
      <c r="E1003" t="s">
        <v>6</v>
      </c>
      <c r="F1003" t="s">
        <v>51</v>
      </c>
      <c r="G1003" t="s">
        <v>7</v>
      </c>
    </row>
    <row r="1004" spans="1:7" x14ac:dyDescent="0.3">
      <c r="A1004" t="s">
        <v>21</v>
      </c>
      <c r="B1004" s="1">
        <v>45808</v>
      </c>
      <c r="C1004">
        <v>410039</v>
      </c>
      <c r="D1004">
        <v>-272.577</v>
      </c>
      <c r="E1004" t="s">
        <v>6</v>
      </c>
      <c r="F1004" t="s">
        <v>51</v>
      </c>
      <c r="G1004" t="s">
        <v>7</v>
      </c>
    </row>
    <row r="1005" spans="1:7" x14ac:dyDescent="0.3">
      <c r="A1005" t="s">
        <v>21</v>
      </c>
      <c r="B1005" s="1">
        <v>45808</v>
      </c>
      <c r="C1005">
        <v>415002</v>
      </c>
      <c r="D1005">
        <v>-1224.4739999999999</v>
      </c>
      <c r="E1005" t="s">
        <v>6</v>
      </c>
      <c r="F1005" t="s">
        <v>50</v>
      </c>
      <c r="G1005" t="s">
        <v>7</v>
      </c>
    </row>
    <row r="1006" spans="1:7" x14ac:dyDescent="0.3">
      <c r="A1006" t="s">
        <v>21</v>
      </c>
      <c r="B1006" s="1">
        <v>45808</v>
      </c>
      <c r="C1006">
        <v>415004</v>
      </c>
      <c r="D1006">
        <v>-2794.7930000000001</v>
      </c>
      <c r="E1006" t="s">
        <v>6</v>
      </c>
      <c r="F1006" t="s">
        <v>50</v>
      </c>
      <c r="G1006" t="s">
        <v>7</v>
      </c>
    </row>
    <row r="1007" spans="1:7" x14ac:dyDescent="0.3">
      <c r="A1007" t="s">
        <v>21</v>
      </c>
      <c r="B1007" s="1">
        <v>45808</v>
      </c>
      <c r="C1007">
        <v>421002</v>
      </c>
      <c r="D1007">
        <v>56.722000000000001</v>
      </c>
      <c r="E1007" t="s">
        <v>6</v>
      </c>
      <c r="F1007" t="s">
        <v>52</v>
      </c>
      <c r="G1007" t="s">
        <v>7</v>
      </c>
    </row>
    <row r="1008" spans="1:7" x14ac:dyDescent="0.3">
      <c r="A1008" t="s">
        <v>21</v>
      </c>
      <c r="B1008" s="1">
        <v>45808</v>
      </c>
      <c r="C1008">
        <v>421003</v>
      </c>
      <c r="D1008">
        <v>-492.04300000000001</v>
      </c>
      <c r="E1008" t="s">
        <v>6</v>
      </c>
      <c r="F1008" t="s">
        <v>52</v>
      </c>
      <c r="G1008" t="s">
        <v>7</v>
      </c>
    </row>
    <row r="1009" spans="1:7" x14ac:dyDescent="0.3">
      <c r="A1009" t="s">
        <v>21</v>
      </c>
      <c r="B1009" s="1">
        <v>45808</v>
      </c>
      <c r="C1009">
        <v>421007</v>
      </c>
      <c r="D1009">
        <v>56.451999999999998</v>
      </c>
      <c r="E1009" t="s">
        <v>6</v>
      </c>
      <c r="F1009" t="s">
        <v>52</v>
      </c>
      <c r="G1009" t="s">
        <v>7</v>
      </c>
    </row>
    <row r="1010" spans="1:7" x14ac:dyDescent="0.3">
      <c r="A1010" t="s">
        <v>21</v>
      </c>
      <c r="B1010" s="1">
        <v>45808</v>
      </c>
      <c r="C1010">
        <v>510002</v>
      </c>
      <c r="D1010">
        <v>7839.5320000000002</v>
      </c>
      <c r="E1010" t="s">
        <v>6</v>
      </c>
      <c r="F1010" t="s">
        <v>53</v>
      </c>
      <c r="G1010" t="s">
        <v>7</v>
      </c>
    </row>
    <row r="1011" spans="1:7" x14ac:dyDescent="0.3">
      <c r="A1011" t="s">
        <v>21</v>
      </c>
      <c r="B1011" s="1">
        <v>45808</v>
      </c>
      <c r="C1011">
        <v>510007</v>
      </c>
      <c r="D1011">
        <v>17.635999999999999</v>
      </c>
      <c r="E1011" t="s">
        <v>6</v>
      </c>
      <c r="F1011" t="s">
        <v>53</v>
      </c>
      <c r="G1011" t="s">
        <v>7</v>
      </c>
    </row>
    <row r="1012" spans="1:7" x14ac:dyDescent="0.3">
      <c r="A1012" t="s">
        <v>21</v>
      </c>
      <c r="B1012" s="1">
        <v>45808</v>
      </c>
      <c r="C1012">
        <v>510015</v>
      </c>
      <c r="D1012">
        <v>1415.749</v>
      </c>
      <c r="E1012" t="s">
        <v>6</v>
      </c>
      <c r="F1012" t="s">
        <v>53</v>
      </c>
      <c r="G1012" t="s">
        <v>7</v>
      </c>
    </row>
    <row r="1013" spans="1:7" x14ac:dyDescent="0.3">
      <c r="A1013" t="s">
        <v>21</v>
      </c>
      <c r="B1013" s="1">
        <v>45808</v>
      </c>
      <c r="C1013">
        <v>510018</v>
      </c>
      <c r="D1013">
        <v>37.088000000000001</v>
      </c>
      <c r="E1013" t="s">
        <v>6</v>
      </c>
      <c r="F1013" t="s">
        <v>53</v>
      </c>
      <c r="G1013" t="s">
        <v>7</v>
      </c>
    </row>
    <row r="1014" spans="1:7" x14ac:dyDescent="0.3">
      <c r="A1014" t="s">
        <v>21</v>
      </c>
      <c r="B1014" s="1">
        <v>45808</v>
      </c>
      <c r="C1014">
        <v>510062</v>
      </c>
      <c r="D1014">
        <v>222.227</v>
      </c>
      <c r="E1014" t="s">
        <v>6</v>
      </c>
      <c r="F1014" t="s">
        <v>53</v>
      </c>
      <c r="G1014" t="s">
        <v>7</v>
      </c>
    </row>
    <row r="1015" spans="1:7" x14ac:dyDescent="0.3">
      <c r="A1015" t="s">
        <v>21</v>
      </c>
      <c r="B1015" s="1">
        <v>45808</v>
      </c>
      <c r="C1015">
        <v>510065</v>
      </c>
      <c r="D1015">
        <v>26.454999999999998</v>
      </c>
      <c r="E1015" t="s">
        <v>6</v>
      </c>
      <c r="F1015" t="s">
        <v>53</v>
      </c>
      <c r="G1015" t="s">
        <v>7</v>
      </c>
    </row>
    <row r="1016" spans="1:7" x14ac:dyDescent="0.3">
      <c r="A1016" t="s">
        <v>21</v>
      </c>
      <c r="B1016" s="1">
        <v>45808</v>
      </c>
      <c r="C1016">
        <v>541010</v>
      </c>
      <c r="D1016">
        <v>182.78899999999999</v>
      </c>
      <c r="E1016" t="s">
        <v>6</v>
      </c>
      <c r="F1016" t="s">
        <v>61</v>
      </c>
      <c r="G1016" t="s">
        <v>7</v>
      </c>
    </row>
    <row r="1017" spans="1:7" x14ac:dyDescent="0.3">
      <c r="A1017" t="s">
        <v>21</v>
      </c>
      <c r="B1017" s="1">
        <v>45808</v>
      </c>
      <c r="C1017">
        <v>546002</v>
      </c>
      <c r="D1017">
        <v>2655.0529999999999</v>
      </c>
      <c r="E1017" t="s">
        <v>6</v>
      </c>
      <c r="F1017" t="s">
        <v>51</v>
      </c>
      <c r="G1017" t="s">
        <v>7</v>
      </c>
    </row>
    <row r="1018" spans="1:7" x14ac:dyDescent="0.3">
      <c r="A1018" t="s">
        <v>21</v>
      </c>
      <c r="B1018" s="1">
        <v>45808</v>
      </c>
      <c r="C1018">
        <v>546008</v>
      </c>
      <c r="D1018">
        <v>1222.1030000000001</v>
      </c>
      <c r="E1018" t="s">
        <v>6</v>
      </c>
      <c r="F1018" t="s">
        <v>51</v>
      </c>
      <c r="G1018" t="s">
        <v>7</v>
      </c>
    </row>
    <row r="1019" spans="1:7" x14ac:dyDescent="0.3">
      <c r="A1019" t="s">
        <v>21</v>
      </c>
      <c r="B1019" s="1">
        <v>45808</v>
      </c>
      <c r="C1019">
        <v>552502</v>
      </c>
      <c r="D1019">
        <v>1428.9770000000001</v>
      </c>
      <c r="E1019" t="s">
        <v>6</v>
      </c>
      <c r="F1019" t="s">
        <v>55</v>
      </c>
      <c r="G1019" t="s">
        <v>7</v>
      </c>
    </row>
    <row r="1020" spans="1:7" x14ac:dyDescent="0.3">
      <c r="A1020" t="s">
        <v>21</v>
      </c>
      <c r="B1020" s="1">
        <v>45808</v>
      </c>
      <c r="C1020">
        <v>555508</v>
      </c>
      <c r="D1020">
        <v>143.88</v>
      </c>
      <c r="E1020" t="s">
        <v>6</v>
      </c>
      <c r="F1020" t="s">
        <v>55</v>
      </c>
      <c r="G1020" t="s">
        <v>7</v>
      </c>
    </row>
    <row r="1021" spans="1:7" x14ac:dyDescent="0.3">
      <c r="A1021" t="s">
        <v>21</v>
      </c>
      <c r="B1021" s="1">
        <v>45808</v>
      </c>
      <c r="C1021">
        <v>557002</v>
      </c>
      <c r="D1021">
        <v>1028.3209999999999</v>
      </c>
      <c r="E1021" t="s">
        <v>6</v>
      </c>
      <c r="F1021" t="s">
        <v>56</v>
      </c>
      <c r="G1021" t="s">
        <v>7</v>
      </c>
    </row>
    <row r="1022" spans="1:7" x14ac:dyDescent="0.3">
      <c r="A1022" t="s">
        <v>21</v>
      </c>
      <c r="B1022" s="1">
        <v>45808</v>
      </c>
      <c r="C1022">
        <v>564006</v>
      </c>
      <c r="D1022">
        <v>4.0000000000000001E-3</v>
      </c>
      <c r="E1022" t="s">
        <v>6</v>
      </c>
      <c r="F1022" t="s">
        <v>57</v>
      </c>
      <c r="G1022" t="s">
        <v>7</v>
      </c>
    </row>
    <row r="1023" spans="1:7" x14ac:dyDescent="0.3">
      <c r="A1023" t="s">
        <v>21</v>
      </c>
      <c r="B1023" s="1">
        <v>45808</v>
      </c>
      <c r="C1023">
        <v>564020</v>
      </c>
      <c r="D1023">
        <v>27.439</v>
      </c>
      <c r="E1023" t="s">
        <v>6</v>
      </c>
      <c r="F1023" t="s">
        <v>57</v>
      </c>
      <c r="G1023" t="s">
        <v>7</v>
      </c>
    </row>
    <row r="1024" spans="1:7" x14ac:dyDescent="0.3">
      <c r="A1024" t="s">
        <v>22</v>
      </c>
      <c r="B1024" s="1">
        <v>45808</v>
      </c>
      <c r="C1024">
        <v>220006</v>
      </c>
      <c r="D1024">
        <v>-66512.682000000001</v>
      </c>
      <c r="E1024" t="s">
        <v>4</v>
      </c>
      <c r="F1024" t="s">
        <v>42</v>
      </c>
      <c r="G1024" t="s">
        <v>8</v>
      </c>
    </row>
    <row r="1025" spans="1:7" x14ac:dyDescent="0.3">
      <c r="A1025" t="s">
        <v>22</v>
      </c>
      <c r="B1025" s="1">
        <v>45808</v>
      </c>
      <c r="C1025">
        <v>242003</v>
      </c>
      <c r="D1025">
        <v>-114237.65399999999</v>
      </c>
      <c r="E1025" t="s">
        <v>4</v>
      </c>
      <c r="F1025" t="s">
        <v>43</v>
      </c>
      <c r="G1025" t="s">
        <v>8</v>
      </c>
    </row>
    <row r="1026" spans="1:7" x14ac:dyDescent="0.3">
      <c r="A1026" t="s">
        <v>22</v>
      </c>
      <c r="B1026" s="1">
        <v>45808</v>
      </c>
      <c r="C1026">
        <v>242011</v>
      </c>
      <c r="D1026">
        <v>-818.36199999999997</v>
      </c>
      <c r="E1026" t="s">
        <v>4</v>
      </c>
      <c r="F1026" t="s">
        <v>43</v>
      </c>
      <c r="G1026" t="s">
        <v>8</v>
      </c>
    </row>
    <row r="1027" spans="1:7" x14ac:dyDescent="0.3">
      <c r="A1027" t="s">
        <v>22</v>
      </c>
      <c r="B1027" s="1">
        <v>45808</v>
      </c>
      <c r="C1027">
        <v>242016</v>
      </c>
      <c r="D1027">
        <v>-4511.2640000000001</v>
      </c>
      <c r="E1027" t="s">
        <v>4</v>
      </c>
      <c r="F1027" t="s">
        <v>43</v>
      </c>
      <c r="G1027" t="s">
        <v>8</v>
      </c>
    </row>
    <row r="1028" spans="1:7" x14ac:dyDescent="0.3">
      <c r="A1028" t="s">
        <v>22</v>
      </c>
      <c r="B1028" s="1">
        <v>45808</v>
      </c>
      <c r="C1028">
        <v>242027</v>
      </c>
      <c r="D1028">
        <v>-2904.0619999999999</v>
      </c>
      <c r="E1028" t="s">
        <v>4</v>
      </c>
      <c r="F1028" t="s">
        <v>43</v>
      </c>
      <c r="G1028" t="s">
        <v>8</v>
      </c>
    </row>
    <row r="1029" spans="1:7" x14ac:dyDescent="0.3">
      <c r="A1029" t="s">
        <v>22</v>
      </c>
      <c r="B1029" s="1">
        <v>45808</v>
      </c>
      <c r="C1029">
        <v>242039</v>
      </c>
      <c r="D1029">
        <v>-73.066000000000003</v>
      </c>
      <c r="E1029" t="s">
        <v>4</v>
      </c>
      <c r="F1029" t="s">
        <v>43</v>
      </c>
      <c r="G1029" t="s">
        <v>8</v>
      </c>
    </row>
    <row r="1030" spans="1:7" x14ac:dyDescent="0.3">
      <c r="A1030" t="s">
        <v>22</v>
      </c>
      <c r="B1030" s="1">
        <v>45808</v>
      </c>
      <c r="C1030">
        <v>242040</v>
      </c>
      <c r="D1030">
        <v>-580.49900000000002</v>
      </c>
      <c r="E1030" t="s">
        <v>4</v>
      </c>
      <c r="F1030" t="s">
        <v>43</v>
      </c>
      <c r="G1030" t="s">
        <v>8</v>
      </c>
    </row>
    <row r="1031" spans="1:7" x14ac:dyDescent="0.3">
      <c r="A1031" t="s">
        <v>22</v>
      </c>
      <c r="B1031" s="1">
        <v>45808</v>
      </c>
      <c r="C1031">
        <v>242041</v>
      </c>
      <c r="D1031">
        <v>-52.970999999999997</v>
      </c>
      <c r="E1031" t="s">
        <v>4</v>
      </c>
      <c r="F1031" t="s">
        <v>43</v>
      </c>
      <c r="G1031" t="s">
        <v>8</v>
      </c>
    </row>
    <row r="1032" spans="1:7" x14ac:dyDescent="0.3">
      <c r="A1032" t="s">
        <v>22</v>
      </c>
      <c r="B1032" s="1">
        <v>45808</v>
      </c>
      <c r="C1032">
        <v>243002</v>
      </c>
      <c r="D1032">
        <v>-2063.7069999999999</v>
      </c>
      <c r="E1032" t="s">
        <v>4</v>
      </c>
      <c r="F1032" t="s">
        <v>43</v>
      </c>
      <c r="G1032" t="s">
        <v>8</v>
      </c>
    </row>
    <row r="1033" spans="1:7" x14ac:dyDescent="0.3">
      <c r="A1033" t="s">
        <v>22</v>
      </c>
      <c r="B1033" s="1">
        <v>45808</v>
      </c>
      <c r="C1033">
        <v>243003</v>
      </c>
      <c r="D1033">
        <v>-6771.3410000000003</v>
      </c>
      <c r="E1033" t="s">
        <v>4</v>
      </c>
      <c r="F1033" t="s">
        <v>43</v>
      </c>
      <c r="G1033" t="s">
        <v>8</v>
      </c>
    </row>
    <row r="1034" spans="1:7" x14ac:dyDescent="0.3">
      <c r="A1034" t="s">
        <v>22</v>
      </c>
      <c r="B1034" s="1">
        <v>45808</v>
      </c>
      <c r="C1034">
        <v>243010</v>
      </c>
      <c r="D1034">
        <v>-80.994</v>
      </c>
      <c r="E1034" t="s">
        <v>4</v>
      </c>
      <c r="F1034" t="s">
        <v>43</v>
      </c>
      <c r="G1034" t="s">
        <v>8</v>
      </c>
    </row>
    <row r="1035" spans="1:7" x14ac:dyDescent="0.3">
      <c r="A1035" t="s">
        <v>22</v>
      </c>
      <c r="B1035" s="1">
        <v>45808</v>
      </c>
      <c r="C1035">
        <v>245055</v>
      </c>
      <c r="D1035">
        <v>-213.69</v>
      </c>
      <c r="E1035" t="s">
        <v>4</v>
      </c>
      <c r="F1035" t="s">
        <v>43</v>
      </c>
      <c r="G1035" t="s">
        <v>8</v>
      </c>
    </row>
    <row r="1036" spans="1:7" x14ac:dyDescent="0.3">
      <c r="A1036" t="s">
        <v>22</v>
      </c>
      <c r="B1036" s="1">
        <v>45808</v>
      </c>
      <c r="C1036">
        <v>245056</v>
      </c>
      <c r="D1036">
        <v>-585.50599999999997</v>
      </c>
      <c r="E1036" t="s">
        <v>4</v>
      </c>
      <c r="F1036" t="s">
        <v>49</v>
      </c>
      <c r="G1036" t="s">
        <v>8</v>
      </c>
    </row>
    <row r="1037" spans="1:7" x14ac:dyDescent="0.3">
      <c r="A1037" t="s">
        <v>22</v>
      </c>
      <c r="B1037" s="1">
        <v>45808</v>
      </c>
      <c r="C1037">
        <v>245062</v>
      </c>
      <c r="D1037">
        <v>-488.06700000000001</v>
      </c>
      <c r="E1037" t="s">
        <v>4</v>
      </c>
      <c r="F1037" t="s">
        <v>43</v>
      </c>
      <c r="G1037" t="s">
        <v>8</v>
      </c>
    </row>
    <row r="1038" spans="1:7" x14ac:dyDescent="0.3">
      <c r="A1038" t="s">
        <v>22</v>
      </c>
      <c r="B1038" s="1">
        <v>45808</v>
      </c>
      <c r="C1038">
        <v>251003</v>
      </c>
      <c r="D1038">
        <v>-6416.8370000000004</v>
      </c>
      <c r="E1038" t="s">
        <v>4</v>
      </c>
      <c r="F1038" t="s">
        <v>45</v>
      </c>
      <c r="G1038" t="s">
        <v>8</v>
      </c>
    </row>
    <row r="1039" spans="1:7" x14ac:dyDescent="0.3">
      <c r="A1039" t="s">
        <v>22</v>
      </c>
      <c r="B1039" s="1">
        <v>45808</v>
      </c>
      <c r="C1039">
        <v>257030</v>
      </c>
      <c r="D1039">
        <v>-3271.2840000000001</v>
      </c>
      <c r="E1039" t="s">
        <v>4</v>
      </c>
      <c r="F1039" t="s">
        <v>45</v>
      </c>
      <c r="G1039" t="s">
        <v>8</v>
      </c>
    </row>
    <row r="1040" spans="1:7" x14ac:dyDescent="0.3">
      <c r="A1040" t="s">
        <v>22</v>
      </c>
      <c r="B1040" s="1">
        <v>45808</v>
      </c>
      <c r="C1040">
        <v>260004</v>
      </c>
      <c r="D1040">
        <v>-11151.465</v>
      </c>
      <c r="E1040" t="s">
        <v>4</v>
      </c>
      <c r="F1040" t="s">
        <v>45</v>
      </c>
      <c r="G1040" t="s">
        <v>8</v>
      </c>
    </row>
    <row r="1041" spans="1:7" x14ac:dyDescent="0.3">
      <c r="A1041" t="s">
        <v>22</v>
      </c>
      <c r="B1041" s="1">
        <v>45808</v>
      </c>
      <c r="C1041">
        <v>270024</v>
      </c>
      <c r="D1041">
        <v>-13605.377</v>
      </c>
      <c r="E1041" t="s">
        <v>4</v>
      </c>
      <c r="F1041" t="s">
        <v>58</v>
      </c>
      <c r="G1041" t="s">
        <v>8</v>
      </c>
    </row>
    <row r="1042" spans="1:7" x14ac:dyDescent="0.3">
      <c r="A1042" t="s">
        <v>22</v>
      </c>
      <c r="B1042" s="1">
        <v>45808</v>
      </c>
      <c r="C1042">
        <v>270025</v>
      </c>
      <c r="D1042">
        <v>-1101.633</v>
      </c>
      <c r="E1042" t="s">
        <v>4</v>
      </c>
      <c r="F1042" t="s">
        <v>58</v>
      </c>
      <c r="G1042" t="s">
        <v>8</v>
      </c>
    </row>
    <row r="1043" spans="1:7" x14ac:dyDescent="0.3">
      <c r="A1043" t="s">
        <v>22</v>
      </c>
      <c r="B1043" s="1">
        <v>45808</v>
      </c>
      <c r="C1043">
        <v>270026</v>
      </c>
      <c r="D1043">
        <v>-389.78300000000002</v>
      </c>
      <c r="E1043" t="s">
        <v>4</v>
      </c>
      <c r="F1043" t="s">
        <v>58</v>
      </c>
      <c r="G1043" t="s">
        <v>8</v>
      </c>
    </row>
    <row r="1044" spans="1:7" x14ac:dyDescent="0.3">
      <c r="A1044" t="s">
        <v>22</v>
      </c>
      <c r="B1044" s="1">
        <v>45808</v>
      </c>
      <c r="C1044">
        <v>320002</v>
      </c>
      <c r="D1044">
        <v>69525.994000000006</v>
      </c>
      <c r="E1044" t="s">
        <v>4</v>
      </c>
      <c r="F1044" t="s">
        <v>46</v>
      </c>
      <c r="G1044" t="s">
        <v>8</v>
      </c>
    </row>
    <row r="1045" spans="1:7" x14ac:dyDescent="0.3">
      <c r="A1045" t="s">
        <v>22</v>
      </c>
      <c r="B1045" s="1">
        <v>45808</v>
      </c>
      <c r="C1045">
        <v>321002</v>
      </c>
      <c r="D1045">
        <v>24099.409</v>
      </c>
      <c r="E1045" t="s">
        <v>4</v>
      </c>
      <c r="F1045" t="s">
        <v>46</v>
      </c>
      <c r="G1045" t="s">
        <v>8</v>
      </c>
    </row>
    <row r="1046" spans="1:7" x14ac:dyDescent="0.3">
      <c r="A1046" t="s">
        <v>22</v>
      </c>
      <c r="B1046" s="1">
        <v>45808</v>
      </c>
      <c r="C1046">
        <v>321029</v>
      </c>
      <c r="D1046">
        <v>798.24599999999998</v>
      </c>
      <c r="E1046" t="s">
        <v>4</v>
      </c>
      <c r="F1046" t="s">
        <v>46</v>
      </c>
      <c r="G1046" t="s">
        <v>8</v>
      </c>
    </row>
    <row r="1047" spans="1:7" x14ac:dyDescent="0.3">
      <c r="A1047" t="s">
        <v>22</v>
      </c>
      <c r="B1047" s="1">
        <v>45808</v>
      </c>
      <c r="C1047">
        <v>330116</v>
      </c>
      <c r="D1047">
        <v>209.68</v>
      </c>
      <c r="E1047" t="s">
        <v>4</v>
      </c>
      <c r="F1047" t="s">
        <v>43</v>
      </c>
      <c r="G1047" t="s">
        <v>8</v>
      </c>
    </row>
    <row r="1048" spans="1:7" x14ac:dyDescent="0.3">
      <c r="A1048" t="s">
        <v>22</v>
      </c>
      <c r="B1048" s="1">
        <v>45808</v>
      </c>
      <c r="C1048">
        <v>330137</v>
      </c>
      <c r="D1048">
        <v>-3755.8180000000002</v>
      </c>
      <c r="E1048" t="s">
        <v>4</v>
      </c>
      <c r="F1048" t="s">
        <v>43</v>
      </c>
      <c r="G1048" t="s">
        <v>8</v>
      </c>
    </row>
    <row r="1049" spans="1:7" x14ac:dyDescent="0.3">
      <c r="A1049" t="s">
        <v>22</v>
      </c>
      <c r="B1049" s="1">
        <v>45808</v>
      </c>
      <c r="C1049">
        <v>340208</v>
      </c>
      <c r="D1049">
        <v>72373.510999999999</v>
      </c>
      <c r="E1049" t="s">
        <v>4</v>
      </c>
      <c r="F1049" t="s">
        <v>47</v>
      </c>
      <c r="G1049" t="s">
        <v>8</v>
      </c>
    </row>
    <row r="1050" spans="1:7" x14ac:dyDescent="0.3">
      <c r="A1050" t="s">
        <v>22</v>
      </c>
      <c r="B1050" s="1">
        <v>45808</v>
      </c>
      <c r="C1050">
        <v>350002</v>
      </c>
      <c r="D1050">
        <v>3755.8180000000002</v>
      </c>
      <c r="E1050" t="s">
        <v>4</v>
      </c>
      <c r="F1050" t="s">
        <v>49</v>
      </c>
      <c r="G1050" t="s">
        <v>8</v>
      </c>
    </row>
    <row r="1051" spans="1:7" x14ac:dyDescent="0.3">
      <c r="A1051" t="s">
        <v>22</v>
      </c>
      <c r="B1051" s="1">
        <v>45808</v>
      </c>
      <c r="C1051">
        <v>350003</v>
      </c>
      <c r="D1051">
        <v>-2107.9540000000002</v>
      </c>
      <c r="E1051" t="s">
        <v>4</v>
      </c>
      <c r="F1051" t="s">
        <v>49</v>
      </c>
      <c r="G1051" t="s">
        <v>8</v>
      </c>
    </row>
    <row r="1052" spans="1:7" x14ac:dyDescent="0.3">
      <c r="A1052" t="s">
        <v>22</v>
      </c>
      <c r="B1052" s="1">
        <v>45808</v>
      </c>
      <c r="C1052">
        <v>350034</v>
      </c>
      <c r="D1052">
        <v>585.50599999999997</v>
      </c>
      <c r="E1052" t="s">
        <v>4</v>
      </c>
      <c r="F1052" t="s">
        <v>49</v>
      </c>
      <c r="G1052" t="s">
        <v>8</v>
      </c>
    </row>
    <row r="1053" spans="1:7" x14ac:dyDescent="0.3">
      <c r="A1053" t="s">
        <v>22</v>
      </c>
      <c r="B1053" s="1">
        <v>45808</v>
      </c>
      <c r="C1053">
        <v>354015</v>
      </c>
      <c r="D1053">
        <v>43505.205000000002</v>
      </c>
      <c r="E1053" t="s">
        <v>4</v>
      </c>
      <c r="F1053" t="s">
        <v>46</v>
      </c>
      <c r="G1053" t="s">
        <v>8</v>
      </c>
    </row>
    <row r="1054" spans="1:7" x14ac:dyDescent="0.3">
      <c r="A1054" t="s">
        <v>22</v>
      </c>
      <c r="B1054" s="1">
        <v>45808</v>
      </c>
      <c r="C1054">
        <v>355002</v>
      </c>
      <c r="D1054">
        <v>39.017000000000003</v>
      </c>
      <c r="E1054" t="s">
        <v>4</v>
      </c>
      <c r="F1054" t="s">
        <v>49</v>
      </c>
      <c r="G1054" t="s">
        <v>8</v>
      </c>
    </row>
    <row r="1055" spans="1:7" x14ac:dyDescent="0.3">
      <c r="A1055" t="s">
        <v>22</v>
      </c>
      <c r="B1055" s="1">
        <v>45808</v>
      </c>
      <c r="C1055">
        <v>360026</v>
      </c>
      <c r="D1055">
        <v>15381.842000000001</v>
      </c>
      <c r="E1055" t="s">
        <v>4</v>
      </c>
      <c r="F1055" t="s">
        <v>58</v>
      </c>
      <c r="G1055" t="s">
        <v>8</v>
      </c>
    </row>
    <row r="1056" spans="1:7" x14ac:dyDescent="0.3">
      <c r="A1056" t="s">
        <v>22</v>
      </c>
      <c r="B1056" s="1">
        <v>45808</v>
      </c>
      <c r="C1056">
        <v>360028</v>
      </c>
      <c r="D1056">
        <v>14410.351000000001</v>
      </c>
      <c r="E1056" t="s">
        <v>4</v>
      </c>
      <c r="F1056" t="s">
        <v>58</v>
      </c>
      <c r="G1056" t="s">
        <v>8</v>
      </c>
    </row>
    <row r="1057" spans="1:7" x14ac:dyDescent="0.3">
      <c r="A1057" t="s">
        <v>22</v>
      </c>
      <c r="B1057" s="1">
        <v>45808</v>
      </c>
      <c r="C1057">
        <v>372004</v>
      </c>
      <c r="D1057">
        <v>153.66900000000001</v>
      </c>
      <c r="E1057" t="s">
        <v>4</v>
      </c>
      <c r="F1057" t="s">
        <v>45</v>
      </c>
      <c r="G1057" t="s">
        <v>8</v>
      </c>
    </row>
    <row r="1058" spans="1:7" x14ac:dyDescent="0.3">
      <c r="A1058" t="s">
        <v>22</v>
      </c>
      <c r="B1058" s="1">
        <v>45808</v>
      </c>
      <c r="C1058">
        <v>400002</v>
      </c>
      <c r="D1058">
        <v>-14261.112999999999</v>
      </c>
      <c r="E1058" t="s">
        <v>6</v>
      </c>
      <c r="F1058" t="s">
        <v>50</v>
      </c>
      <c r="G1058" t="s">
        <v>8</v>
      </c>
    </row>
    <row r="1059" spans="1:7" x14ac:dyDescent="0.3">
      <c r="A1059" t="s">
        <v>22</v>
      </c>
      <c r="B1059" s="1">
        <v>45808</v>
      </c>
      <c r="C1059">
        <v>400004</v>
      </c>
      <c r="D1059">
        <v>-33436.317000000003</v>
      </c>
      <c r="E1059" t="s">
        <v>6</v>
      </c>
      <c r="F1059" t="s">
        <v>50</v>
      </c>
      <c r="G1059" t="s">
        <v>8</v>
      </c>
    </row>
    <row r="1060" spans="1:7" x14ac:dyDescent="0.3">
      <c r="A1060" t="s">
        <v>22</v>
      </c>
      <c r="B1060" s="1">
        <v>45808</v>
      </c>
      <c r="C1060">
        <v>410002</v>
      </c>
      <c r="D1060">
        <v>-5017.1949999999997</v>
      </c>
      <c r="E1060" t="s">
        <v>6</v>
      </c>
      <c r="F1060" t="s">
        <v>51</v>
      </c>
      <c r="G1060" t="s">
        <v>8</v>
      </c>
    </row>
    <row r="1061" spans="1:7" x14ac:dyDescent="0.3">
      <c r="A1061" t="s">
        <v>22</v>
      </c>
      <c r="B1061" s="1">
        <v>45808</v>
      </c>
      <c r="C1061">
        <v>421002</v>
      </c>
      <c r="D1061">
        <v>-5.0000000000000001E-3</v>
      </c>
      <c r="E1061" t="s">
        <v>6</v>
      </c>
      <c r="F1061" t="s">
        <v>52</v>
      </c>
      <c r="G1061" t="s">
        <v>8</v>
      </c>
    </row>
    <row r="1062" spans="1:7" x14ac:dyDescent="0.3">
      <c r="A1062" t="s">
        <v>22</v>
      </c>
      <c r="B1062" s="1">
        <v>45808</v>
      </c>
      <c r="C1062">
        <v>421003</v>
      </c>
      <c r="D1062">
        <v>41.33</v>
      </c>
      <c r="E1062" t="s">
        <v>6</v>
      </c>
      <c r="F1062" t="s">
        <v>52</v>
      </c>
      <c r="G1062" t="s">
        <v>8</v>
      </c>
    </row>
    <row r="1063" spans="1:7" x14ac:dyDescent="0.3">
      <c r="A1063" t="s">
        <v>22</v>
      </c>
      <c r="B1063" s="1">
        <v>45808</v>
      </c>
      <c r="C1063">
        <v>421007</v>
      </c>
      <c r="D1063">
        <v>5.0000000000000001E-3</v>
      </c>
      <c r="E1063" t="s">
        <v>6</v>
      </c>
      <c r="F1063" t="s">
        <v>52</v>
      </c>
      <c r="G1063" t="s">
        <v>8</v>
      </c>
    </row>
    <row r="1064" spans="1:7" x14ac:dyDescent="0.3">
      <c r="A1064" t="s">
        <v>22</v>
      </c>
      <c r="B1064" s="1">
        <v>45808</v>
      </c>
      <c r="C1064">
        <v>510002</v>
      </c>
      <c r="D1064">
        <v>7630.924</v>
      </c>
      <c r="E1064" t="s">
        <v>6</v>
      </c>
      <c r="F1064" t="s">
        <v>53</v>
      </c>
      <c r="G1064" t="s">
        <v>8</v>
      </c>
    </row>
    <row r="1065" spans="1:7" x14ac:dyDescent="0.3">
      <c r="A1065" t="s">
        <v>22</v>
      </c>
      <c r="B1065" s="1">
        <v>45808</v>
      </c>
      <c r="C1065">
        <v>510005</v>
      </c>
      <c r="D1065">
        <v>623.154</v>
      </c>
      <c r="E1065" t="s">
        <v>6</v>
      </c>
      <c r="F1065" t="s">
        <v>53</v>
      </c>
      <c r="G1065" t="s">
        <v>8</v>
      </c>
    </row>
    <row r="1066" spans="1:7" x14ac:dyDescent="0.3">
      <c r="A1066" t="s">
        <v>22</v>
      </c>
      <c r="B1066" s="1">
        <v>45808</v>
      </c>
      <c r="C1066">
        <v>510007</v>
      </c>
      <c r="D1066">
        <v>480.45699999999999</v>
      </c>
      <c r="E1066" t="s">
        <v>6</v>
      </c>
      <c r="F1066" t="s">
        <v>53</v>
      </c>
      <c r="G1066" t="s">
        <v>8</v>
      </c>
    </row>
    <row r="1067" spans="1:7" x14ac:dyDescent="0.3">
      <c r="A1067" t="s">
        <v>22</v>
      </c>
      <c r="B1067" s="1">
        <v>45808</v>
      </c>
      <c r="C1067">
        <v>510015</v>
      </c>
      <c r="D1067">
        <v>1402.9639999999999</v>
      </c>
      <c r="E1067" t="s">
        <v>6</v>
      </c>
      <c r="F1067" t="s">
        <v>53</v>
      </c>
      <c r="G1067" t="s">
        <v>8</v>
      </c>
    </row>
    <row r="1068" spans="1:7" x14ac:dyDescent="0.3">
      <c r="A1068" t="s">
        <v>22</v>
      </c>
      <c r="B1068" s="1">
        <v>45808</v>
      </c>
      <c r="C1068">
        <v>510065</v>
      </c>
      <c r="D1068">
        <v>291.02199999999999</v>
      </c>
      <c r="E1068" t="s">
        <v>6</v>
      </c>
      <c r="F1068" t="s">
        <v>53</v>
      </c>
      <c r="G1068" t="s">
        <v>8</v>
      </c>
    </row>
    <row r="1069" spans="1:7" x14ac:dyDescent="0.3">
      <c r="A1069" t="s">
        <v>22</v>
      </c>
      <c r="B1069" s="1">
        <v>45808</v>
      </c>
      <c r="C1069">
        <v>541009</v>
      </c>
      <c r="D1069">
        <v>183.47200000000001</v>
      </c>
      <c r="E1069" t="s">
        <v>6</v>
      </c>
      <c r="F1069" t="s">
        <v>61</v>
      </c>
      <c r="G1069" t="s">
        <v>8</v>
      </c>
    </row>
    <row r="1070" spans="1:7" x14ac:dyDescent="0.3">
      <c r="A1070" t="s">
        <v>22</v>
      </c>
      <c r="B1070" s="1">
        <v>45808</v>
      </c>
      <c r="C1070">
        <v>541010</v>
      </c>
      <c r="D1070">
        <v>1229.489</v>
      </c>
      <c r="E1070" t="s">
        <v>6</v>
      </c>
      <c r="F1070" t="s">
        <v>61</v>
      </c>
      <c r="G1070" t="s">
        <v>8</v>
      </c>
    </row>
    <row r="1071" spans="1:7" x14ac:dyDescent="0.3">
      <c r="A1071" t="s">
        <v>22</v>
      </c>
      <c r="B1071" s="1">
        <v>45808</v>
      </c>
      <c r="C1071">
        <v>546002</v>
      </c>
      <c r="D1071">
        <v>29423.957999999999</v>
      </c>
      <c r="E1071" t="s">
        <v>6</v>
      </c>
      <c r="F1071" t="s">
        <v>51</v>
      </c>
      <c r="G1071" t="s">
        <v>8</v>
      </c>
    </row>
    <row r="1072" spans="1:7" x14ac:dyDescent="0.3">
      <c r="A1072" t="s">
        <v>22</v>
      </c>
      <c r="B1072" s="1">
        <v>45808</v>
      </c>
      <c r="C1072">
        <v>546035</v>
      </c>
      <c r="D1072">
        <v>512.96100000000001</v>
      </c>
      <c r="E1072" t="s">
        <v>6</v>
      </c>
      <c r="F1072" t="s">
        <v>51</v>
      </c>
      <c r="G1072" t="s">
        <v>8</v>
      </c>
    </row>
    <row r="1073" spans="1:7" x14ac:dyDescent="0.3">
      <c r="A1073" t="s">
        <v>22</v>
      </c>
      <c r="B1073" s="1">
        <v>45808</v>
      </c>
      <c r="C1073">
        <v>546045</v>
      </c>
      <c r="D1073">
        <v>-199.09</v>
      </c>
      <c r="E1073" t="s">
        <v>6</v>
      </c>
      <c r="F1073" t="s">
        <v>51</v>
      </c>
      <c r="G1073" t="s">
        <v>8</v>
      </c>
    </row>
    <row r="1074" spans="1:7" x14ac:dyDescent="0.3">
      <c r="A1074" t="s">
        <v>22</v>
      </c>
      <c r="B1074" s="1">
        <v>45808</v>
      </c>
      <c r="C1074">
        <v>550002</v>
      </c>
      <c r="D1074">
        <v>6665.76</v>
      </c>
      <c r="E1074" t="s">
        <v>6</v>
      </c>
      <c r="F1074" t="s">
        <v>62</v>
      </c>
      <c r="G1074" t="s">
        <v>8</v>
      </c>
    </row>
    <row r="1075" spans="1:7" x14ac:dyDescent="0.3">
      <c r="A1075" t="s">
        <v>22</v>
      </c>
      <c r="B1075" s="1">
        <v>45808</v>
      </c>
      <c r="C1075">
        <v>552502</v>
      </c>
      <c r="D1075">
        <v>76.816999999999993</v>
      </c>
      <c r="E1075" t="s">
        <v>6</v>
      </c>
      <c r="F1075" t="s">
        <v>55</v>
      </c>
      <c r="G1075" t="s">
        <v>8</v>
      </c>
    </row>
    <row r="1076" spans="1:7" x14ac:dyDescent="0.3">
      <c r="A1076" t="s">
        <v>22</v>
      </c>
      <c r="B1076" s="1">
        <v>45808</v>
      </c>
      <c r="C1076">
        <v>556002</v>
      </c>
      <c r="D1076">
        <v>6.9429999999999996</v>
      </c>
      <c r="E1076" t="s">
        <v>6</v>
      </c>
      <c r="F1076" t="s">
        <v>60</v>
      </c>
      <c r="G1076" t="s">
        <v>8</v>
      </c>
    </row>
    <row r="1077" spans="1:7" x14ac:dyDescent="0.3">
      <c r="A1077" t="s">
        <v>22</v>
      </c>
      <c r="B1077" s="1">
        <v>45808</v>
      </c>
      <c r="C1077">
        <v>557002</v>
      </c>
      <c r="D1077">
        <v>1102.896</v>
      </c>
      <c r="E1077" t="s">
        <v>6</v>
      </c>
      <c r="F1077" t="s">
        <v>56</v>
      </c>
      <c r="G1077" t="s">
        <v>8</v>
      </c>
    </row>
    <row r="1078" spans="1:7" x14ac:dyDescent="0.3">
      <c r="A1078" t="s">
        <v>22</v>
      </c>
      <c r="B1078" s="1">
        <v>45808</v>
      </c>
      <c r="C1078">
        <v>558012</v>
      </c>
      <c r="D1078">
        <v>1.091</v>
      </c>
      <c r="E1078" t="s">
        <v>6</v>
      </c>
      <c r="F1078" t="s">
        <v>60</v>
      </c>
      <c r="G1078" t="s">
        <v>8</v>
      </c>
    </row>
    <row r="1079" spans="1:7" x14ac:dyDescent="0.3">
      <c r="A1079" t="s">
        <v>22</v>
      </c>
      <c r="B1079" s="1">
        <v>45808</v>
      </c>
      <c r="C1079">
        <v>564020</v>
      </c>
      <c r="D1079">
        <v>145.27099999999999</v>
      </c>
      <c r="E1079" t="s">
        <v>6</v>
      </c>
      <c r="F1079" t="s">
        <v>57</v>
      </c>
      <c r="G1079" t="s">
        <v>8</v>
      </c>
    </row>
    <row r="1080" spans="1:7" x14ac:dyDescent="0.3">
      <c r="A1080" t="s">
        <v>23</v>
      </c>
      <c r="B1080" s="1">
        <v>45808</v>
      </c>
      <c r="C1080">
        <v>220006</v>
      </c>
      <c r="D1080">
        <v>3554.5909999999999</v>
      </c>
      <c r="E1080" t="s">
        <v>4</v>
      </c>
      <c r="F1080" t="s">
        <v>42</v>
      </c>
      <c r="G1080" t="s">
        <v>5</v>
      </c>
    </row>
    <row r="1081" spans="1:7" x14ac:dyDescent="0.3">
      <c r="A1081" t="s">
        <v>23</v>
      </c>
      <c r="B1081" s="1">
        <v>45808</v>
      </c>
      <c r="C1081">
        <v>240002</v>
      </c>
      <c r="D1081">
        <v>-2884.4639999999999</v>
      </c>
      <c r="E1081" t="s">
        <v>4</v>
      </c>
      <c r="F1081" t="s">
        <v>43</v>
      </c>
      <c r="G1081" t="s">
        <v>5</v>
      </c>
    </row>
    <row r="1082" spans="1:7" x14ac:dyDescent="0.3">
      <c r="A1082" t="s">
        <v>23</v>
      </c>
      <c r="B1082" s="1">
        <v>45808</v>
      </c>
      <c r="C1082">
        <v>242003</v>
      </c>
      <c r="D1082">
        <v>-19086.62</v>
      </c>
      <c r="E1082" t="s">
        <v>4</v>
      </c>
      <c r="F1082" t="s">
        <v>43</v>
      </c>
      <c r="G1082" t="s">
        <v>5</v>
      </c>
    </row>
    <row r="1083" spans="1:7" x14ac:dyDescent="0.3">
      <c r="A1083" t="s">
        <v>23</v>
      </c>
      <c r="B1083" s="1">
        <v>45808</v>
      </c>
      <c r="C1083">
        <v>242019</v>
      </c>
      <c r="D1083">
        <v>-32016.594000000001</v>
      </c>
      <c r="E1083" t="s">
        <v>4</v>
      </c>
      <c r="F1083" t="s">
        <v>43</v>
      </c>
      <c r="G1083" t="s">
        <v>5</v>
      </c>
    </row>
    <row r="1084" spans="1:7" x14ac:dyDescent="0.3">
      <c r="A1084" t="s">
        <v>23</v>
      </c>
      <c r="B1084" s="1">
        <v>45808</v>
      </c>
      <c r="C1084">
        <v>242041</v>
      </c>
      <c r="D1084">
        <v>4.1920000000000002</v>
      </c>
      <c r="E1084" t="s">
        <v>4</v>
      </c>
      <c r="F1084" t="s">
        <v>43</v>
      </c>
      <c r="G1084" t="s">
        <v>5</v>
      </c>
    </row>
    <row r="1085" spans="1:7" x14ac:dyDescent="0.3">
      <c r="A1085" t="s">
        <v>23</v>
      </c>
      <c r="B1085" s="1">
        <v>45808</v>
      </c>
      <c r="C1085">
        <v>243002</v>
      </c>
      <c r="D1085">
        <v>-7205.5929999999998</v>
      </c>
      <c r="E1085" t="s">
        <v>4</v>
      </c>
      <c r="F1085" t="s">
        <v>43</v>
      </c>
      <c r="G1085" t="s">
        <v>5</v>
      </c>
    </row>
    <row r="1086" spans="1:7" x14ac:dyDescent="0.3">
      <c r="A1086" t="s">
        <v>23</v>
      </c>
      <c r="B1086" s="1">
        <v>45808</v>
      </c>
      <c r="C1086">
        <v>251003</v>
      </c>
      <c r="D1086">
        <v>-21650.606</v>
      </c>
      <c r="E1086" t="s">
        <v>4</v>
      </c>
      <c r="F1086" t="s">
        <v>45</v>
      </c>
      <c r="G1086" t="s">
        <v>5</v>
      </c>
    </row>
    <row r="1087" spans="1:7" x14ac:dyDescent="0.3">
      <c r="A1087" t="s">
        <v>23</v>
      </c>
      <c r="B1087" s="1">
        <v>45808</v>
      </c>
      <c r="C1087">
        <v>251005</v>
      </c>
      <c r="D1087">
        <v>1480.492</v>
      </c>
      <c r="E1087" t="s">
        <v>4</v>
      </c>
      <c r="F1087" t="s">
        <v>46</v>
      </c>
      <c r="G1087" t="s">
        <v>5</v>
      </c>
    </row>
    <row r="1088" spans="1:7" x14ac:dyDescent="0.3">
      <c r="A1088" t="s">
        <v>23</v>
      </c>
      <c r="B1088" s="1">
        <v>45808</v>
      </c>
      <c r="C1088">
        <v>260004</v>
      </c>
      <c r="D1088">
        <v>-1602.6110000000001</v>
      </c>
      <c r="E1088" t="s">
        <v>4</v>
      </c>
      <c r="F1088" t="s">
        <v>45</v>
      </c>
      <c r="G1088" t="s">
        <v>5</v>
      </c>
    </row>
    <row r="1089" spans="1:7" x14ac:dyDescent="0.3">
      <c r="A1089" t="s">
        <v>23</v>
      </c>
      <c r="B1089" s="1">
        <v>45808</v>
      </c>
      <c r="C1089">
        <v>320002</v>
      </c>
      <c r="D1089">
        <v>7897.3519999999999</v>
      </c>
      <c r="E1089" t="s">
        <v>4</v>
      </c>
      <c r="F1089" t="s">
        <v>46</v>
      </c>
      <c r="G1089" t="s">
        <v>5</v>
      </c>
    </row>
    <row r="1090" spans="1:7" x14ac:dyDescent="0.3">
      <c r="A1090" t="s">
        <v>23</v>
      </c>
      <c r="B1090" s="1">
        <v>45808</v>
      </c>
      <c r="C1090">
        <v>340314</v>
      </c>
      <c r="D1090">
        <v>12465.102000000001</v>
      </c>
      <c r="E1090" t="s">
        <v>4</v>
      </c>
      <c r="F1090" t="s">
        <v>47</v>
      </c>
      <c r="G1090" t="s">
        <v>5</v>
      </c>
    </row>
    <row r="1091" spans="1:7" x14ac:dyDescent="0.3">
      <c r="A1091" t="s">
        <v>23</v>
      </c>
      <c r="B1091" s="1">
        <v>45808</v>
      </c>
      <c r="C1091">
        <v>354013</v>
      </c>
      <c r="D1091">
        <v>36749.538999999997</v>
      </c>
      <c r="E1091" t="s">
        <v>4</v>
      </c>
      <c r="F1091" t="s">
        <v>46</v>
      </c>
      <c r="G1091" t="s">
        <v>5</v>
      </c>
    </row>
    <row r="1092" spans="1:7" x14ac:dyDescent="0.3">
      <c r="A1092" t="s">
        <v>23</v>
      </c>
      <c r="B1092" s="1">
        <v>45808</v>
      </c>
      <c r="C1092">
        <v>355013</v>
      </c>
      <c r="D1092">
        <v>2641.6979999999999</v>
      </c>
      <c r="E1092" t="s">
        <v>4</v>
      </c>
      <c r="F1092" t="s">
        <v>49</v>
      </c>
      <c r="G1092" t="s">
        <v>5</v>
      </c>
    </row>
    <row r="1093" spans="1:7" x14ac:dyDescent="0.3">
      <c r="A1093" t="s">
        <v>23</v>
      </c>
      <c r="B1093" s="1">
        <v>45808</v>
      </c>
      <c r="C1093">
        <v>372004</v>
      </c>
      <c r="D1093">
        <v>1734.0350000000001</v>
      </c>
      <c r="E1093" t="s">
        <v>4</v>
      </c>
      <c r="F1093" t="s">
        <v>45</v>
      </c>
      <c r="G1093" t="s">
        <v>5</v>
      </c>
    </row>
    <row r="1094" spans="1:7" x14ac:dyDescent="0.3">
      <c r="A1094" t="s">
        <v>23</v>
      </c>
      <c r="B1094" s="1">
        <v>45808</v>
      </c>
      <c r="C1094">
        <v>400002</v>
      </c>
      <c r="D1094">
        <v>-3379.069</v>
      </c>
      <c r="E1094" t="s">
        <v>6</v>
      </c>
      <c r="F1094" t="s">
        <v>50</v>
      </c>
      <c r="G1094" t="s">
        <v>5</v>
      </c>
    </row>
    <row r="1095" spans="1:7" x14ac:dyDescent="0.3">
      <c r="A1095" t="s">
        <v>23</v>
      </c>
      <c r="B1095" s="1">
        <v>45808</v>
      </c>
      <c r="C1095">
        <v>400004</v>
      </c>
      <c r="D1095">
        <v>1561.2470000000001</v>
      </c>
      <c r="E1095" t="s">
        <v>6</v>
      </c>
      <c r="F1095" t="s">
        <v>50</v>
      </c>
      <c r="G1095" t="s">
        <v>5</v>
      </c>
    </row>
    <row r="1096" spans="1:7" x14ac:dyDescent="0.3">
      <c r="A1096" t="s">
        <v>23</v>
      </c>
      <c r="B1096" s="1">
        <v>45808</v>
      </c>
      <c r="C1096">
        <v>421003</v>
      </c>
      <c r="D1096">
        <v>-0.47399999999999998</v>
      </c>
      <c r="E1096" t="s">
        <v>6</v>
      </c>
      <c r="F1096" t="s">
        <v>52</v>
      </c>
      <c r="G1096" t="s">
        <v>5</v>
      </c>
    </row>
    <row r="1097" spans="1:7" x14ac:dyDescent="0.3">
      <c r="A1097" t="s">
        <v>23</v>
      </c>
      <c r="B1097" s="1">
        <v>45808</v>
      </c>
      <c r="C1097">
        <v>546002</v>
      </c>
      <c r="D1097">
        <v>-1327.058</v>
      </c>
      <c r="E1097" t="s">
        <v>6</v>
      </c>
      <c r="F1097" t="s">
        <v>51</v>
      </c>
      <c r="G1097" t="s">
        <v>5</v>
      </c>
    </row>
    <row r="1098" spans="1:7" x14ac:dyDescent="0.3">
      <c r="A1098" t="s">
        <v>23</v>
      </c>
      <c r="B1098" s="1">
        <v>45808</v>
      </c>
      <c r="C1098">
        <v>547002</v>
      </c>
      <c r="D1098">
        <v>18241.038</v>
      </c>
      <c r="E1098" t="s">
        <v>6</v>
      </c>
      <c r="F1098" t="s">
        <v>54</v>
      </c>
      <c r="G1098" t="s">
        <v>5</v>
      </c>
    </row>
    <row r="1099" spans="1:7" x14ac:dyDescent="0.3">
      <c r="A1099" t="s">
        <v>23</v>
      </c>
      <c r="B1099" s="1">
        <v>45808</v>
      </c>
      <c r="C1099">
        <v>547011</v>
      </c>
      <c r="D1099">
        <v>116.193</v>
      </c>
      <c r="E1099" t="s">
        <v>6</v>
      </c>
      <c r="F1099" t="s">
        <v>54</v>
      </c>
      <c r="G1099" t="s">
        <v>5</v>
      </c>
    </row>
    <row r="1100" spans="1:7" x14ac:dyDescent="0.3">
      <c r="A1100" t="s">
        <v>23</v>
      </c>
      <c r="B1100" s="1">
        <v>45808</v>
      </c>
      <c r="C1100">
        <v>557002</v>
      </c>
      <c r="D1100">
        <v>32.104999999999997</v>
      </c>
      <c r="E1100" t="s">
        <v>6</v>
      </c>
      <c r="F1100" t="s">
        <v>56</v>
      </c>
      <c r="G1100" t="s">
        <v>5</v>
      </c>
    </row>
    <row r="1101" spans="1:7" x14ac:dyDescent="0.3">
      <c r="A1101" t="s">
        <v>23</v>
      </c>
      <c r="B1101" s="1">
        <v>45808</v>
      </c>
      <c r="C1101">
        <v>564019</v>
      </c>
      <c r="D1101">
        <v>2427.114</v>
      </c>
      <c r="E1101" t="s">
        <v>6</v>
      </c>
      <c r="F1101" t="s">
        <v>51</v>
      </c>
      <c r="G1101" t="s">
        <v>5</v>
      </c>
    </row>
    <row r="1102" spans="1:7" x14ac:dyDescent="0.3">
      <c r="A1102" t="s">
        <v>23</v>
      </c>
      <c r="B1102" s="1">
        <v>45808</v>
      </c>
      <c r="C1102">
        <v>564021</v>
      </c>
      <c r="D1102">
        <v>41.915999999999997</v>
      </c>
      <c r="E1102" t="s">
        <v>6</v>
      </c>
      <c r="F1102" t="s">
        <v>57</v>
      </c>
      <c r="G1102" t="s">
        <v>5</v>
      </c>
    </row>
    <row r="1103" spans="1:7" x14ac:dyDescent="0.3">
      <c r="A1103" t="s">
        <v>24</v>
      </c>
      <c r="B1103" s="1">
        <v>45808</v>
      </c>
      <c r="C1103">
        <v>220006</v>
      </c>
      <c r="D1103">
        <v>10145.115</v>
      </c>
      <c r="E1103" t="s">
        <v>4</v>
      </c>
      <c r="F1103" t="s">
        <v>42</v>
      </c>
      <c r="G1103" t="s">
        <v>8</v>
      </c>
    </row>
    <row r="1104" spans="1:7" x14ac:dyDescent="0.3">
      <c r="A1104" t="s">
        <v>24</v>
      </c>
      <c r="B1104" s="1">
        <v>45808</v>
      </c>
      <c r="C1104">
        <v>240002</v>
      </c>
      <c r="D1104">
        <v>-100.20099999999999</v>
      </c>
      <c r="E1104" t="s">
        <v>4</v>
      </c>
      <c r="F1104" t="s">
        <v>43</v>
      </c>
      <c r="G1104" t="s">
        <v>8</v>
      </c>
    </row>
    <row r="1105" spans="1:7" x14ac:dyDescent="0.3">
      <c r="A1105" t="s">
        <v>24</v>
      </c>
      <c r="B1105" s="1">
        <v>45808</v>
      </c>
      <c r="C1105">
        <v>243002</v>
      </c>
      <c r="D1105">
        <v>-263.13900000000001</v>
      </c>
      <c r="E1105" t="s">
        <v>4</v>
      </c>
      <c r="F1105" t="s">
        <v>43</v>
      </c>
      <c r="G1105" t="s">
        <v>8</v>
      </c>
    </row>
    <row r="1106" spans="1:7" x14ac:dyDescent="0.3">
      <c r="A1106" t="s">
        <v>24</v>
      </c>
      <c r="B1106" s="1">
        <v>45808</v>
      </c>
      <c r="C1106">
        <v>330132</v>
      </c>
      <c r="D1106">
        <v>-9129.4529999999995</v>
      </c>
      <c r="E1106" t="s">
        <v>4</v>
      </c>
      <c r="F1106" t="s">
        <v>43</v>
      </c>
      <c r="G1106" t="s">
        <v>8</v>
      </c>
    </row>
    <row r="1107" spans="1:7" x14ac:dyDescent="0.3">
      <c r="A1107" t="s">
        <v>24</v>
      </c>
      <c r="B1107" s="1">
        <v>45808</v>
      </c>
      <c r="C1107">
        <v>330147</v>
      </c>
      <c r="D1107">
        <v>-2138.3319999999999</v>
      </c>
      <c r="E1107" t="s">
        <v>4</v>
      </c>
      <c r="F1107" t="s">
        <v>43</v>
      </c>
      <c r="G1107" t="s">
        <v>8</v>
      </c>
    </row>
    <row r="1108" spans="1:7" x14ac:dyDescent="0.3">
      <c r="A1108" t="s">
        <v>24</v>
      </c>
      <c r="B1108" s="1">
        <v>45808</v>
      </c>
      <c r="C1108">
        <v>340237</v>
      </c>
      <c r="D1108">
        <v>977.41499999999996</v>
      </c>
      <c r="E1108" t="s">
        <v>4</v>
      </c>
      <c r="F1108" t="s">
        <v>47</v>
      </c>
      <c r="G1108" t="s">
        <v>8</v>
      </c>
    </row>
    <row r="1109" spans="1:7" x14ac:dyDescent="0.3">
      <c r="A1109" t="s">
        <v>24</v>
      </c>
      <c r="B1109" s="1">
        <v>45808</v>
      </c>
      <c r="C1109">
        <v>340240</v>
      </c>
      <c r="D1109">
        <v>47.021000000000001</v>
      </c>
      <c r="E1109" t="s">
        <v>4</v>
      </c>
      <c r="F1109" t="s">
        <v>47</v>
      </c>
      <c r="G1109" t="s">
        <v>8</v>
      </c>
    </row>
    <row r="1110" spans="1:7" x14ac:dyDescent="0.3">
      <c r="A1110" t="s">
        <v>24</v>
      </c>
      <c r="B1110" s="1">
        <v>45808</v>
      </c>
      <c r="C1110">
        <v>340313</v>
      </c>
      <c r="D1110">
        <v>9.17</v>
      </c>
      <c r="E1110" t="s">
        <v>4</v>
      </c>
      <c r="F1110" t="s">
        <v>47</v>
      </c>
      <c r="G1110" t="s">
        <v>8</v>
      </c>
    </row>
    <row r="1111" spans="1:7" x14ac:dyDescent="0.3">
      <c r="A1111" t="s">
        <v>24</v>
      </c>
      <c r="B1111" s="1">
        <v>45808</v>
      </c>
      <c r="C1111">
        <v>372004</v>
      </c>
      <c r="D1111">
        <v>52.54</v>
      </c>
      <c r="E1111" t="s">
        <v>4</v>
      </c>
      <c r="F1111" t="s">
        <v>45</v>
      </c>
      <c r="G1111" t="s">
        <v>8</v>
      </c>
    </row>
    <row r="1112" spans="1:7" x14ac:dyDescent="0.3">
      <c r="A1112" t="s">
        <v>24</v>
      </c>
      <c r="B1112" s="1">
        <v>45808</v>
      </c>
      <c r="C1112">
        <v>421003</v>
      </c>
      <c r="D1112">
        <v>1.708</v>
      </c>
      <c r="E1112" t="s">
        <v>6</v>
      </c>
      <c r="F1112" t="s">
        <v>52</v>
      </c>
      <c r="G1112" t="s">
        <v>8</v>
      </c>
    </row>
    <row r="1113" spans="1:7" x14ac:dyDescent="0.3">
      <c r="A1113" t="s">
        <v>24</v>
      </c>
      <c r="B1113" s="1">
        <v>45808</v>
      </c>
      <c r="C1113">
        <v>421004</v>
      </c>
      <c r="D1113">
        <v>-22.515999999999998</v>
      </c>
      <c r="E1113" t="s">
        <v>6</v>
      </c>
      <c r="F1113" t="s">
        <v>52</v>
      </c>
      <c r="G1113" t="s">
        <v>8</v>
      </c>
    </row>
    <row r="1114" spans="1:7" x14ac:dyDescent="0.3">
      <c r="A1114" t="s">
        <v>24</v>
      </c>
      <c r="B1114" s="1">
        <v>45808</v>
      </c>
      <c r="C1114">
        <v>552502</v>
      </c>
      <c r="D1114">
        <v>25.273</v>
      </c>
      <c r="E1114" t="s">
        <v>6</v>
      </c>
      <c r="F1114" t="s">
        <v>55</v>
      </c>
      <c r="G1114" t="s">
        <v>8</v>
      </c>
    </row>
    <row r="1115" spans="1:7" x14ac:dyDescent="0.3">
      <c r="A1115" t="s">
        <v>24</v>
      </c>
      <c r="B1115" s="1">
        <v>45808</v>
      </c>
      <c r="C1115">
        <v>557002</v>
      </c>
      <c r="D1115">
        <v>356.80500000000001</v>
      </c>
      <c r="E1115" t="s">
        <v>6</v>
      </c>
      <c r="F1115" t="s">
        <v>56</v>
      </c>
      <c r="G1115" t="s">
        <v>8</v>
      </c>
    </row>
    <row r="1116" spans="1:7" x14ac:dyDescent="0.3">
      <c r="A1116" t="s">
        <v>24</v>
      </c>
      <c r="B1116" s="1">
        <v>45808</v>
      </c>
      <c r="C1116">
        <v>564020</v>
      </c>
      <c r="D1116">
        <v>28.474</v>
      </c>
      <c r="E1116" t="s">
        <v>6</v>
      </c>
      <c r="F1116" t="s">
        <v>57</v>
      </c>
      <c r="G1116" t="s">
        <v>8</v>
      </c>
    </row>
    <row r="1117" spans="1:7" x14ac:dyDescent="0.3">
      <c r="A1117" t="s">
        <v>25</v>
      </c>
      <c r="B1117" s="1">
        <v>45808</v>
      </c>
      <c r="C1117">
        <v>220006</v>
      </c>
      <c r="D1117">
        <v>-22519.129000000001</v>
      </c>
      <c r="E1117" t="s">
        <v>4</v>
      </c>
      <c r="F1117" t="s">
        <v>42</v>
      </c>
      <c r="G1117" t="s">
        <v>5</v>
      </c>
    </row>
    <row r="1118" spans="1:7" x14ac:dyDescent="0.3">
      <c r="A1118" t="s">
        <v>25</v>
      </c>
      <c r="B1118" s="1">
        <v>45808</v>
      </c>
      <c r="C1118">
        <v>240002</v>
      </c>
      <c r="D1118">
        <v>-62.819000000000003</v>
      </c>
      <c r="E1118" t="s">
        <v>4</v>
      </c>
      <c r="F1118" t="s">
        <v>43</v>
      </c>
      <c r="G1118" t="s">
        <v>5</v>
      </c>
    </row>
    <row r="1119" spans="1:7" x14ac:dyDescent="0.3">
      <c r="A1119" t="s">
        <v>25</v>
      </c>
      <c r="B1119" s="1">
        <v>45808</v>
      </c>
      <c r="C1119">
        <v>243002</v>
      </c>
      <c r="D1119">
        <v>-23.081</v>
      </c>
      <c r="E1119" t="s">
        <v>4</v>
      </c>
      <c r="F1119" t="s">
        <v>43</v>
      </c>
      <c r="G1119" t="s">
        <v>5</v>
      </c>
    </row>
    <row r="1120" spans="1:7" x14ac:dyDescent="0.3">
      <c r="A1120" t="s">
        <v>25</v>
      </c>
      <c r="B1120" s="1">
        <v>45808</v>
      </c>
      <c r="C1120">
        <v>340016</v>
      </c>
      <c r="D1120">
        <v>22554.334999999999</v>
      </c>
      <c r="E1120" t="s">
        <v>4</v>
      </c>
      <c r="F1120" t="s">
        <v>47</v>
      </c>
      <c r="G1120" t="s">
        <v>5</v>
      </c>
    </row>
    <row r="1121" spans="1:7" x14ac:dyDescent="0.3">
      <c r="A1121" t="s">
        <v>25</v>
      </c>
      <c r="B1121" s="1">
        <v>45808</v>
      </c>
      <c r="C1121">
        <v>372004</v>
      </c>
      <c r="D1121">
        <v>8.1940000000000008</v>
      </c>
      <c r="E1121" t="s">
        <v>4</v>
      </c>
      <c r="F1121" t="s">
        <v>45</v>
      </c>
      <c r="G1121" t="s">
        <v>5</v>
      </c>
    </row>
    <row r="1122" spans="1:7" x14ac:dyDescent="0.3">
      <c r="A1122" t="s">
        <v>25</v>
      </c>
      <c r="B1122" s="1">
        <v>45808</v>
      </c>
      <c r="C1122">
        <v>557002</v>
      </c>
      <c r="D1122">
        <v>34.936999999999998</v>
      </c>
      <c r="E1122" t="s">
        <v>6</v>
      </c>
      <c r="F1122" t="s">
        <v>56</v>
      </c>
      <c r="G1122" t="s">
        <v>5</v>
      </c>
    </row>
    <row r="1123" spans="1:7" x14ac:dyDescent="0.3">
      <c r="A1123" t="s">
        <v>25</v>
      </c>
      <c r="B1123" s="1">
        <v>45808</v>
      </c>
      <c r="C1123">
        <v>564021</v>
      </c>
      <c r="D1123">
        <v>7.0179999999999998</v>
      </c>
      <c r="E1123" t="s">
        <v>6</v>
      </c>
      <c r="F1123" t="s">
        <v>57</v>
      </c>
      <c r="G1123" t="s">
        <v>5</v>
      </c>
    </row>
    <row r="1124" spans="1:7" x14ac:dyDescent="0.3">
      <c r="A1124" t="s">
        <v>26</v>
      </c>
      <c r="B1124" s="1">
        <v>45808</v>
      </c>
      <c r="C1124">
        <v>220006</v>
      </c>
      <c r="D1124">
        <v>-532576.69999999995</v>
      </c>
      <c r="E1124" t="s">
        <v>4</v>
      </c>
      <c r="F1124" t="s">
        <v>42</v>
      </c>
      <c r="G1124" t="s">
        <v>5</v>
      </c>
    </row>
    <row r="1125" spans="1:7" x14ac:dyDescent="0.3">
      <c r="A1125" t="s">
        <v>26</v>
      </c>
      <c r="B1125" s="1">
        <v>45808</v>
      </c>
      <c r="C1125">
        <v>240002</v>
      </c>
      <c r="D1125">
        <v>-933.399</v>
      </c>
      <c r="E1125" t="s">
        <v>4</v>
      </c>
      <c r="F1125" t="s">
        <v>43</v>
      </c>
      <c r="G1125" t="s">
        <v>5</v>
      </c>
    </row>
    <row r="1126" spans="1:7" x14ac:dyDescent="0.3">
      <c r="A1126" t="s">
        <v>26</v>
      </c>
      <c r="B1126" s="1">
        <v>45808</v>
      </c>
      <c r="C1126">
        <v>240003</v>
      </c>
      <c r="D1126">
        <v>-0.311</v>
      </c>
      <c r="E1126" t="s">
        <v>4</v>
      </c>
      <c r="F1126" t="s">
        <v>43</v>
      </c>
      <c r="G1126" t="s">
        <v>5</v>
      </c>
    </row>
    <row r="1127" spans="1:7" x14ac:dyDescent="0.3">
      <c r="A1127" t="s">
        <v>26</v>
      </c>
      <c r="B1127" s="1">
        <v>45808</v>
      </c>
      <c r="C1127">
        <v>240009</v>
      </c>
      <c r="D1127">
        <v>-975.82500000000005</v>
      </c>
      <c r="E1127" t="s">
        <v>4</v>
      </c>
      <c r="F1127" t="s">
        <v>43</v>
      </c>
      <c r="G1127" t="s">
        <v>5</v>
      </c>
    </row>
    <row r="1128" spans="1:7" x14ac:dyDescent="0.3">
      <c r="A1128" t="s">
        <v>26</v>
      </c>
      <c r="B1128" s="1">
        <v>45808</v>
      </c>
      <c r="C1128">
        <v>242003</v>
      </c>
      <c r="D1128">
        <v>160339.09700000001</v>
      </c>
      <c r="E1128" t="s">
        <v>4</v>
      </c>
      <c r="F1128" t="s">
        <v>43</v>
      </c>
      <c r="G1128" t="s">
        <v>5</v>
      </c>
    </row>
    <row r="1129" spans="1:7" x14ac:dyDescent="0.3">
      <c r="A1129" t="s">
        <v>26</v>
      </c>
      <c r="B1129" s="1">
        <v>45808</v>
      </c>
      <c r="C1129">
        <v>242011</v>
      </c>
      <c r="D1129">
        <v>-243.1</v>
      </c>
      <c r="E1129" t="s">
        <v>4</v>
      </c>
      <c r="F1129" t="s">
        <v>43</v>
      </c>
      <c r="G1129" t="s">
        <v>5</v>
      </c>
    </row>
    <row r="1130" spans="1:7" x14ac:dyDescent="0.3">
      <c r="A1130" t="s">
        <v>26</v>
      </c>
      <c r="B1130" s="1">
        <v>45808</v>
      </c>
      <c r="C1130">
        <v>242012</v>
      </c>
      <c r="D1130">
        <v>0.26</v>
      </c>
      <c r="E1130" t="s">
        <v>4</v>
      </c>
      <c r="F1130" t="s">
        <v>43</v>
      </c>
      <c r="G1130" t="s">
        <v>5</v>
      </c>
    </row>
    <row r="1131" spans="1:7" x14ac:dyDescent="0.3">
      <c r="A1131" t="s">
        <v>26</v>
      </c>
      <c r="B1131" s="1">
        <v>45808</v>
      </c>
      <c r="C1131">
        <v>242014</v>
      </c>
      <c r="D1131">
        <v>-11.326000000000001</v>
      </c>
      <c r="E1131" t="s">
        <v>4</v>
      </c>
      <c r="F1131" t="s">
        <v>43</v>
      </c>
      <c r="G1131" t="s">
        <v>5</v>
      </c>
    </row>
    <row r="1132" spans="1:7" x14ac:dyDescent="0.3">
      <c r="A1132" t="s">
        <v>26</v>
      </c>
      <c r="B1132" s="1">
        <v>45808</v>
      </c>
      <c r="C1132">
        <v>242019</v>
      </c>
      <c r="D1132">
        <v>6400.143</v>
      </c>
      <c r="E1132" t="s">
        <v>4</v>
      </c>
      <c r="F1132" t="s">
        <v>43</v>
      </c>
      <c r="G1132" t="s">
        <v>5</v>
      </c>
    </row>
    <row r="1133" spans="1:7" x14ac:dyDescent="0.3">
      <c r="A1133" t="s">
        <v>26</v>
      </c>
      <c r="B1133" s="1">
        <v>45808</v>
      </c>
      <c r="C1133">
        <v>242038</v>
      </c>
      <c r="D1133">
        <v>-11.73</v>
      </c>
      <c r="E1133" t="s">
        <v>4</v>
      </c>
      <c r="F1133" t="s">
        <v>43</v>
      </c>
      <c r="G1133" t="s">
        <v>5</v>
      </c>
    </row>
    <row r="1134" spans="1:7" x14ac:dyDescent="0.3">
      <c r="A1134" t="s">
        <v>26</v>
      </c>
      <c r="B1134" s="1">
        <v>45808</v>
      </c>
      <c r="C1134">
        <v>242041</v>
      </c>
      <c r="D1134">
        <v>-553.74199999999996</v>
      </c>
      <c r="E1134" t="s">
        <v>4</v>
      </c>
      <c r="F1134" t="s">
        <v>43</v>
      </c>
      <c r="G1134" t="s">
        <v>5</v>
      </c>
    </row>
    <row r="1135" spans="1:7" x14ac:dyDescent="0.3">
      <c r="A1135" t="s">
        <v>26</v>
      </c>
      <c r="B1135" s="1">
        <v>45808</v>
      </c>
      <c r="C1135">
        <v>243002</v>
      </c>
      <c r="D1135">
        <v>-2745.9810000000002</v>
      </c>
      <c r="E1135" t="s">
        <v>4</v>
      </c>
      <c r="F1135" t="s">
        <v>43</v>
      </c>
      <c r="G1135" t="s">
        <v>5</v>
      </c>
    </row>
    <row r="1136" spans="1:7" x14ac:dyDescent="0.3">
      <c r="A1136" t="s">
        <v>26</v>
      </c>
      <c r="B1136" s="1">
        <v>45808</v>
      </c>
      <c r="C1136">
        <v>243003</v>
      </c>
      <c r="D1136">
        <v>-5196.652</v>
      </c>
      <c r="E1136" t="s">
        <v>4</v>
      </c>
      <c r="F1136" t="s">
        <v>43</v>
      </c>
      <c r="G1136" t="s">
        <v>5</v>
      </c>
    </row>
    <row r="1137" spans="1:7" x14ac:dyDescent="0.3">
      <c r="A1137" t="s">
        <v>26</v>
      </c>
      <c r="B1137" s="1">
        <v>45808</v>
      </c>
      <c r="C1137">
        <v>245010</v>
      </c>
      <c r="D1137">
        <v>-1367.0039999999999</v>
      </c>
      <c r="E1137" t="s">
        <v>4</v>
      </c>
      <c r="F1137" t="s">
        <v>44</v>
      </c>
      <c r="G1137" t="s">
        <v>5</v>
      </c>
    </row>
    <row r="1138" spans="1:7" x14ac:dyDescent="0.3">
      <c r="A1138" t="s">
        <v>26</v>
      </c>
      <c r="B1138" s="1">
        <v>45808</v>
      </c>
      <c r="C1138">
        <v>245055</v>
      </c>
      <c r="D1138">
        <v>-1199.9849999999999</v>
      </c>
      <c r="E1138" t="s">
        <v>4</v>
      </c>
      <c r="F1138" t="s">
        <v>43</v>
      </c>
      <c r="G1138" t="s">
        <v>5</v>
      </c>
    </row>
    <row r="1139" spans="1:7" x14ac:dyDescent="0.3">
      <c r="A1139" t="s">
        <v>26</v>
      </c>
      <c r="B1139" s="1">
        <v>45808</v>
      </c>
      <c r="C1139">
        <v>245056</v>
      </c>
      <c r="D1139">
        <v>-16.574000000000002</v>
      </c>
      <c r="E1139" t="s">
        <v>4</v>
      </c>
      <c r="F1139" t="s">
        <v>49</v>
      </c>
      <c r="G1139" t="s">
        <v>5</v>
      </c>
    </row>
    <row r="1140" spans="1:7" x14ac:dyDescent="0.3">
      <c r="A1140" t="s">
        <v>26</v>
      </c>
      <c r="B1140" s="1">
        <v>45808</v>
      </c>
      <c r="C1140">
        <v>245062</v>
      </c>
      <c r="D1140">
        <v>-1629.7360000000001</v>
      </c>
      <c r="E1140" t="s">
        <v>4</v>
      </c>
      <c r="F1140" t="s">
        <v>43</v>
      </c>
      <c r="G1140" t="s">
        <v>5</v>
      </c>
    </row>
    <row r="1141" spans="1:7" x14ac:dyDescent="0.3">
      <c r="A1141" t="s">
        <v>26</v>
      </c>
      <c r="B1141" s="1">
        <v>45808</v>
      </c>
      <c r="C1141">
        <v>250003</v>
      </c>
      <c r="D1141">
        <v>-2080.2240000000002</v>
      </c>
      <c r="E1141" t="s">
        <v>4</v>
      </c>
      <c r="F1141" t="s">
        <v>45</v>
      </c>
      <c r="G1141" t="s">
        <v>5</v>
      </c>
    </row>
    <row r="1142" spans="1:7" x14ac:dyDescent="0.3">
      <c r="A1142" t="s">
        <v>26</v>
      </c>
      <c r="B1142" s="1">
        <v>45808</v>
      </c>
      <c r="C1142">
        <v>251002</v>
      </c>
      <c r="D1142">
        <v>-1096.136</v>
      </c>
      <c r="E1142" t="s">
        <v>4</v>
      </c>
      <c r="F1142" t="s">
        <v>45</v>
      </c>
      <c r="G1142" t="s">
        <v>5</v>
      </c>
    </row>
    <row r="1143" spans="1:7" x14ac:dyDescent="0.3">
      <c r="A1143" t="s">
        <v>26</v>
      </c>
      <c r="B1143" s="1">
        <v>45808</v>
      </c>
      <c r="C1143">
        <v>251003</v>
      </c>
      <c r="D1143">
        <v>-7270.8230000000003</v>
      </c>
      <c r="E1143" t="s">
        <v>4</v>
      </c>
      <c r="F1143" t="s">
        <v>45</v>
      </c>
      <c r="G1143" t="s">
        <v>5</v>
      </c>
    </row>
    <row r="1144" spans="1:7" x14ac:dyDescent="0.3">
      <c r="A1144" t="s">
        <v>26</v>
      </c>
      <c r="B1144" s="1">
        <v>45808</v>
      </c>
      <c r="C1144">
        <v>257005</v>
      </c>
      <c r="D1144">
        <v>-646.56799999999998</v>
      </c>
      <c r="E1144" t="s">
        <v>4</v>
      </c>
      <c r="F1144" t="s">
        <v>45</v>
      </c>
      <c r="G1144" t="s">
        <v>5</v>
      </c>
    </row>
    <row r="1145" spans="1:7" x14ac:dyDescent="0.3">
      <c r="A1145" t="s">
        <v>26</v>
      </c>
      <c r="B1145" s="1">
        <v>45808</v>
      </c>
      <c r="C1145">
        <v>257027</v>
      </c>
      <c r="D1145">
        <v>20.007999999999999</v>
      </c>
      <c r="E1145" t="s">
        <v>4</v>
      </c>
      <c r="F1145" t="s">
        <v>45</v>
      </c>
      <c r="G1145" t="s">
        <v>5</v>
      </c>
    </row>
    <row r="1146" spans="1:7" x14ac:dyDescent="0.3">
      <c r="A1146" t="s">
        <v>26</v>
      </c>
      <c r="B1146" s="1">
        <v>45808</v>
      </c>
      <c r="C1146">
        <v>257030</v>
      </c>
      <c r="D1146">
        <v>-15.79</v>
      </c>
      <c r="E1146" t="s">
        <v>4</v>
      </c>
      <c r="F1146" t="s">
        <v>45</v>
      </c>
      <c r="G1146" t="s">
        <v>5</v>
      </c>
    </row>
    <row r="1147" spans="1:7" x14ac:dyDescent="0.3">
      <c r="A1147" t="s">
        <v>26</v>
      </c>
      <c r="B1147" s="1">
        <v>45808</v>
      </c>
      <c r="C1147">
        <v>260004</v>
      </c>
      <c r="D1147">
        <v>-2158.81</v>
      </c>
      <c r="E1147" t="s">
        <v>4</v>
      </c>
      <c r="F1147" t="s">
        <v>45</v>
      </c>
      <c r="G1147" t="s">
        <v>5</v>
      </c>
    </row>
    <row r="1148" spans="1:7" x14ac:dyDescent="0.3">
      <c r="A1148" t="s">
        <v>26</v>
      </c>
      <c r="B1148" s="1">
        <v>45808</v>
      </c>
      <c r="C1148">
        <v>270025</v>
      </c>
      <c r="D1148">
        <v>2126.8560000000002</v>
      </c>
      <c r="E1148" t="s">
        <v>4</v>
      </c>
      <c r="F1148" t="s">
        <v>58</v>
      </c>
      <c r="G1148" t="s">
        <v>5</v>
      </c>
    </row>
    <row r="1149" spans="1:7" x14ac:dyDescent="0.3">
      <c r="A1149" t="s">
        <v>26</v>
      </c>
      <c r="B1149" s="1">
        <v>45808</v>
      </c>
      <c r="C1149">
        <v>270026</v>
      </c>
      <c r="D1149">
        <v>-690.91700000000003</v>
      </c>
      <c r="E1149" t="s">
        <v>4</v>
      </c>
      <c r="F1149" t="s">
        <v>58</v>
      </c>
      <c r="G1149" t="s">
        <v>5</v>
      </c>
    </row>
    <row r="1150" spans="1:7" x14ac:dyDescent="0.3">
      <c r="A1150" t="s">
        <v>26</v>
      </c>
      <c r="B1150" s="1">
        <v>45808</v>
      </c>
      <c r="C1150">
        <v>300008</v>
      </c>
      <c r="D1150">
        <v>1334.13</v>
      </c>
      <c r="E1150" t="s">
        <v>4</v>
      </c>
      <c r="F1150" t="s">
        <v>65</v>
      </c>
      <c r="G1150" t="s">
        <v>5</v>
      </c>
    </row>
    <row r="1151" spans="1:7" x14ac:dyDescent="0.3">
      <c r="A1151" t="s">
        <v>26</v>
      </c>
      <c r="B1151" s="1">
        <v>45808</v>
      </c>
      <c r="C1151">
        <v>300508</v>
      </c>
      <c r="D1151">
        <v>-445.72500000000002</v>
      </c>
      <c r="E1151" t="s">
        <v>4</v>
      </c>
      <c r="F1151" t="s">
        <v>65</v>
      </c>
      <c r="G1151" t="s">
        <v>5</v>
      </c>
    </row>
    <row r="1152" spans="1:7" x14ac:dyDescent="0.3">
      <c r="A1152" t="s">
        <v>26</v>
      </c>
      <c r="B1152" s="1">
        <v>45808</v>
      </c>
      <c r="C1152">
        <v>320002</v>
      </c>
      <c r="D1152">
        <v>58570.949000000001</v>
      </c>
      <c r="E1152" t="s">
        <v>4</v>
      </c>
      <c r="F1152" t="s">
        <v>46</v>
      </c>
      <c r="G1152" t="s">
        <v>5</v>
      </c>
    </row>
    <row r="1153" spans="1:7" x14ac:dyDescent="0.3">
      <c r="A1153" t="s">
        <v>26</v>
      </c>
      <c r="B1153" s="1">
        <v>45808</v>
      </c>
      <c r="C1153">
        <v>320003</v>
      </c>
      <c r="D1153">
        <v>1054.6400000000001</v>
      </c>
      <c r="E1153" t="s">
        <v>4</v>
      </c>
      <c r="F1153" t="s">
        <v>46</v>
      </c>
      <c r="G1153" t="s">
        <v>5</v>
      </c>
    </row>
    <row r="1154" spans="1:7" x14ac:dyDescent="0.3">
      <c r="A1154" t="s">
        <v>26</v>
      </c>
      <c r="B1154" s="1">
        <v>45808</v>
      </c>
      <c r="C1154">
        <v>320004</v>
      </c>
      <c r="D1154">
        <v>-138.25399999999999</v>
      </c>
      <c r="E1154" t="s">
        <v>4</v>
      </c>
      <c r="F1154" t="s">
        <v>46</v>
      </c>
      <c r="G1154" t="s">
        <v>5</v>
      </c>
    </row>
    <row r="1155" spans="1:7" x14ac:dyDescent="0.3">
      <c r="A1155" t="s">
        <v>26</v>
      </c>
      <c r="B1155" s="1">
        <v>45808</v>
      </c>
      <c r="C1155">
        <v>320023</v>
      </c>
      <c r="D1155">
        <v>-3238.7860000000001</v>
      </c>
      <c r="E1155" t="s">
        <v>4</v>
      </c>
      <c r="F1155" t="s">
        <v>46</v>
      </c>
      <c r="G1155" t="s">
        <v>5</v>
      </c>
    </row>
    <row r="1156" spans="1:7" x14ac:dyDescent="0.3">
      <c r="A1156" t="s">
        <v>26</v>
      </c>
      <c r="B1156" s="1">
        <v>45808</v>
      </c>
      <c r="C1156">
        <v>321002</v>
      </c>
      <c r="D1156">
        <v>-569.26199999999994</v>
      </c>
      <c r="E1156" t="s">
        <v>4</v>
      </c>
      <c r="F1156" t="s">
        <v>46</v>
      </c>
      <c r="G1156" t="s">
        <v>5</v>
      </c>
    </row>
    <row r="1157" spans="1:7" x14ac:dyDescent="0.3">
      <c r="A1157" t="s">
        <v>26</v>
      </c>
      <c r="B1157" s="1">
        <v>45808</v>
      </c>
      <c r="C1157">
        <v>321013</v>
      </c>
      <c r="D1157">
        <v>-635.94899999999996</v>
      </c>
      <c r="E1157" t="s">
        <v>4</v>
      </c>
      <c r="F1157" t="s">
        <v>46</v>
      </c>
      <c r="G1157" t="s">
        <v>5</v>
      </c>
    </row>
    <row r="1158" spans="1:7" x14ac:dyDescent="0.3">
      <c r="A1158" t="s">
        <v>26</v>
      </c>
      <c r="B1158" s="1">
        <v>45808</v>
      </c>
      <c r="C1158">
        <v>321025</v>
      </c>
      <c r="D1158">
        <v>-2582.8319999999999</v>
      </c>
      <c r="E1158" t="s">
        <v>4</v>
      </c>
      <c r="F1158" t="s">
        <v>46</v>
      </c>
      <c r="G1158" t="s">
        <v>5</v>
      </c>
    </row>
    <row r="1159" spans="1:7" x14ac:dyDescent="0.3">
      <c r="A1159" t="s">
        <v>26</v>
      </c>
      <c r="B1159" s="1">
        <v>45808</v>
      </c>
      <c r="C1159">
        <v>321029</v>
      </c>
      <c r="D1159">
        <v>10659.689</v>
      </c>
      <c r="E1159" t="s">
        <v>4</v>
      </c>
      <c r="F1159" t="s">
        <v>46</v>
      </c>
      <c r="G1159" t="s">
        <v>5</v>
      </c>
    </row>
    <row r="1160" spans="1:7" x14ac:dyDescent="0.3">
      <c r="A1160" t="s">
        <v>26</v>
      </c>
      <c r="B1160" s="1">
        <v>45808</v>
      </c>
      <c r="C1160">
        <v>321042</v>
      </c>
      <c r="D1160">
        <v>-1817.3869999999999</v>
      </c>
      <c r="E1160" t="s">
        <v>4</v>
      </c>
      <c r="F1160" t="s">
        <v>46</v>
      </c>
      <c r="G1160" t="s">
        <v>5</v>
      </c>
    </row>
    <row r="1161" spans="1:7" x14ac:dyDescent="0.3">
      <c r="A1161" t="s">
        <v>26</v>
      </c>
      <c r="B1161" s="1">
        <v>45808</v>
      </c>
      <c r="C1161">
        <v>330020</v>
      </c>
      <c r="D1161">
        <v>-22.273</v>
      </c>
      <c r="E1161" t="s">
        <v>4</v>
      </c>
      <c r="F1161" t="s">
        <v>43</v>
      </c>
      <c r="G1161" t="s">
        <v>5</v>
      </c>
    </row>
    <row r="1162" spans="1:7" x14ac:dyDescent="0.3">
      <c r="A1162" t="s">
        <v>26</v>
      </c>
      <c r="B1162" s="1">
        <v>45808</v>
      </c>
      <c r="C1162">
        <v>330147</v>
      </c>
      <c r="D1162">
        <v>2393.085</v>
      </c>
      <c r="E1162" t="s">
        <v>4</v>
      </c>
      <c r="F1162" t="s">
        <v>43</v>
      </c>
      <c r="G1162" t="s">
        <v>5</v>
      </c>
    </row>
    <row r="1163" spans="1:7" x14ac:dyDescent="0.3">
      <c r="A1163" t="s">
        <v>26</v>
      </c>
      <c r="B1163" s="1">
        <v>45808</v>
      </c>
      <c r="C1163">
        <v>340031</v>
      </c>
      <c r="D1163">
        <v>288137.45899999997</v>
      </c>
      <c r="E1163" t="s">
        <v>4</v>
      </c>
      <c r="F1163" t="s">
        <v>47</v>
      </c>
      <c r="G1163" t="s">
        <v>5</v>
      </c>
    </row>
    <row r="1164" spans="1:7" x14ac:dyDescent="0.3">
      <c r="A1164" t="s">
        <v>26</v>
      </c>
      <c r="B1164" s="1">
        <v>45808</v>
      </c>
      <c r="C1164">
        <v>350003</v>
      </c>
      <c r="D1164">
        <v>-45.823999999999998</v>
      </c>
      <c r="E1164" t="s">
        <v>4</v>
      </c>
      <c r="F1164" t="s">
        <v>49</v>
      </c>
      <c r="G1164" t="s">
        <v>5</v>
      </c>
    </row>
    <row r="1165" spans="1:7" x14ac:dyDescent="0.3">
      <c r="A1165" t="s">
        <v>26</v>
      </c>
      <c r="B1165" s="1">
        <v>45808</v>
      </c>
      <c r="C1165">
        <v>350031</v>
      </c>
      <c r="D1165">
        <v>975.82500000000005</v>
      </c>
      <c r="E1165" t="s">
        <v>4</v>
      </c>
      <c r="F1165" t="s">
        <v>43</v>
      </c>
      <c r="G1165" t="s">
        <v>5</v>
      </c>
    </row>
    <row r="1166" spans="1:7" x14ac:dyDescent="0.3">
      <c r="A1166" t="s">
        <v>26</v>
      </c>
      <c r="B1166" s="1">
        <v>45808</v>
      </c>
      <c r="C1166">
        <v>350034</v>
      </c>
      <c r="D1166">
        <v>16.574000000000002</v>
      </c>
      <c r="E1166" t="s">
        <v>4</v>
      </c>
      <c r="F1166" t="s">
        <v>49</v>
      </c>
      <c r="G1166" t="s">
        <v>5</v>
      </c>
    </row>
    <row r="1167" spans="1:7" x14ac:dyDescent="0.3">
      <c r="A1167" t="s">
        <v>26</v>
      </c>
      <c r="B1167" s="1">
        <v>45808</v>
      </c>
      <c r="C1167">
        <v>352002</v>
      </c>
      <c r="D1167">
        <v>1657.3579999999999</v>
      </c>
      <c r="E1167" t="s">
        <v>4</v>
      </c>
      <c r="F1167" t="s">
        <v>48</v>
      </c>
      <c r="G1167" t="s">
        <v>5</v>
      </c>
    </row>
    <row r="1168" spans="1:7" x14ac:dyDescent="0.3">
      <c r="A1168" t="s">
        <v>26</v>
      </c>
      <c r="B1168" s="1">
        <v>45808</v>
      </c>
      <c r="C1168">
        <v>354013</v>
      </c>
      <c r="D1168">
        <v>19182.774000000001</v>
      </c>
      <c r="E1168" t="s">
        <v>4</v>
      </c>
      <c r="F1168" t="s">
        <v>46</v>
      </c>
      <c r="G1168" t="s">
        <v>5</v>
      </c>
    </row>
    <row r="1169" spans="1:7" x14ac:dyDescent="0.3">
      <c r="A1169" t="s">
        <v>26</v>
      </c>
      <c r="B1169" s="1">
        <v>45808</v>
      </c>
      <c r="C1169">
        <v>354015</v>
      </c>
      <c r="D1169">
        <v>4251.6890000000003</v>
      </c>
      <c r="E1169" t="s">
        <v>4</v>
      </c>
      <c r="F1169" t="s">
        <v>46</v>
      </c>
      <c r="G1169" t="s">
        <v>5</v>
      </c>
    </row>
    <row r="1170" spans="1:7" x14ac:dyDescent="0.3">
      <c r="A1170" t="s">
        <v>26</v>
      </c>
      <c r="B1170" s="1">
        <v>45808</v>
      </c>
      <c r="C1170">
        <v>360030</v>
      </c>
      <c r="D1170">
        <v>725.37900000000002</v>
      </c>
      <c r="E1170" t="s">
        <v>4</v>
      </c>
      <c r="F1170" t="s">
        <v>58</v>
      </c>
      <c r="G1170" t="s">
        <v>5</v>
      </c>
    </row>
    <row r="1171" spans="1:7" x14ac:dyDescent="0.3">
      <c r="A1171" t="s">
        <v>26</v>
      </c>
      <c r="B1171" s="1">
        <v>45808</v>
      </c>
      <c r="C1171">
        <v>372004</v>
      </c>
      <c r="D1171">
        <v>848.80200000000002</v>
      </c>
      <c r="E1171" t="s">
        <v>4</v>
      </c>
      <c r="F1171" t="s">
        <v>45</v>
      </c>
      <c r="G1171" t="s">
        <v>5</v>
      </c>
    </row>
    <row r="1172" spans="1:7" x14ac:dyDescent="0.3">
      <c r="A1172" t="s">
        <v>26</v>
      </c>
      <c r="B1172" s="1">
        <v>45808</v>
      </c>
      <c r="C1172">
        <v>400002</v>
      </c>
      <c r="D1172">
        <v>-8664.5619999999999</v>
      </c>
      <c r="E1172" t="s">
        <v>6</v>
      </c>
      <c r="F1172" t="s">
        <v>50</v>
      </c>
      <c r="G1172" t="s">
        <v>5</v>
      </c>
    </row>
    <row r="1173" spans="1:7" x14ac:dyDescent="0.3">
      <c r="A1173" t="s">
        <v>26</v>
      </c>
      <c r="B1173" s="1">
        <v>45808</v>
      </c>
      <c r="C1173">
        <v>400004</v>
      </c>
      <c r="D1173">
        <v>-21698.784</v>
      </c>
      <c r="E1173" t="s">
        <v>6</v>
      </c>
      <c r="F1173" t="s">
        <v>50</v>
      </c>
      <c r="G1173" t="s">
        <v>5</v>
      </c>
    </row>
    <row r="1174" spans="1:7" x14ac:dyDescent="0.3">
      <c r="A1174" t="s">
        <v>26</v>
      </c>
      <c r="B1174" s="1">
        <v>45808</v>
      </c>
      <c r="C1174">
        <v>410002</v>
      </c>
      <c r="D1174">
        <v>-5860.6570000000002</v>
      </c>
      <c r="E1174" t="s">
        <v>6</v>
      </c>
      <c r="F1174" t="s">
        <v>51</v>
      </c>
      <c r="G1174" t="s">
        <v>5</v>
      </c>
    </row>
    <row r="1175" spans="1:7" x14ac:dyDescent="0.3">
      <c r="A1175" t="s">
        <v>26</v>
      </c>
      <c r="B1175" s="1">
        <v>45808</v>
      </c>
      <c r="C1175">
        <v>410036</v>
      </c>
      <c r="D1175">
        <v>3486.721</v>
      </c>
      <c r="E1175" t="s">
        <v>6</v>
      </c>
      <c r="F1175" t="s">
        <v>51</v>
      </c>
      <c r="G1175" t="s">
        <v>5</v>
      </c>
    </row>
    <row r="1176" spans="1:7" x14ac:dyDescent="0.3">
      <c r="A1176" t="s">
        <v>26</v>
      </c>
      <c r="B1176" s="1">
        <v>45808</v>
      </c>
      <c r="C1176">
        <v>410037</v>
      </c>
      <c r="D1176">
        <v>-3286.93</v>
      </c>
      <c r="E1176" t="s">
        <v>6</v>
      </c>
      <c r="F1176" t="s">
        <v>51</v>
      </c>
      <c r="G1176" t="s">
        <v>5</v>
      </c>
    </row>
    <row r="1177" spans="1:7" x14ac:dyDescent="0.3">
      <c r="A1177" t="s">
        <v>26</v>
      </c>
      <c r="B1177" s="1">
        <v>45808</v>
      </c>
      <c r="C1177">
        <v>421002</v>
      </c>
      <c r="D1177">
        <v>-79.835999999999999</v>
      </c>
      <c r="E1177" t="s">
        <v>6</v>
      </c>
      <c r="F1177" t="s">
        <v>52</v>
      </c>
      <c r="G1177" t="s">
        <v>5</v>
      </c>
    </row>
    <row r="1178" spans="1:7" x14ac:dyDescent="0.3">
      <c r="A1178" t="s">
        <v>26</v>
      </c>
      <c r="B1178" s="1">
        <v>45808</v>
      </c>
      <c r="C1178">
        <v>421003</v>
      </c>
      <c r="D1178">
        <v>224.602</v>
      </c>
      <c r="E1178" t="s">
        <v>6</v>
      </c>
      <c r="F1178" t="s">
        <v>52</v>
      </c>
      <c r="G1178" t="s">
        <v>5</v>
      </c>
    </row>
    <row r="1179" spans="1:7" x14ac:dyDescent="0.3">
      <c r="A1179" t="s">
        <v>26</v>
      </c>
      <c r="B1179" s="1">
        <v>45808</v>
      </c>
      <c r="C1179">
        <v>421007</v>
      </c>
      <c r="D1179">
        <v>581.64099999999996</v>
      </c>
      <c r="E1179" t="s">
        <v>6</v>
      </c>
      <c r="F1179" t="s">
        <v>52</v>
      </c>
      <c r="G1179" t="s">
        <v>5</v>
      </c>
    </row>
    <row r="1180" spans="1:7" x14ac:dyDescent="0.3">
      <c r="A1180" t="s">
        <v>26</v>
      </c>
      <c r="B1180" s="1">
        <v>45808</v>
      </c>
      <c r="C1180">
        <v>510002</v>
      </c>
      <c r="D1180">
        <v>11325.209000000001</v>
      </c>
      <c r="E1180" t="s">
        <v>6</v>
      </c>
      <c r="F1180" t="s">
        <v>53</v>
      </c>
      <c r="G1180" t="s">
        <v>5</v>
      </c>
    </row>
    <row r="1181" spans="1:7" x14ac:dyDescent="0.3">
      <c r="A1181" t="s">
        <v>26</v>
      </c>
      <c r="B1181" s="1">
        <v>45808</v>
      </c>
      <c r="C1181">
        <v>510005</v>
      </c>
      <c r="D1181">
        <v>-966.529</v>
      </c>
      <c r="E1181" t="s">
        <v>6</v>
      </c>
      <c r="F1181" t="s">
        <v>53</v>
      </c>
      <c r="G1181" t="s">
        <v>5</v>
      </c>
    </row>
    <row r="1182" spans="1:7" x14ac:dyDescent="0.3">
      <c r="A1182" t="s">
        <v>26</v>
      </c>
      <c r="B1182" s="1">
        <v>45808</v>
      </c>
      <c r="C1182">
        <v>510007</v>
      </c>
      <c r="D1182">
        <v>1611.0619999999999</v>
      </c>
      <c r="E1182" t="s">
        <v>6</v>
      </c>
      <c r="F1182" t="s">
        <v>53</v>
      </c>
      <c r="G1182" t="s">
        <v>5</v>
      </c>
    </row>
    <row r="1183" spans="1:7" x14ac:dyDescent="0.3">
      <c r="A1183" t="s">
        <v>26</v>
      </c>
      <c r="B1183" s="1">
        <v>45808</v>
      </c>
      <c r="C1183">
        <v>510065</v>
      </c>
      <c r="D1183">
        <v>88.665000000000006</v>
      </c>
      <c r="E1183" t="s">
        <v>6</v>
      </c>
      <c r="F1183" t="s">
        <v>53</v>
      </c>
      <c r="G1183" t="s">
        <v>5</v>
      </c>
    </row>
    <row r="1184" spans="1:7" x14ac:dyDescent="0.3">
      <c r="A1184" t="s">
        <v>26</v>
      </c>
      <c r="B1184" s="1">
        <v>45808</v>
      </c>
      <c r="C1184">
        <v>520020</v>
      </c>
      <c r="D1184">
        <v>-330.06299999999999</v>
      </c>
      <c r="E1184" t="s">
        <v>6</v>
      </c>
      <c r="F1184" t="s">
        <v>53</v>
      </c>
      <c r="G1184" t="s">
        <v>5</v>
      </c>
    </row>
    <row r="1185" spans="1:7" x14ac:dyDescent="0.3">
      <c r="A1185" t="s">
        <v>26</v>
      </c>
      <c r="B1185" s="1">
        <v>45808</v>
      </c>
      <c r="C1185">
        <v>520021</v>
      </c>
      <c r="D1185">
        <v>28.023</v>
      </c>
      <c r="E1185" t="s">
        <v>6</v>
      </c>
      <c r="F1185" t="s">
        <v>60</v>
      </c>
      <c r="G1185" t="s">
        <v>5</v>
      </c>
    </row>
    <row r="1186" spans="1:7" x14ac:dyDescent="0.3">
      <c r="A1186" t="s">
        <v>26</v>
      </c>
      <c r="B1186" s="1">
        <v>45808</v>
      </c>
      <c r="C1186">
        <v>541010</v>
      </c>
      <c r="D1186">
        <v>4.0650000000000004</v>
      </c>
      <c r="E1186" t="s">
        <v>6</v>
      </c>
      <c r="F1186" t="s">
        <v>61</v>
      </c>
      <c r="G1186" t="s">
        <v>5</v>
      </c>
    </row>
    <row r="1187" spans="1:7" x14ac:dyDescent="0.3">
      <c r="A1187" t="s">
        <v>26</v>
      </c>
      <c r="B1187" s="1">
        <v>45808</v>
      </c>
      <c r="C1187">
        <v>546002</v>
      </c>
      <c r="D1187">
        <v>18443.964</v>
      </c>
      <c r="E1187" t="s">
        <v>6</v>
      </c>
      <c r="F1187" t="s">
        <v>51</v>
      </c>
      <c r="G1187" t="s">
        <v>5</v>
      </c>
    </row>
    <row r="1188" spans="1:7" x14ac:dyDescent="0.3">
      <c r="A1188" t="s">
        <v>26</v>
      </c>
      <c r="B1188" s="1">
        <v>45808</v>
      </c>
      <c r="C1188">
        <v>546008</v>
      </c>
      <c r="D1188">
        <v>11.196</v>
      </c>
      <c r="E1188" t="s">
        <v>6</v>
      </c>
      <c r="F1188" t="s">
        <v>51</v>
      </c>
      <c r="G1188" t="s">
        <v>5</v>
      </c>
    </row>
    <row r="1189" spans="1:7" x14ac:dyDescent="0.3">
      <c r="A1189" t="s">
        <v>26</v>
      </c>
      <c r="B1189" s="1">
        <v>45808</v>
      </c>
      <c r="C1189">
        <v>546013</v>
      </c>
      <c r="D1189">
        <v>-194.14599999999999</v>
      </c>
      <c r="E1189" t="s">
        <v>6</v>
      </c>
      <c r="F1189" t="s">
        <v>51</v>
      </c>
      <c r="G1189" t="s">
        <v>5</v>
      </c>
    </row>
    <row r="1190" spans="1:7" x14ac:dyDescent="0.3">
      <c r="A1190" t="s">
        <v>26</v>
      </c>
      <c r="B1190" s="1">
        <v>45808</v>
      </c>
      <c r="C1190">
        <v>546015</v>
      </c>
      <c r="D1190">
        <v>-73.668000000000006</v>
      </c>
      <c r="E1190" t="s">
        <v>6</v>
      </c>
      <c r="F1190" t="s">
        <v>51</v>
      </c>
      <c r="G1190" t="s">
        <v>5</v>
      </c>
    </row>
    <row r="1191" spans="1:7" x14ac:dyDescent="0.3">
      <c r="A1191" t="s">
        <v>26</v>
      </c>
      <c r="B1191" s="1">
        <v>45808</v>
      </c>
      <c r="C1191">
        <v>550002</v>
      </c>
      <c r="D1191">
        <v>15100.643</v>
      </c>
      <c r="E1191" t="s">
        <v>6</v>
      </c>
      <c r="F1191" t="s">
        <v>62</v>
      </c>
      <c r="G1191" t="s">
        <v>5</v>
      </c>
    </row>
    <row r="1192" spans="1:7" x14ac:dyDescent="0.3">
      <c r="A1192" t="s">
        <v>26</v>
      </c>
      <c r="B1192" s="1">
        <v>45808</v>
      </c>
      <c r="C1192">
        <v>550003</v>
      </c>
      <c r="D1192">
        <v>-4569.7460000000001</v>
      </c>
      <c r="E1192" t="s">
        <v>6</v>
      </c>
      <c r="F1192" t="s">
        <v>62</v>
      </c>
      <c r="G1192" t="s">
        <v>5</v>
      </c>
    </row>
    <row r="1193" spans="1:7" x14ac:dyDescent="0.3">
      <c r="A1193" t="s">
        <v>26</v>
      </c>
      <c r="B1193" s="1">
        <v>45808</v>
      </c>
      <c r="C1193">
        <v>551003</v>
      </c>
      <c r="D1193">
        <v>572.12800000000004</v>
      </c>
      <c r="E1193" t="s">
        <v>6</v>
      </c>
      <c r="F1193" t="s">
        <v>63</v>
      </c>
      <c r="G1193" t="s">
        <v>5</v>
      </c>
    </row>
    <row r="1194" spans="1:7" x14ac:dyDescent="0.3">
      <c r="A1194" t="s">
        <v>26</v>
      </c>
      <c r="B1194" s="1">
        <v>45808</v>
      </c>
      <c r="C1194">
        <v>552502</v>
      </c>
      <c r="D1194">
        <v>1084.443</v>
      </c>
      <c r="E1194" t="s">
        <v>6</v>
      </c>
      <c r="F1194" t="s">
        <v>55</v>
      </c>
      <c r="G1194" t="s">
        <v>5</v>
      </c>
    </row>
    <row r="1195" spans="1:7" x14ac:dyDescent="0.3">
      <c r="A1195" t="s">
        <v>26</v>
      </c>
      <c r="B1195" s="1">
        <v>45808</v>
      </c>
      <c r="C1195">
        <v>555508</v>
      </c>
      <c r="D1195">
        <v>6.3280000000000003</v>
      </c>
      <c r="E1195" t="s">
        <v>6</v>
      </c>
      <c r="F1195" t="s">
        <v>55</v>
      </c>
      <c r="G1195" t="s">
        <v>5</v>
      </c>
    </row>
    <row r="1196" spans="1:7" x14ac:dyDescent="0.3">
      <c r="A1196" t="s">
        <v>26</v>
      </c>
      <c r="B1196" s="1">
        <v>45808</v>
      </c>
      <c r="C1196">
        <v>556002</v>
      </c>
      <c r="D1196">
        <v>53.999000000000002</v>
      </c>
      <c r="E1196" t="s">
        <v>6</v>
      </c>
      <c r="F1196" t="s">
        <v>60</v>
      </c>
      <c r="G1196" t="s">
        <v>5</v>
      </c>
    </row>
    <row r="1197" spans="1:7" x14ac:dyDescent="0.3">
      <c r="A1197" t="s">
        <v>26</v>
      </c>
      <c r="B1197" s="1">
        <v>45808</v>
      </c>
      <c r="C1197">
        <v>557002</v>
      </c>
      <c r="D1197">
        <v>345.24099999999999</v>
      </c>
      <c r="E1197" t="s">
        <v>6</v>
      </c>
      <c r="F1197" t="s">
        <v>56</v>
      </c>
      <c r="G1197" t="s">
        <v>5</v>
      </c>
    </row>
    <row r="1198" spans="1:7" x14ac:dyDescent="0.3">
      <c r="A1198" t="s">
        <v>26</v>
      </c>
      <c r="B1198" s="1">
        <v>45808</v>
      </c>
      <c r="C1198">
        <v>558006</v>
      </c>
      <c r="D1198">
        <v>-586.51700000000005</v>
      </c>
      <c r="E1198" t="s">
        <v>6</v>
      </c>
      <c r="F1198" t="s">
        <v>57</v>
      </c>
      <c r="G1198" t="s">
        <v>5</v>
      </c>
    </row>
    <row r="1199" spans="1:7" x14ac:dyDescent="0.3">
      <c r="A1199" t="s">
        <v>26</v>
      </c>
      <c r="B1199" s="1">
        <v>45808</v>
      </c>
      <c r="C1199">
        <v>558012</v>
      </c>
      <c r="D1199">
        <v>4.6260000000000003</v>
      </c>
      <c r="E1199" t="s">
        <v>6</v>
      </c>
      <c r="F1199" t="s">
        <v>60</v>
      </c>
      <c r="G1199" t="s">
        <v>5</v>
      </c>
    </row>
    <row r="1200" spans="1:7" x14ac:dyDescent="0.3">
      <c r="A1200" t="s">
        <v>26</v>
      </c>
      <c r="B1200" s="1">
        <v>45808</v>
      </c>
      <c r="C1200">
        <v>559002</v>
      </c>
      <c r="D1200">
        <v>15.311999999999999</v>
      </c>
      <c r="E1200" t="s">
        <v>6</v>
      </c>
      <c r="F1200" t="s">
        <v>60</v>
      </c>
      <c r="G1200" t="s">
        <v>5</v>
      </c>
    </row>
    <row r="1201" spans="1:7" x14ac:dyDescent="0.3">
      <c r="A1201" t="s">
        <v>26</v>
      </c>
      <c r="B1201" s="1">
        <v>45808</v>
      </c>
      <c r="C1201">
        <v>560008</v>
      </c>
      <c r="D1201">
        <v>218.88200000000001</v>
      </c>
      <c r="E1201" t="s">
        <v>6</v>
      </c>
      <c r="F1201" t="s">
        <v>56</v>
      </c>
      <c r="G1201" t="s">
        <v>5</v>
      </c>
    </row>
    <row r="1202" spans="1:7" x14ac:dyDescent="0.3">
      <c r="A1202" t="s">
        <v>26</v>
      </c>
      <c r="B1202" s="1">
        <v>45808</v>
      </c>
      <c r="C1202">
        <v>564019</v>
      </c>
      <c r="D1202">
        <v>5091.9539999999997</v>
      </c>
      <c r="E1202" t="s">
        <v>6</v>
      </c>
      <c r="F1202" t="s">
        <v>51</v>
      </c>
      <c r="G1202" t="s">
        <v>5</v>
      </c>
    </row>
    <row r="1203" spans="1:7" x14ac:dyDescent="0.3">
      <c r="A1203" t="s">
        <v>26</v>
      </c>
      <c r="B1203" s="1">
        <v>45808</v>
      </c>
      <c r="C1203">
        <v>564020</v>
      </c>
      <c r="D1203">
        <v>61.545000000000002</v>
      </c>
      <c r="E1203" t="s">
        <v>6</v>
      </c>
      <c r="F1203" t="s">
        <v>57</v>
      </c>
      <c r="G1203" t="s">
        <v>5</v>
      </c>
    </row>
    <row r="1204" spans="1:7" x14ac:dyDescent="0.3">
      <c r="A1204" t="s">
        <v>26</v>
      </c>
      <c r="B1204" s="1">
        <v>45808</v>
      </c>
      <c r="C1204">
        <v>564021</v>
      </c>
      <c r="D1204">
        <v>0.86699999999999999</v>
      </c>
      <c r="E1204" t="s">
        <v>6</v>
      </c>
      <c r="F1204" t="s">
        <v>57</v>
      </c>
      <c r="G1204" t="s">
        <v>5</v>
      </c>
    </row>
    <row r="1205" spans="1:7" x14ac:dyDescent="0.3">
      <c r="A1205" t="s">
        <v>26</v>
      </c>
      <c r="B1205" s="1">
        <v>45808</v>
      </c>
      <c r="C1205">
        <v>570002</v>
      </c>
      <c r="D1205">
        <v>33.173000000000002</v>
      </c>
      <c r="E1205" t="s">
        <v>6</v>
      </c>
      <c r="F1205" t="s">
        <v>66</v>
      </c>
      <c r="G1205" t="s">
        <v>5</v>
      </c>
    </row>
    <row r="1206" spans="1:7" x14ac:dyDescent="0.3">
      <c r="A1206" t="s">
        <v>27</v>
      </c>
      <c r="B1206" s="1">
        <v>45808</v>
      </c>
      <c r="C1206">
        <v>220006</v>
      </c>
      <c r="D1206">
        <v>4398.7020000000002</v>
      </c>
      <c r="E1206" t="s">
        <v>4</v>
      </c>
      <c r="F1206" t="s">
        <v>42</v>
      </c>
      <c r="G1206" t="s">
        <v>8</v>
      </c>
    </row>
    <row r="1207" spans="1:7" x14ac:dyDescent="0.3">
      <c r="A1207" t="s">
        <v>27</v>
      </c>
      <c r="B1207" s="1">
        <v>45808</v>
      </c>
      <c r="C1207">
        <v>240002</v>
      </c>
      <c r="D1207">
        <v>-92.988</v>
      </c>
      <c r="E1207" t="s">
        <v>4</v>
      </c>
      <c r="F1207" t="s">
        <v>43</v>
      </c>
      <c r="G1207" t="s">
        <v>8</v>
      </c>
    </row>
    <row r="1208" spans="1:7" x14ac:dyDescent="0.3">
      <c r="A1208" t="s">
        <v>27</v>
      </c>
      <c r="B1208" s="1">
        <v>45808</v>
      </c>
      <c r="C1208">
        <v>243002</v>
      </c>
      <c r="D1208">
        <v>-411.99299999999999</v>
      </c>
      <c r="E1208" t="s">
        <v>4</v>
      </c>
      <c r="F1208" t="s">
        <v>43</v>
      </c>
      <c r="G1208" t="s">
        <v>8</v>
      </c>
    </row>
    <row r="1209" spans="1:7" x14ac:dyDescent="0.3">
      <c r="A1209" t="s">
        <v>27</v>
      </c>
      <c r="B1209" s="1">
        <v>45808</v>
      </c>
      <c r="C1209">
        <v>330141</v>
      </c>
      <c r="D1209">
        <v>-3664.607</v>
      </c>
      <c r="E1209" t="s">
        <v>4</v>
      </c>
      <c r="F1209" t="s">
        <v>43</v>
      </c>
      <c r="G1209" t="s">
        <v>8</v>
      </c>
    </row>
    <row r="1210" spans="1:7" x14ac:dyDescent="0.3">
      <c r="A1210" t="s">
        <v>27</v>
      </c>
      <c r="B1210" s="1">
        <v>45808</v>
      </c>
      <c r="C1210">
        <v>355002</v>
      </c>
      <c r="D1210">
        <v>72.680999999999997</v>
      </c>
      <c r="E1210" t="s">
        <v>4</v>
      </c>
      <c r="F1210" t="s">
        <v>49</v>
      </c>
      <c r="G1210" t="s">
        <v>8</v>
      </c>
    </row>
    <row r="1211" spans="1:7" x14ac:dyDescent="0.3">
      <c r="A1211" t="s">
        <v>27</v>
      </c>
      <c r="B1211" s="1">
        <v>45808</v>
      </c>
      <c r="C1211">
        <v>552502</v>
      </c>
      <c r="D1211">
        <v>142.96899999999999</v>
      </c>
      <c r="E1211" t="s">
        <v>6</v>
      </c>
      <c r="F1211" t="s">
        <v>55</v>
      </c>
      <c r="G1211" t="s">
        <v>8</v>
      </c>
    </row>
    <row r="1212" spans="1:7" x14ac:dyDescent="0.3">
      <c r="A1212" t="s">
        <v>27</v>
      </c>
      <c r="B1212" s="1">
        <v>45808</v>
      </c>
      <c r="C1212">
        <v>557002</v>
      </c>
      <c r="D1212">
        <v>-440.05700000000002</v>
      </c>
      <c r="E1212" t="s">
        <v>6</v>
      </c>
      <c r="F1212" t="s">
        <v>56</v>
      </c>
      <c r="G1212" t="s">
        <v>8</v>
      </c>
    </row>
    <row r="1213" spans="1:7" x14ac:dyDescent="0.3">
      <c r="A1213" t="s">
        <v>28</v>
      </c>
      <c r="B1213" s="1">
        <v>45808</v>
      </c>
      <c r="C1213">
        <v>220006</v>
      </c>
      <c r="D1213">
        <v>36737.135000000002</v>
      </c>
      <c r="E1213" t="s">
        <v>4</v>
      </c>
      <c r="F1213" t="s">
        <v>42</v>
      </c>
      <c r="G1213" t="s">
        <v>8</v>
      </c>
    </row>
    <row r="1214" spans="1:7" x14ac:dyDescent="0.3">
      <c r="A1214" t="s">
        <v>28</v>
      </c>
      <c r="B1214" s="1">
        <v>45808</v>
      </c>
      <c r="C1214">
        <v>240002</v>
      </c>
      <c r="D1214">
        <v>-71.36</v>
      </c>
      <c r="E1214" t="s">
        <v>4</v>
      </c>
      <c r="F1214" t="s">
        <v>43</v>
      </c>
      <c r="G1214" t="s">
        <v>8</v>
      </c>
    </row>
    <row r="1215" spans="1:7" x14ac:dyDescent="0.3">
      <c r="A1215" t="s">
        <v>28</v>
      </c>
      <c r="B1215" s="1">
        <v>45808</v>
      </c>
      <c r="C1215">
        <v>240003</v>
      </c>
      <c r="D1215">
        <v>-18.327000000000002</v>
      </c>
      <c r="E1215" t="s">
        <v>4</v>
      </c>
      <c r="F1215" t="s">
        <v>43</v>
      </c>
      <c r="G1215" t="s">
        <v>8</v>
      </c>
    </row>
    <row r="1216" spans="1:7" x14ac:dyDescent="0.3">
      <c r="A1216" t="s">
        <v>28</v>
      </c>
      <c r="B1216" s="1">
        <v>45808</v>
      </c>
      <c r="C1216">
        <v>240009</v>
      </c>
      <c r="D1216">
        <v>-14.861000000000001</v>
      </c>
      <c r="E1216" t="s">
        <v>4</v>
      </c>
      <c r="F1216" t="s">
        <v>43</v>
      </c>
      <c r="G1216" t="s">
        <v>8</v>
      </c>
    </row>
    <row r="1217" spans="1:7" x14ac:dyDescent="0.3">
      <c r="A1217" t="s">
        <v>28</v>
      </c>
      <c r="B1217" s="1">
        <v>45808</v>
      </c>
      <c r="C1217">
        <v>242003</v>
      </c>
      <c r="D1217">
        <v>-605.173</v>
      </c>
      <c r="E1217" t="s">
        <v>4</v>
      </c>
      <c r="F1217" t="s">
        <v>43</v>
      </c>
      <c r="G1217" t="s">
        <v>8</v>
      </c>
    </row>
    <row r="1218" spans="1:7" x14ac:dyDescent="0.3">
      <c r="A1218" t="s">
        <v>28</v>
      </c>
      <c r="B1218" s="1">
        <v>45808</v>
      </c>
      <c r="C1218">
        <v>243002</v>
      </c>
      <c r="D1218">
        <v>-177.37</v>
      </c>
      <c r="E1218" t="s">
        <v>4</v>
      </c>
      <c r="F1218" t="s">
        <v>43</v>
      </c>
      <c r="G1218" t="s">
        <v>8</v>
      </c>
    </row>
    <row r="1219" spans="1:7" x14ac:dyDescent="0.3">
      <c r="A1219" t="s">
        <v>28</v>
      </c>
      <c r="B1219" s="1">
        <v>45808</v>
      </c>
      <c r="C1219">
        <v>257005</v>
      </c>
      <c r="D1219">
        <v>-102.568</v>
      </c>
      <c r="E1219" t="s">
        <v>4</v>
      </c>
      <c r="F1219" t="s">
        <v>45</v>
      </c>
      <c r="G1219" t="s">
        <v>8</v>
      </c>
    </row>
    <row r="1220" spans="1:7" x14ac:dyDescent="0.3">
      <c r="A1220" t="s">
        <v>28</v>
      </c>
      <c r="B1220" s="1">
        <v>45808</v>
      </c>
      <c r="C1220">
        <v>257008</v>
      </c>
      <c r="D1220">
        <v>184.00399999999999</v>
      </c>
      <c r="E1220" t="s">
        <v>4</v>
      </c>
      <c r="F1220" t="s">
        <v>45</v>
      </c>
      <c r="G1220" t="s">
        <v>8</v>
      </c>
    </row>
    <row r="1221" spans="1:7" x14ac:dyDescent="0.3">
      <c r="A1221" t="s">
        <v>28</v>
      </c>
      <c r="B1221" s="1">
        <v>45808</v>
      </c>
      <c r="C1221">
        <v>260004</v>
      </c>
      <c r="D1221">
        <v>4.0000000000000001E-3</v>
      </c>
      <c r="E1221" t="s">
        <v>4</v>
      </c>
      <c r="F1221" t="s">
        <v>45</v>
      </c>
      <c r="G1221" t="s">
        <v>8</v>
      </c>
    </row>
    <row r="1222" spans="1:7" x14ac:dyDescent="0.3">
      <c r="A1222" t="s">
        <v>28</v>
      </c>
      <c r="B1222" s="1">
        <v>45808</v>
      </c>
      <c r="C1222">
        <v>321030</v>
      </c>
      <c r="D1222">
        <v>572.98099999999999</v>
      </c>
      <c r="E1222" t="s">
        <v>4</v>
      </c>
      <c r="F1222" t="s">
        <v>46</v>
      </c>
      <c r="G1222" t="s">
        <v>8</v>
      </c>
    </row>
    <row r="1223" spans="1:7" x14ac:dyDescent="0.3">
      <c r="A1223" t="s">
        <v>28</v>
      </c>
      <c r="B1223" s="1">
        <v>45808</v>
      </c>
      <c r="C1223">
        <v>330124</v>
      </c>
      <c r="D1223">
        <v>-2076.915</v>
      </c>
      <c r="E1223" t="s">
        <v>4</v>
      </c>
      <c r="F1223" t="s">
        <v>43</v>
      </c>
      <c r="G1223" t="s">
        <v>8</v>
      </c>
    </row>
    <row r="1224" spans="1:7" x14ac:dyDescent="0.3">
      <c r="A1224" t="s">
        <v>28</v>
      </c>
      <c r="B1224" s="1">
        <v>45808</v>
      </c>
      <c r="C1224">
        <v>330130</v>
      </c>
      <c r="D1224">
        <v>-39402.696000000004</v>
      </c>
      <c r="E1224" t="s">
        <v>4</v>
      </c>
      <c r="F1224" t="s">
        <v>43</v>
      </c>
      <c r="G1224" t="s">
        <v>8</v>
      </c>
    </row>
    <row r="1225" spans="1:7" x14ac:dyDescent="0.3">
      <c r="A1225" t="s">
        <v>28</v>
      </c>
      <c r="B1225" s="1">
        <v>45808</v>
      </c>
      <c r="C1225">
        <v>340234</v>
      </c>
      <c r="D1225">
        <v>5.0309999999999997</v>
      </c>
      <c r="E1225" t="s">
        <v>4</v>
      </c>
      <c r="F1225" t="s">
        <v>47</v>
      </c>
      <c r="G1225" t="s">
        <v>8</v>
      </c>
    </row>
    <row r="1226" spans="1:7" x14ac:dyDescent="0.3">
      <c r="A1226" t="s">
        <v>28</v>
      </c>
      <c r="B1226" s="1">
        <v>45808</v>
      </c>
      <c r="C1226">
        <v>340267</v>
      </c>
      <c r="D1226">
        <v>4520.9949999999999</v>
      </c>
      <c r="E1226" t="s">
        <v>4</v>
      </c>
      <c r="F1226" t="s">
        <v>47</v>
      </c>
      <c r="G1226" t="s">
        <v>8</v>
      </c>
    </row>
    <row r="1227" spans="1:7" x14ac:dyDescent="0.3">
      <c r="A1227" t="s">
        <v>28</v>
      </c>
      <c r="B1227" s="1">
        <v>45808</v>
      </c>
      <c r="C1227">
        <v>350031</v>
      </c>
      <c r="D1227">
        <v>14.861000000000001</v>
      </c>
      <c r="E1227" t="s">
        <v>4</v>
      </c>
      <c r="F1227" t="s">
        <v>43</v>
      </c>
      <c r="G1227" t="s">
        <v>8</v>
      </c>
    </row>
    <row r="1228" spans="1:7" x14ac:dyDescent="0.3">
      <c r="A1228" t="s">
        <v>28</v>
      </c>
      <c r="B1228" s="1">
        <v>45808</v>
      </c>
      <c r="C1228">
        <v>360019</v>
      </c>
      <c r="D1228">
        <v>27.138000000000002</v>
      </c>
      <c r="E1228" t="s">
        <v>4</v>
      </c>
      <c r="F1228" t="s">
        <v>58</v>
      </c>
      <c r="G1228" t="s">
        <v>8</v>
      </c>
    </row>
    <row r="1229" spans="1:7" x14ac:dyDescent="0.3">
      <c r="A1229" t="s">
        <v>28</v>
      </c>
      <c r="B1229" s="1">
        <v>45808</v>
      </c>
      <c r="C1229">
        <v>360022</v>
      </c>
      <c r="D1229">
        <v>65.849000000000004</v>
      </c>
      <c r="E1229" t="s">
        <v>4</v>
      </c>
      <c r="F1229" t="s">
        <v>58</v>
      </c>
      <c r="G1229" t="s">
        <v>8</v>
      </c>
    </row>
    <row r="1230" spans="1:7" x14ac:dyDescent="0.3">
      <c r="A1230" t="s">
        <v>28</v>
      </c>
      <c r="B1230" s="1">
        <v>45808</v>
      </c>
      <c r="C1230">
        <v>372002</v>
      </c>
      <c r="D1230">
        <v>17.244</v>
      </c>
      <c r="E1230" t="s">
        <v>4</v>
      </c>
      <c r="F1230" t="s">
        <v>45</v>
      </c>
      <c r="G1230" t="s">
        <v>8</v>
      </c>
    </row>
    <row r="1231" spans="1:7" x14ac:dyDescent="0.3">
      <c r="A1231" t="s">
        <v>28</v>
      </c>
      <c r="B1231" s="1">
        <v>45808</v>
      </c>
      <c r="C1231">
        <v>372004</v>
      </c>
      <c r="D1231">
        <v>45.37</v>
      </c>
      <c r="E1231" t="s">
        <v>4</v>
      </c>
      <c r="F1231" t="s">
        <v>45</v>
      </c>
      <c r="G1231" t="s">
        <v>8</v>
      </c>
    </row>
    <row r="1232" spans="1:7" x14ac:dyDescent="0.3">
      <c r="A1232" t="s">
        <v>28</v>
      </c>
      <c r="B1232" s="1">
        <v>45808</v>
      </c>
      <c r="C1232">
        <v>421002</v>
      </c>
      <c r="D1232">
        <v>-26.468</v>
      </c>
      <c r="E1232" t="s">
        <v>6</v>
      </c>
      <c r="F1232" t="s">
        <v>52</v>
      </c>
      <c r="G1232" t="s">
        <v>8</v>
      </c>
    </row>
    <row r="1233" spans="1:7" x14ac:dyDescent="0.3">
      <c r="A1233" t="s">
        <v>28</v>
      </c>
      <c r="B1233" s="1">
        <v>45808</v>
      </c>
      <c r="C1233">
        <v>421003</v>
      </c>
      <c r="D1233">
        <v>-3.6139999999999999</v>
      </c>
      <c r="E1233" t="s">
        <v>6</v>
      </c>
      <c r="F1233" t="s">
        <v>52</v>
      </c>
      <c r="G1233" t="s">
        <v>8</v>
      </c>
    </row>
    <row r="1234" spans="1:7" x14ac:dyDescent="0.3">
      <c r="A1234" t="s">
        <v>28</v>
      </c>
      <c r="B1234" s="1">
        <v>45808</v>
      </c>
      <c r="C1234">
        <v>557002</v>
      </c>
      <c r="D1234">
        <v>134.08199999999999</v>
      </c>
      <c r="E1234" t="s">
        <v>6</v>
      </c>
      <c r="F1234" t="s">
        <v>56</v>
      </c>
      <c r="G1234" t="s">
        <v>8</v>
      </c>
    </row>
    <row r="1235" spans="1:7" x14ac:dyDescent="0.3">
      <c r="A1235" t="s">
        <v>28</v>
      </c>
      <c r="B1235" s="1">
        <v>45808</v>
      </c>
      <c r="C1235">
        <v>564019</v>
      </c>
      <c r="D1235">
        <v>130.297</v>
      </c>
      <c r="E1235" t="s">
        <v>6</v>
      </c>
      <c r="F1235" t="s">
        <v>51</v>
      </c>
      <c r="G1235" t="s">
        <v>8</v>
      </c>
    </row>
    <row r="1236" spans="1:7" x14ac:dyDescent="0.3">
      <c r="A1236" t="s">
        <v>28</v>
      </c>
      <c r="B1236" s="1">
        <v>45808</v>
      </c>
      <c r="C1236">
        <v>564020</v>
      </c>
      <c r="D1236">
        <v>41.465000000000003</v>
      </c>
      <c r="E1236" t="s">
        <v>6</v>
      </c>
      <c r="F1236" t="s">
        <v>57</v>
      </c>
      <c r="G1236" t="s">
        <v>8</v>
      </c>
    </row>
    <row r="1237" spans="1:7" x14ac:dyDescent="0.3">
      <c r="A1237" t="s">
        <v>29</v>
      </c>
      <c r="B1237" s="1">
        <v>45808</v>
      </c>
      <c r="C1237">
        <v>220006</v>
      </c>
      <c r="D1237">
        <v>-600858.89099999995</v>
      </c>
      <c r="E1237" t="s">
        <v>4</v>
      </c>
      <c r="F1237" t="s">
        <v>42</v>
      </c>
      <c r="G1237" t="s">
        <v>8</v>
      </c>
    </row>
    <row r="1238" spans="1:7" x14ac:dyDescent="0.3">
      <c r="A1238" t="s">
        <v>29</v>
      </c>
      <c r="B1238" s="1">
        <v>45808</v>
      </c>
      <c r="C1238">
        <v>240002</v>
      </c>
      <c r="D1238">
        <v>-2810.9409999999998</v>
      </c>
      <c r="E1238" t="s">
        <v>4</v>
      </c>
      <c r="F1238" t="s">
        <v>43</v>
      </c>
      <c r="G1238" t="s">
        <v>8</v>
      </c>
    </row>
    <row r="1239" spans="1:7" x14ac:dyDescent="0.3">
      <c r="A1239" t="s">
        <v>29</v>
      </c>
      <c r="B1239" s="1">
        <v>45808</v>
      </c>
      <c r="C1239">
        <v>242003</v>
      </c>
      <c r="D1239">
        <v>-60556.294000000002</v>
      </c>
      <c r="E1239" t="s">
        <v>4</v>
      </c>
      <c r="F1239" t="s">
        <v>43</v>
      </c>
      <c r="G1239" t="s">
        <v>8</v>
      </c>
    </row>
    <row r="1240" spans="1:7" x14ac:dyDescent="0.3">
      <c r="A1240" t="s">
        <v>29</v>
      </c>
      <c r="B1240" s="1">
        <v>45808</v>
      </c>
      <c r="C1240">
        <v>242012</v>
      </c>
      <c r="D1240">
        <v>-2189.06</v>
      </c>
      <c r="E1240" t="s">
        <v>4</v>
      </c>
      <c r="F1240" t="s">
        <v>43</v>
      </c>
      <c r="G1240" t="s">
        <v>8</v>
      </c>
    </row>
    <row r="1241" spans="1:7" x14ac:dyDescent="0.3">
      <c r="A1241" t="s">
        <v>29</v>
      </c>
      <c r="B1241" s="1">
        <v>45808</v>
      </c>
      <c r="C1241">
        <v>242013</v>
      </c>
      <c r="D1241">
        <v>-261.00700000000001</v>
      </c>
      <c r="E1241" t="s">
        <v>4</v>
      </c>
      <c r="F1241" t="s">
        <v>43</v>
      </c>
      <c r="G1241" t="s">
        <v>8</v>
      </c>
    </row>
    <row r="1242" spans="1:7" x14ac:dyDescent="0.3">
      <c r="A1242" t="s">
        <v>29</v>
      </c>
      <c r="B1242" s="1">
        <v>45808</v>
      </c>
      <c r="C1242">
        <v>242023</v>
      </c>
      <c r="D1242">
        <v>-7505.2870000000003</v>
      </c>
      <c r="E1242" t="s">
        <v>4</v>
      </c>
      <c r="F1242" t="s">
        <v>43</v>
      </c>
      <c r="G1242" t="s">
        <v>8</v>
      </c>
    </row>
    <row r="1243" spans="1:7" x14ac:dyDescent="0.3">
      <c r="A1243" t="s">
        <v>29</v>
      </c>
      <c r="B1243" s="1">
        <v>45808</v>
      </c>
      <c r="C1243">
        <v>242027</v>
      </c>
      <c r="D1243">
        <v>-2527.9279999999999</v>
      </c>
      <c r="E1243" t="s">
        <v>4</v>
      </c>
      <c r="F1243" t="s">
        <v>43</v>
      </c>
      <c r="G1243" t="s">
        <v>8</v>
      </c>
    </row>
    <row r="1244" spans="1:7" x14ac:dyDescent="0.3">
      <c r="A1244" t="s">
        <v>29</v>
      </c>
      <c r="B1244" s="1">
        <v>45808</v>
      </c>
      <c r="C1244">
        <v>242039</v>
      </c>
      <c r="D1244">
        <v>-1076.4000000000001</v>
      </c>
      <c r="E1244" t="s">
        <v>4</v>
      </c>
      <c r="F1244" t="s">
        <v>43</v>
      </c>
      <c r="G1244" t="s">
        <v>8</v>
      </c>
    </row>
    <row r="1245" spans="1:7" x14ac:dyDescent="0.3">
      <c r="A1245" t="s">
        <v>29</v>
      </c>
      <c r="B1245" s="1">
        <v>45808</v>
      </c>
      <c r="C1245">
        <v>242041</v>
      </c>
      <c r="D1245">
        <v>-57.134</v>
      </c>
      <c r="E1245" t="s">
        <v>4</v>
      </c>
      <c r="F1245" t="s">
        <v>43</v>
      </c>
      <c r="G1245" t="s">
        <v>8</v>
      </c>
    </row>
    <row r="1246" spans="1:7" x14ac:dyDescent="0.3">
      <c r="A1246" t="s">
        <v>29</v>
      </c>
      <c r="B1246" s="1">
        <v>45808</v>
      </c>
      <c r="C1246">
        <v>243002</v>
      </c>
      <c r="D1246">
        <v>-10235.242</v>
      </c>
      <c r="E1246" t="s">
        <v>4</v>
      </c>
      <c r="F1246" t="s">
        <v>43</v>
      </c>
      <c r="G1246" t="s">
        <v>8</v>
      </c>
    </row>
    <row r="1247" spans="1:7" x14ac:dyDescent="0.3">
      <c r="A1247" t="s">
        <v>29</v>
      </c>
      <c r="B1247" s="1">
        <v>45808</v>
      </c>
      <c r="C1247">
        <v>243003</v>
      </c>
      <c r="D1247">
        <v>-7021.7129999999997</v>
      </c>
      <c r="E1247" t="s">
        <v>4</v>
      </c>
      <c r="F1247" t="s">
        <v>43</v>
      </c>
      <c r="G1247" t="s">
        <v>8</v>
      </c>
    </row>
    <row r="1248" spans="1:7" x14ac:dyDescent="0.3">
      <c r="A1248" t="s">
        <v>29</v>
      </c>
      <c r="B1248" s="1">
        <v>45808</v>
      </c>
      <c r="C1248">
        <v>243010</v>
      </c>
      <c r="D1248">
        <v>-3162.799</v>
      </c>
      <c r="E1248" t="s">
        <v>4</v>
      </c>
      <c r="F1248" t="s">
        <v>43</v>
      </c>
      <c r="G1248" t="s">
        <v>8</v>
      </c>
    </row>
    <row r="1249" spans="1:7" x14ac:dyDescent="0.3">
      <c r="A1249" t="s">
        <v>29</v>
      </c>
      <c r="B1249" s="1">
        <v>45808</v>
      </c>
      <c r="C1249">
        <v>245002</v>
      </c>
      <c r="D1249">
        <v>-10.006</v>
      </c>
      <c r="E1249" t="s">
        <v>4</v>
      </c>
      <c r="F1249" t="s">
        <v>43</v>
      </c>
      <c r="G1249" t="s">
        <v>8</v>
      </c>
    </row>
    <row r="1250" spans="1:7" x14ac:dyDescent="0.3">
      <c r="A1250" t="s">
        <v>29</v>
      </c>
      <c r="B1250" s="1">
        <v>45808</v>
      </c>
      <c r="C1250">
        <v>245049</v>
      </c>
      <c r="D1250">
        <v>2084.0650000000001</v>
      </c>
      <c r="E1250" t="s">
        <v>4</v>
      </c>
      <c r="F1250" t="s">
        <v>43</v>
      </c>
      <c r="G1250" t="s">
        <v>8</v>
      </c>
    </row>
    <row r="1251" spans="1:7" x14ac:dyDescent="0.3">
      <c r="A1251" t="s">
        <v>29</v>
      </c>
      <c r="B1251" s="1">
        <v>45808</v>
      </c>
      <c r="C1251">
        <v>245055</v>
      </c>
      <c r="D1251">
        <v>-2815.7750000000001</v>
      </c>
      <c r="E1251" t="s">
        <v>4</v>
      </c>
      <c r="F1251" t="s">
        <v>43</v>
      </c>
      <c r="G1251" t="s">
        <v>8</v>
      </c>
    </row>
    <row r="1252" spans="1:7" x14ac:dyDescent="0.3">
      <c r="A1252" t="s">
        <v>29</v>
      </c>
      <c r="B1252" s="1">
        <v>45808</v>
      </c>
      <c r="C1252">
        <v>245062</v>
      </c>
      <c r="D1252">
        <v>-2478.1999999999998</v>
      </c>
      <c r="E1252" t="s">
        <v>4</v>
      </c>
      <c r="F1252" t="s">
        <v>43</v>
      </c>
      <c r="G1252" t="s">
        <v>8</v>
      </c>
    </row>
    <row r="1253" spans="1:7" x14ac:dyDescent="0.3">
      <c r="A1253" t="s">
        <v>29</v>
      </c>
      <c r="B1253" s="1">
        <v>45808</v>
      </c>
      <c r="C1253">
        <v>250007</v>
      </c>
      <c r="D1253">
        <v>-5610.3069999999998</v>
      </c>
      <c r="E1253" t="s">
        <v>4</v>
      </c>
      <c r="F1253" t="s">
        <v>43</v>
      </c>
      <c r="G1253" t="s">
        <v>8</v>
      </c>
    </row>
    <row r="1254" spans="1:7" x14ac:dyDescent="0.3">
      <c r="A1254" t="s">
        <v>29</v>
      </c>
      <c r="B1254" s="1">
        <v>45808</v>
      </c>
      <c r="C1254">
        <v>251002</v>
      </c>
      <c r="D1254">
        <v>-44538.637999999999</v>
      </c>
      <c r="E1254" t="s">
        <v>4</v>
      </c>
      <c r="F1254" t="s">
        <v>45</v>
      </c>
      <c r="G1254" t="s">
        <v>8</v>
      </c>
    </row>
    <row r="1255" spans="1:7" x14ac:dyDescent="0.3">
      <c r="A1255" t="s">
        <v>29</v>
      </c>
      <c r="B1255" s="1">
        <v>45808</v>
      </c>
      <c r="C1255">
        <v>251003</v>
      </c>
      <c r="D1255">
        <v>-2110.0320000000002</v>
      </c>
      <c r="E1255" t="s">
        <v>4</v>
      </c>
      <c r="F1255" t="s">
        <v>45</v>
      </c>
      <c r="G1255" t="s">
        <v>8</v>
      </c>
    </row>
    <row r="1256" spans="1:7" x14ac:dyDescent="0.3">
      <c r="A1256" t="s">
        <v>29</v>
      </c>
      <c r="B1256" s="1">
        <v>45808</v>
      </c>
      <c r="C1256">
        <v>257005</v>
      </c>
      <c r="D1256">
        <v>-5428.8119999999999</v>
      </c>
      <c r="E1256" t="s">
        <v>4</v>
      </c>
      <c r="F1256" t="s">
        <v>45</v>
      </c>
      <c r="G1256" t="s">
        <v>8</v>
      </c>
    </row>
    <row r="1257" spans="1:7" x14ac:dyDescent="0.3">
      <c r="A1257" t="s">
        <v>29</v>
      </c>
      <c r="B1257" s="1">
        <v>45808</v>
      </c>
      <c r="C1257">
        <v>257014</v>
      </c>
      <c r="D1257">
        <v>-23083.527999999998</v>
      </c>
      <c r="E1257" t="s">
        <v>4</v>
      </c>
      <c r="F1257" t="s">
        <v>45</v>
      </c>
      <c r="G1257" t="s">
        <v>8</v>
      </c>
    </row>
    <row r="1258" spans="1:7" x14ac:dyDescent="0.3">
      <c r="A1258" t="s">
        <v>29</v>
      </c>
      <c r="B1258" s="1">
        <v>45808</v>
      </c>
      <c r="C1258">
        <v>257030</v>
      </c>
      <c r="D1258">
        <v>-6832.27</v>
      </c>
      <c r="E1258" t="s">
        <v>4</v>
      </c>
      <c r="F1258" t="s">
        <v>45</v>
      </c>
      <c r="G1258" t="s">
        <v>8</v>
      </c>
    </row>
    <row r="1259" spans="1:7" x14ac:dyDescent="0.3">
      <c r="A1259" t="s">
        <v>29</v>
      </c>
      <c r="B1259" s="1">
        <v>45808</v>
      </c>
      <c r="C1259">
        <v>260004</v>
      </c>
      <c r="D1259">
        <v>-12634.383</v>
      </c>
      <c r="E1259" t="s">
        <v>4</v>
      </c>
      <c r="F1259" t="s">
        <v>45</v>
      </c>
      <c r="G1259" t="s">
        <v>8</v>
      </c>
    </row>
    <row r="1260" spans="1:7" x14ac:dyDescent="0.3">
      <c r="A1260" t="s">
        <v>29</v>
      </c>
      <c r="B1260" s="1">
        <v>45808</v>
      </c>
      <c r="C1260">
        <v>270024</v>
      </c>
      <c r="D1260">
        <v>-67391.116999999998</v>
      </c>
      <c r="E1260" t="s">
        <v>4</v>
      </c>
      <c r="F1260" t="s">
        <v>58</v>
      </c>
      <c r="G1260" t="s">
        <v>8</v>
      </c>
    </row>
    <row r="1261" spans="1:7" x14ac:dyDescent="0.3">
      <c r="A1261" t="s">
        <v>29</v>
      </c>
      <c r="B1261" s="1">
        <v>45808</v>
      </c>
      <c r="C1261">
        <v>270025</v>
      </c>
      <c r="D1261">
        <v>-51826.43</v>
      </c>
      <c r="E1261" t="s">
        <v>4</v>
      </c>
      <c r="F1261" t="s">
        <v>58</v>
      </c>
      <c r="G1261" t="s">
        <v>8</v>
      </c>
    </row>
    <row r="1262" spans="1:7" x14ac:dyDescent="0.3">
      <c r="A1262" t="s">
        <v>29</v>
      </c>
      <c r="B1262" s="1">
        <v>45808</v>
      </c>
      <c r="C1262">
        <v>320002</v>
      </c>
      <c r="D1262">
        <v>206116.486</v>
      </c>
      <c r="E1262" t="s">
        <v>4</v>
      </c>
      <c r="F1262" t="s">
        <v>46</v>
      </c>
      <c r="G1262" t="s">
        <v>8</v>
      </c>
    </row>
    <row r="1263" spans="1:7" x14ac:dyDescent="0.3">
      <c r="A1263" t="s">
        <v>29</v>
      </c>
      <c r="B1263" s="1">
        <v>45808</v>
      </c>
      <c r="C1263">
        <v>320003</v>
      </c>
      <c r="D1263">
        <v>-1387.2049999999999</v>
      </c>
      <c r="E1263" t="s">
        <v>4</v>
      </c>
      <c r="F1263" t="s">
        <v>46</v>
      </c>
      <c r="G1263" t="s">
        <v>8</v>
      </c>
    </row>
    <row r="1264" spans="1:7" x14ac:dyDescent="0.3">
      <c r="A1264" t="s">
        <v>29</v>
      </c>
      <c r="B1264" s="1">
        <v>45808</v>
      </c>
      <c r="C1264">
        <v>320004</v>
      </c>
      <c r="D1264">
        <v>1696.35</v>
      </c>
      <c r="E1264" t="s">
        <v>4</v>
      </c>
      <c r="F1264" t="s">
        <v>46</v>
      </c>
      <c r="G1264" t="s">
        <v>8</v>
      </c>
    </row>
    <row r="1265" spans="1:7" x14ac:dyDescent="0.3">
      <c r="A1265" t="s">
        <v>29</v>
      </c>
      <c r="B1265" s="1">
        <v>45808</v>
      </c>
      <c r="C1265">
        <v>321012</v>
      </c>
      <c r="D1265">
        <v>21.091000000000001</v>
      </c>
      <c r="E1265" t="s">
        <v>4</v>
      </c>
      <c r="F1265" t="s">
        <v>46</v>
      </c>
      <c r="G1265" t="s">
        <v>8</v>
      </c>
    </row>
    <row r="1266" spans="1:7" x14ac:dyDescent="0.3">
      <c r="A1266" t="s">
        <v>29</v>
      </c>
      <c r="B1266" s="1">
        <v>45808</v>
      </c>
      <c r="C1266">
        <v>321025</v>
      </c>
      <c r="D1266">
        <v>7328.9089999999997</v>
      </c>
      <c r="E1266" t="s">
        <v>4</v>
      </c>
      <c r="F1266" t="s">
        <v>46</v>
      </c>
      <c r="G1266" t="s">
        <v>8</v>
      </c>
    </row>
    <row r="1267" spans="1:7" x14ac:dyDescent="0.3">
      <c r="A1267" t="s">
        <v>29</v>
      </c>
      <c r="B1267" s="1">
        <v>45808</v>
      </c>
      <c r="C1267">
        <v>330131</v>
      </c>
      <c r="D1267">
        <v>48871.680999999997</v>
      </c>
      <c r="E1267" t="s">
        <v>4</v>
      </c>
      <c r="F1267" t="s">
        <v>43</v>
      </c>
      <c r="G1267" t="s">
        <v>8</v>
      </c>
    </row>
    <row r="1268" spans="1:7" x14ac:dyDescent="0.3">
      <c r="A1268" t="s">
        <v>29</v>
      </c>
      <c r="B1268" s="1">
        <v>45808</v>
      </c>
      <c r="C1268">
        <v>340243</v>
      </c>
      <c r="D1268">
        <v>162224.856</v>
      </c>
      <c r="E1268" t="s">
        <v>4</v>
      </c>
      <c r="F1268" t="s">
        <v>47</v>
      </c>
      <c r="G1268" t="s">
        <v>8</v>
      </c>
    </row>
    <row r="1269" spans="1:7" x14ac:dyDescent="0.3">
      <c r="A1269" t="s">
        <v>29</v>
      </c>
      <c r="B1269" s="1">
        <v>45808</v>
      </c>
      <c r="C1269">
        <v>340244</v>
      </c>
      <c r="D1269">
        <v>1157937.699</v>
      </c>
      <c r="E1269" t="s">
        <v>4</v>
      </c>
      <c r="F1269" t="s">
        <v>47</v>
      </c>
      <c r="G1269" t="s">
        <v>8</v>
      </c>
    </row>
    <row r="1270" spans="1:7" x14ac:dyDescent="0.3">
      <c r="A1270" t="s">
        <v>29</v>
      </c>
      <c r="B1270" s="1">
        <v>45808</v>
      </c>
      <c r="C1270">
        <v>340245</v>
      </c>
      <c r="D1270">
        <v>-1293355.8330000001</v>
      </c>
      <c r="E1270" t="s">
        <v>4</v>
      </c>
      <c r="F1270" t="s">
        <v>47</v>
      </c>
      <c r="G1270" t="s">
        <v>8</v>
      </c>
    </row>
    <row r="1271" spans="1:7" x14ac:dyDescent="0.3">
      <c r="A1271" t="s">
        <v>29</v>
      </c>
      <c r="B1271" s="1">
        <v>45808</v>
      </c>
      <c r="C1271">
        <v>340246</v>
      </c>
      <c r="D1271">
        <v>249437.15599999999</v>
      </c>
      <c r="E1271" t="s">
        <v>4</v>
      </c>
      <c r="F1271" t="s">
        <v>47</v>
      </c>
      <c r="G1271" t="s">
        <v>8</v>
      </c>
    </row>
    <row r="1272" spans="1:7" x14ac:dyDescent="0.3">
      <c r="A1272" t="s">
        <v>29</v>
      </c>
      <c r="B1272" s="1">
        <v>45808</v>
      </c>
      <c r="C1272">
        <v>340247</v>
      </c>
      <c r="D1272">
        <v>2509202.37</v>
      </c>
      <c r="E1272" t="s">
        <v>4</v>
      </c>
      <c r="F1272" t="s">
        <v>47</v>
      </c>
      <c r="G1272" t="s">
        <v>8</v>
      </c>
    </row>
    <row r="1273" spans="1:7" x14ac:dyDescent="0.3">
      <c r="A1273" t="s">
        <v>29</v>
      </c>
      <c r="B1273" s="1">
        <v>45808</v>
      </c>
      <c r="C1273">
        <v>340248</v>
      </c>
      <c r="D1273">
        <v>-2571464.1290000002</v>
      </c>
      <c r="E1273" t="s">
        <v>4</v>
      </c>
      <c r="F1273" t="s">
        <v>47</v>
      </c>
      <c r="G1273" t="s">
        <v>8</v>
      </c>
    </row>
    <row r="1274" spans="1:7" x14ac:dyDescent="0.3">
      <c r="A1274" t="s">
        <v>29</v>
      </c>
      <c r="B1274" s="1">
        <v>45808</v>
      </c>
      <c r="C1274">
        <v>340249</v>
      </c>
      <c r="D1274">
        <v>2672.67</v>
      </c>
      <c r="E1274" t="s">
        <v>4</v>
      </c>
      <c r="F1274" t="s">
        <v>47</v>
      </c>
      <c r="G1274" t="s">
        <v>8</v>
      </c>
    </row>
    <row r="1275" spans="1:7" x14ac:dyDescent="0.3">
      <c r="A1275" t="s">
        <v>29</v>
      </c>
      <c r="B1275" s="1">
        <v>45808</v>
      </c>
      <c r="C1275">
        <v>340250</v>
      </c>
      <c r="D1275">
        <v>1178511.0970000001</v>
      </c>
      <c r="E1275" t="s">
        <v>4</v>
      </c>
      <c r="F1275" t="s">
        <v>47</v>
      </c>
      <c r="G1275" t="s">
        <v>8</v>
      </c>
    </row>
    <row r="1276" spans="1:7" x14ac:dyDescent="0.3">
      <c r="A1276" t="s">
        <v>29</v>
      </c>
      <c r="B1276" s="1">
        <v>45808</v>
      </c>
      <c r="C1276">
        <v>340251</v>
      </c>
      <c r="D1276">
        <v>-944665.799</v>
      </c>
      <c r="E1276" t="s">
        <v>4</v>
      </c>
      <c r="F1276" t="s">
        <v>47</v>
      </c>
      <c r="G1276" t="s">
        <v>8</v>
      </c>
    </row>
    <row r="1277" spans="1:7" x14ac:dyDescent="0.3">
      <c r="A1277" t="s">
        <v>29</v>
      </c>
      <c r="B1277" s="1">
        <v>45808</v>
      </c>
      <c r="C1277">
        <v>350003</v>
      </c>
      <c r="D1277">
        <v>4385.8090000000002</v>
      </c>
      <c r="E1277" t="s">
        <v>4</v>
      </c>
      <c r="F1277" t="s">
        <v>49</v>
      </c>
      <c r="G1277" t="s">
        <v>8</v>
      </c>
    </row>
    <row r="1278" spans="1:7" x14ac:dyDescent="0.3">
      <c r="A1278" t="s">
        <v>29</v>
      </c>
      <c r="B1278" s="1">
        <v>45808</v>
      </c>
      <c r="C1278">
        <v>354015</v>
      </c>
      <c r="D1278">
        <v>92184.551999999996</v>
      </c>
      <c r="E1278" t="s">
        <v>4</v>
      </c>
      <c r="F1278" t="s">
        <v>46</v>
      </c>
      <c r="G1278" t="s">
        <v>8</v>
      </c>
    </row>
    <row r="1279" spans="1:7" x14ac:dyDescent="0.3">
      <c r="A1279" t="s">
        <v>29</v>
      </c>
      <c r="B1279" s="1">
        <v>45808</v>
      </c>
      <c r="C1279">
        <v>355002</v>
      </c>
      <c r="D1279">
        <v>1039.143</v>
      </c>
      <c r="E1279" t="s">
        <v>4</v>
      </c>
      <c r="F1279" t="s">
        <v>49</v>
      </c>
      <c r="G1279" t="s">
        <v>8</v>
      </c>
    </row>
    <row r="1280" spans="1:7" x14ac:dyDescent="0.3">
      <c r="A1280" t="s">
        <v>29</v>
      </c>
      <c r="B1280" s="1">
        <v>45808</v>
      </c>
      <c r="C1280">
        <v>355013</v>
      </c>
      <c r="D1280">
        <v>27161.72</v>
      </c>
      <c r="E1280" t="s">
        <v>4</v>
      </c>
      <c r="F1280" t="s">
        <v>49</v>
      </c>
      <c r="G1280" t="s">
        <v>8</v>
      </c>
    </row>
    <row r="1281" spans="1:7" x14ac:dyDescent="0.3">
      <c r="A1281" t="s">
        <v>29</v>
      </c>
      <c r="B1281" s="1">
        <v>45808</v>
      </c>
      <c r="C1281">
        <v>360026</v>
      </c>
      <c r="D1281">
        <v>21447.339</v>
      </c>
      <c r="E1281" t="s">
        <v>4</v>
      </c>
      <c r="F1281" t="s">
        <v>58</v>
      </c>
      <c r="G1281" t="s">
        <v>8</v>
      </c>
    </row>
    <row r="1282" spans="1:7" x14ac:dyDescent="0.3">
      <c r="A1282" t="s">
        <v>29</v>
      </c>
      <c r="B1282" s="1">
        <v>45808</v>
      </c>
      <c r="C1282">
        <v>360028</v>
      </c>
      <c r="D1282">
        <v>45162.207999999999</v>
      </c>
      <c r="E1282" t="s">
        <v>4</v>
      </c>
      <c r="F1282" t="s">
        <v>58</v>
      </c>
      <c r="G1282" t="s">
        <v>8</v>
      </c>
    </row>
    <row r="1283" spans="1:7" x14ac:dyDescent="0.3">
      <c r="A1283" t="s">
        <v>29</v>
      </c>
      <c r="B1283" s="1">
        <v>45808</v>
      </c>
      <c r="C1283">
        <v>360030</v>
      </c>
      <c r="D1283">
        <v>18283.755000000001</v>
      </c>
      <c r="E1283" t="s">
        <v>4</v>
      </c>
      <c r="F1283" t="s">
        <v>58</v>
      </c>
      <c r="G1283" t="s">
        <v>8</v>
      </c>
    </row>
    <row r="1284" spans="1:7" x14ac:dyDescent="0.3">
      <c r="A1284" t="s">
        <v>29</v>
      </c>
      <c r="B1284" s="1">
        <v>45808</v>
      </c>
      <c r="C1284">
        <v>372004</v>
      </c>
      <c r="D1284">
        <v>2857.5050000000001</v>
      </c>
      <c r="E1284" t="s">
        <v>4</v>
      </c>
      <c r="F1284" t="s">
        <v>45</v>
      </c>
      <c r="G1284" t="s">
        <v>8</v>
      </c>
    </row>
    <row r="1285" spans="1:7" x14ac:dyDescent="0.3">
      <c r="A1285" t="s">
        <v>29</v>
      </c>
      <c r="B1285" s="1">
        <v>45808</v>
      </c>
      <c r="C1285">
        <v>400002</v>
      </c>
      <c r="D1285">
        <v>-62215.546000000002</v>
      </c>
      <c r="E1285" t="s">
        <v>6</v>
      </c>
      <c r="F1285" t="s">
        <v>50</v>
      </c>
      <c r="G1285" t="s">
        <v>8</v>
      </c>
    </row>
    <row r="1286" spans="1:7" x14ac:dyDescent="0.3">
      <c r="A1286" t="s">
        <v>29</v>
      </c>
      <c r="B1286" s="1">
        <v>45808</v>
      </c>
      <c r="C1286">
        <v>400004</v>
      </c>
      <c r="D1286">
        <v>-201810.71100000001</v>
      </c>
      <c r="E1286" t="s">
        <v>6</v>
      </c>
      <c r="F1286" t="s">
        <v>50</v>
      </c>
      <c r="G1286" t="s">
        <v>8</v>
      </c>
    </row>
    <row r="1287" spans="1:7" x14ac:dyDescent="0.3">
      <c r="A1287" t="s">
        <v>29</v>
      </c>
      <c r="B1287" s="1">
        <v>45808</v>
      </c>
      <c r="C1287">
        <v>410032</v>
      </c>
      <c r="D1287">
        <v>-1111.7090000000001</v>
      </c>
      <c r="E1287" t="s">
        <v>6</v>
      </c>
      <c r="F1287" t="s">
        <v>51</v>
      </c>
      <c r="G1287" t="s">
        <v>8</v>
      </c>
    </row>
    <row r="1288" spans="1:7" x14ac:dyDescent="0.3">
      <c r="A1288" t="s">
        <v>29</v>
      </c>
      <c r="B1288" s="1">
        <v>45808</v>
      </c>
      <c r="C1288">
        <v>421002</v>
      </c>
      <c r="D1288">
        <v>-8710.6389999999992</v>
      </c>
      <c r="E1288" t="s">
        <v>6</v>
      </c>
      <c r="F1288" t="s">
        <v>52</v>
      </c>
      <c r="G1288" t="s">
        <v>8</v>
      </c>
    </row>
    <row r="1289" spans="1:7" x14ac:dyDescent="0.3">
      <c r="A1289" t="s">
        <v>29</v>
      </c>
      <c r="B1289" s="1">
        <v>45808</v>
      </c>
      <c r="C1289">
        <v>421003</v>
      </c>
      <c r="D1289">
        <v>-852.79899999999998</v>
      </c>
      <c r="E1289" t="s">
        <v>6</v>
      </c>
      <c r="F1289" t="s">
        <v>52</v>
      </c>
      <c r="G1289" t="s">
        <v>8</v>
      </c>
    </row>
    <row r="1290" spans="1:7" x14ac:dyDescent="0.3">
      <c r="A1290" t="s">
        <v>29</v>
      </c>
      <c r="B1290" s="1">
        <v>45808</v>
      </c>
      <c r="C1290">
        <v>421004</v>
      </c>
      <c r="D1290">
        <v>-14569.684999999999</v>
      </c>
      <c r="E1290" t="s">
        <v>6</v>
      </c>
      <c r="F1290" t="s">
        <v>52</v>
      </c>
      <c r="G1290" t="s">
        <v>8</v>
      </c>
    </row>
    <row r="1291" spans="1:7" x14ac:dyDescent="0.3">
      <c r="A1291" t="s">
        <v>29</v>
      </c>
      <c r="B1291" s="1">
        <v>45808</v>
      </c>
      <c r="C1291">
        <v>421007</v>
      </c>
      <c r="D1291">
        <v>-311.06400000000002</v>
      </c>
      <c r="E1291" t="s">
        <v>6</v>
      </c>
      <c r="F1291" t="s">
        <v>52</v>
      </c>
      <c r="G1291" t="s">
        <v>8</v>
      </c>
    </row>
    <row r="1292" spans="1:7" x14ac:dyDescent="0.3">
      <c r="A1292" t="s">
        <v>29</v>
      </c>
      <c r="B1292" s="1">
        <v>45808</v>
      </c>
      <c r="C1292">
        <v>510002</v>
      </c>
      <c r="D1292">
        <v>46418.945</v>
      </c>
      <c r="E1292" t="s">
        <v>6</v>
      </c>
      <c r="F1292" t="s">
        <v>53</v>
      </c>
      <c r="G1292" t="s">
        <v>8</v>
      </c>
    </row>
    <row r="1293" spans="1:7" x14ac:dyDescent="0.3">
      <c r="A1293" t="s">
        <v>29</v>
      </c>
      <c r="B1293" s="1">
        <v>45808</v>
      </c>
      <c r="C1293">
        <v>510005</v>
      </c>
      <c r="D1293">
        <v>2254.777</v>
      </c>
      <c r="E1293" t="s">
        <v>6</v>
      </c>
      <c r="F1293" t="s">
        <v>53</v>
      </c>
      <c r="G1293" t="s">
        <v>8</v>
      </c>
    </row>
    <row r="1294" spans="1:7" x14ac:dyDescent="0.3">
      <c r="A1294" t="s">
        <v>29</v>
      </c>
      <c r="B1294" s="1">
        <v>45808</v>
      </c>
      <c r="C1294">
        <v>510007</v>
      </c>
      <c r="D1294">
        <v>2443.3530000000001</v>
      </c>
      <c r="E1294" t="s">
        <v>6</v>
      </c>
      <c r="F1294" t="s">
        <v>53</v>
      </c>
      <c r="G1294" t="s">
        <v>8</v>
      </c>
    </row>
    <row r="1295" spans="1:7" x14ac:dyDescent="0.3">
      <c r="A1295" t="s">
        <v>29</v>
      </c>
      <c r="B1295" s="1">
        <v>45808</v>
      </c>
      <c r="C1295">
        <v>510015</v>
      </c>
      <c r="D1295">
        <v>2112.1869999999999</v>
      </c>
      <c r="E1295" t="s">
        <v>6</v>
      </c>
      <c r="F1295" t="s">
        <v>53</v>
      </c>
      <c r="G1295" t="s">
        <v>8</v>
      </c>
    </row>
    <row r="1296" spans="1:7" x14ac:dyDescent="0.3">
      <c r="A1296" t="s">
        <v>29</v>
      </c>
      <c r="B1296" s="1">
        <v>45808</v>
      </c>
      <c r="C1296">
        <v>510018</v>
      </c>
      <c r="D1296">
        <v>2816.6219999999998</v>
      </c>
      <c r="E1296" t="s">
        <v>6</v>
      </c>
      <c r="F1296" t="s">
        <v>53</v>
      </c>
      <c r="G1296" t="s">
        <v>8</v>
      </c>
    </row>
    <row r="1297" spans="1:7" x14ac:dyDescent="0.3">
      <c r="A1297" t="s">
        <v>29</v>
      </c>
      <c r="B1297" s="1">
        <v>45808</v>
      </c>
      <c r="C1297">
        <v>510062</v>
      </c>
      <c r="D1297">
        <v>333.37</v>
      </c>
      <c r="E1297" t="s">
        <v>6</v>
      </c>
      <c r="F1297" t="s">
        <v>53</v>
      </c>
      <c r="G1297" t="s">
        <v>8</v>
      </c>
    </row>
    <row r="1298" spans="1:7" x14ac:dyDescent="0.3">
      <c r="A1298" t="s">
        <v>29</v>
      </c>
      <c r="B1298" s="1">
        <v>45808</v>
      </c>
      <c r="C1298">
        <v>510065</v>
      </c>
      <c r="D1298">
        <v>20.742999999999999</v>
      </c>
      <c r="E1298" t="s">
        <v>6</v>
      </c>
      <c r="F1298" t="s">
        <v>53</v>
      </c>
      <c r="G1298" t="s">
        <v>8</v>
      </c>
    </row>
    <row r="1299" spans="1:7" x14ac:dyDescent="0.3">
      <c r="A1299" t="s">
        <v>29</v>
      </c>
      <c r="B1299" s="1">
        <v>45808</v>
      </c>
      <c r="C1299">
        <v>520021</v>
      </c>
      <c r="D1299">
        <v>64.185000000000002</v>
      </c>
      <c r="E1299" t="s">
        <v>6</v>
      </c>
      <c r="F1299" t="s">
        <v>60</v>
      </c>
      <c r="G1299" t="s">
        <v>8</v>
      </c>
    </row>
    <row r="1300" spans="1:7" x14ac:dyDescent="0.3">
      <c r="A1300" t="s">
        <v>29</v>
      </c>
      <c r="B1300" s="1">
        <v>45808</v>
      </c>
      <c r="C1300">
        <v>541004</v>
      </c>
      <c r="D1300">
        <v>1053.922</v>
      </c>
      <c r="E1300" t="s">
        <v>6</v>
      </c>
      <c r="F1300" t="s">
        <v>61</v>
      </c>
      <c r="G1300" t="s">
        <v>8</v>
      </c>
    </row>
    <row r="1301" spans="1:7" x14ac:dyDescent="0.3">
      <c r="A1301" t="s">
        <v>29</v>
      </c>
      <c r="B1301" s="1">
        <v>45808</v>
      </c>
      <c r="C1301">
        <v>541009</v>
      </c>
      <c r="D1301">
        <v>2.99</v>
      </c>
      <c r="E1301" t="s">
        <v>6</v>
      </c>
      <c r="F1301" t="s">
        <v>61</v>
      </c>
      <c r="G1301" t="s">
        <v>8</v>
      </c>
    </row>
    <row r="1302" spans="1:7" x14ac:dyDescent="0.3">
      <c r="A1302" t="s">
        <v>29</v>
      </c>
      <c r="B1302" s="1">
        <v>45808</v>
      </c>
      <c r="C1302">
        <v>541010</v>
      </c>
      <c r="D1302">
        <v>290.24700000000001</v>
      </c>
      <c r="E1302" t="s">
        <v>6</v>
      </c>
      <c r="F1302" t="s">
        <v>61</v>
      </c>
      <c r="G1302" t="s">
        <v>8</v>
      </c>
    </row>
    <row r="1303" spans="1:7" x14ac:dyDescent="0.3">
      <c r="A1303" t="s">
        <v>29</v>
      </c>
      <c r="B1303" s="1">
        <v>45808</v>
      </c>
      <c r="C1303">
        <v>541013</v>
      </c>
      <c r="D1303">
        <v>253.82</v>
      </c>
      <c r="E1303" t="s">
        <v>6</v>
      </c>
      <c r="F1303" t="s">
        <v>61</v>
      </c>
      <c r="G1303" t="s">
        <v>8</v>
      </c>
    </row>
    <row r="1304" spans="1:7" x14ac:dyDescent="0.3">
      <c r="A1304" t="s">
        <v>29</v>
      </c>
      <c r="B1304" s="1">
        <v>45808</v>
      </c>
      <c r="C1304">
        <v>546002</v>
      </c>
      <c r="D1304">
        <v>177593.42600000001</v>
      </c>
      <c r="E1304" t="s">
        <v>6</v>
      </c>
      <c r="F1304" t="s">
        <v>51</v>
      </c>
      <c r="G1304" t="s">
        <v>8</v>
      </c>
    </row>
    <row r="1305" spans="1:7" x14ac:dyDescent="0.3">
      <c r="A1305" t="s">
        <v>29</v>
      </c>
      <c r="B1305" s="1">
        <v>45808</v>
      </c>
      <c r="C1305">
        <v>546005</v>
      </c>
      <c r="D1305">
        <v>-3391.4630000000002</v>
      </c>
      <c r="E1305" t="s">
        <v>6</v>
      </c>
      <c r="F1305" t="s">
        <v>51</v>
      </c>
      <c r="G1305" t="s">
        <v>8</v>
      </c>
    </row>
    <row r="1306" spans="1:7" x14ac:dyDescent="0.3">
      <c r="A1306" t="s">
        <v>29</v>
      </c>
      <c r="B1306" s="1">
        <v>45808</v>
      </c>
      <c r="C1306">
        <v>546015</v>
      </c>
      <c r="D1306">
        <v>280.01499999999999</v>
      </c>
      <c r="E1306" t="s">
        <v>6</v>
      </c>
      <c r="F1306" t="s">
        <v>51</v>
      </c>
      <c r="G1306" t="s">
        <v>8</v>
      </c>
    </row>
    <row r="1307" spans="1:7" x14ac:dyDescent="0.3">
      <c r="A1307" t="s">
        <v>29</v>
      </c>
      <c r="B1307" s="1">
        <v>45808</v>
      </c>
      <c r="C1307">
        <v>546016</v>
      </c>
      <c r="D1307">
        <v>88.707999999999998</v>
      </c>
      <c r="E1307" t="s">
        <v>6</v>
      </c>
      <c r="F1307" t="s">
        <v>51</v>
      </c>
      <c r="G1307" t="s">
        <v>8</v>
      </c>
    </row>
    <row r="1308" spans="1:7" x14ac:dyDescent="0.3">
      <c r="A1308" t="s">
        <v>29</v>
      </c>
      <c r="B1308" s="1">
        <v>45808</v>
      </c>
      <c r="C1308">
        <v>546024</v>
      </c>
      <c r="D1308">
        <v>2031.693</v>
      </c>
      <c r="E1308" t="s">
        <v>6</v>
      </c>
      <c r="F1308" t="s">
        <v>51</v>
      </c>
      <c r="G1308" t="s">
        <v>8</v>
      </c>
    </row>
    <row r="1309" spans="1:7" x14ac:dyDescent="0.3">
      <c r="A1309" t="s">
        <v>29</v>
      </c>
      <c r="B1309" s="1">
        <v>45808</v>
      </c>
      <c r="C1309">
        <v>546035</v>
      </c>
      <c r="D1309">
        <v>1213.7729999999999</v>
      </c>
      <c r="E1309" t="s">
        <v>6</v>
      </c>
      <c r="F1309" t="s">
        <v>51</v>
      </c>
      <c r="G1309" t="s">
        <v>8</v>
      </c>
    </row>
    <row r="1310" spans="1:7" x14ac:dyDescent="0.3">
      <c r="A1310" t="s">
        <v>29</v>
      </c>
      <c r="B1310" s="1">
        <v>45808</v>
      </c>
      <c r="C1310">
        <v>546045</v>
      </c>
      <c r="D1310">
        <v>239.01300000000001</v>
      </c>
      <c r="E1310" t="s">
        <v>6</v>
      </c>
      <c r="F1310" t="s">
        <v>51</v>
      </c>
      <c r="G1310" t="s">
        <v>8</v>
      </c>
    </row>
    <row r="1311" spans="1:7" x14ac:dyDescent="0.3">
      <c r="A1311" t="s">
        <v>29</v>
      </c>
      <c r="B1311" s="1">
        <v>45808</v>
      </c>
      <c r="C1311">
        <v>547002</v>
      </c>
      <c r="D1311">
        <v>7621.3990000000003</v>
      </c>
      <c r="E1311" t="s">
        <v>6</v>
      </c>
      <c r="F1311" t="s">
        <v>54</v>
      </c>
      <c r="G1311" t="s">
        <v>8</v>
      </c>
    </row>
    <row r="1312" spans="1:7" x14ac:dyDescent="0.3">
      <c r="A1312" t="s">
        <v>29</v>
      </c>
      <c r="B1312" s="1">
        <v>45808</v>
      </c>
      <c r="C1312">
        <v>550002</v>
      </c>
      <c r="D1312">
        <v>13732.364</v>
      </c>
      <c r="E1312" t="s">
        <v>6</v>
      </c>
      <c r="F1312" t="s">
        <v>62</v>
      </c>
      <c r="G1312" t="s">
        <v>8</v>
      </c>
    </row>
    <row r="1313" spans="1:7" x14ac:dyDescent="0.3">
      <c r="A1313" t="s">
        <v>29</v>
      </c>
      <c r="B1313" s="1">
        <v>45808</v>
      </c>
      <c r="C1313">
        <v>556002</v>
      </c>
      <c r="D1313">
        <v>81.546000000000006</v>
      </c>
      <c r="E1313" t="s">
        <v>6</v>
      </c>
      <c r="F1313" t="s">
        <v>60</v>
      </c>
      <c r="G1313" t="s">
        <v>8</v>
      </c>
    </row>
    <row r="1314" spans="1:7" x14ac:dyDescent="0.3">
      <c r="A1314" t="s">
        <v>29</v>
      </c>
      <c r="B1314" s="1">
        <v>45808</v>
      </c>
      <c r="C1314">
        <v>557002</v>
      </c>
      <c r="D1314">
        <v>5614.1040000000003</v>
      </c>
      <c r="E1314" t="s">
        <v>6</v>
      </c>
      <c r="F1314" t="s">
        <v>56</v>
      </c>
      <c r="G1314" t="s">
        <v>8</v>
      </c>
    </row>
    <row r="1315" spans="1:7" x14ac:dyDescent="0.3">
      <c r="A1315" t="s">
        <v>29</v>
      </c>
      <c r="B1315" s="1">
        <v>45808</v>
      </c>
      <c r="C1315">
        <v>564006</v>
      </c>
      <c r="D1315">
        <v>9.6000000000000002E-2</v>
      </c>
      <c r="E1315" t="s">
        <v>6</v>
      </c>
      <c r="F1315" t="s">
        <v>57</v>
      </c>
      <c r="G1315" t="s">
        <v>8</v>
      </c>
    </row>
    <row r="1316" spans="1:7" x14ac:dyDescent="0.3">
      <c r="A1316" t="s">
        <v>29</v>
      </c>
      <c r="B1316" s="1">
        <v>45808</v>
      </c>
      <c r="C1316">
        <v>564019</v>
      </c>
      <c r="D1316">
        <v>21700.598000000002</v>
      </c>
      <c r="E1316" t="s">
        <v>6</v>
      </c>
      <c r="F1316" t="s">
        <v>51</v>
      </c>
      <c r="G1316" t="s">
        <v>8</v>
      </c>
    </row>
    <row r="1317" spans="1:7" x14ac:dyDescent="0.3">
      <c r="A1317" t="s">
        <v>29</v>
      </c>
      <c r="B1317" s="1">
        <v>45808</v>
      </c>
      <c r="C1317">
        <v>564020</v>
      </c>
      <c r="D1317">
        <v>46.951000000000001</v>
      </c>
      <c r="E1317" t="s">
        <v>6</v>
      </c>
      <c r="F1317" t="s">
        <v>57</v>
      </c>
      <c r="G1317" t="s">
        <v>8</v>
      </c>
    </row>
    <row r="1318" spans="1:7" x14ac:dyDescent="0.3">
      <c r="A1318" t="s">
        <v>30</v>
      </c>
      <c r="B1318" s="1">
        <v>45808</v>
      </c>
      <c r="C1318">
        <v>210002</v>
      </c>
      <c r="D1318">
        <v>-75776.763999999996</v>
      </c>
      <c r="E1318" t="s">
        <v>4</v>
      </c>
      <c r="F1318" t="s">
        <v>42</v>
      </c>
      <c r="G1318" t="s">
        <v>8</v>
      </c>
    </row>
    <row r="1319" spans="1:7" x14ac:dyDescent="0.3">
      <c r="A1319" t="s">
        <v>30</v>
      </c>
      <c r="B1319" s="1">
        <v>45808</v>
      </c>
      <c r="C1319">
        <v>220006</v>
      </c>
      <c r="D1319">
        <v>-299887.87199999997</v>
      </c>
      <c r="E1319" t="s">
        <v>4</v>
      </c>
      <c r="F1319" t="s">
        <v>42</v>
      </c>
      <c r="G1319" t="s">
        <v>8</v>
      </c>
    </row>
    <row r="1320" spans="1:7" x14ac:dyDescent="0.3">
      <c r="A1320" t="s">
        <v>30</v>
      </c>
      <c r="B1320" s="1">
        <v>45808</v>
      </c>
      <c r="C1320">
        <v>240002</v>
      </c>
      <c r="D1320">
        <v>-2844.5549999999998</v>
      </c>
      <c r="E1320" t="s">
        <v>4</v>
      </c>
      <c r="F1320" t="s">
        <v>43</v>
      </c>
      <c r="G1320" t="s">
        <v>8</v>
      </c>
    </row>
    <row r="1321" spans="1:7" x14ac:dyDescent="0.3">
      <c r="A1321" t="s">
        <v>30</v>
      </c>
      <c r="B1321" s="1">
        <v>45808</v>
      </c>
      <c r="C1321">
        <v>240003</v>
      </c>
      <c r="D1321">
        <v>-173.37899999999999</v>
      </c>
      <c r="E1321" t="s">
        <v>4</v>
      </c>
      <c r="F1321" t="s">
        <v>43</v>
      </c>
      <c r="G1321" t="s">
        <v>8</v>
      </c>
    </row>
    <row r="1322" spans="1:7" x14ac:dyDescent="0.3">
      <c r="A1322" t="s">
        <v>30</v>
      </c>
      <c r="B1322" s="1">
        <v>45808</v>
      </c>
      <c r="C1322">
        <v>240009</v>
      </c>
      <c r="D1322">
        <v>-114.282</v>
      </c>
      <c r="E1322" t="s">
        <v>4</v>
      </c>
      <c r="F1322" t="s">
        <v>43</v>
      </c>
      <c r="G1322" t="s">
        <v>8</v>
      </c>
    </row>
    <row r="1323" spans="1:7" x14ac:dyDescent="0.3">
      <c r="A1323" t="s">
        <v>30</v>
      </c>
      <c r="B1323" s="1">
        <v>45808</v>
      </c>
      <c r="C1323">
        <v>242003</v>
      </c>
      <c r="D1323">
        <v>-809061.78300000005</v>
      </c>
      <c r="E1323" t="s">
        <v>4</v>
      </c>
      <c r="F1323" t="s">
        <v>43</v>
      </c>
      <c r="G1323" t="s">
        <v>8</v>
      </c>
    </row>
    <row r="1324" spans="1:7" x14ac:dyDescent="0.3">
      <c r="A1324" t="s">
        <v>30</v>
      </c>
      <c r="B1324" s="1">
        <v>45808</v>
      </c>
      <c r="C1324">
        <v>242007</v>
      </c>
      <c r="D1324">
        <v>2464.6239999999998</v>
      </c>
      <c r="E1324" t="s">
        <v>4</v>
      </c>
      <c r="F1324" t="s">
        <v>43</v>
      </c>
      <c r="G1324" t="s">
        <v>8</v>
      </c>
    </row>
    <row r="1325" spans="1:7" x14ac:dyDescent="0.3">
      <c r="A1325" t="s">
        <v>30</v>
      </c>
      <c r="B1325" s="1">
        <v>45808</v>
      </c>
      <c r="C1325">
        <v>242011</v>
      </c>
      <c r="D1325">
        <v>-113403.995</v>
      </c>
      <c r="E1325" t="s">
        <v>4</v>
      </c>
      <c r="F1325" t="s">
        <v>43</v>
      </c>
      <c r="G1325" t="s">
        <v>8</v>
      </c>
    </row>
    <row r="1326" spans="1:7" x14ac:dyDescent="0.3">
      <c r="A1326" t="s">
        <v>30</v>
      </c>
      <c r="B1326" s="1">
        <v>45808</v>
      </c>
      <c r="C1326">
        <v>242012</v>
      </c>
      <c r="D1326">
        <v>-41270.673000000003</v>
      </c>
      <c r="E1326" t="s">
        <v>4</v>
      </c>
      <c r="F1326" t="s">
        <v>43</v>
      </c>
      <c r="G1326" t="s">
        <v>8</v>
      </c>
    </row>
    <row r="1327" spans="1:7" x14ac:dyDescent="0.3">
      <c r="A1327" t="s">
        <v>30</v>
      </c>
      <c r="B1327" s="1">
        <v>45808</v>
      </c>
      <c r="C1327">
        <v>242014</v>
      </c>
      <c r="D1327">
        <v>-16874.256000000001</v>
      </c>
      <c r="E1327" t="s">
        <v>4</v>
      </c>
      <c r="F1327" t="s">
        <v>43</v>
      </c>
      <c r="G1327" t="s">
        <v>8</v>
      </c>
    </row>
    <row r="1328" spans="1:7" x14ac:dyDescent="0.3">
      <c r="A1328" t="s">
        <v>30</v>
      </c>
      <c r="B1328" s="1">
        <v>45808</v>
      </c>
      <c r="C1328">
        <v>242019</v>
      </c>
      <c r="D1328">
        <v>6.9459999999999997</v>
      </c>
      <c r="E1328" t="s">
        <v>4</v>
      </c>
      <c r="F1328" t="s">
        <v>43</v>
      </c>
      <c r="G1328" t="s">
        <v>8</v>
      </c>
    </row>
    <row r="1329" spans="1:7" x14ac:dyDescent="0.3">
      <c r="A1329" t="s">
        <v>30</v>
      </c>
      <c r="B1329" s="1">
        <v>45808</v>
      </c>
      <c r="C1329">
        <v>242022</v>
      </c>
      <c r="D1329">
        <v>-8262.5589999999993</v>
      </c>
      <c r="E1329" t="s">
        <v>4</v>
      </c>
      <c r="F1329" t="s">
        <v>43</v>
      </c>
      <c r="G1329" t="s">
        <v>8</v>
      </c>
    </row>
    <row r="1330" spans="1:7" x14ac:dyDescent="0.3">
      <c r="A1330" t="s">
        <v>30</v>
      </c>
      <c r="B1330" s="1">
        <v>45808</v>
      </c>
      <c r="C1330">
        <v>242023</v>
      </c>
      <c r="D1330">
        <v>-22556.633000000002</v>
      </c>
      <c r="E1330" t="s">
        <v>4</v>
      </c>
      <c r="F1330" t="s">
        <v>43</v>
      </c>
      <c r="G1330" t="s">
        <v>8</v>
      </c>
    </row>
    <row r="1331" spans="1:7" x14ac:dyDescent="0.3">
      <c r="A1331" t="s">
        <v>30</v>
      </c>
      <c r="B1331" s="1">
        <v>45808</v>
      </c>
      <c r="C1331">
        <v>242030</v>
      </c>
      <c r="D1331">
        <v>-89991.172999999995</v>
      </c>
      <c r="E1331" t="s">
        <v>4</v>
      </c>
      <c r="F1331" t="s">
        <v>43</v>
      </c>
      <c r="G1331" t="s">
        <v>8</v>
      </c>
    </row>
    <row r="1332" spans="1:7" x14ac:dyDescent="0.3">
      <c r="A1332" t="s">
        <v>30</v>
      </c>
      <c r="B1332" s="1">
        <v>45808</v>
      </c>
      <c r="C1332">
        <v>242036</v>
      </c>
      <c r="D1332">
        <v>-7161.8770000000004</v>
      </c>
      <c r="E1332" t="s">
        <v>4</v>
      </c>
      <c r="F1332" t="s">
        <v>43</v>
      </c>
      <c r="G1332" t="s">
        <v>8</v>
      </c>
    </row>
    <row r="1333" spans="1:7" x14ac:dyDescent="0.3">
      <c r="A1333" t="s">
        <v>30</v>
      </c>
      <c r="B1333" s="1">
        <v>45808</v>
      </c>
      <c r="C1333">
        <v>242038</v>
      </c>
      <c r="D1333">
        <v>-758.09199999999998</v>
      </c>
      <c r="E1333" t="s">
        <v>4</v>
      </c>
      <c r="F1333" t="s">
        <v>43</v>
      </c>
      <c r="G1333" t="s">
        <v>8</v>
      </c>
    </row>
    <row r="1334" spans="1:7" x14ac:dyDescent="0.3">
      <c r="A1334" t="s">
        <v>30</v>
      </c>
      <c r="B1334" s="1">
        <v>45808</v>
      </c>
      <c r="C1334">
        <v>242039</v>
      </c>
      <c r="D1334">
        <v>-59514.464</v>
      </c>
      <c r="E1334" t="s">
        <v>4</v>
      </c>
      <c r="F1334" t="s">
        <v>43</v>
      </c>
      <c r="G1334" t="s">
        <v>8</v>
      </c>
    </row>
    <row r="1335" spans="1:7" x14ac:dyDescent="0.3">
      <c r="A1335" t="s">
        <v>30</v>
      </c>
      <c r="B1335" s="1">
        <v>45808</v>
      </c>
      <c r="C1335">
        <v>242041</v>
      </c>
      <c r="D1335">
        <v>-16400.356</v>
      </c>
      <c r="E1335" t="s">
        <v>4</v>
      </c>
      <c r="F1335" t="s">
        <v>43</v>
      </c>
      <c r="G1335" t="s">
        <v>8</v>
      </c>
    </row>
    <row r="1336" spans="1:7" x14ac:dyDescent="0.3">
      <c r="A1336" t="s">
        <v>30</v>
      </c>
      <c r="B1336" s="1">
        <v>45808</v>
      </c>
      <c r="C1336">
        <v>243002</v>
      </c>
      <c r="D1336">
        <v>-4172.7870000000003</v>
      </c>
      <c r="E1336" t="s">
        <v>4</v>
      </c>
      <c r="F1336" t="s">
        <v>43</v>
      </c>
      <c r="G1336" t="s">
        <v>8</v>
      </c>
    </row>
    <row r="1337" spans="1:7" x14ac:dyDescent="0.3">
      <c r="A1337" t="s">
        <v>30</v>
      </c>
      <c r="B1337" s="1">
        <v>45808</v>
      </c>
      <c r="C1337">
        <v>243003</v>
      </c>
      <c r="D1337">
        <v>-48998.053</v>
      </c>
      <c r="E1337" t="s">
        <v>4</v>
      </c>
      <c r="F1337" t="s">
        <v>43</v>
      </c>
      <c r="G1337" t="s">
        <v>8</v>
      </c>
    </row>
    <row r="1338" spans="1:7" x14ac:dyDescent="0.3">
      <c r="A1338" t="s">
        <v>30</v>
      </c>
      <c r="B1338" s="1">
        <v>45808</v>
      </c>
      <c r="C1338">
        <v>245010</v>
      </c>
      <c r="D1338">
        <v>-2562.87</v>
      </c>
      <c r="E1338" t="s">
        <v>4</v>
      </c>
      <c r="F1338" t="s">
        <v>44</v>
      </c>
      <c r="G1338" t="s">
        <v>8</v>
      </c>
    </row>
    <row r="1339" spans="1:7" x14ac:dyDescent="0.3">
      <c r="A1339" t="s">
        <v>30</v>
      </c>
      <c r="B1339" s="1">
        <v>45808</v>
      </c>
      <c r="C1339">
        <v>245049</v>
      </c>
      <c r="D1339">
        <v>-3.7999999999999999E-2</v>
      </c>
      <c r="E1339" t="s">
        <v>4</v>
      </c>
      <c r="F1339" t="s">
        <v>43</v>
      </c>
      <c r="G1339" t="s">
        <v>8</v>
      </c>
    </row>
    <row r="1340" spans="1:7" x14ac:dyDescent="0.3">
      <c r="A1340" t="s">
        <v>30</v>
      </c>
      <c r="B1340" s="1">
        <v>45808</v>
      </c>
      <c r="C1340">
        <v>245055</v>
      </c>
      <c r="D1340">
        <v>-985.78800000000001</v>
      </c>
      <c r="E1340" t="s">
        <v>4</v>
      </c>
      <c r="F1340" t="s">
        <v>43</v>
      </c>
      <c r="G1340" t="s">
        <v>8</v>
      </c>
    </row>
    <row r="1341" spans="1:7" x14ac:dyDescent="0.3">
      <c r="A1341" t="s">
        <v>30</v>
      </c>
      <c r="B1341" s="1">
        <v>45808</v>
      </c>
      <c r="C1341">
        <v>245056</v>
      </c>
      <c r="D1341">
        <v>-8.7829999999999995</v>
      </c>
      <c r="E1341" t="s">
        <v>4</v>
      </c>
      <c r="F1341" t="s">
        <v>49</v>
      </c>
      <c r="G1341" t="s">
        <v>8</v>
      </c>
    </row>
    <row r="1342" spans="1:7" x14ac:dyDescent="0.3">
      <c r="A1342" t="s">
        <v>30</v>
      </c>
      <c r="B1342" s="1">
        <v>45808</v>
      </c>
      <c r="C1342">
        <v>245062</v>
      </c>
      <c r="D1342">
        <v>-573.327</v>
      </c>
      <c r="E1342" t="s">
        <v>4</v>
      </c>
      <c r="F1342" t="s">
        <v>43</v>
      </c>
      <c r="G1342" t="s">
        <v>8</v>
      </c>
    </row>
    <row r="1343" spans="1:7" x14ac:dyDescent="0.3">
      <c r="A1343" t="s">
        <v>30</v>
      </c>
      <c r="B1343" s="1">
        <v>45808</v>
      </c>
      <c r="C1343">
        <v>250003</v>
      </c>
      <c r="D1343">
        <v>-2567.3820000000001</v>
      </c>
      <c r="E1343" t="s">
        <v>4</v>
      </c>
      <c r="F1343" t="s">
        <v>45</v>
      </c>
      <c r="G1343" t="s">
        <v>8</v>
      </c>
    </row>
    <row r="1344" spans="1:7" x14ac:dyDescent="0.3">
      <c r="A1344" t="s">
        <v>30</v>
      </c>
      <c r="B1344" s="1">
        <v>45808</v>
      </c>
      <c r="C1344">
        <v>251002</v>
      </c>
      <c r="D1344">
        <v>-11939.251</v>
      </c>
      <c r="E1344" t="s">
        <v>4</v>
      </c>
      <c r="F1344" t="s">
        <v>45</v>
      </c>
      <c r="G1344" t="s">
        <v>8</v>
      </c>
    </row>
    <row r="1345" spans="1:7" x14ac:dyDescent="0.3">
      <c r="A1345" t="s">
        <v>30</v>
      </c>
      <c r="B1345" s="1">
        <v>45808</v>
      </c>
      <c r="C1345">
        <v>251003</v>
      </c>
      <c r="D1345">
        <v>-2983.5680000000002</v>
      </c>
      <c r="E1345" t="s">
        <v>4</v>
      </c>
      <c r="F1345" t="s">
        <v>45</v>
      </c>
      <c r="G1345" t="s">
        <v>8</v>
      </c>
    </row>
    <row r="1346" spans="1:7" x14ac:dyDescent="0.3">
      <c r="A1346" t="s">
        <v>30</v>
      </c>
      <c r="B1346" s="1">
        <v>45808</v>
      </c>
      <c r="C1346">
        <v>256027</v>
      </c>
      <c r="D1346">
        <v>23495.794000000002</v>
      </c>
      <c r="E1346" t="s">
        <v>4</v>
      </c>
      <c r="F1346" t="s">
        <v>43</v>
      </c>
      <c r="G1346" t="s">
        <v>8</v>
      </c>
    </row>
    <row r="1347" spans="1:7" x14ac:dyDescent="0.3">
      <c r="A1347" t="s">
        <v>30</v>
      </c>
      <c r="B1347" s="1">
        <v>45808</v>
      </c>
      <c r="C1347">
        <v>256030</v>
      </c>
      <c r="D1347">
        <v>-1776.7950000000001</v>
      </c>
      <c r="E1347" t="s">
        <v>4</v>
      </c>
      <c r="F1347" t="s">
        <v>43</v>
      </c>
      <c r="G1347" t="s">
        <v>8</v>
      </c>
    </row>
    <row r="1348" spans="1:7" x14ac:dyDescent="0.3">
      <c r="A1348" t="s">
        <v>30</v>
      </c>
      <c r="B1348" s="1">
        <v>45808</v>
      </c>
      <c r="C1348">
        <v>256039</v>
      </c>
      <c r="D1348">
        <v>199.56299999999999</v>
      </c>
      <c r="E1348" t="s">
        <v>4</v>
      </c>
      <c r="F1348" t="s">
        <v>43</v>
      </c>
      <c r="G1348" t="s">
        <v>8</v>
      </c>
    </row>
    <row r="1349" spans="1:7" x14ac:dyDescent="0.3">
      <c r="A1349" t="s">
        <v>30</v>
      </c>
      <c r="B1349" s="1">
        <v>45808</v>
      </c>
      <c r="C1349">
        <v>256040</v>
      </c>
      <c r="D1349">
        <v>-1060874.7</v>
      </c>
      <c r="E1349" t="s">
        <v>4</v>
      </c>
      <c r="F1349" t="s">
        <v>43</v>
      </c>
      <c r="G1349" t="s">
        <v>8</v>
      </c>
    </row>
    <row r="1350" spans="1:7" x14ac:dyDescent="0.3">
      <c r="A1350" t="s">
        <v>30</v>
      </c>
      <c r="B1350" s="1">
        <v>45808</v>
      </c>
      <c r="C1350">
        <v>256041</v>
      </c>
      <c r="D1350">
        <v>-5599.06</v>
      </c>
      <c r="E1350" t="s">
        <v>4</v>
      </c>
      <c r="F1350" t="s">
        <v>43</v>
      </c>
      <c r="G1350" t="s">
        <v>8</v>
      </c>
    </row>
    <row r="1351" spans="1:7" x14ac:dyDescent="0.3">
      <c r="A1351" t="s">
        <v>30</v>
      </c>
      <c r="B1351" s="1">
        <v>45808</v>
      </c>
      <c r="C1351">
        <v>257005</v>
      </c>
      <c r="D1351">
        <v>735.798</v>
      </c>
      <c r="E1351" t="s">
        <v>4</v>
      </c>
      <c r="F1351" t="s">
        <v>45</v>
      </c>
      <c r="G1351" t="s">
        <v>8</v>
      </c>
    </row>
    <row r="1352" spans="1:7" x14ac:dyDescent="0.3">
      <c r="A1352" t="s">
        <v>30</v>
      </c>
      <c r="B1352" s="1">
        <v>45808</v>
      </c>
      <c r="C1352">
        <v>257027</v>
      </c>
      <c r="D1352">
        <v>-5068.5519999999997</v>
      </c>
      <c r="E1352" t="s">
        <v>4</v>
      </c>
      <c r="F1352" t="s">
        <v>45</v>
      </c>
      <c r="G1352" t="s">
        <v>8</v>
      </c>
    </row>
    <row r="1353" spans="1:7" x14ac:dyDescent="0.3">
      <c r="A1353" t="s">
        <v>30</v>
      </c>
      <c r="B1353" s="1">
        <v>45808</v>
      </c>
      <c r="C1353">
        <v>260004</v>
      </c>
      <c r="D1353">
        <v>-63283.999000000003</v>
      </c>
      <c r="E1353" t="s">
        <v>4</v>
      </c>
      <c r="F1353" t="s">
        <v>45</v>
      </c>
      <c r="G1353" t="s">
        <v>8</v>
      </c>
    </row>
    <row r="1354" spans="1:7" x14ac:dyDescent="0.3">
      <c r="A1354" t="s">
        <v>30</v>
      </c>
      <c r="B1354" s="1">
        <v>45808</v>
      </c>
      <c r="C1354">
        <v>270025</v>
      </c>
      <c r="D1354">
        <v>-29820.127</v>
      </c>
      <c r="E1354" t="s">
        <v>4</v>
      </c>
      <c r="F1354" t="s">
        <v>58</v>
      </c>
      <c r="G1354" t="s">
        <v>8</v>
      </c>
    </row>
    <row r="1355" spans="1:7" x14ac:dyDescent="0.3">
      <c r="A1355" t="s">
        <v>30</v>
      </c>
      <c r="B1355" s="1">
        <v>45808</v>
      </c>
      <c r="C1355">
        <v>270026</v>
      </c>
      <c r="D1355">
        <v>-10082.553</v>
      </c>
      <c r="E1355" t="s">
        <v>4</v>
      </c>
      <c r="F1355" t="s">
        <v>58</v>
      </c>
      <c r="G1355" t="s">
        <v>8</v>
      </c>
    </row>
    <row r="1356" spans="1:7" x14ac:dyDescent="0.3">
      <c r="A1356" t="s">
        <v>30</v>
      </c>
      <c r="B1356" s="1">
        <v>45808</v>
      </c>
      <c r="C1356">
        <v>275002</v>
      </c>
      <c r="D1356">
        <v>-90.48</v>
      </c>
      <c r="E1356" t="s">
        <v>4</v>
      </c>
      <c r="F1356" t="s">
        <v>58</v>
      </c>
      <c r="G1356" t="s">
        <v>8</v>
      </c>
    </row>
    <row r="1357" spans="1:7" x14ac:dyDescent="0.3">
      <c r="A1357" t="s">
        <v>30</v>
      </c>
      <c r="B1357" s="1">
        <v>45808</v>
      </c>
      <c r="C1357">
        <v>300008</v>
      </c>
      <c r="D1357">
        <v>2731.913</v>
      </c>
      <c r="E1357" t="s">
        <v>4</v>
      </c>
      <c r="F1357" t="s">
        <v>65</v>
      </c>
      <c r="G1357" t="s">
        <v>8</v>
      </c>
    </row>
    <row r="1358" spans="1:7" x14ac:dyDescent="0.3">
      <c r="A1358" t="s">
        <v>30</v>
      </c>
      <c r="B1358" s="1">
        <v>45808</v>
      </c>
      <c r="C1358">
        <v>300011</v>
      </c>
      <c r="D1358">
        <v>43.091000000000001</v>
      </c>
      <c r="E1358" t="s">
        <v>4</v>
      </c>
      <c r="F1358" t="s">
        <v>65</v>
      </c>
      <c r="G1358" t="s">
        <v>8</v>
      </c>
    </row>
    <row r="1359" spans="1:7" x14ac:dyDescent="0.3">
      <c r="A1359" t="s">
        <v>30</v>
      </c>
      <c r="B1359" s="1">
        <v>45808</v>
      </c>
      <c r="C1359">
        <v>300012</v>
      </c>
      <c r="D1359">
        <v>65.644999999999996</v>
      </c>
      <c r="E1359" t="s">
        <v>4</v>
      </c>
      <c r="F1359" t="s">
        <v>65</v>
      </c>
      <c r="G1359" t="s">
        <v>8</v>
      </c>
    </row>
    <row r="1360" spans="1:7" x14ac:dyDescent="0.3">
      <c r="A1360" t="s">
        <v>30</v>
      </c>
      <c r="B1360" s="1">
        <v>45808</v>
      </c>
      <c r="C1360">
        <v>300508</v>
      </c>
      <c r="D1360">
        <v>-2178.0920000000001</v>
      </c>
      <c r="E1360" t="s">
        <v>4</v>
      </c>
      <c r="F1360" t="s">
        <v>65</v>
      </c>
      <c r="G1360" t="s">
        <v>8</v>
      </c>
    </row>
    <row r="1361" spans="1:7" x14ac:dyDescent="0.3">
      <c r="A1361" t="s">
        <v>30</v>
      </c>
      <c r="B1361" s="1">
        <v>45808</v>
      </c>
      <c r="C1361">
        <v>300511</v>
      </c>
      <c r="D1361">
        <v>-34.323999999999998</v>
      </c>
      <c r="E1361" t="s">
        <v>4</v>
      </c>
      <c r="F1361" t="s">
        <v>65</v>
      </c>
      <c r="G1361" t="s">
        <v>8</v>
      </c>
    </row>
    <row r="1362" spans="1:7" x14ac:dyDescent="0.3">
      <c r="A1362" t="s">
        <v>30</v>
      </c>
      <c r="B1362" s="1">
        <v>45808</v>
      </c>
      <c r="C1362">
        <v>300512</v>
      </c>
      <c r="D1362">
        <v>-45.701000000000001</v>
      </c>
      <c r="E1362" t="s">
        <v>4</v>
      </c>
      <c r="F1362" t="s">
        <v>65</v>
      </c>
      <c r="G1362" t="s">
        <v>8</v>
      </c>
    </row>
    <row r="1363" spans="1:7" x14ac:dyDescent="0.3">
      <c r="A1363" t="s">
        <v>30</v>
      </c>
      <c r="B1363" s="1">
        <v>45808</v>
      </c>
      <c r="C1363">
        <v>310022</v>
      </c>
      <c r="D1363">
        <v>1216569.9720000001</v>
      </c>
      <c r="E1363" t="s">
        <v>4</v>
      </c>
      <c r="F1363" t="s">
        <v>42</v>
      </c>
      <c r="G1363" t="s">
        <v>8</v>
      </c>
    </row>
    <row r="1364" spans="1:7" x14ac:dyDescent="0.3">
      <c r="A1364" t="s">
        <v>30</v>
      </c>
      <c r="B1364" s="1">
        <v>45808</v>
      </c>
      <c r="C1364">
        <v>320002</v>
      </c>
      <c r="D1364">
        <v>54690.222000000002</v>
      </c>
      <c r="E1364" t="s">
        <v>4</v>
      </c>
      <c r="F1364" t="s">
        <v>46</v>
      </c>
      <c r="G1364" t="s">
        <v>8</v>
      </c>
    </row>
    <row r="1365" spans="1:7" x14ac:dyDescent="0.3">
      <c r="A1365" t="s">
        <v>30</v>
      </c>
      <c r="B1365" s="1">
        <v>45808</v>
      </c>
      <c r="C1365">
        <v>320003</v>
      </c>
      <c r="D1365">
        <v>532466.80599999998</v>
      </c>
      <c r="E1365" t="s">
        <v>4</v>
      </c>
      <c r="F1365" t="s">
        <v>46</v>
      </c>
      <c r="G1365" t="s">
        <v>8</v>
      </c>
    </row>
    <row r="1366" spans="1:7" x14ac:dyDescent="0.3">
      <c r="A1366" t="s">
        <v>30</v>
      </c>
      <c r="B1366" s="1">
        <v>45808</v>
      </c>
      <c r="C1366">
        <v>320004</v>
      </c>
      <c r="D1366">
        <v>3515.6010000000001</v>
      </c>
      <c r="E1366" t="s">
        <v>4</v>
      </c>
      <c r="F1366" t="s">
        <v>46</v>
      </c>
      <c r="G1366" t="s">
        <v>8</v>
      </c>
    </row>
    <row r="1367" spans="1:7" x14ac:dyDescent="0.3">
      <c r="A1367" t="s">
        <v>30</v>
      </c>
      <c r="B1367" s="1">
        <v>45808</v>
      </c>
      <c r="C1367">
        <v>320018</v>
      </c>
      <c r="D1367">
        <v>2130.7429999999999</v>
      </c>
      <c r="E1367" t="s">
        <v>4</v>
      </c>
      <c r="F1367" t="s">
        <v>46</v>
      </c>
      <c r="G1367" t="s">
        <v>8</v>
      </c>
    </row>
    <row r="1368" spans="1:7" x14ac:dyDescent="0.3">
      <c r="A1368" t="s">
        <v>30</v>
      </c>
      <c r="B1368" s="1">
        <v>45808</v>
      </c>
      <c r="C1368">
        <v>320023</v>
      </c>
      <c r="D1368">
        <v>-3259.3649999999998</v>
      </c>
      <c r="E1368" t="s">
        <v>4</v>
      </c>
      <c r="F1368" t="s">
        <v>46</v>
      </c>
      <c r="G1368" t="s">
        <v>8</v>
      </c>
    </row>
    <row r="1369" spans="1:7" x14ac:dyDescent="0.3">
      <c r="A1369" t="s">
        <v>30</v>
      </c>
      <c r="B1369" s="1">
        <v>45808</v>
      </c>
      <c r="C1369">
        <v>321002</v>
      </c>
      <c r="D1369">
        <v>75594.562000000005</v>
      </c>
      <c r="E1369" t="s">
        <v>4</v>
      </c>
      <c r="F1369" t="s">
        <v>46</v>
      </c>
      <c r="G1369" t="s">
        <v>8</v>
      </c>
    </row>
    <row r="1370" spans="1:7" x14ac:dyDescent="0.3">
      <c r="A1370" t="s">
        <v>30</v>
      </c>
      <c r="B1370" s="1">
        <v>45808</v>
      </c>
      <c r="C1370">
        <v>321004</v>
      </c>
      <c r="D1370">
        <v>238.101</v>
      </c>
      <c r="E1370" t="s">
        <v>4</v>
      </c>
      <c r="F1370" t="s">
        <v>46</v>
      </c>
      <c r="G1370" t="s">
        <v>8</v>
      </c>
    </row>
    <row r="1371" spans="1:7" x14ac:dyDescent="0.3">
      <c r="A1371" t="s">
        <v>30</v>
      </c>
      <c r="B1371" s="1">
        <v>45808</v>
      </c>
      <c r="C1371">
        <v>321012</v>
      </c>
      <c r="D1371">
        <v>115282.598</v>
      </c>
      <c r="E1371" t="s">
        <v>4</v>
      </c>
      <c r="F1371" t="s">
        <v>46</v>
      </c>
      <c r="G1371" t="s">
        <v>8</v>
      </c>
    </row>
    <row r="1372" spans="1:7" x14ac:dyDescent="0.3">
      <c r="A1372" t="s">
        <v>30</v>
      </c>
      <c r="B1372" s="1">
        <v>45808</v>
      </c>
      <c r="C1372">
        <v>321013</v>
      </c>
      <c r="D1372">
        <v>2297.855</v>
      </c>
      <c r="E1372" t="s">
        <v>4</v>
      </c>
      <c r="F1372" t="s">
        <v>46</v>
      </c>
      <c r="G1372" t="s">
        <v>8</v>
      </c>
    </row>
    <row r="1373" spans="1:7" x14ac:dyDescent="0.3">
      <c r="A1373" t="s">
        <v>30</v>
      </c>
      <c r="B1373" s="1">
        <v>45808</v>
      </c>
      <c r="C1373">
        <v>321014</v>
      </c>
      <c r="D1373">
        <v>66011.993000000002</v>
      </c>
      <c r="E1373" t="s">
        <v>4</v>
      </c>
      <c r="F1373" t="s">
        <v>46</v>
      </c>
      <c r="G1373" t="s">
        <v>8</v>
      </c>
    </row>
    <row r="1374" spans="1:7" x14ac:dyDescent="0.3">
      <c r="A1374" t="s">
        <v>30</v>
      </c>
      <c r="B1374" s="1">
        <v>45808</v>
      </c>
      <c r="C1374">
        <v>321021</v>
      </c>
      <c r="D1374">
        <v>33203.843999999997</v>
      </c>
      <c r="E1374" t="s">
        <v>4</v>
      </c>
      <c r="F1374" t="s">
        <v>46</v>
      </c>
      <c r="G1374" t="s">
        <v>8</v>
      </c>
    </row>
    <row r="1375" spans="1:7" x14ac:dyDescent="0.3">
      <c r="A1375" t="s">
        <v>30</v>
      </c>
      <c r="B1375" s="1">
        <v>45808</v>
      </c>
      <c r="C1375">
        <v>321028</v>
      </c>
      <c r="D1375">
        <v>2508.2199999999998</v>
      </c>
      <c r="E1375" t="s">
        <v>4</v>
      </c>
      <c r="F1375" t="s">
        <v>46</v>
      </c>
      <c r="G1375" t="s">
        <v>8</v>
      </c>
    </row>
    <row r="1376" spans="1:7" x14ac:dyDescent="0.3">
      <c r="A1376" t="s">
        <v>30</v>
      </c>
      <c r="B1376" s="1">
        <v>45808</v>
      </c>
      <c r="C1376">
        <v>321029</v>
      </c>
      <c r="D1376">
        <v>134574.114</v>
      </c>
      <c r="E1376" t="s">
        <v>4</v>
      </c>
      <c r="F1376" t="s">
        <v>46</v>
      </c>
      <c r="G1376" t="s">
        <v>8</v>
      </c>
    </row>
    <row r="1377" spans="1:7" x14ac:dyDescent="0.3">
      <c r="A1377" t="s">
        <v>30</v>
      </c>
      <c r="B1377" s="1">
        <v>45808</v>
      </c>
      <c r="C1377">
        <v>321030</v>
      </c>
      <c r="D1377">
        <v>2844.884</v>
      </c>
      <c r="E1377" t="s">
        <v>4</v>
      </c>
      <c r="F1377" t="s">
        <v>46</v>
      </c>
      <c r="G1377" t="s">
        <v>8</v>
      </c>
    </row>
    <row r="1378" spans="1:7" x14ac:dyDescent="0.3">
      <c r="A1378" t="s">
        <v>30</v>
      </c>
      <c r="B1378" s="1">
        <v>45808</v>
      </c>
      <c r="C1378">
        <v>321031</v>
      </c>
      <c r="D1378">
        <v>73356.635999999999</v>
      </c>
      <c r="E1378" t="s">
        <v>4</v>
      </c>
      <c r="F1378" t="s">
        <v>46</v>
      </c>
      <c r="G1378" t="s">
        <v>8</v>
      </c>
    </row>
    <row r="1379" spans="1:7" x14ac:dyDescent="0.3">
      <c r="A1379" t="s">
        <v>30</v>
      </c>
      <c r="B1379" s="1">
        <v>45808</v>
      </c>
      <c r="C1379">
        <v>321042</v>
      </c>
      <c r="D1379">
        <v>2074.5210000000002</v>
      </c>
      <c r="E1379" t="s">
        <v>4</v>
      </c>
      <c r="F1379" t="s">
        <v>46</v>
      </c>
      <c r="G1379" t="s">
        <v>8</v>
      </c>
    </row>
    <row r="1380" spans="1:7" x14ac:dyDescent="0.3">
      <c r="A1380" t="s">
        <v>30</v>
      </c>
      <c r="B1380" s="1">
        <v>45808</v>
      </c>
      <c r="C1380">
        <v>330044</v>
      </c>
      <c r="D1380">
        <v>2085.377</v>
      </c>
      <c r="E1380" t="s">
        <v>4</v>
      </c>
      <c r="F1380" t="s">
        <v>43</v>
      </c>
      <c r="G1380" t="s">
        <v>8</v>
      </c>
    </row>
    <row r="1381" spans="1:7" x14ac:dyDescent="0.3">
      <c r="A1381" t="s">
        <v>30</v>
      </c>
      <c r="B1381" s="1">
        <v>45808</v>
      </c>
      <c r="C1381">
        <v>330107</v>
      </c>
      <c r="D1381">
        <v>-967.97199999999998</v>
      </c>
      <c r="E1381" t="s">
        <v>4</v>
      </c>
      <c r="F1381" t="s">
        <v>43</v>
      </c>
      <c r="G1381" t="s">
        <v>8</v>
      </c>
    </row>
    <row r="1382" spans="1:7" x14ac:dyDescent="0.3">
      <c r="A1382" t="s">
        <v>30</v>
      </c>
      <c r="B1382" s="1">
        <v>45808</v>
      </c>
      <c r="C1382">
        <v>330141</v>
      </c>
      <c r="D1382">
        <v>3649.1010000000001</v>
      </c>
      <c r="E1382" t="s">
        <v>4</v>
      </c>
      <c r="F1382" t="s">
        <v>43</v>
      </c>
      <c r="G1382" t="s">
        <v>8</v>
      </c>
    </row>
    <row r="1383" spans="1:7" x14ac:dyDescent="0.3">
      <c r="A1383" t="s">
        <v>30</v>
      </c>
      <c r="B1383" s="1">
        <v>45808</v>
      </c>
      <c r="C1383">
        <v>330143</v>
      </c>
      <c r="D1383">
        <v>2148.192</v>
      </c>
      <c r="E1383" t="s">
        <v>4</v>
      </c>
      <c r="F1383" t="s">
        <v>43</v>
      </c>
      <c r="G1383" t="s">
        <v>8</v>
      </c>
    </row>
    <row r="1384" spans="1:7" x14ac:dyDescent="0.3">
      <c r="A1384" t="s">
        <v>30</v>
      </c>
      <c r="B1384" s="1">
        <v>45808</v>
      </c>
      <c r="C1384">
        <v>340165</v>
      </c>
      <c r="D1384">
        <v>127404.765</v>
      </c>
      <c r="E1384" t="s">
        <v>4</v>
      </c>
      <c r="F1384" t="s">
        <v>47</v>
      </c>
      <c r="G1384" t="s">
        <v>8</v>
      </c>
    </row>
    <row r="1385" spans="1:7" x14ac:dyDescent="0.3">
      <c r="A1385" t="s">
        <v>30</v>
      </c>
      <c r="B1385" s="1">
        <v>45808</v>
      </c>
      <c r="C1385">
        <v>350002</v>
      </c>
      <c r="D1385">
        <v>833.54399999999998</v>
      </c>
      <c r="E1385" t="s">
        <v>4</v>
      </c>
      <c r="F1385" t="s">
        <v>49</v>
      </c>
      <c r="G1385" t="s">
        <v>8</v>
      </c>
    </row>
    <row r="1386" spans="1:7" x14ac:dyDescent="0.3">
      <c r="A1386" t="s">
        <v>30</v>
      </c>
      <c r="B1386" s="1">
        <v>45808</v>
      </c>
      <c r="C1386">
        <v>350003</v>
      </c>
      <c r="D1386">
        <v>-209.78200000000001</v>
      </c>
      <c r="E1386" t="s">
        <v>4</v>
      </c>
      <c r="F1386" t="s">
        <v>49</v>
      </c>
      <c r="G1386" t="s">
        <v>8</v>
      </c>
    </row>
    <row r="1387" spans="1:7" x14ac:dyDescent="0.3">
      <c r="A1387" t="s">
        <v>30</v>
      </c>
      <c r="B1387" s="1">
        <v>45808</v>
      </c>
      <c r="C1387">
        <v>350007</v>
      </c>
      <c r="D1387">
        <v>4.5090000000000003</v>
      </c>
      <c r="E1387" t="s">
        <v>4</v>
      </c>
      <c r="F1387" t="s">
        <v>49</v>
      </c>
      <c r="G1387" t="s">
        <v>8</v>
      </c>
    </row>
    <row r="1388" spans="1:7" x14ac:dyDescent="0.3">
      <c r="A1388" t="s">
        <v>30</v>
      </c>
      <c r="B1388" s="1">
        <v>45808</v>
      </c>
      <c r="C1388">
        <v>350031</v>
      </c>
      <c r="D1388">
        <v>114.282</v>
      </c>
      <c r="E1388" t="s">
        <v>4</v>
      </c>
      <c r="F1388" t="s">
        <v>43</v>
      </c>
      <c r="G1388" t="s">
        <v>8</v>
      </c>
    </row>
    <row r="1389" spans="1:7" x14ac:dyDescent="0.3">
      <c r="A1389" t="s">
        <v>30</v>
      </c>
      <c r="B1389" s="1">
        <v>45808</v>
      </c>
      <c r="C1389">
        <v>350034</v>
      </c>
      <c r="D1389">
        <v>8.7829999999999995</v>
      </c>
      <c r="E1389" t="s">
        <v>4</v>
      </c>
      <c r="F1389" t="s">
        <v>49</v>
      </c>
      <c r="G1389" t="s">
        <v>8</v>
      </c>
    </row>
    <row r="1390" spans="1:7" x14ac:dyDescent="0.3">
      <c r="A1390" t="s">
        <v>30</v>
      </c>
      <c r="B1390" s="1">
        <v>45808</v>
      </c>
      <c r="C1390">
        <v>354012</v>
      </c>
      <c r="D1390">
        <v>247256.38200000001</v>
      </c>
      <c r="E1390" t="s">
        <v>4</v>
      </c>
      <c r="F1390" t="s">
        <v>46</v>
      </c>
      <c r="G1390" t="s">
        <v>8</v>
      </c>
    </row>
    <row r="1391" spans="1:7" x14ac:dyDescent="0.3">
      <c r="A1391" t="s">
        <v>30</v>
      </c>
      <c r="B1391" s="1">
        <v>45808</v>
      </c>
      <c r="C1391">
        <v>354014</v>
      </c>
      <c r="D1391">
        <v>47450.481</v>
      </c>
      <c r="E1391" t="s">
        <v>4</v>
      </c>
      <c r="F1391" t="s">
        <v>46</v>
      </c>
      <c r="G1391" t="s">
        <v>8</v>
      </c>
    </row>
    <row r="1392" spans="1:7" x14ac:dyDescent="0.3">
      <c r="A1392" t="s">
        <v>30</v>
      </c>
      <c r="B1392" s="1">
        <v>45808</v>
      </c>
      <c r="C1392">
        <v>354015</v>
      </c>
      <c r="D1392">
        <v>15645.91</v>
      </c>
      <c r="E1392" t="s">
        <v>4</v>
      </c>
      <c r="F1392" t="s">
        <v>46</v>
      </c>
      <c r="G1392" t="s">
        <v>8</v>
      </c>
    </row>
    <row r="1393" spans="1:7" x14ac:dyDescent="0.3">
      <c r="A1393" t="s">
        <v>30</v>
      </c>
      <c r="B1393" s="1">
        <v>45808</v>
      </c>
      <c r="C1393">
        <v>355002</v>
      </c>
      <c r="D1393">
        <v>-8.9999999999999993E-3</v>
      </c>
      <c r="E1393" t="s">
        <v>4</v>
      </c>
      <c r="F1393" t="s">
        <v>49</v>
      </c>
      <c r="G1393" t="s">
        <v>8</v>
      </c>
    </row>
    <row r="1394" spans="1:7" x14ac:dyDescent="0.3">
      <c r="A1394" t="s">
        <v>30</v>
      </c>
      <c r="B1394" s="1">
        <v>45808</v>
      </c>
      <c r="C1394">
        <v>360028</v>
      </c>
      <c r="D1394">
        <v>30007.598999999998</v>
      </c>
      <c r="E1394" t="s">
        <v>4</v>
      </c>
      <c r="F1394" t="s">
        <v>58</v>
      </c>
      <c r="G1394" t="s">
        <v>8</v>
      </c>
    </row>
    <row r="1395" spans="1:7" x14ac:dyDescent="0.3">
      <c r="A1395" t="s">
        <v>30</v>
      </c>
      <c r="B1395" s="1">
        <v>45808</v>
      </c>
      <c r="C1395">
        <v>360030</v>
      </c>
      <c r="D1395">
        <v>9359.7939999999999</v>
      </c>
      <c r="E1395" t="s">
        <v>4</v>
      </c>
      <c r="F1395" t="s">
        <v>58</v>
      </c>
      <c r="G1395" t="s">
        <v>8</v>
      </c>
    </row>
    <row r="1396" spans="1:7" x14ac:dyDescent="0.3">
      <c r="A1396" t="s">
        <v>30</v>
      </c>
      <c r="B1396" s="1">
        <v>45808</v>
      </c>
      <c r="C1396">
        <v>372004</v>
      </c>
      <c r="D1396">
        <v>18130.907999999999</v>
      </c>
      <c r="E1396" t="s">
        <v>4</v>
      </c>
      <c r="F1396" t="s">
        <v>45</v>
      </c>
      <c r="G1396" t="s">
        <v>8</v>
      </c>
    </row>
    <row r="1397" spans="1:7" x14ac:dyDescent="0.3">
      <c r="A1397" t="s">
        <v>30</v>
      </c>
      <c r="B1397" s="1">
        <v>45808</v>
      </c>
      <c r="C1397">
        <v>400002</v>
      </c>
      <c r="D1397">
        <v>-5848.4589999999998</v>
      </c>
      <c r="E1397" t="s">
        <v>6</v>
      </c>
      <c r="F1397" t="s">
        <v>50</v>
      </c>
      <c r="G1397" t="s">
        <v>8</v>
      </c>
    </row>
    <row r="1398" spans="1:7" x14ac:dyDescent="0.3">
      <c r="A1398" t="s">
        <v>30</v>
      </c>
      <c r="B1398" s="1">
        <v>45808</v>
      </c>
      <c r="C1398">
        <v>400004</v>
      </c>
      <c r="D1398">
        <v>-27002.044999999998</v>
      </c>
      <c r="E1398" t="s">
        <v>6</v>
      </c>
      <c r="F1398" t="s">
        <v>50</v>
      </c>
      <c r="G1398" t="s">
        <v>8</v>
      </c>
    </row>
    <row r="1399" spans="1:7" x14ac:dyDescent="0.3">
      <c r="A1399" t="s">
        <v>30</v>
      </c>
      <c r="B1399" s="1">
        <v>45808</v>
      </c>
      <c r="C1399">
        <v>410002</v>
      </c>
      <c r="D1399">
        <v>-5226.7910000000002</v>
      </c>
      <c r="E1399" t="s">
        <v>6</v>
      </c>
      <c r="F1399" t="s">
        <v>51</v>
      </c>
      <c r="G1399" t="s">
        <v>8</v>
      </c>
    </row>
    <row r="1400" spans="1:7" x14ac:dyDescent="0.3">
      <c r="A1400" t="s">
        <v>30</v>
      </c>
      <c r="B1400" s="1">
        <v>45808</v>
      </c>
      <c r="C1400">
        <v>410005</v>
      </c>
      <c r="D1400">
        <v>-236.15100000000001</v>
      </c>
      <c r="E1400" t="s">
        <v>6</v>
      </c>
      <c r="F1400" t="s">
        <v>51</v>
      </c>
      <c r="G1400" t="s">
        <v>8</v>
      </c>
    </row>
    <row r="1401" spans="1:7" x14ac:dyDescent="0.3">
      <c r="A1401" t="s">
        <v>30</v>
      </c>
      <c r="B1401" s="1">
        <v>45808</v>
      </c>
      <c r="C1401">
        <v>410006</v>
      </c>
      <c r="D1401">
        <v>-25305.144</v>
      </c>
      <c r="E1401" t="s">
        <v>6</v>
      </c>
      <c r="F1401" t="s">
        <v>51</v>
      </c>
      <c r="G1401" t="s">
        <v>8</v>
      </c>
    </row>
    <row r="1402" spans="1:7" x14ac:dyDescent="0.3">
      <c r="A1402" t="s">
        <v>30</v>
      </c>
      <c r="B1402" s="1">
        <v>45808</v>
      </c>
      <c r="C1402">
        <v>410009</v>
      </c>
      <c r="D1402">
        <v>-18087.282999999999</v>
      </c>
      <c r="E1402" t="s">
        <v>6</v>
      </c>
      <c r="F1402" t="s">
        <v>51</v>
      </c>
      <c r="G1402" t="s">
        <v>8</v>
      </c>
    </row>
    <row r="1403" spans="1:7" x14ac:dyDescent="0.3">
      <c r="A1403" t="s">
        <v>30</v>
      </c>
      <c r="B1403" s="1">
        <v>45808</v>
      </c>
      <c r="C1403">
        <v>410015</v>
      </c>
      <c r="D1403">
        <v>-1066.9179999999999</v>
      </c>
      <c r="E1403" t="s">
        <v>6</v>
      </c>
      <c r="F1403" t="s">
        <v>51</v>
      </c>
      <c r="G1403" t="s">
        <v>8</v>
      </c>
    </row>
    <row r="1404" spans="1:7" x14ac:dyDescent="0.3">
      <c r="A1404" t="s">
        <v>30</v>
      </c>
      <c r="B1404" s="1">
        <v>45808</v>
      </c>
      <c r="C1404">
        <v>410018</v>
      </c>
      <c r="D1404">
        <v>-1625.45</v>
      </c>
      <c r="E1404" t="s">
        <v>6</v>
      </c>
      <c r="F1404" t="s">
        <v>51</v>
      </c>
      <c r="G1404" t="s">
        <v>8</v>
      </c>
    </row>
    <row r="1405" spans="1:7" x14ac:dyDescent="0.3">
      <c r="A1405" t="s">
        <v>30</v>
      </c>
      <c r="B1405" s="1">
        <v>45808</v>
      </c>
      <c r="C1405">
        <v>410036</v>
      </c>
      <c r="D1405">
        <v>-1210.277</v>
      </c>
      <c r="E1405" t="s">
        <v>6</v>
      </c>
      <c r="F1405" t="s">
        <v>51</v>
      </c>
      <c r="G1405" t="s">
        <v>8</v>
      </c>
    </row>
    <row r="1406" spans="1:7" x14ac:dyDescent="0.3">
      <c r="A1406" t="s">
        <v>30</v>
      </c>
      <c r="B1406" s="1">
        <v>45808</v>
      </c>
      <c r="C1406">
        <v>410037</v>
      </c>
      <c r="D1406">
        <v>-26054.39</v>
      </c>
      <c r="E1406" t="s">
        <v>6</v>
      </c>
      <c r="F1406" t="s">
        <v>51</v>
      </c>
      <c r="G1406" t="s">
        <v>8</v>
      </c>
    </row>
    <row r="1407" spans="1:7" x14ac:dyDescent="0.3">
      <c r="A1407" t="s">
        <v>30</v>
      </c>
      <c r="B1407" s="1">
        <v>45808</v>
      </c>
      <c r="C1407">
        <v>410039</v>
      </c>
      <c r="D1407">
        <v>-12919.428</v>
      </c>
      <c r="E1407" t="s">
        <v>6</v>
      </c>
      <c r="F1407" t="s">
        <v>51</v>
      </c>
      <c r="G1407" t="s">
        <v>8</v>
      </c>
    </row>
    <row r="1408" spans="1:7" x14ac:dyDescent="0.3">
      <c r="A1408" t="s">
        <v>30</v>
      </c>
      <c r="B1408" s="1">
        <v>45808</v>
      </c>
      <c r="C1408">
        <v>410040</v>
      </c>
      <c r="D1408">
        <v>-512.68299999999999</v>
      </c>
      <c r="E1408" t="s">
        <v>6</v>
      </c>
      <c r="F1408" t="s">
        <v>51</v>
      </c>
      <c r="G1408" t="s">
        <v>8</v>
      </c>
    </row>
    <row r="1409" spans="1:7" x14ac:dyDescent="0.3">
      <c r="A1409" t="s">
        <v>30</v>
      </c>
      <c r="B1409" s="1">
        <v>45808</v>
      </c>
      <c r="C1409">
        <v>415002</v>
      </c>
      <c r="D1409">
        <v>-105129.114</v>
      </c>
      <c r="E1409" t="s">
        <v>6</v>
      </c>
      <c r="F1409" t="s">
        <v>50</v>
      </c>
      <c r="G1409" t="s">
        <v>8</v>
      </c>
    </row>
    <row r="1410" spans="1:7" x14ac:dyDescent="0.3">
      <c r="A1410" t="s">
        <v>30</v>
      </c>
      <c r="B1410" s="1">
        <v>45808</v>
      </c>
      <c r="C1410">
        <v>415004</v>
      </c>
      <c r="D1410">
        <v>-197756.90900000001</v>
      </c>
      <c r="E1410" t="s">
        <v>6</v>
      </c>
      <c r="F1410" t="s">
        <v>50</v>
      </c>
      <c r="G1410" t="s">
        <v>8</v>
      </c>
    </row>
    <row r="1411" spans="1:7" x14ac:dyDescent="0.3">
      <c r="A1411" t="s">
        <v>30</v>
      </c>
      <c r="B1411" s="1">
        <v>45808</v>
      </c>
      <c r="C1411">
        <v>421002</v>
      </c>
      <c r="D1411">
        <v>-496.85</v>
      </c>
      <c r="E1411" t="s">
        <v>6</v>
      </c>
      <c r="F1411" t="s">
        <v>52</v>
      </c>
      <c r="G1411" t="s">
        <v>8</v>
      </c>
    </row>
    <row r="1412" spans="1:7" x14ac:dyDescent="0.3">
      <c r="A1412" t="s">
        <v>30</v>
      </c>
      <c r="B1412" s="1">
        <v>45808</v>
      </c>
      <c r="C1412">
        <v>421003</v>
      </c>
      <c r="D1412">
        <v>12552.704</v>
      </c>
      <c r="E1412" t="s">
        <v>6</v>
      </c>
      <c r="F1412" t="s">
        <v>52</v>
      </c>
      <c r="G1412" t="s">
        <v>8</v>
      </c>
    </row>
    <row r="1413" spans="1:7" x14ac:dyDescent="0.3">
      <c r="A1413" t="s">
        <v>30</v>
      </c>
      <c r="B1413" s="1">
        <v>45808</v>
      </c>
      <c r="C1413">
        <v>421004</v>
      </c>
      <c r="D1413">
        <v>1564.316</v>
      </c>
      <c r="E1413" t="s">
        <v>6</v>
      </c>
      <c r="F1413" t="s">
        <v>52</v>
      </c>
      <c r="G1413" t="s">
        <v>8</v>
      </c>
    </row>
    <row r="1414" spans="1:7" x14ac:dyDescent="0.3">
      <c r="A1414" t="s">
        <v>30</v>
      </c>
      <c r="B1414" s="1">
        <v>45808</v>
      </c>
      <c r="C1414">
        <v>421007</v>
      </c>
      <c r="D1414">
        <v>2750.8560000000002</v>
      </c>
      <c r="E1414" t="s">
        <v>6</v>
      </c>
      <c r="F1414" t="s">
        <v>52</v>
      </c>
      <c r="G1414" t="s">
        <v>8</v>
      </c>
    </row>
    <row r="1415" spans="1:7" x14ac:dyDescent="0.3">
      <c r="A1415" t="s">
        <v>30</v>
      </c>
      <c r="B1415" s="1">
        <v>45808</v>
      </c>
      <c r="C1415">
        <v>510002</v>
      </c>
      <c r="D1415">
        <v>13466.741</v>
      </c>
      <c r="E1415" t="s">
        <v>6</v>
      </c>
      <c r="F1415" t="s">
        <v>53</v>
      </c>
      <c r="G1415" t="s">
        <v>8</v>
      </c>
    </row>
    <row r="1416" spans="1:7" x14ac:dyDescent="0.3">
      <c r="A1416" t="s">
        <v>30</v>
      </c>
      <c r="B1416" s="1">
        <v>45808</v>
      </c>
      <c r="C1416">
        <v>510005</v>
      </c>
      <c r="D1416">
        <v>-1565.394</v>
      </c>
      <c r="E1416" t="s">
        <v>6</v>
      </c>
      <c r="F1416" t="s">
        <v>53</v>
      </c>
      <c r="G1416" t="s">
        <v>8</v>
      </c>
    </row>
    <row r="1417" spans="1:7" x14ac:dyDescent="0.3">
      <c r="A1417" t="s">
        <v>30</v>
      </c>
      <c r="B1417" s="1">
        <v>45808</v>
      </c>
      <c r="C1417">
        <v>510007</v>
      </c>
      <c r="D1417">
        <v>568.63199999999995</v>
      </c>
      <c r="E1417" t="s">
        <v>6</v>
      </c>
      <c r="F1417" t="s">
        <v>53</v>
      </c>
      <c r="G1417" t="s">
        <v>8</v>
      </c>
    </row>
    <row r="1418" spans="1:7" x14ac:dyDescent="0.3">
      <c r="A1418" t="s">
        <v>30</v>
      </c>
      <c r="B1418" s="1">
        <v>45808</v>
      </c>
      <c r="C1418">
        <v>510065</v>
      </c>
      <c r="D1418">
        <v>101.20399999999999</v>
      </c>
      <c r="E1418" t="s">
        <v>6</v>
      </c>
      <c r="F1418" t="s">
        <v>53</v>
      </c>
      <c r="G1418" t="s">
        <v>8</v>
      </c>
    </row>
    <row r="1419" spans="1:7" x14ac:dyDescent="0.3">
      <c r="A1419" t="s">
        <v>30</v>
      </c>
      <c r="B1419" s="1">
        <v>45808</v>
      </c>
      <c r="C1419">
        <v>520011</v>
      </c>
      <c r="D1419">
        <v>2477.7829999999999</v>
      </c>
      <c r="E1419" t="s">
        <v>6</v>
      </c>
      <c r="F1419" t="s">
        <v>53</v>
      </c>
      <c r="G1419" t="s">
        <v>8</v>
      </c>
    </row>
    <row r="1420" spans="1:7" x14ac:dyDescent="0.3">
      <c r="A1420" t="s">
        <v>30</v>
      </c>
      <c r="B1420" s="1">
        <v>45808</v>
      </c>
      <c r="C1420">
        <v>520021</v>
      </c>
      <c r="D1420">
        <v>-0.251</v>
      </c>
      <c r="E1420" t="s">
        <v>6</v>
      </c>
      <c r="F1420" t="s">
        <v>60</v>
      </c>
      <c r="G1420" t="s">
        <v>8</v>
      </c>
    </row>
    <row r="1421" spans="1:7" x14ac:dyDescent="0.3">
      <c r="A1421" t="s">
        <v>30</v>
      </c>
      <c r="B1421" s="1">
        <v>45808</v>
      </c>
      <c r="C1421">
        <v>540009</v>
      </c>
      <c r="D1421">
        <v>5553.2079999999996</v>
      </c>
      <c r="E1421" t="s">
        <v>6</v>
      </c>
      <c r="F1421" t="s">
        <v>59</v>
      </c>
      <c r="G1421" t="s">
        <v>8</v>
      </c>
    </row>
    <row r="1422" spans="1:7" x14ac:dyDescent="0.3">
      <c r="A1422" t="s">
        <v>30</v>
      </c>
      <c r="B1422" s="1">
        <v>45808</v>
      </c>
      <c r="C1422">
        <v>541003</v>
      </c>
      <c r="D1422">
        <v>333.42899999999997</v>
      </c>
      <c r="E1422" t="s">
        <v>6</v>
      </c>
      <c r="F1422" t="s">
        <v>61</v>
      </c>
      <c r="G1422" t="s">
        <v>8</v>
      </c>
    </row>
    <row r="1423" spans="1:7" x14ac:dyDescent="0.3">
      <c r="A1423" t="s">
        <v>30</v>
      </c>
      <c r="B1423" s="1">
        <v>45808</v>
      </c>
      <c r="C1423">
        <v>541004</v>
      </c>
      <c r="D1423">
        <v>-180.22499999999999</v>
      </c>
      <c r="E1423" t="s">
        <v>6</v>
      </c>
      <c r="F1423" t="s">
        <v>61</v>
      </c>
      <c r="G1423" t="s">
        <v>8</v>
      </c>
    </row>
    <row r="1424" spans="1:7" x14ac:dyDescent="0.3">
      <c r="A1424" t="s">
        <v>30</v>
      </c>
      <c r="B1424" s="1">
        <v>45808</v>
      </c>
      <c r="C1424">
        <v>541009</v>
      </c>
      <c r="D1424">
        <v>988.72799999999995</v>
      </c>
      <c r="E1424" t="s">
        <v>6</v>
      </c>
      <c r="F1424" t="s">
        <v>61</v>
      </c>
      <c r="G1424" t="s">
        <v>8</v>
      </c>
    </row>
    <row r="1425" spans="1:7" x14ac:dyDescent="0.3">
      <c r="A1425" t="s">
        <v>30</v>
      </c>
      <c r="B1425" s="1">
        <v>45808</v>
      </c>
      <c r="C1425">
        <v>541010</v>
      </c>
      <c r="D1425">
        <v>-652.98299999999995</v>
      </c>
      <c r="E1425" t="s">
        <v>6</v>
      </c>
      <c r="F1425" t="s">
        <v>61</v>
      </c>
      <c r="G1425" t="s">
        <v>8</v>
      </c>
    </row>
    <row r="1426" spans="1:7" x14ac:dyDescent="0.3">
      <c r="A1426" t="s">
        <v>30</v>
      </c>
      <c r="B1426" s="1">
        <v>45808</v>
      </c>
      <c r="C1426">
        <v>546002</v>
      </c>
      <c r="D1426">
        <v>197787.872</v>
      </c>
      <c r="E1426" t="s">
        <v>6</v>
      </c>
      <c r="F1426" t="s">
        <v>51</v>
      </c>
      <c r="G1426" t="s">
        <v>8</v>
      </c>
    </row>
    <row r="1427" spans="1:7" x14ac:dyDescent="0.3">
      <c r="A1427" t="s">
        <v>30</v>
      </c>
      <c r="B1427" s="1">
        <v>45808</v>
      </c>
      <c r="C1427">
        <v>546008</v>
      </c>
      <c r="D1427">
        <v>3267.8130000000001</v>
      </c>
      <c r="E1427" t="s">
        <v>6</v>
      </c>
      <c r="F1427" t="s">
        <v>51</v>
      </c>
      <c r="G1427" t="s">
        <v>8</v>
      </c>
    </row>
    <row r="1428" spans="1:7" x14ac:dyDescent="0.3">
      <c r="A1428" t="s">
        <v>30</v>
      </c>
      <c r="B1428" s="1">
        <v>45808</v>
      </c>
      <c r="C1428">
        <v>546013</v>
      </c>
      <c r="D1428">
        <v>25801.518</v>
      </c>
      <c r="E1428" t="s">
        <v>6</v>
      </c>
      <c r="F1428" t="s">
        <v>51</v>
      </c>
      <c r="G1428" t="s">
        <v>8</v>
      </c>
    </row>
    <row r="1429" spans="1:7" x14ac:dyDescent="0.3">
      <c r="A1429" t="s">
        <v>30</v>
      </c>
      <c r="B1429" s="1">
        <v>45808</v>
      </c>
      <c r="C1429">
        <v>546015</v>
      </c>
      <c r="D1429">
        <v>3331.2429999999999</v>
      </c>
      <c r="E1429" t="s">
        <v>6</v>
      </c>
      <c r="F1429" t="s">
        <v>51</v>
      </c>
      <c r="G1429" t="s">
        <v>8</v>
      </c>
    </row>
    <row r="1430" spans="1:7" x14ac:dyDescent="0.3">
      <c r="A1430" t="s">
        <v>30</v>
      </c>
      <c r="B1430" s="1">
        <v>45808</v>
      </c>
      <c r="C1430">
        <v>546022</v>
      </c>
      <c r="D1430">
        <v>8194.8950000000004</v>
      </c>
      <c r="E1430" t="s">
        <v>6</v>
      </c>
      <c r="F1430" t="s">
        <v>51</v>
      </c>
      <c r="G1430" t="s">
        <v>8</v>
      </c>
    </row>
    <row r="1431" spans="1:7" x14ac:dyDescent="0.3">
      <c r="A1431" t="s">
        <v>30</v>
      </c>
      <c r="B1431" s="1">
        <v>45808</v>
      </c>
      <c r="C1431">
        <v>546024</v>
      </c>
      <c r="D1431">
        <v>1570.846</v>
      </c>
      <c r="E1431" t="s">
        <v>6</v>
      </c>
      <c r="F1431" t="s">
        <v>51</v>
      </c>
      <c r="G1431" t="s">
        <v>8</v>
      </c>
    </row>
    <row r="1432" spans="1:7" x14ac:dyDescent="0.3">
      <c r="A1432" t="s">
        <v>30</v>
      </c>
      <c r="B1432" s="1">
        <v>45808</v>
      </c>
      <c r="C1432">
        <v>546040</v>
      </c>
      <c r="D1432">
        <v>21612.163</v>
      </c>
      <c r="E1432" t="s">
        <v>6</v>
      </c>
      <c r="F1432" t="s">
        <v>51</v>
      </c>
      <c r="G1432" t="s">
        <v>8</v>
      </c>
    </row>
    <row r="1433" spans="1:7" x14ac:dyDescent="0.3">
      <c r="A1433" t="s">
        <v>30</v>
      </c>
      <c r="B1433" s="1">
        <v>45808</v>
      </c>
      <c r="C1433">
        <v>546046</v>
      </c>
      <c r="D1433">
        <v>1110.095</v>
      </c>
      <c r="E1433" t="s">
        <v>6</v>
      </c>
      <c r="F1433" t="s">
        <v>51</v>
      </c>
      <c r="G1433" t="s">
        <v>8</v>
      </c>
    </row>
    <row r="1434" spans="1:7" x14ac:dyDescent="0.3">
      <c r="A1434" t="s">
        <v>30</v>
      </c>
      <c r="B1434" s="1">
        <v>45808</v>
      </c>
      <c r="C1434">
        <v>546047</v>
      </c>
      <c r="D1434">
        <v>343.65499999999997</v>
      </c>
      <c r="E1434" t="s">
        <v>6</v>
      </c>
      <c r="F1434" t="s">
        <v>51</v>
      </c>
      <c r="G1434" t="s">
        <v>8</v>
      </c>
    </row>
    <row r="1435" spans="1:7" x14ac:dyDescent="0.3">
      <c r="A1435" t="s">
        <v>30</v>
      </c>
      <c r="B1435" s="1">
        <v>45808</v>
      </c>
      <c r="C1435">
        <v>550002</v>
      </c>
      <c r="D1435">
        <v>96151.687000000005</v>
      </c>
      <c r="E1435" t="s">
        <v>6</v>
      </c>
      <c r="F1435" t="s">
        <v>62</v>
      </c>
      <c r="G1435" t="s">
        <v>8</v>
      </c>
    </row>
    <row r="1436" spans="1:7" x14ac:dyDescent="0.3">
      <c r="A1436" t="s">
        <v>30</v>
      </c>
      <c r="B1436" s="1">
        <v>45808</v>
      </c>
      <c r="C1436">
        <v>551011</v>
      </c>
      <c r="D1436">
        <v>402.01100000000002</v>
      </c>
      <c r="E1436" t="s">
        <v>6</v>
      </c>
      <c r="F1436" t="s">
        <v>61</v>
      </c>
      <c r="G1436" t="s">
        <v>8</v>
      </c>
    </row>
    <row r="1437" spans="1:7" x14ac:dyDescent="0.3">
      <c r="A1437" t="s">
        <v>30</v>
      </c>
      <c r="B1437" s="1">
        <v>45808</v>
      </c>
      <c r="C1437">
        <v>555007</v>
      </c>
      <c r="D1437">
        <v>142.761</v>
      </c>
      <c r="E1437" t="s">
        <v>6</v>
      </c>
      <c r="F1437" t="s">
        <v>55</v>
      </c>
      <c r="G1437" t="s">
        <v>8</v>
      </c>
    </row>
    <row r="1438" spans="1:7" x14ac:dyDescent="0.3">
      <c r="A1438" t="s">
        <v>30</v>
      </c>
      <c r="B1438" s="1">
        <v>45808</v>
      </c>
      <c r="C1438">
        <v>557002</v>
      </c>
      <c r="D1438">
        <v>1460.42</v>
      </c>
      <c r="E1438" t="s">
        <v>6</v>
      </c>
      <c r="F1438" t="s">
        <v>56</v>
      </c>
      <c r="G1438" t="s">
        <v>8</v>
      </c>
    </row>
    <row r="1439" spans="1:7" x14ac:dyDescent="0.3">
      <c r="A1439" t="s">
        <v>30</v>
      </c>
      <c r="B1439" s="1">
        <v>45808</v>
      </c>
      <c r="C1439">
        <v>557003</v>
      </c>
      <c r="D1439">
        <v>207.80699999999999</v>
      </c>
      <c r="E1439" t="s">
        <v>6</v>
      </c>
      <c r="F1439" t="s">
        <v>56</v>
      </c>
      <c r="G1439" t="s">
        <v>8</v>
      </c>
    </row>
    <row r="1440" spans="1:7" x14ac:dyDescent="0.3">
      <c r="A1440" t="s">
        <v>30</v>
      </c>
      <c r="B1440" s="1">
        <v>45808</v>
      </c>
      <c r="C1440">
        <v>560008</v>
      </c>
      <c r="D1440">
        <v>187.89099999999999</v>
      </c>
      <c r="E1440" t="s">
        <v>6</v>
      </c>
      <c r="F1440" t="s">
        <v>56</v>
      </c>
      <c r="G1440" t="s">
        <v>8</v>
      </c>
    </row>
    <row r="1441" spans="1:7" x14ac:dyDescent="0.3">
      <c r="A1441" t="s">
        <v>30</v>
      </c>
      <c r="B1441" s="1">
        <v>45808</v>
      </c>
      <c r="C1441">
        <v>564008</v>
      </c>
      <c r="D1441">
        <v>31.565999999999999</v>
      </c>
      <c r="E1441" t="s">
        <v>6</v>
      </c>
      <c r="F1441" t="s">
        <v>55</v>
      </c>
      <c r="G1441" t="s">
        <v>8</v>
      </c>
    </row>
    <row r="1442" spans="1:7" x14ac:dyDescent="0.3">
      <c r="A1442" t="s">
        <v>30</v>
      </c>
      <c r="B1442" s="1">
        <v>45808</v>
      </c>
      <c r="C1442">
        <v>564020</v>
      </c>
      <c r="D1442">
        <v>40.448999999999998</v>
      </c>
      <c r="E1442" t="s">
        <v>6</v>
      </c>
      <c r="F1442" t="s">
        <v>57</v>
      </c>
      <c r="G1442" t="s">
        <v>8</v>
      </c>
    </row>
    <row r="1443" spans="1:7" x14ac:dyDescent="0.3">
      <c r="A1443" t="s">
        <v>30</v>
      </c>
      <c r="B1443" s="1">
        <v>45808</v>
      </c>
      <c r="C1443">
        <v>570002</v>
      </c>
      <c r="D1443">
        <v>44.892000000000003</v>
      </c>
      <c r="E1443" t="s">
        <v>6</v>
      </c>
      <c r="F1443" t="s">
        <v>66</v>
      </c>
      <c r="G1443" t="s">
        <v>8</v>
      </c>
    </row>
    <row r="1444" spans="1:7" x14ac:dyDescent="0.3">
      <c r="A1444" t="s">
        <v>31</v>
      </c>
      <c r="B1444" s="1">
        <v>45808</v>
      </c>
      <c r="C1444">
        <v>210002</v>
      </c>
      <c r="D1444">
        <v>-22733.028999999999</v>
      </c>
      <c r="E1444" t="s">
        <v>4</v>
      </c>
      <c r="F1444" t="s">
        <v>42</v>
      </c>
      <c r="G1444" t="s">
        <v>8</v>
      </c>
    </row>
    <row r="1445" spans="1:7" x14ac:dyDescent="0.3">
      <c r="A1445" t="s">
        <v>31</v>
      </c>
      <c r="B1445" s="1">
        <v>45808</v>
      </c>
      <c r="C1445">
        <v>220006</v>
      </c>
      <c r="D1445">
        <v>-161048.451</v>
      </c>
      <c r="E1445" t="s">
        <v>4</v>
      </c>
      <c r="F1445" t="s">
        <v>42</v>
      </c>
      <c r="G1445" t="s">
        <v>8</v>
      </c>
    </row>
    <row r="1446" spans="1:7" x14ac:dyDescent="0.3">
      <c r="A1446" t="s">
        <v>31</v>
      </c>
      <c r="B1446" s="1">
        <v>45808</v>
      </c>
      <c r="C1446">
        <v>240002</v>
      </c>
      <c r="D1446">
        <v>-2894.0059999999999</v>
      </c>
      <c r="E1446" t="s">
        <v>4</v>
      </c>
      <c r="F1446" t="s">
        <v>43</v>
      </c>
      <c r="G1446" t="s">
        <v>8</v>
      </c>
    </row>
    <row r="1447" spans="1:7" x14ac:dyDescent="0.3">
      <c r="A1447" t="s">
        <v>31</v>
      </c>
      <c r="B1447" s="1">
        <v>45808</v>
      </c>
      <c r="C1447">
        <v>240003</v>
      </c>
      <c r="D1447">
        <v>-630.70500000000004</v>
      </c>
      <c r="E1447" t="s">
        <v>4</v>
      </c>
      <c r="F1447" t="s">
        <v>43</v>
      </c>
      <c r="G1447" t="s">
        <v>8</v>
      </c>
    </row>
    <row r="1448" spans="1:7" x14ac:dyDescent="0.3">
      <c r="A1448" t="s">
        <v>31</v>
      </c>
      <c r="B1448" s="1">
        <v>45808</v>
      </c>
      <c r="C1448">
        <v>240009</v>
      </c>
      <c r="D1448">
        <v>-2506.8530000000001</v>
      </c>
      <c r="E1448" t="s">
        <v>4</v>
      </c>
      <c r="F1448" t="s">
        <v>43</v>
      </c>
      <c r="G1448" t="s">
        <v>8</v>
      </c>
    </row>
    <row r="1449" spans="1:7" x14ac:dyDescent="0.3">
      <c r="A1449" t="s">
        <v>31</v>
      </c>
      <c r="B1449" s="1">
        <v>45808</v>
      </c>
      <c r="C1449">
        <v>242003</v>
      </c>
      <c r="D1449">
        <v>-186403.462</v>
      </c>
      <c r="E1449" t="s">
        <v>4</v>
      </c>
      <c r="F1449" t="s">
        <v>43</v>
      </c>
      <c r="G1449" t="s">
        <v>8</v>
      </c>
    </row>
    <row r="1450" spans="1:7" x14ac:dyDescent="0.3">
      <c r="A1450" t="s">
        <v>31</v>
      </c>
      <c r="B1450" s="1">
        <v>45808</v>
      </c>
      <c r="C1450">
        <v>242011</v>
      </c>
      <c r="D1450">
        <v>-32046.039000000001</v>
      </c>
      <c r="E1450" t="s">
        <v>4</v>
      </c>
      <c r="F1450" t="s">
        <v>43</v>
      </c>
      <c r="G1450" t="s">
        <v>8</v>
      </c>
    </row>
    <row r="1451" spans="1:7" x14ac:dyDescent="0.3">
      <c r="A1451" t="s">
        <v>31</v>
      </c>
      <c r="B1451" s="1">
        <v>45808</v>
      </c>
      <c r="C1451">
        <v>242014</v>
      </c>
      <c r="D1451">
        <v>-11.304</v>
      </c>
      <c r="E1451" t="s">
        <v>4</v>
      </c>
      <c r="F1451" t="s">
        <v>43</v>
      </c>
      <c r="G1451" t="s">
        <v>8</v>
      </c>
    </row>
    <row r="1452" spans="1:7" x14ac:dyDescent="0.3">
      <c r="A1452" t="s">
        <v>31</v>
      </c>
      <c r="B1452" s="1">
        <v>45808</v>
      </c>
      <c r="C1452">
        <v>242018</v>
      </c>
      <c r="D1452">
        <v>-5017.7190000000001</v>
      </c>
      <c r="E1452" t="s">
        <v>4</v>
      </c>
      <c r="F1452" t="s">
        <v>43</v>
      </c>
      <c r="G1452" t="s">
        <v>8</v>
      </c>
    </row>
    <row r="1453" spans="1:7" x14ac:dyDescent="0.3">
      <c r="A1453" t="s">
        <v>31</v>
      </c>
      <c r="B1453" s="1">
        <v>45808</v>
      </c>
      <c r="C1453">
        <v>242027</v>
      </c>
      <c r="D1453">
        <v>-73370.745999999999</v>
      </c>
      <c r="E1453" t="s">
        <v>4</v>
      </c>
      <c r="F1453" t="s">
        <v>43</v>
      </c>
      <c r="G1453" t="s">
        <v>8</v>
      </c>
    </row>
    <row r="1454" spans="1:7" x14ac:dyDescent="0.3">
      <c r="A1454" t="s">
        <v>31</v>
      </c>
      <c r="B1454" s="1">
        <v>45808</v>
      </c>
      <c r="C1454">
        <v>242030</v>
      </c>
      <c r="D1454">
        <v>-13066.53</v>
      </c>
      <c r="E1454" t="s">
        <v>4</v>
      </c>
      <c r="F1454" t="s">
        <v>43</v>
      </c>
      <c r="G1454" t="s">
        <v>8</v>
      </c>
    </row>
    <row r="1455" spans="1:7" x14ac:dyDescent="0.3">
      <c r="A1455" t="s">
        <v>31</v>
      </c>
      <c r="B1455" s="1">
        <v>45808</v>
      </c>
      <c r="C1455">
        <v>242038</v>
      </c>
      <c r="D1455">
        <v>-692.59400000000005</v>
      </c>
      <c r="E1455" t="s">
        <v>4</v>
      </c>
      <c r="F1455" t="s">
        <v>43</v>
      </c>
      <c r="G1455" t="s">
        <v>8</v>
      </c>
    </row>
    <row r="1456" spans="1:7" x14ac:dyDescent="0.3">
      <c r="A1456" t="s">
        <v>31</v>
      </c>
      <c r="B1456" s="1">
        <v>45808</v>
      </c>
      <c r="C1456">
        <v>242041</v>
      </c>
      <c r="D1456">
        <v>-2813.2930000000001</v>
      </c>
      <c r="E1456" t="s">
        <v>4</v>
      </c>
      <c r="F1456" t="s">
        <v>43</v>
      </c>
      <c r="G1456" t="s">
        <v>8</v>
      </c>
    </row>
    <row r="1457" spans="1:7" x14ac:dyDescent="0.3">
      <c r="A1457" t="s">
        <v>31</v>
      </c>
      <c r="B1457" s="1">
        <v>45808</v>
      </c>
      <c r="C1457">
        <v>243002</v>
      </c>
      <c r="D1457">
        <v>-4038.779</v>
      </c>
      <c r="E1457" t="s">
        <v>4</v>
      </c>
      <c r="F1457" t="s">
        <v>43</v>
      </c>
      <c r="G1457" t="s">
        <v>8</v>
      </c>
    </row>
    <row r="1458" spans="1:7" x14ac:dyDescent="0.3">
      <c r="A1458" t="s">
        <v>31</v>
      </c>
      <c r="B1458" s="1">
        <v>45808</v>
      </c>
      <c r="C1458">
        <v>243010</v>
      </c>
      <c r="D1458">
        <v>-442.99400000000003</v>
      </c>
      <c r="E1458" t="s">
        <v>4</v>
      </c>
      <c r="F1458" t="s">
        <v>43</v>
      </c>
      <c r="G1458" t="s">
        <v>8</v>
      </c>
    </row>
    <row r="1459" spans="1:7" x14ac:dyDescent="0.3">
      <c r="A1459" t="s">
        <v>31</v>
      </c>
      <c r="B1459" s="1">
        <v>45808</v>
      </c>
      <c r="C1459">
        <v>245004</v>
      </c>
      <c r="D1459">
        <v>-111.143</v>
      </c>
      <c r="E1459" t="s">
        <v>4</v>
      </c>
      <c r="F1459" t="s">
        <v>43</v>
      </c>
      <c r="G1459" t="s">
        <v>8</v>
      </c>
    </row>
    <row r="1460" spans="1:7" x14ac:dyDescent="0.3">
      <c r="A1460" t="s">
        <v>31</v>
      </c>
      <c r="B1460" s="1">
        <v>45808</v>
      </c>
      <c r="C1460">
        <v>245010</v>
      </c>
      <c r="D1460">
        <v>-10274.727999999999</v>
      </c>
      <c r="E1460" t="s">
        <v>4</v>
      </c>
      <c r="F1460" t="s">
        <v>44</v>
      </c>
      <c r="G1460" t="s">
        <v>8</v>
      </c>
    </row>
    <row r="1461" spans="1:7" x14ac:dyDescent="0.3">
      <c r="A1461" t="s">
        <v>31</v>
      </c>
      <c r="B1461" s="1">
        <v>45808</v>
      </c>
      <c r="C1461">
        <v>245018</v>
      </c>
      <c r="D1461">
        <v>-6695.5940000000001</v>
      </c>
      <c r="E1461" t="s">
        <v>4</v>
      </c>
      <c r="F1461" t="s">
        <v>43</v>
      </c>
      <c r="G1461" t="s">
        <v>8</v>
      </c>
    </row>
    <row r="1462" spans="1:7" x14ac:dyDescent="0.3">
      <c r="A1462" t="s">
        <v>31</v>
      </c>
      <c r="B1462" s="1">
        <v>45808</v>
      </c>
      <c r="C1462">
        <v>245049</v>
      </c>
      <c r="D1462">
        <v>-0.36099999999999999</v>
      </c>
      <c r="E1462" t="s">
        <v>4</v>
      </c>
      <c r="F1462" t="s">
        <v>43</v>
      </c>
      <c r="G1462" t="s">
        <v>8</v>
      </c>
    </row>
    <row r="1463" spans="1:7" x14ac:dyDescent="0.3">
      <c r="A1463" t="s">
        <v>31</v>
      </c>
      <c r="B1463" s="1">
        <v>45808</v>
      </c>
      <c r="C1463">
        <v>245055</v>
      </c>
      <c r="D1463">
        <v>2793.7620000000002</v>
      </c>
      <c r="E1463" t="s">
        <v>4</v>
      </c>
      <c r="F1463" t="s">
        <v>43</v>
      </c>
      <c r="G1463" t="s">
        <v>8</v>
      </c>
    </row>
    <row r="1464" spans="1:7" x14ac:dyDescent="0.3">
      <c r="A1464" t="s">
        <v>31</v>
      </c>
      <c r="B1464" s="1">
        <v>45808</v>
      </c>
      <c r="C1464">
        <v>245056</v>
      </c>
      <c r="D1464">
        <v>-81.686999999999998</v>
      </c>
      <c r="E1464" t="s">
        <v>4</v>
      </c>
      <c r="F1464" t="s">
        <v>49</v>
      </c>
      <c r="G1464" t="s">
        <v>8</v>
      </c>
    </row>
    <row r="1465" spans="1:7" x14ac:dyDescent="0.3">
      <c r="A1465" t="s">
        <v>31</v>
      </c>
      <c r="B1465" s="1">
        <v>45808</v>
      </c>
      <c r="C1465">
        <v>245062</v>
      </c>
      <c r="D1465">
        <v>-5639.9129999999996</v>
      </c>
      <c r="E1465" t="s">
        <v>4</v>
      </c>
      <c r="F1465" t="s">
        <v>43</v>
      </c>
      <c r="G1465" t="s">
        <v>8</v>
      </c>
    </row>
    <row r="1466" spans="1:7" x14ac:dyDescent="0.3">
      <c r="A1466" t="s">
        <v>31</v>
      </c>
      <c r="B1466" s="1">
        <v>45808</v>
      </c>
      <c r="C1466">
        <v>250003</v>
      </c>
      <c r="D1466">
        <v>-941.98400000000004</v>
      </c>
      <c r="E1466" t="s">
        <v>4</v>
      </c>
      <c r="F1466" t="s">
        <v>45</v>
      </c>
      <c r="G1466" t="s">
        <v>8</v>
      </c>
    </row>
    <row r="1467" spans="1:7" x14ac:dyDescent="0.3">
      <c r="A1467" t="s">
        <v>31</v>
      </c>
      <c r="B1467" s="1">
        <v>45808</v>
      </c>
      <c r="C1467">
        <v>250007</v>
      </c>
      <c r="D1467">
        <v>7761.9880000000003</v>
      </c>
      <c r="E1467" t="s">
        <v>4</v>
      </c>
      <c r="F1467" t="s">
        <v>43</v>
      </c>
      <c r="G1467" t="s">
        <v>8</v>
      </c>
    </row>
    <row r="1468" spans="1:7" x14ac:dyDescent="0.3">
      <c r="A1468" t="s">
        <v>31</v>
      </c>
      <c r="B1468" s="1">
        <v>45808</v>
      </c>
      <c r="C1468">
        <v>251002</v>
      </c>
      <c r="D1468">
        <v>-60143.567999999999</v>
      </c>
      <c r="E1468" t="s">
        <v>4</v>
      </c>
      <c r="F1468" t="s">
        <v>45</v>
      </c>
      <c r="G1468" t="s">
        <v>8</v>
      </c>
    </row>
    <row r="1469" spans="1:7" x14ac:dyDescent="0.3">
      <c r="A1469" t="s">
        <v>31</v>
      </c>
      <c r="B1469" s="1">
        <v>45808</v>
      </c>
      <c r="C1469">
        <v>251003</v>
      </c>
      <c r="D1469">
        <v>-2884.7289999999998</v>
      </c>
      <c r="E1469" t="s">
        <v>4</v>
      </c>
      <c r="F1469" t="s">
        <v>45</v>
      </c>
      <c r="G1469" t="s">
        <v>8</v>
      </c>
    </row>
    <row r="1470" spans="1:7" x14ac:dyDescent="0.3">
      <c r="A1470" t="s">
        <v>31</v>
      </c>
      <c r="B1470" s="1">
        <v>45808</v>
      </c>
      <c r="C1470">
        <v>257005</v>
      </c>
      <c r="D1470">
        <v>5431.1369999999997</v>
      </c>
      <c r="E1470" t="s">
        <v>4</v>
      </c>
      <c r="F1470" t="s">
        <v>45</v>
      </c>
      <c r="G1470" t="s">
        <v>8</v>
      </c>
    </row>
    <row r="1471" spans="1:7" x14ac:dyDescent="0.3">
      <c r="A1471" t="s">
        <v>31</v>
      </c>
      <c r="B1471" s="1">
        <v>45808</v>
      </c>
      <c r="C1471">
        <v>257027</v>
      </c>
      <c r="D1471">
        <v>-33582.101999999999</v>
      </c>
      <c r="E1471" t="s">
        <v>4</v>
      </c>
      <c r="F1471" t="s">
        <v>45</v>
      </c>
      <c r="G1471" t="s">
        <v>8</v>
      </c>
    </row>
    <row r="1472" spans="1:7" x14ac:dyDescent="0.3">
      <c r="A1472" t="s">
        <v>31</v>
      </c>
      <c r="B1472" s="1">
        <v>45808</v>
      </c>
      <c r="C1472">
        <v>260004</v>
      </c>
      <c r="D1472">
        <v>-65602.203999999998</v>
      </c>
      <c r="E1472" t="s">
        <v>4</v>
      </c>
      <c r="F1472" t="s">
        <v>45</v>
      </c>
      <c r="G1472" t="s">
        <v>8</v>
      </c>
    </row>
    <row r="1473" spans="1:7" x14ac:dyDescent="0.3">
      <c r="A1473" t="s">
        <v>31</v>
      </c>
      <c r="B1473" s="1">
        <v>45808</v>
      </c>
      <c r="C1473">
        <v>300008</v>
      </c>
      <c r="D1473">
        <v>5655.3459999999995</v>
      </c>
      <c r="E1473" t="s">
        <v>4</v>
      </c>
      <c r="F1473" t="s">
        <v>65</v>
      </c>
      <c r="G1473" t="s">
        <v>8</v>
      </c>
    </row>
    <row r="1474" spans="1:7" x14ac:dyDescent="0.3">
      <c r="A1474" t="s">
        <v>31</v>
      </c>
      <c r="B1474" s="1">
        <v>45808</v>
      </c>
      <c r="C1474">
        <v>300011</v>
      </c>
      <c r="D1474">
        <v>35.576999999999998</v>
      </c>
      <c r="E1474" t="s">
        <v>4</v>
      </c>
      <c r="F1474" t="s">
        <v>65</v>
      </c>
      <c r="G1474" t="s">
        <v>8</v>
      </c>
    </row>
    <row r="1475" spans="1:7" x14ac:dyDescent="0.3">
      <c r="A1475" t="s">
        <v>31</v>
      </c>
      <c r="B1475" s="1">
        <v>45808</v>
      </c>
      <c r="C1475">
        <v>300012</v>
      </c>
      <c r="D1475">
        <v>1705.3389999999999</v>
      </c>
      <c r="E1475" t="s">
        <v>4</v>
      </c>
      <c r="F1475" t="s">
        <v>65</v>
      </c>
      <c r="G1475" t="s">
        <v>8</v>
      </c>
    </row>
    <row r="1476" spans="1:7" x14ac:dyDescent="0.3">
      <c r="A1476" t="s">
        <v>31</v>
      </c>
      <c r="B1476" s="1">
        <v>45808</v>
      </c>
      <c r="C1476">
        <v>300508</v>
      </c>
      <c r="D1476">
        <v>-3309.72</v>
      </c>
      <c r="E1476" t="s">
        <v>4</v>
      </c>
      <c r="F1476" t="s">
        <v>65</v>
      </c>
      <c r="G1476" t="s">
        <v>8</v>
      </c>
    </row>
    <row r="1477" spans="1:7" x14ac:dyDescent="0.3">
      <c r="A1477" t="s">
        <v>31</v>
      </c>
      <c r="B1477" s="1">
        <v>45808</v>
      </c>
      <c r="C1477">
        <v>300511</v>
      </c>
      <c r="D1477">
        <v>-35.576999999999998</v>
      </c>
      <c r="E1477" t="s">
        <v>4</v>
      </c>
      <c r="F1477" t="s">
        <v>65</v>
      </c>
      <c r="G1477" t="s">
        <v>8</v>
      </c>
    </row>
    <row r="1478" spans="1:7" x14ac:dyDescent="0.3">
      <c r="A1478" t="s">
        <v>31</v>
      </c>
      <c r="B1478" s="1">
        <v>45808</v>
      </c>
      <c r="C1478">
        <v>300512</v>
      </c>
      <c r="D1478">
        <v>-1705.3389999999999</v>
      </c>
      <c r="E1478" t="s">
        <v>4</v>
      </c>
      <c r="F1478" t="s">
        <v>65</v>
      </c>
      <c r="G1478" t="s">
        <v>8</v>
      </c>
    </row>
    <row r="1479" spans="1:7" x14ac:dyDescent="0.3">
      <c r="A1479" t="s">
        <v>31</v>
      </c>
      <c r="B1479" s="1">
        <v>45808</v>
      </c>
      <c r="C1479">
        <v>320002</v>
      </c>
      <c r="D1479">
        <v>26048.466</v>
      </c>
      <c r="E1479" t="s">
        <v>4</v>
      </c>
      <c r="F1479" t="s">
        <v>46</v>
      </c>
      <c r="G1479" t="s">
        <v>8</v>
      </c>
    </row>
    <row r="1480" spans="1:7" x14ac:dyDescent="0.3">
      <c r="A1480" t="s">
        <v>31</v>
      </c>
      <c r="B1480" s="1">
        <v>45808</v>
      </c>
      <c r="C1480">
        <v>320003</v>
      </c>
      <c r="D1480">
        <v>176315.19699999999</v>
      </c>
      <c r="E1480" t="s">
        <v>4</v>
      </c>
      <c r="F1480" t="s">
        <v>46</v>
      </c>
      <c r="G1480" t="s">
        <v>8</v>
      </c>
    </row>
    <row r="1481" spans="1:7" x14ac:dyDescent="0.3">
      <c r="A1481" t="s">
        <v>31</v>
      </c>
      <c r="B1481" s="1">
        <v>45808</v>
      </c>
      <c r="C1481">
        <v>320004</v>
      </c>
      <c r="D1481">
        <v>-36.555</v>
      </c>
      <c r="E1481" t="s">
        <v>4</v>
      </c>
      <c r="F1481" t="s">
        <v>46</v>
      </c>
      <c r="G1481" t="s">
        <v>8</v>
      </c>
    </row>
    <row r="1482" spans="1:7" x14ac:dyDescent="0.3">
      <c r="A1482" t="s">
        <v>31</v>
      </c>
      <c r="B1482" s="1">
        <v>45808</v>
      </c>
      <c r="C1482">
        <v>320023</v>
      </c>
      <c r="D1482">
        <v>-1393.08</v>
      </c>
      <c r="E1482" t="s">
        <v>4</v>
      </c>
      <c r="F1482" t="s">
        <v>46</v>
      </c>
      <c r="G1482" t="s">
        <v>8</v>
      </c>
    </row>
    <row r="1483" spans="1:7" x14ac:dyDescent="0.3">
      <c r="A1483" t="s">
        <v>31</v>
      </c>
      <c r="B1483" s="1">
        <v>45808</v>
      </c>
      <c r="C1483">
        <v>321002</v>
      </c>
      <c r="D1483">
        <v>19512.904999999999</v>
      </c>
      <c r="E1483" t="s">
        <v>4</v>
      </c>
      <c r="F1483" t="s">
        <v>46</v>
      </c>
      <c r="G1483" t="s">
        <v>8</v>
      </c>
    </row>
    <row r="1484" spans="1:7" x14ac:dyDescent="0.3">
      <c r="A1484" t="s">
        <v>31</v>
      </c>
      <c r="B1484" s="1">
        <v>45808</v>
      </c>
      <c r="C1484">
        <v>321012</v>
      </c>
      <c r="D1484">
        <v>370.45400000000001</v>
      </c>
      <c r="E1484" t="s">
        <v>4</v>
      </c>
      <c r="F1484" t="s">
        <v>46</v>
      </c>
      <c r="G1484" t="s">
        <v>8</v>
      </c>
    </row>
    <row r="1485" spans="1:7" x14ac:dyDescent="0.3">
      <c r="A1485" t="s">
        <v>31</v>
      </c>
      <c r="B1485" s="1">
        <v>45808</v>
      </c>
      <c r="C1485">
        <v>321025</v>
      </c>
      <c r="D1485">
        <v>59514.464</v>
      </c>
      <c r="E1485" t="s">
        <v>4</v>
      </c>
      <c r="F1485" t="s">
        <v>46</v>
      </c>
      <c r="G1485" t="s">
        <v>8</v>
      </c>
    </row>
    <row r="1486" spans="1:7" x14ac:dyDescent="0.3">
      <c r="A1486" t="s">
        <v>31</v>
      </c>
      <c r="B1486" s="1">
        <v>45808</v>
      </c>
      <c r="C1486">
        <v>321028</v>
      </c>
      <c r="D1486">
        <v>1064.1389999999999</v>
      </c>
      <c r="E1486" t="s">
        <v>4</v>
      </c>
      <c r="F1486" t="s">
        <v>46</v>
      </c>
      <c r="G1486" t="s">
        <v>8</v>
      </c>
    </row>
    <row r="1487" spans="1:7" x14ac:dyDescent="0.3">
      <c r="A1487" t="s">
        <v>31</v>
      </c>
      <c r="B1487" s="1">
        <v>45808</v>
      </c>
      <c r="C1487">
        <v>321029</v>
      </c>
      <c r="D1487">
        <v>24260.096000000001</v>
      </c>
      <c r="E1487" t="s">
        <v>4</v>
      </c>
      <c r="F1487" t="s">
        <v>46</v>
      </c>
      <c r="G1487" t="s">
        <v>8</v>
      </c>
    </row>
    <row r="1488" spans="1:7" x14ac:dyDescent="0.3">
      <c r="A1488" t="s">
        <v>31</v>
      </c>
      <c r="B1488" s="1">
        <v>45808</v>
      </c>
      <c r="C1488">
        <v>321030</v>
      </c>
      <c r="D1488">
        <v>71.123999999999995</v>
      </c>
      <c r="E1488" t="s">
        <v>4</v>
      </c>
      <c r="F1488" t="s">
        <v>46</v>
      </c>
      <c r="G1488" t="s">
        <v>8</v>
      </c>
    </row>
    <row r="1489" spans="1:7" x14ac:dyDescent="0.3">
      <c r="A1489" t="s">
        <v>31</v>
      </c>
      <c r="B1489" s="1">
        <v>45808</v>
      </c>
      <c r="C1489">
        <v>321042</v>
      </c>
      <c r="D1489">
        <v>4.4859999999999998</v>
      </c>
      <c r="E1489" t="s">
        <v>4</v>
      </c>
      <c r="F1489" t="s">
        <v>46</v>
      </c>
      <c r="G1489" t="s">
        <v>8</v>
      </c>
    </row>
    <row r="1490" spans="1:7" x14ac:dyDescent="0.3">
      <c r="A1490" t="s">
        <v>31</v>
      </c>
      <c r="B1490" s="1">
        <v>45808</v>
      </c>
      <c r="C1490">
        <v>330116</v>
      </c>
      <c r="D1490">
        <v>-209.93</v>
      </c>
      <c r="E1490" t="s">
        <v>4</v>
      </c>
      <c r="F1490" t="s">
        <v>43</v>
      </c>
      <c r="G1490" t="s">
        <v>8</v>
      </c>
    </row>
    <row r="1491" spans="1:7" x14ac:dyDescent="0.3">
      <c r="A1491" t="s">
        <v>31</v>
      </c>
      <c r="B1491" s="1">
        <v>45808</v>
      </c>
      <c r="C1491">
        <v>330121</v>
      </c>
      <c r="D1491">
        <v>-637.428</v>
      </c>
      <c r="E1491" t="s">
        <v>4</v>
      </c>
      <c r="F1491" t="s">
        <v>43</v>
      </c>
      <c r="G1491" t="s">
        <v>8</v>
      </c>
    </row>
    <row r="1492" spans="1:7" x14ac:dyDescent="0.3">
      <c r="A1492" t="s">
        <v>31</v>
      </c>
      <c r="B1492" s="1">
        <v>45808</v>
      </c>
      <c r="C1492">
        <v>330124</v>
      </c>
      <c r="D1492">
        <v>2080.2060000000001</v>
      </c>
      <c r="E1492" t="s">
        <v>4</v>
      </c>
      <c r="F1492" t="s">
        <v>43</v>
      </c>
      <c r="G1492" t="s">
        <v>8</v>
      </c>
    </row>
    <row r="1493" spans="1:7" x14ac:dyDescent="0.3">
      <c r="A1493" t="s">
        <v>31</v>
      </c>
      <c r="B1493" s="1">
        <v>45808</v>
      </c>
      <c r="C1493">
        <v>330126</v>
      </c>
      <c r="D1493">
        <v>-1549.2850000000001</v>
      </c>
      <c r="E1493" t="s">
        <v>4</v>
      </c>
      <c r="F1493" t="s">
        <v>43</v>
      </c>
      <c r="G1493" t="s">
        <v>8</v>
      </c>
    </row>
    <row r="1494" spans="1:7" x14ac:dyDescent="0.3">
      <c r="A1494" t="s">
        <v>31</v>
      </c>
      <c r="B1494" s="1">
        <v>45808</v>
      </c>
      <c r="C1494">
        <v>340210</v>
      </c>
      <c r="D1494">
        <v>163403.24</v>
      </c>
      <c r="E1494" t="s">
        <v>4</v>
      </c>
      <c r="F1494" t="s">
        <v>47</v>
      </c>
      <c r="G1494" t="s">
        <v>8</v>
      </c>
    </row>
    <row r="1495" spans="1:7" x14ac:dyDescent="0.3">
      <c r="A1495" t="s">
        <v>31</v>
      </c>
      <c r="B1495" s="1">
        <v>45808</v>
      </c>
      <c r="C1495">
        <v>340211</v>
      </c>
      <c r="D1495">
        <v>626484.99600000004</v>
      </c>
      <c r="E1495" t="s">
        <v>4</v>
      </c>
      <c r="F1495" t="s">
        <v>47</v>
      </c>
      <c r="G1495" t="s">
        <v>8</v>
      </c>
    </row>
    <row r="1496" spans="1:7" x14ac:dyDescent="0.3">
      <c r="A1496" t="s">
        <v>31</v>
      </c>
      <c r="B1496" s="1">
        <v>45808</v>
      </c>
      <c r="C1496">
        <v>340212</v>
      </c>
      <c r="D1496">
        <v>-789888.23499999999</v>
      </c>
      <c r="E1496" t="s">
        <v>4</v>
      </c>
      <c r="F1496" t="s">
        <v>47</v>
      </c>
      <c r="G1496" t="s">
        <v>8</v>
      </c>
    </row>
    <row r="1497" spans="1:7" x14ac:dyDescent="0.3">
      <c r="A1497" t="s">
        <v>31</v>
      </c>
      <c r="B1497" s="1">
        <v>45808</v>
      </c>
      <c r="C1497">
        <v>340213</v>
      </c>
      <c r="D1497">
        <v>-54.45</v>
      </c>
      <c r="E1497" t="s">
        <v>4</v>
      </c>
      <c r="F1497" t="s">
        <v>47</v>
      </c>
      <c r="G1497" t="s">
        <v>8</v>
      </c>
    </row>
    <row r="1498" spans="1:7" x14ac:dyDescent="0.3">
      <c r="A1498" t="s">
        <v>31</v>
      </c>
      <c r="B1498" s="1">
        <v>45808</v>
      </c>
      <c r="C1498">
        <v>340214</v>
      </c>
      <c r="D1498">
        <v>56.698</v>
      </c>
      <c r="E1498" t="s">
        <v>4</v>
      </c>
      <c r="F1498" t="s">
        <v>47</v>
      </c>
      <c r="G1498" t="s">
        <v>8</v>
      </c>
    </row>
    <row r="1499" spans="1:7" x14ac:dyDescent="0.3">
      <c r="A1499" t="s">
        <v>31</v>
      </c>
      <c r="B1499" s="1">
        <v>45808</v>
      </c>
      <c r="C1499">
        <v>340215</v>
      </c>
      <c r="D1499">
        <v>-2.2480000000000002</v>
      </c>
      <c r="E1499" t="s">
        <v>4</v>
      </c>
      <c r="F1499" t="s">
        <v>47</v>
      </c>
      <c r="G1499" t="s">
        <v>8</v>
      </c>
    </row>
    <row r="1500" spans="1:7" x14ac:dyDescent="0.3">
      <c r="A1500" t="s">
        <v>31</v>
      </c>
      <c r="B1500" s="1">
        <v>45808</v>
      </c>
      <c r="C1500">
        <v>340216</v>
      </c>
      <c r="D1500">
        <v>17293.597000000002</v>
      </c>
      <c r="E1500" t="s">
        <v>4</v>
      </c>
      <c r="F1500" t="s">
        <v>47</v>
      </c>
      <c r="G1500" t="s">
        <v>8</v>
      </c>
    </row>
    <row r="1501" spans="1:7" x14ac:dyDescent="0.3">
      <c r="A1501" t="s">
        <v>31</v>
      </c>
      <c r="B1501" s="1">
        <v>45808</v>
      </c>
      <c r="C1501">
        <v>340218</v>
      </c>
      <c r="D1501">
        <v>-16896.133000000002</v>
      </c>
      <c r="E1501" t="s">
        <v>4</v>
      </c>
      <c r="F1501" t="s">
        <v>47</v>
      </c>
      <c r="G1501" t="s">
        <v>8</v>
      </c>
    </row>
    <row r="1502" spans="1:7" x14ac:dyDescent="0.3">
      <c r="A1502" t="s">
        <v>31</v>
      </c>
      <c r="B1502" s="1">
        <v>45808</v>
      </c>
      <c r="C1502">
        <v>340219</v>
      </c>
      <c r="D1502">
        <v>36440.417999999998</v>
      </c>
      <c r="E1502" t="s">
        <v>4</v>
      </c>
      <c r="F1502" t="s">
        <v>47</v>
      </c>
      <c r="G1502" t="s">
        <v>8</v>
      </c>
    </row>
    <row r="1503" spans="1:7" x14ac:dyDescent="0.3">
      <c r="A1503" t="s">
        <v>31</v>
      </c>
      <c r="B1503" s="1">
        <v>45808</v>
      </c>
      <c r="C1503">
        <v>340220</v>
      </c>
      <c r="D1503">
        <v>1472147.915</v>
      </c>
      <c r="E1503" t="s">
        <v>4</v>
      </c>
      <c r="F1503" t="s">
        <v>47</v>
      </c>
      <c r="G1503" t="s">
        <v>8</v>
      </c>
    </row>
    <row r="1504" spans="1:7" x14ac:dyDescent="0.3">
      <c r="A1504" t="s">
        <v>31</v>
      </c>
      <c r="B1504" s="1">
        <v>45808</v>
      </c>
      <c r="C1504">
        <v>340221</v>
      </c>
      <c r="D1504">
        <v>-1456722.6029999999</v>
      </c>
      <c r="E1504" t="s">
        <v>4</v>
      </c>
      <c r="F1504" t="s">
        <v>47</v>
      </c>
      <c r="G1504" t="s">
        <v>8</v>
      </c>
    </row>
    <row r="1505" spans="1:7" x14ac:dyDescent="0.3">
      <c r="A1505" t="s">
        <v>31</v>
      </c>
      <c r="B1505" s="1">
        <v>45808</v>
      </c>
      <c r="C1505">
        <v>340222</v>
      </c>
      <c r="D1505">
        <v>601.31100000000004</v>
      </c>
      <c r="E1505" t="s">
        <v>4</v>
      </c>
      <c r="F1505" t="s">
        <v>47</v>
      </c>
      <c r="G1505" t="s">
        <v>8</v>
      </c>
    </row>
    <row r="1506" spans="1:7" x14ac:dyDescent="0.3">
      <c r="A1506" t="s">
        <v>31</v>
      </c>
      <c r="B1506" s="1">
        <v>45808</v>
      </c>
      <c r="C1506">
        <v>340223</v>
      </c>
      <c r="D1506">
        <v>1127744.899</v>
      </c>
      <c r="E1506" t="s">
        <v>4</v>
      </c>
      <c r="F1506" t="s">
        <v>47</v>
      </c>
      <c r="G1506" t="s">
        <v>8</v>
      </c>
    </row>
    <row r="1507" spans="1:7" x14ac:dyDescent="0.3">
      <c r="A1507" t="s">
        <v>31</v>
      </c>
      <c r="B1507" s="1">
        <v>45808</v>
      </c>
      <c r="C1507">
        <v>340224</v>
      </c>
      <c r="D1507">
        <v>-1127744.902</v>
      </c>
      <c r="E1507" t="s">
        <v>4</v>
      </c>
      <c r="F1507" t="s">
        <v>47</v>
      </c>
      <c r="G1507" t="s">
        <v>8</v>
      </c>
    </row>
    <row r="1508" spans="1:7" x14ac:dyDescent="0.3">
      <c r="A1508" t="s">
        <v>31</v>
      </c>
      <c r="B1508" s="1">
        <v>45808</v>
      </c>
      <c r="C1508">
        <v>340225</v>
      </c>
      <c r="D1508">
        <v>645.36</v>
      </c>
      <c r="E1508" t="s">
        <v>4</v>
      </c>
      <c r="F1508" t="s">
        <v>47</v>
      </c>
      <c r="G1508" t="s">
        <v>8</v>
      </c>
    </row>
    <row r="1509" spans="1:7" x14ac:dyDescent="0.3">
      <c r="A1509" t="s">
        <v>31</v>
      </c>
      <c r="B1509" s="1">
        <v>45808</v>
      </c>
      <c r="C1509">
        <v>340226</v>
      </c>
      <c r="D1509">
        <v>462409.92499999999</v>
      </c>
      <c r="E1509" t="s">
        <v>4</v>
      </c>
      <c r="F1509" t="s">
        <v>47</v>
      </c>
      <c r="G1509" t="s">
        <v>8</v>
      </c>
    </row>
    <row r="1510" spans="1:7" x14ac:dyDescent="0.3">
      <c r="A1510" t="s">
        <v>31</v>
      </c>
      <c r="B1510" s="1">
        <v>45808</v>
      </c>
      <c r="C1510">
        <v>340227</v>
      </c>
      <c r="D1510">
        <v>-462409.92099999997</v>
      </c>
      <c r="E1510" t="s">
        <v>4</v>
      </c>
      <c r="F1510" t="s">
        <v>47</v>
      </c>
      <c r="G1510" t="s">
        <v>8</v>
      </c>
    </row>
    <row r="1511" spans="1:7" x14ac:dyDescent="0.3">
      <c r="A1511" t="s">
        <v>31</v>
      </c>
      <c r="B1511" s="1">
        <v>45808</v>
      </c>
      <c r="C1511">
        <v>340228</v>
      </c>
      <c r="D1511">
        <v>103427.798</v>
      </c>
      <c r="E1511" t="s">
        <v>4</v>
      </c>
      <c r="F1511" t="s">
        <v>47</v>
      </c>
      <c r="G1511" t="s">
        <v>8</v>
      </c>
    </row>
    <row r="1512" spans="1:7" x14ac:dyDescent="0.3">
      <c r="A1512" t="s">
        <v>31</v>
      </c>
      <c r="B1512" s="1">
        <v>45808</v>
      </c>
      <c r="C1512">
        <v>340229</v>
      </c>
      <c r="D1512">
        <v>724819.76599999995</v>
      </c>
      <c r="E1512" t="s">
        <v>4</v>
      </c>
      <c r="F1512" t="s">
        <v>47</v>
      </c>
      <c r="G1512" t="s">
        <v>8</v>
      </c>
    </row>
    <row r="1513" spans="1:7" x14ac:dyDescent="0.3">
      <c r="A1513" t="s">
        <v>31</v>
      </c>
      <c r="B1513" s="1">
        <v>45808</v>
      </c>
      <c r="C1513">
        <v>340230</v>
      </c>
      <c r="D1513">
        <v>-692551.41799999995</v>
      </c>
      <c r="E1513" t="s">
        <v>4</v>
      </c>
      <c r="F1513" t="s">
        <v>47</v>
      </c>
      <c r="G1513" t="s">
        <v>8</v>
      </c>
    </row>
    <row r="1514" spans="1:7" x14ac:dyDescent="0.3">
      <c r="A1514" t="s">
        <v>31</v>
      </c>
      <c r="B1514" s="1">
        <v>45808</v>
      </c>
      <c r="C1514">
        <v>340231</v>
      </c>
      <c r="D1514">
        <v>94230.163</v>
      </c>
      <c r="E1514" t="s">
        <v>4</v>
      </c>
      <c r="F1514" t="s">
        <v>47</v>
      </c>
      <c r="G1514" t="s">
        <v>8</v>
      </c>
    </row>
    <row r="1515" spans="1:7" x14ac:dyDescent="0.3">
      <c r="A1515" t="s">
        <v>31</v>
      </c>
      <c r="B1515" s="1">
        <v>45808</v>
      </c>
      <c r="C1515">
        <v>340232</v>
      </c>
      <c r="D1515">
        <v>426671.96600000001</v>
      </c>
      <c r="E1515" t="s">
        <v>4</v>
      </c>
      <c r="F1515" t="s">
        <v>47</v>
      </c>
      <c r="G1515" t="s">
        <v>8</v>
      </c>
    </row>
    <row r="1516" spans="1:7" x14ac:dyDescent="0.3">
      <c r="A1516" t="s">
        <v>31</v>
      </c>
      <c r="B1516" s="1">
        <v>45808</v>
      </c>
      <c r="C1516">
        <v>340233</v>
      </c>
      <c r="D1516">
        <v>-434248.908</v>
      </c>
      <c r="E1516" t="s">
        <v>4</v>
      </c>
      <c r="F1516" t="s">
        <v>47</v>
      </c>
      <c r="G1516" t="s">
        <v>8</v>
      </c>
    </row>
    <row r="1517" spans="1:7" x14ac:dyDescent="0.3">
      <c r="A1517" t="s">
        <v>31</v>
      </c>
      <c r="B1517" s="1">
        <v>45808</v>
      </c>
      <c r="C1517">
        <v>350002</v>
      </c>
      <c r="D1517">
        <v>718.36400000000003</v>
      </c>
      <c r="E1517" t="s">
        <v>4</v>
      </c>
      <c r="F1517" t="s">
        <v>49</v>
      </c>
      <c r="G1517" t="s">
        <v>8</v>
      </c>
    </row>
    <row r="1518" spans="1:7" x14ac:dyDescent="0.3">
      <c r="A1518" t="s">
        <v>31</v>
      </c>
      <c r="B1518" s="1">
        <v>45808</v>
      </c>
      <c r="C1518">
        <v>350003</v>
      </c>
      <c r="D1518">
        <v>431.34100000000001</v>
      </c>
      <c r="E1518" t="s">
        <v>4</v>
      </c>
      <c r="F1518" t="s">
        <v>49</v>
      </c>
      <c r="G1518" t="s">
        <v>8</v>
      </c>
    </row>
    <row r="1519" spans="1:7" x14ac:dyDescent="0.3">
      <c r="A1519" t="s">
        <v>31</v>
      </c>
      <c r="B1519" s="1">
        <v>45808</v>
      </c>
      <c r="C1519">
        <v>350031</v>
      </c>
      <c r="D1519">
        <v>2506.8530000000001</v>
      </c>
      <c r="E1519" t="s">
        <v>4</v>
      </c>
      <c r="F1519" t="s">
        <v>43</v>
      </c>
      <c r="G1519" t="s">
        <v>8</v>
      </c>
    </row>
    <row r="1520" spans="1:7" x14ac:dyDescent="0.3">
      <c r="A1520" t="s">
        <v>31</v>
      </c>
      <c r="B1520" s="1">
        <v>45808</v>
      </c>
      <c r="C1520">
        <v>350034</v>
      </c>
      <c r="D1520">
        <v>81.686999999999998</v>
      </c>
      <c r="E1520" t="s">
        <v>4</v>
      </c>
      <c r="F1520" t="s">
        <v>49</v>
      </c>
      <c r="G1520" t="s">
        <v>8</v>
      </c>
    </row>
    <row r="1521" spans="1:7" x14ac:dyDescent="0.3">
      <c r="A1521" t="s">
        <v>31</v>
      </c>
      <c r="B1521" s="1">
        <v>45808</v>
      </c>
      <c r="C1521">
        <v>354012</v>
      </c>
      <c r="D1521">
        <v>17673.916000000001</v>
      </c>
      <c r="E1521" t="s">
        <v>4</v>
      </c>
      <c r="F1521" t="s">
        <v>46</v>
      </c>
      <c r="G1521" t="s">
        <v>8</v>
      </c>
    </row>
    <row r="1522" spans="1:7" x14ac:dyDescent="0.3">
      <c r="A1522" t="s">
        <v>31</v>
      </c>
      <c r="B1522" s="1">
        <v>45808</v>
      </c>
      <c r="C1522">
        <v>354014</v>
      </c>
      <c r="D1522">
        <v>37122.14</v>
      </c>
      <c r="E1522" t="s">
        <v>4</v>
      </c>
      <c r="F1522" t="s">
        <v>46</v>
      </c>
      <c r="G1522" t="s">
        <v>8</v>
      </c>
    </row>
    <row r="1523" spans="1:7" x14ac:dyDescent="0.3">
      <c r="A1523" t="s">
        <v>31</v>
      </c>
      <c r="B1523" s="1">
        <v>45808</v>
      </c>
      <c r="C1523">
        <v>354015</v>
      </c>
      <c r="D1523">
        <v>19579.633999999998</v>
      </c>
      <c r="E1523" t="s">
        <v>4</v>
      </c>
      <c r="F1523" t="s">
        <v>46</v>
      </c>
      <c r="G1523" t="s">
        <v>8</v>
      </c>
    </row>
    <row r="1524" spans="1:7" x14ac:dyDescent="0.3">
      <c r="A1524" t="s">
        <v>31</v>
      </c>
      <c r="B1524" s="1">
        <v>45808</v>
      </c>
      <c r="C1524">
        <v>355002</v>
      </c>
      <c r="D1524">
        <v>752.971</v>
      </c>
      <c r="E1524" t="s">
        <v>4</v>
      </c>
      <c r="F1524" t="s">
        <v>49</v>
      </c>
      <c r="G1524" t="s">
        <v>8</v>
      </c>
    </row>
    <row r="1525" spans="1:7" x14ac:dyDescent="0.3">
      <c r="A1525" t="s">
        <v>31</v>
      </c>
      <c r="B1525" s="1">
        <v>45808</v>
      </c>
      <c r="C1525">
        <v>355013</v>
      </c>
      <c r="D1525">
        <v>1809.567</v>
      </c>
      <c r="E1525" t="s">
        <v>4</v>
      </c>
      <c r="F1525" t="s">
        <v>49</v>
      </c>
      <c r="G1525" t="s">
        <v>8</v>
      </c>
    </row>
    <row r="1526" spans="1:7" x14ac:dyDescent="0.3">
      <c r="A1526" t="s">
        <v>31</v>
      </c>
      <c r="B1526" s="1">
        <v>45808</v>
      </c>
      <c r="C1526">
        <v>355014</v>
      </c>
      <c r="D1526">
        <v>416.036</v>
      </c>
      <c r="E1526" t="s">
        <v>4</v>
      </c>
      <c r="F1526" t="s">
        <v>49</v>
      </c>
      <c r="G1526" t="s">
        <v>8</v>
      </c>
    </row>
    <row r="1527" spans="1:7" x14ac:dyDescent="0.3">
      <c r="A1527" t="s">
        <v>31</v>
      </c>
      <c r="B1527" s="1">
        <v>45808</v>
      </c>
      <c r="C1527">
        <v>360022</v>
      </c>
      <c r="D1527">
        <v>4058.9479999999999</v>
      </c>
      <c r="E1527" t="s">
        <v>4</v>
      </c>
      <c r="F1527" t="s">
        <v>58</v>
      </c>
      <c r="G1527" t="s">
        <v>8</v>
      </c>
    </row>
    <row r="1528" spans="1:7" x14ac:dyDescent="0.3">
      <c r="A1528" t="s">
        <v>31</v>
      </c>
      <c r="B1528" s="1">
        <v>45808</v>
      </c>
      <c r="C1528">
        <v>372004</v>
      </c>
      <c r="D1528">
        <v>5731.5739999999996</v>
      </c>
      <c r="E1528" t="s">
        <v>4</v>
      </c>
      <c r="F1528" t="s">
        <v>45</v>
      </c>
      <c r="G1528" t="s">
        <v>8</v>
      </c>
    </row>
    <row r="1529" spans="1:7" x14ac:dyDescent="0.3">
      <c r="A1529" t="s">
        <v>31</v>
      </c>
      <c r="B1529" s="1">
        <v>45808</v>
      </c>
      <c r="C1529">
        <v>400002</v>
      </c>
      <c r="D1529">
        <v>-5477.4759999999997</v>
      </c>
      <c r="E1529" t="s">
        <v>6</v>
      </c>
      <c r="F1529" t="s">
        <v>50</v>
      </c>
      <c r="G1529" t="s">
        <v>8</v>
      </c>
    </row>
    <row r="1530" spans="1:7" x14ac:dyDescent="0.3">
      <c r="A1530" t="s">
        <v>31</v>
      </c>
      <c r="B1530" s="1">
        <v>45808</v>
      </c>
      <c r="C1530">
        <v>400004</v>
      </c>
      <c r="D1530">
        <v>-30243.866000000002</v>
      </c>
      <c r="E1530" t="s">
        <v>6</v>
      </c>
      <c r="F1530" t="s">
        <v>50</v>
      </c>
      <c r="G1530" t="s">
        <v>8</v>
      </c>
    </row>
    <row r="1531" spans="1:7" x14ac:dyDescent="0.3">
      <c r="A1531" t="s">
        <v>31</v>
      </c>
      <c r="B1531" s="1">
        <v>45808</v>
      </c>
      <c r="C1531">
        <v>410002</v>
      </c>
      <c r="D1531">
        <v>-7847.2070000000003</v>
      </c>
      <c r="E1531" t="s">
        <v>6</v>
      </c>
      <c r="F1531" t="s">
        <v>51</v>
      </c>
      <c r="G1531" t="s">
        <v>8</v>
      </c>
    </row>
    <row r="1532" spans="1:7" x14ac:dyDescent="0.3">
      <c r="A1532" t="s">
        <v>31</v>
      </c>
      <c r="B1532" s="1">
        <v>45808</v>
      </c>
      <c r="C1532">
        <v>410006</v>
      </c>
      <c r="D1532">
        <v>-367.42099999999999</v>
      </c>
      <c r="E1532" t="s">
        <v>6</v>
      </c>
      <c r="F1532" t="s">
        <v>51</v>
      </c>
      <c r="G1532" t="s">
        <v>8</v>
      </c>
    </row>
    <row r="1533" spans="1:7" x14ac:dyDescent="0.3">
      <c r="A1533" t="s">
        <v>31</v>
      </c>
      <c r="B1533" s="1">
        <v>45808</v>
      </c>
      <c r="C1533">
        <v>410036</v>
      </c>
      <c r="D1533">
        <v>-239.583</v>
      </c>
      <c r="E1533" t="s">
        <v>6</v>
      </c>
      <c r="F1533" t="s">
        <v>51</v>
      </c>
      <c r="G1533" t="s">
        <v>8</v>
      </c>
    </row>
    <row r="1534" spans="1:7" x14ac:dyDescent="0.3">
      <c r="A1534" t="s">
        <v>31</v>
      </c>
      <c r="B1534" s="1">
        <v>45808</v>
      </c>
      <c r="C1534">
        <v>410037</v>
      </c>
      <c r="D1534">
        <v>-8505.5139999999992</v>
      </c>
      <c r="E1534" t="s">
        <v>6</v>
      </c>
      <c r="F1534" t="s">
        <v>51</v>
      </c>
      <c r="G1534" t="s">
        <v>8</v>
      </c>
    </row>
    <row r="1535" spans="1:7" x14ac:dyDescent="0.3">
      <c r="A1535" t="s">
        <v>31</v>
      </c>
      <c r="B1535" s="1">
        <v>45808</v>
      </c>
      <c r="C1535">
        <v>410040</v>
      </c>
      <c r="D1535">
        <v>198.31200000000001</v>
      </c>
      <c r="E1535" t="s">
        <v>6</v>
      </c>
      <c r="F1535" t="s">
        <v>51</v>
      </c>
      <c r="G1535" t="s">
        <v>8</v>
      </c>
    </row>
    <row r="1536" spans="1:7" x14ac:dyDescent="0.3">
      <c r="A1536" t="s">
        <v>31</v>
      </c>
      <c r="B1536" s="1">
        <v>45808</v>
      </c>
      <c r="C1536">
        <v>415002</v>
      </c>
      <c r="D1536">
        <v>-54259.781999999999</v>
      </c>
      <c r="E1536" t="s">
        <v>6</v>
      </c>
      <c r="F1536" t="s">
        <v>50</v>
      </c>
      <c r="G1536" t="s">
        <v>8</v>
      </c>
    </row>
    <row r="1537" spans="1:7" x14ac:dyDescent="0.3">
      <c r="A1537" t="s">
        <v>31</v>
      </c>
      <c r="B1537" s="1">
        <v>45808</v>
      </c>
      <c r="C1537">
        <v>415004</v>
      </c>
      <c r="D1537">
        <v>-138145.326</v>
      </c>
      <c r="E1537" t="s">
        <v>6</v>
      </c>
      <c r="F1537" t="s">
        <v>50</v>
      </c>
      <c r="G1537" t="s">
        <v>8</v>
      </c>
    </row>
    <row r="1538" spans="1:7" x14ac:dyDescent="0.3">
      <c r="A1538" t="s">
        <v>31</v>
      </c>
      <c r="B1538" s="1">
        <v>45808</v>
      </c>
      <c r="C1538">
        <v>418003</v>
      </c>
      <c r="D1538">
        <v>49.19</v>
      </c>
      <c r="E1538" t="s">
        <v>6</v>
      </c>
      <c r="F1538" t="s">
        <v>51</v>
      </c>
      <c r="G1538" t="s">
        <v>8</v>
      </c>
    </row>
    <row r="1539" spans="1:7" x14ac:dyDescent="0.3">
      <c r="A1539" t="s">
        <v>31</v>
      </c>
      <c r="B1539" s="1">
        <v>45808</v>
      </c>
      <c r="C1539">
        <v>421002</v>
      </c>
      <c r="D1539">
        <v>-7014.768</v>
      </c>
      <c r="E1539" t="s">
        <v>6</v>
      </c>
      <c r="F1539" t="s">
        <v>52</v>
      </c>
      <c r="G1539" t="s">
        <v>8</v>
      </c>
    </row>
    <row r="1540" spans="1:7" x14ac:dyDescent="0.3">
      <c r="A1540" t="s">
        <v>31</v>
      </c>
      <c r="B1540" s="1">
        <v>45808</v>
      </c>
      <c r="C1540">
        <v>421003</v>
      </c>
      <c r="D1540">
        <v>963.73400000000004</v>
      </c>
      <c r="E1540" t="s">
        <v>6</v>
      </c>
      <c r="F1540" t="s">
        <v>52</v>
      </c>
      <c r="G1540" t="s">
        <v>8</v>
      </c>
    </row>
    <row r="1541" spans="1:7" x14ac:dyDescent="0.3">
      <c r="A1541" t="s">
        <v>31</v>
      </c>
      <c r="B1541" s="1">
        <v>45808</v>
      </c>
      <c r="C1541">
        <v>421004</v>
      </c>
      <c r="D1541">
        <v>-2940.989</v>
      </c>
      <c r="E1541" t="s">
        <v>6</v>
      </c>
      <c r="F1541" t="s">
        <v>52</v>
      </c>
      <c r="G1541" t="s">
        <v>8</v>
      </c>
    </row>
    <row r="1542" spans="1:7" x14ac:dyDescent="0.3">
      <c r="A1542" t="s">
        <v>31</v>
      </c>
      <c r="B1542" s="1">
        <v>45808</v>
      </c>
      <c r="C1542">
        <v>421007</v>
      </c>
      <c r="D1542">
        <v>1182.5360000000001</v>
      </c>
      <c r="E1542" t="s">
        <v>6</v>
      </c>
      <c r="F1542" t="s">
        <v>52</v>
      </c>
      <c r="G1542" t="s">
        <v>8</v>
      </c>
    </row>
    <row r="1543" spans="1:7" x14ac:dyDescent="0.3">
      <c r="A1543" t="s">
        <v>31</v>
      </c>
      <c r="B1543" s="1">
        <v>45808</v>
      </c>
      <c r="C1543">
        <v>510002</v>
      </c>
      <c r="D1543">
        <v>55817.152000000002</v>
      </c>
      <c r="E1543" t="s">
        <v>6</v>
      </c>
      <c r="F1543" t="s">
        <v>53</v>
      </c>
      <c r="G1543" t="s">
        <v>8</v>
      </c>
    </row>
    <row r="1544" spans="1:7" x14ac:dyDescent="0.3">
      <c r="A1544" t="s">
        <v>31</v>
      </c>
      <c r="B1544" s="1">
        <v>45808</v>
      </c>
      <c r="C1544">
        <v>510005</v>
      </c>
      <c r="D1544">
        <v>-2771.2440000000001</v>
      </c>
      <c r="E1544" t="s">
        <v>6</v>
      </c>
      <c r="F1544" t="s">
        <v>53</v>
      </c>
      <c r="G1544" t="s">
        <v>8</v>
      </c>
    </row>
    <row r="1545" spans="1:7" x14ac:dyDescent="0.3">
      <c r="A1545" t="s">
        <v>31</v>
      </c>
      <c r="B1545" s="1">
        <v>45808</v>
      </c>
      <c r="C1545">
        <v>510007</v>
      </c>
      <c r="D1545">
        <v>5593.7259999999997</v>
      </c>
      <c r="E1545" t="s">
        <v>6</v>
      </c>
      <c r="F1545" t="s">
        <v>53</v>
      </c>
      <c r="G1545" t="s">
        <v>8</v>
      </c>
    </row>
    <row r="1546" spans="1:7" x14ac:dyDescent="0.3">
      <c r="A1546" t="s">
        <v>31</v>
      </c>
      <c r="B1546" s="1">
        <v>45808</v>
      </c>
      <c r="C1546">
        <v>510012</v>
      </c>
      <c r="D1546">
        <v>1631.635</v>
      </c>
      <c r="E1546" t="s">
        <v>6</v>
      </c>
      <c r="F1546" t="s">
        <v>53</v>
      </c>
      <c r="G1546" t="s">
        <v>8</v>
      </c>
    </row>
    <row r="1547" spans="1:7" x14ac:dyDescent="0.3">
      <c r="A1547" t="s">
        <v>31</v>
      </c>
      <c r="B1547" s="1">
        <v>45808</v>
      </c>
      <c r="C1547">
        <v>510018</v>
      </c>
      <c r="D1547">
        <v>389.24200000000002</v>
      </c>
      <c r="E1547" t="s">
        <v>6</v>
      </c>
      <c r="F1547" t="s">
        <v>53</v>
      </c>
      <c r="G1547" t="s">
        <v>8</v>
      </c>
    </row>
    <row r="1548" spans="1:7" x14ac:dyDescent="0.3">
      <c r="A1548" t="s">
        <v>31</v>
      </c>
      <c r="B1548" s="1">
        <v>45808</v>
      </c>
      <c r="C1548">
        <v>510059</v>
      </c>
      <c r="D1548">
        <v>1042.2260000000001</v>
      </c>
      <c r="E1548" t="s">
        <v>6</v>
      </c>
      <c r="F1548" t="s">
        <v>53</v>
      </c>
      <c r="G1548" t="s">
        <v>8</v>
      </c>
    </row>
    <row r="1549" spans="1:7" x14ac:dyDescent="0.3">
      <c r="A1549" t="s">
        <v>31</v>
      </c>
      <c r="B1549" s="1">
        <v>45808</v>
      </c>
      <c r="C1549">
        <v>510060</v>
      </c>
      <c r="D1549">
        <v>-345.77300000000002</v>
      </c>
      <c r="E1549" t="s">
        <v>6</v>
      </c>
      <c r="F1549" t="s">
        <v>53</v>
      </c>
      <c r="G1549" t="s">
        <v>8</v>
      </c>
    </row>
    <row r="1550" spans="1:7" x14ac:dyDescent="0.3">
      <c r="A1550" t="s">
        <v>31</v>
      </c>
      <c r="B1550" s="1">
        <v>45808</v>
      </c>
      <c r="C1550">
        <v>510062</v>
      </c>
      <c r="D1550">
        <v>55.046999999999997</v>
      </c>
      <c r="E1550" t="s">
        <v>6</v>
      </c>
      <c r="F1550" t="s">
        <v>53</v>
      </c>
      <c r="G1550" t="s">
        <v>8</v>
      </c>
    </row>
    <row r="1551" spans="1:7" x14ac:dyDescent="0.3">
      <c r="A1551" t="s">
        <v>31</v>
      </c>
      <c r="B1551" s="1">
        <v>45808</v>
      </c>
      <c r="C1551">
        <v>510064</v>
      </c>
      <c r="D1551">
        <v>561.25900000000001</v>
      </c>
      <c r="E1551" t="s">
        <v>6</v>
      </c>
      <c r="F1551" t="s">
        <v>53</v>
      </c>
      <c r="G1551" t="s">
        <v>8</v>
      </c>
    </row>
    <row r="1552" spans="1:7" x14ac:dyDescent="0.3">
      <c r="A1552" t="s">
        <v>31</v>
      </c>
      <c r="B1552" s="1">
        <v>45808</v>
      </c>
      <c r="C1552">
        <v>510065</v>
      </c>
      <c r="D1552">
        <v>801.57399999999996</v>
      </c>
      <c r="E1552" t="s">
        <v>6</v>
      </c>
      <c r="F1552" t="s">
        <v>53</v>
      </c>
      <c r="G1552" t="s">
        <v>8</v>
      </c>
    </row>
    <row r="1553" spans="1:7" x14ac:dyDescent="0.3">
      <c r="A1553" t="s">
        <v>31</v>
      </c>
      <c r="B1553" s="1">
        <v>45808</v>
      </c>
      <c r="C1553">
        <v>520011</v>
      </c>
      <c r="D1553">
        <v>11947.954</v>
      </c>
      <c r="E1553" t="s">
        <v>6</v>
      </c>
      <c r="F1553" t="s">
        <v>53</v>
      </c>
      <c r="G1553" t="s">
        <v>8</v>
      </c>
    </row>
    <row r="1554" spans="1:7" x14ac:dyDescent="0.3">
      <c r="A1554" t="s">
        <v>31</v>
      </c>
      <c r="B1554" s="1">
        <v>45808</v>
      </c>
      <c r="C1554">
        <v>520020</v>
      </c>
      <c r="D1554">
        <v>-1720.2429999999999</v>
      </c>
      <c r="E1554" t="s">
        <v>6</v>
      </c>
      <c r="F1554" t="s">
        <v>53</v>
      </c>
      <c r="G1554" t="s">
        <v>8</v>
      </c>
    </row>
    <row r="1555" spans="1:7" x14ac:dyDescent="0.3">
      <c r="A1555" t="s">
        <v>31</v>
      </c>
      <c r="B1555" s="1">
        <v>45808</v>
      </c>
      <c r="C1555">
        <v>520021</v>
      </c>
      <c r="D1555">
        <v>19.803999999999998</v>
      </c>
      <c r="E1555" t="s">
        <v>6</v>
      </c>
      <c r="F1555" t="s">
        <v>60</v>
      </c>
      <c r="G1555" t="s">
        <v>8</v>
      </c>
    </row>
    <row r="1556" spans="1:7" x14ac:dyDescent="0.3">
      <c r="A1556" t="s">
        <v>31</v>
      </c>
      <c r="B1556" s="1">
        <v>45808</v>
      </c>
      <c r="C1556">
        <v>541004</v>
      </c>
      <c r="D1556">
        <v>810.77</v>
      </c>
      <c r="E1556" t="s">
        <v>6</v>
      </c>
      <c r="F1556" t="s">
        <v>61</v>
      </c>
      <c r="G1556" t="s">
        <v>8</v>
      </c>
    </row>
    <row r="1557" spans="1:7" x14ac:dyDescent="0.3">
      <c r="A1557" t="s">
        <v>31</v>
      </c>
      <c r="B1557" s="1">
        <v>45808</v>
      </c>
      <c r="C1557">
        <v>541009</v>
      </c>
      <c r="D1557">
        <v>297.29500000000002</v>
      </c>
      <c r="E1557" t="s">
        <v>6</v>
      </c>
      <c r="F1557" t="s">
        <v>61</v>
      </c>
      <c r="G1557" t="s">
        <v>8</v>
      </c>
    </row>
    <row r="1558" spans="1:7" x14ac:dyDescent="0.3">
      <c r="A1558" t="s">
        <v>31</v>
      </c>
      <c r="B1558" s="1">
        <v>45808</v>
      </c>
      <c r="C1558">
        <v>541010</v>
      </c>
      <c r="D1558">
        <v>1725.1880000000001</v>
      </c>
      <c r="E1558" t="s">
        <v>6</v>
      </c>
      <c r="F1558" t="s">
        <v>61</v>
      </c>
      <c r="G1558" t="s">
        <v>8</v>
      </c>
    </row>
    <row r="1559" spans="1:7" x14ac:dyDescent="0.3">
      <c r="A1559" t="s">
        <v>31</v>
      </c>
      <c r="B1559" s="1">
        <v>45808</v>
      </c>
      <c r="C1559">
        <v>541013</v>
      </c>
      <c r="D1559">
        <v>54.395000000000003</v>
      </c>
      <c r="E1559" t="s">
        <v>6</v>
      </c>
      <c r="F1559" t="s">
        <v>61</v>
      </c>
      <c r="G1559" t="s">
        <v>8</v>
      </c>
    </row>
    <row r="1560" spans="1:7" x14ac:dyDescent="0.3">
      <c r="A1560" t="s">
        <v>31</v>
      </c>
      <c r="B1560" s="1">
        <v>45808</v>
      </c>
      <c r="C1560">
        <v>544006</v>
      </c>
      <c r="D1560">
        <v>255.453</v>
      </c>
      <c r="E1560" t="s">
        <v>6</v>
      </c>
      <c r="F1560" t="s">
        <v>61</v>
      </c>
      <c r="G1560" t="s">
        <v>8</v>
      </c>
    </row>
    <row r="1561" spans="1:7" x14ac:dyDescent="0.3">
      <c r="A1561" t="s">
        <v>31</v>
      </c>
      <c r="B1561" s="1">
        <v>45808</v>
      </c>
      <c r="C1561">
        <v>546002</v>
      </c>
      <c r="D1561">
        <v>148182.49600000001</v>
      </c>
      <c r="E1561" t="s">
        <v>6</v>
      </c>
      <c r="F1561" t="s">
        <v>51</v>
      </c>
      <c r="G1561" t="s">
        <v>8</v>
      </c>
    </row>
    <row r="1562" spans="1:7" x14ac:dyDescent="0.3">
      <c r="A1562" t="s">
        <v>31</v>
      </c>
      <c r="B1562" s="1">
        <v>45808</v>
      </c>
      <c r="C1562">
        <v>546008</v>
      </c>
      <c r="D1562">
        <v>11.212</v>
      </c>
      <c r="E1562" t="s">
        <v>6</v>
      </c>
      <c r="F1562" t="s">
        <v>51</v>
      </c>
      <c r="G1562" t="s">
        <v>8</v>
      </c>
    </row>
    <row r="1563" spans="1:7" x14ac:dyDescent="0.3">
      <c r="A1563" t="s">
        <v>31</v>
      </c>
      <c r="B1563" s="1">
        <v>45808</v>
      </c>
      <c r="C1563">
        <v>546013</v>
      </c>
      <c r="D1563">
        <v>8695.4500000000007</v>
      </c>
      <c r="E1563" t="s">
        <v>6</v>
      </c>
      <c r="F1563" t="s">
        <v>51</v>
      </c>
      <c r="G1563" t="s">
        <v>8</v>
      </c>
    </row>
    <row r="1564" spans="1:7" x14ac:dyDescent="0.3">
      <c r="A1564" t="s">
        <v>31</v>
      </c>
      <c r="B1564" s="1">
        <v>45808</v>
      </c>
      <c r="C1564">
        <v>546019</v>
      </c>
      <c r="D1564">
        <v>1546.0530000000001</v>
      </c>
      <c r="E1564" t="s">
        <v>6</v>
      </c>
      <c r="F1564" t="s">
        <v>51</v>
      </c>
      <c r="G1564" t="s">
        <v>8</v>
      </c>
    </row>
    <row r="1565" spans="1:7" x14ac:dyDescent="0.3">
      <c r="A1565" t="s">
        <v>31</v>
      </c>
      <c r="B1565" s="1">
        <v>45808</v>
      </c>
      <c r="C1565">
        <v>546035</v>
      </c>
      <c r="D1565">
        <v>12919.428</v>
      </c>
      <c r="E1565" t="s">
        <v>6</v>
      </c>
      <c r="F1565" t="s">
        <v>51</v>
      </c>
      <c r="G1565" t="s">
        <v>8</v>
      </c>
    </row>
    <row r="1566" spans="1:7" x14ac:dyDescent="0.3">
      <c r="A1566" t="s">
        <v>31</v>
      </c>
      <c r="B1566" s="1">
        <v>45808</v>
      </c>
      <c r="C1566">
        <v>546040</v>
      </c>
      <c r="D1566">
        <v>3079.7139999999999</v>
      </c>
      <c r="E1566" t="s">
        <v>6</v>
      </c>
      <c r="F1566" t="s">
        <v>51</v>
      </c>
      <c r="G1566" t="s">
        <v>8</v>
      </c>
    </row>
    <row r="1567" spans="1:7" x14ac:dyDescent="0.3">
      <c r="A1567" t="s">
        <v>31</v>
      </c>
      <c r="B1567" s="1">
        <v>45808</v>
      </c>
      <c r="C1567">
        <v>546047</v>
      </c>
      <c r="D1567">
        <v>268.85199999999998</v>
      </c>
      <c r="E1567" t="s">
        <v>6</v>
      </c>
      <c r="F1567" t="s">
        <v>51</v>
      </c>
      <c r="G1567" t="s">
        <v>8</v>
      </c>
    </row>
    <row r="1568" spans="1:7" x14ac:dyDescent="0.3">
      <c r="A1568" t="s">
        <v>31</v>
      </c>
      <c r="B1568" s="1">
        <v>45808</v>
      </c>
      <c r="C1568">
        <v>547002</v>
      </c>
      <c r="D1568">
        <v>-486.78399999999999</v>
      </c>
      <c r="E1568" t="s">
        <v>6</v>
      </c>
      <c r="F1568" t="s">
        <v>54</v>
      </c>
      <c r="G1568" t="s">
        <v>8</v>
      </c>
    </row>
    <row r="1569" spans="1:7" x14ac:dyDescent="0.3">
      <c r="A1569" t="s">
        <v>31</v>
      </c>
      <c r="B1569" s="1">
        <v>45808</v>
      </c>
      <c r="C1569">
        <v>547006</v>
      </c>
      <c r="D1569">
        <v>276.57499999999999</v>
      </c>
      <c r="E1569" t="s">
        <v>6</v>
      </c>
      <c r="F1569" t="s">
        <v>54</v>
      </c>
      <c r="G1569" t="s">
        <v>8</v>
      </c>
    </row>
    <row r="1570" spans="1:7" x14ac:dyDescent="0.3">
      <c r="A1570" t="s">
        <v>31</v>
      </c>
      <c r="B1570" s="1">
        <v>45808</v>
      </c>
      <c r="C1570">
        <v>547011</v>
      </c>
      <c r="D1570">
        <v>32.161999999999999</v>
      </c>
      <c r="E1570" t="s">
        <v>6</v>
      </c>
      <c r="F1570" t="s">
        <v>54</v>
      </c>
      <c r="G1570" t="s">
        <v>8</v>
      </c>
    </row>
    <row r="1571" spans="1:7" x14ac:dyDescent="0.3">
      <c r="A1571" t="s">
        <v>31</v>
      </c>
      <c r="B1571" s="1">
        <v>45808</v>
      </c>
      <c r="C1571">
        <v>551003</v>
      </c>
      <c r="D1571">
        <v>5257.9279999999999</v>
      </c>
      <c r="E1571" t="s">
        <v>6</v>
      </c>
      <c r="F1571" t="s">
        <v>63</v>
      </c>
      <c r="G1571" t="s">
        <v>8</v>
      </c>
    </row>
    <row r="1572" spans="1:7" x14ac:dyDescent="0.3">
      <c r="A1572" t="s">
        <v>31</v>
      </c>
      <c r="B1572" s="1">
        <v>45808</v>
      </c>
      <c r="C1572">
        <v>551008</v>
      </c>
      <c r="D1572">
        <v>28.844999999999999</v>
      </c>
      <c r="E1572" t="s">
        <v>6</v>
      </c>
      <c r="F1572" t="s">
        <v>63</v>
      </c>
      <c r="G1572" t="s">
        <v>8</v>
      </c>
    </row>
    <row r="1573" spans="1:7" x14ac:dyDescent="0.3">
      <c r="A1573" t="s">
        <v>31</v>
      </c>
      <c r="B1573" s="1">
        <v>45808</v>
      </c>
      <c r="C1573">
        <v>552502</v>
      </c>
      <c r="D1573">
        <v>1085.5650000000001</v>
      </c>
      <c r="E1573" t="s">
        <v>6</v>
      </c>
      <c r="F1573" t="s">
        <v>55</v>
      </c>
      <c r="G1573" t="s">
        <v>8</v>
      </c>
    </row>
    <row r="1574" spans="1:7" x14ac:dyDescent="0.3">
      <c r="A1574" t="s">
        <v>31</v>
      </c>
      <c r="B1574" s="1">
        <v>45808</v>
      </c>
      <c r="C1574">
        <v>556002</v>
      </c>
      <c r="D1574">
        <v>-1180.8510000000001</v>
      </c>
      <c r="E1574" t="s">
        <v>6</v>
      </c>
      <c r="F1574" t="s">
        <v>60</v>
      </c>
      <c r="G1574" t="s">
        <v>8</v>
      </c>
    </row>
    <row r="1575" spans="1:7" x14ac:dyDescent="0.3">
      <c r="A1575" t="s">
        <v>31</v>
      </c>
      <c r="B1575" s="1">
        <v>45808</v>
      </c>
      <c r="C1575">
        <v>556004</v>
      </c>
      <c r="D1575">
        <v>-13.45</v>
      </c>
      <c r="E1575" t="s">
        <v>6</v>
      </c>
      <c r="F1575" t="s">
        <v>55</v>
      </c>
      <c r="G1575" t="s">
        <v>8</v>
      </c>
    </row>
    <row r="1576" spans="1:7" x14ac:dyDescent="0.3">
      <c r="A1576" t="s">
        <v>31</v>
      </c>
      <c r="B1576" s="1">
        <v>45808</v>
      </c>
      <c r="C1576">
        <v>557002</v>
      </c>
      <c r="D1576">
        <v>1013.128</v>
      </c>
      <c r="E1576" t="s">
        <v>6</v>
      </c>
      <c r="F1576" t="s">
        <v>56</v>
      </c>
      <c r="G1576" t="s">
        <v>8</v>
      </c>
    </row>
    <row r="1577" spans="1:7" x14ac:dyDescent="0.3">
      <c r="A1577" t="s">
        <v>31</v>
      </c>
      <c r="B1577" s="1">
        <v>45808</v>
      </c>
      <c r="C1577">
        <v>558006</v>
      </c>
      <c r="D1577">
        <v>287.39299999999997</v>
      </c>
      <c r="E1577" t="s">
        <v>6</v>
      </c>
      <c r="F1577" t="s">
        <v>57</v>
      </c>
      <c r="G1577" t="s">
        <v>8</v>
      </c>
    </row>
    <row r="1578" spans="1:7" x14ac:dyDescent="0.3">
      <c r="A1578" t="s">
        <v>31</v>
      </c>
      <c r="B1578" s="1">
        <v>45808</v>
      </c>
      <c r="C1578">
        <v>558012</v>
      </c>
      <c r="D1578">
        <v>54.966000000000001</v>
      </c>
      <c r="E1578" t="s">
        <v>6</v>
      </c>
      <c r="F1578" t="s">
        <v>60</v>
      </c>
      <c r="G1578" t="s">
        <v>8</v>
      </c>
    </row>
    <row r="1579" spans="1:7" x14ac:dyDescent="0.3">
      <c r="A1579" t="s">
        <v>31</v>
      </c>
      <c r="B1579" s="1">
        <v>45808</v>
      </c>
      <c r="C1579">
        <v>559002</v>
      </c>
      <c r="D1579">
        <v>-9.2010000000000005</v>
      </c>
      <c r="E1579" t="s">
        <v>6</v>
      </c>
      <c r="F1579" t="s">
        <v>60</v>
      </c>
      <c r="G1579" t="s">
        <v>8</v>
      </c>
    </row>
    <row r="1580" spans="1:7" x14ac:dyDescent="0.3">
      <c r="A1580" t="s">
        <v>31</v>
      </c>
      <c r="B1580" s="1">
        <v>45808</v>
      </c>
      <c r="C1580">
        <v>560008</v>
      </c>
      <c r="D1580">
        <v>-1653.4369999999999</v>
      </c>
      <c r="E1580" t="s">
        <v>6</v>
      </c>
      <c r="F1580" t="s">
        <v>56</v>
      </c>
      <c r="G1580" t="s">
        <v>8</v>
      </c>
    </row>
    <row r="1581" spans="1:7" x14ac:dyDescent="0.3">
      <c r="A1581" t="s">
        <v>31</v>
      </c>
      <c r="B1581" s="1">
        <v>45808</v>
      </c>
      <c r="C1581">
        <v>564020</v>
      </c>
      <c r="D1581">
        <v>112.092</v>
      </c>
      <c r="E1581" t="s">
        <v>6</v>
      </c>
      <c r="F1581" t="s">
        <v>57</v>
      </c>
      <c r="G1581" t="s">
        <v>8</v>
      </c>
    </row>
    <row r="1582" spans="1:7" x14ac:dyDescent="0.3">
      <c r="A1582" t="s">
        <v>31</v>
      </c>
      <c r="B1582" s="1">
        <v>45808</v>
      </c>
      <c r="C1582">
        <v>570002</v>
      </c>
      <c r="D1582">
        <v>133.00399999999999</v>
      </c>
      <c r="E1582" t="s">
        <v>6</v>
      </c>
      <c r="F1582" t="s">
        <v>66</v>
      </c>
      <c r="G1582" t="s">
        <v>8</v>
      </c>
    </row>
    <row r="1583" spans="1:7" x14ac:dyDescent="0.3">
      <c r="A1583" t="s">
        <v>32</v>
      </c>
      <c r="B1583" s="1">
        <v>45808</v>
      </c>
      <c r="C1583">
        <v>210002</v>
      </c>
      <c r="D1583">
        <v>-6700591.2690000003</v>
      </c>
      <c r="E1583" t="s">
        <v>4</v>
      </c>
      <c r="F1583" t="s">
        <v>42</v>
      </c>
      <c r="G1583" t="s">
        <v>7</v>
      </c>
    </row>
    <row r="1584" spans="1:7" x14ac:dyDescent="0.3">
      <c r="A1584" t="s">
        <v>32</v>
      </c>
      <c r="B1584" s="1">
        <v>45808</v>
      </c>
      <c r="C1584">
        <v>220003</v>
      </c>
      <c r="D1584">
        <v>4085229.7239999999</v>
      </c>
      <c r="E1584" t="s">
        <v>4</v>
      </c>
      <c r="F1584" t="s">
        <v>42</v>
      </c>
      <c r="G1584" t="s">
        <v>7</v>
      </c>
    </row>
    <row r="1585" spans="1:7" x14ac:dyDescent="0.3">
      <c r="A1585" t="s">
        <v>32</v>
      </c>
      <c r="B1585" s="1">
        <v>45808</v>
      </c>
      <c r="C1585">
        <v>220004</v>
      </c>
      <c r="D1585">
        <v>-3822.39</v>
      </c>
      <c r="E1585" t="s">
        <v>4</v>
      </c>
      <c r="F1585" t="s">
        <v>42</v>
      </c>
      <c r="G1585" t="s">
        <v>7</v>
      </c>
    </row>
    <row r="1586" spans="1:7" x14ac:dyDescent="0.3">
      <c r="A1586" t="s">
        <v>32</v>
      </c>
      <c r="B1586" s="1">
        <v>45808</v>
      </c>
      <c r="C1586">
        <v>220006</v>
      </c>
      <c r="D1586">
        <v>-6880808.0719999997</v>
      </c>
      <c r="E1586" t="s">
        <v>4</v>
      </c>
      <c r="F1586" t="s">
        <v>42</v>
      </c>
      <c r="G1586" t="s">
        <v>7</v>
      </c>
    </row>
    <row r="1587" spans="1:7" x14ac:dyDescent="0.3">
      <c r="A1587" t="s">
        <v>32</v>
      </c>
      <c r="B1587" s="1">
        <v>45808</v>
      </c>
      <c r="C1587">
        <v>234003</v>
      </c>
      <c r="D1587">
        <v>-213084.34099999999</v>
      </c>
      <c r="E1587" t="s">
        <v>4</v>
      </c>
      <c r="F1587" t="s">
        <v>43</v>
      </c>
      <c r="G1587" t="s">
        <v>7</v>
      </c>
    </row>
    <row r="1588" spans="1:7" x14ac:dyDescent="0.3">
      <c r="A1588" t="s">
        <v>32</v>
      </c>
      <c r="B1588" s="1">
        <v>45808</v>
      </c>
      <c r="C1588">
        <v>240002</v>
      </c>
      <c r="D1588">
        <v>-137888.28899999999</v>
      </c>
      <c r="E1588" t="s">
        <v>4</v>
      </c>
      <c r="F1588" t="s">
        <v>43</v>
      </c>
      <c r="G1588" t="s">
        <v>7</v>
      </c>
    </row>
    <row r="1589" spans="1:7" x14ac:dyDescent="0.3">
      <c r="A1589" t="s">
        <v>32</v>
      </c>
      <c r="B1589" s="1">
        <v>45808</v>
      </c>
      <c r="C1589">
        <v>240003</v>
      </c>
      <c r="D1589">
        <v>-2.8490000000000002</v>
      </c>
      <c r="E1589" t="s">
        <v>4</v>
      </c>
      <c r="F1589" t="s">
        <v>43</v>
      </c>
      <c r="G1589" t="s">
        <v>7</v>
      </c>
    </row>
    <row r="1590" spans="1:7" x14ac:dyDescent="0.3">
      <c r="A1590" t="s">
        <v>32</v>
      </c>
      <c r="B1590" s="1">
        <v>45808</v>
      </c>
      <c r="C1590">
        <v>240009</v>
      </c>
      <c r="D1590">
        <v>-38537.536</v>
      </c>
      <c r="E1590" t="s">
        <v>4</v>
      </c>
      <c r="F1590" t="s">
        <v>43</v>
      </c>
      <c r="G1590" t="s">
        <v>7</v>
      </c>
    </row>
    <row r="1591" spans="1:7" x14ac:dyDescent="0.3">
      <c r="A1591" t="s">
        <v>32</v>
      </c>
      <c r="B1591" s="1">
        <v>45808</v>
      </c>
      <c r="C1591">
        <v>242003</v>
      </c>
      <c r="D1591">
        <v>-863879.66899999999</v>
      </c>
      <c r="E1591" t="s">
        <v>4</v>
      </c>
      <c r="F1591" t="s">
        <v>43</v>
      </c>
      <c r="G1591" t="s">
        <v>7</v>
      </c>
    </row>
    <row r="1592" spans="1:7" x14ac:dyDescent="0.3">
      <c r="A1592" t="s">
        <v>32</v>
      </c>
      <c r="B1592" s="1">
        <v>45808</v>
      </c>
      <c r="C1592">
        <v>242007</v>
      </c>
      <c r="D1592">
        <v>1947.2719999999999</v>
      </c>
      <c r="E1592" t="s">
        <v>4</v>
      </c>
      <c r="F1592" t="s">
        <v>43</v>
      </c>
      <c r="G1592" t="s">
        <v>7</v>
      </c>
    </row>
    <row r="1593" spans="1:7" x14ac:dyDescent="0.3">
      <c r="A1593" t="s">
        <v>32</v>
      </c>
      <c r="B1593" s="1">
        <v>45808</v>
      </c>
      <c r="C1593">
        <v>242011</v>
      </c>
      <c r="D1593">
        <v>195.81100000000001</v>
      </c>
      <c r="E1593" t="s">
        <v>4</v>
      </c>
      <c r="F1593" t="s">
        <v>43</v>
      </c>
      <c r="G1593" t="s">
        <v>7</v>
      </c>
    </row>
    <row r="1594" spans="1:7" x14ac:dyDescent="0.3">
      <c r="A1594" t="s">
        <v>32</v>
      </c>
      <c r="B1594" s="1">
        <v>45808</v>
      </c>
      <c r="C1594">
        <v>242012</v>
      </c>
      <c r="D1594">
        <v>-1004573.778</v>
      </c>
      <c r="E1594" t="s">
        <v>4</v>
      </c>
      <c r="F1594" t="s">
        <v>43</v>
      </c>
      <c r="G1594" t="s">
        <v>7</v>
      </c>
    </row>
    <row r="1595" spans="1:7" x14ac:dyDescent="0.3">
      <c r="A1595" t="s">
        <v>32</v>
      </c>
      <c r="B1595" s="1">
        <v>45808</v>
      </c>
      <c r="C1595">
        <v>242013</v>
      </c>
      <c r="D1595">
        <v>-76618.770999999993</v>
      </c>
      <c r="E1595" t="s">
        <v>4</v>
      </c>
      <c r="F1595" t="s">
        <v>43</v>
      </c>
      <c r="G1595" t="s">
        <v>7</v>
      </c>
    </row>
    <row r="1596" spans="1:7" x14ac:dyDescent="0.3">
      <c r="A1596" t="s">
        <v>32</v>
      </c>
      <c r="B1596" s="1">
        <v>45808</v>
      </c>
      <c r="C1596">
        <v>242014</v>
      </c>
      <c r="D1596">
        <v>-215587.52799999999</v>
      </c>
      <c r="E1596" t="s">
        <v>4</v>
      </c>
      <c r="F1596" t="s">
        <v>43</v>
      </c>
      <c r="G1596" t="s">
        <v>7</v>
      </c>
    </row>
    <row r="1597" spans="1:7" x14ac:dyDescent="0.3">
      <c r="A1597" t="s">
        <v>32</v>
      </c>
      <c r="B1597" s="1">
        <v>45808</v>
      </c>
      <c r="C1597">
        <v>242017</v>
      </c>
      <c r="D1597">
        <v>-5083.7929999999997</v>
      </c>
      <c r="E1597" t="s">
        <v>4</v>
      </c>
      <c r="F1597" t="s">
        <v>43</v>
      </c>
      <c r="G1597" t="s">
        <v>7</v>
      </c>
    </row>
    <row r="1598" spans="1:7" x14ac:dyDescent="0.3">
      <c r="A1598" t="s">
        <v>32</v>
      </c>
      <c r="B1598" s="1">
        <v>45808</v>
      </c>
      <c r="C1598">
        <v>242019</v>
      </c>
      <c r="D1598">
        <v>-1138.0309999999999</v>
      </c>
      <c r="E1598" t="s">
        <v>4</v>
      </c>
      <c r="F1598" t="s">
        <v>43</v>
      </c>
      <c r="G1598" t="s">
        <v>7</v>
      </c>
    </row>
    <row r="1599" spans="1:7" x14ac:dyDescent="0.3">
      <c r="A1599" t="s">
        <v>32</v>
      </c>
      <c r="B1599" s="1">
        <v>45808</v>
      </c>
      <c r="C1599">
        <v>242022</v>
      </c>
      <c r="D1599">
        <v>-12406.966</v>
      </c>
      <c r="E1599" t="s">
        <v>4</v>
      </c>
      <c r="F1599" t="s">
        <v>43</v>
      </c>
      <c r="G1599" t="s">
        <v>7</v>
      </c>
    </row>
    <row r="1600" spans="1:7" x14ac:dyDescent="0.3">
      <c r="A1600" t="s">
        <v>32</v>
      </c>
      <c r="B1600" s="1">
        <v>45808</v>
      </c>
      <c r="C1600">
        <v>242023</v>
      </c>
      <c r="D1600">
        <v>-12.042</v>
      </c>
      <c r="E1600" t="s">
        <v>4</v>
      </c>
      <c r="F1600" t="s">
        <v>43</v>
      </c>
      <c r="G1600" t="s">
        <v>7</v>
      </c>
    </row>
    <row r="1601" spans="1:7" x14ac:dyDescent="0.3">
      <c r="A1601" t="s">
        <v>32</v>
      </c>
      <c r="B1601" s="1">
        <v>45808</v>
      </c>
      <c r="C1601">
        <v>242027</v>
      </c>
      <c r="D1601">
        <v>-81342.880999999994</v>
      </c>
      <c r="E1601" t="s">
        <v>4</v>
      </c>
      <c r="F1601" t="s">
        <v>43</v>
      </c>
      <c r="G1601" t="s">
        <v>7</v>
      </c>
    </row>
    <row r="1602" spans="1:7" x14ac:dyDescent="0.3">
      <c r="A1602" t="s">
        <v>32</v>
      </c>
      <c r="B1602" s="1">
        <v>45808</v>
      </c>
      <c r="C1602">
        <v>242030</v>
      </c>
      <c r="D1602">
        <v>-54040.665000000001</v>
      </c>
      <c r="E1602" t="s">
        <v>4</v>
      </c>
      <c r="F1602" t="s">
        <v>43</v>
      </c>
      <c r="G1602" t="s">
        <v>7</v>
      </c>
    </row>
    <row r="1603" spans="1:7" x14ac:dyDescent="0.3">
      <c r="A1603" t="s">
        <v>32</v>
      </c>
      <c r="B1603" s="1">
        <v>45808</v>
      </c>
      <c r="C1603">
        <v>242037</v>
      </c>
      <c r="D1603">
        <v>-25516.58</v>
      </c>
      <c r="E1603" t="s">
        <v>4</v>
      </c>
      <c r="F1603" t="s">
        <v>43</v>
      </c>
      <c r="G1603" t="s">
        <v>7</v>
      </c>
    </row>
    <row r="1604" spans="1:7" x14ac:dyDescent="0.3">
      <c r="A1604" t="s">
        <v>32</v>
      </c>
      <c r="B1604" s="1">
        <v>45808</v>
      </c>
      <c r="C1604">
        <v>242038</v>
      </c>
      <c r="D1604">
        <v>-1577.614</v>
      </c>
      <c r="E1604" t="s">
        <v>4</v>
      </c>
      <c r="F1604" t="s">
        <v>43</v>
      </c>
      <c r="G1604" t="s">
        <v>7</v>
      </c>
    </row>
    <row r="1605" spans="1:7" x14ac:dyDescent="0.3">
      <c r="A1605" t="s">
        <v>32</v>
      </c>
      <c r="B1605" s="1">
        <v>45808</v>
      </c>
      <c r="C1605">
        <v>242039</v>
      </c>
      <c r="D1605">
        <v>-20534.182000000001</v>
      </c>
      <c r="E1605" t="s">
        <v>4</v>
      </c>
      <c r="F1605" t="s">
        <v>43</v>
      </c>
      <c r="G1605" t="s">
        <v>7</v>
      </c>
    </row>
    <row r="1606" spans="1:7" x14ac:dyDescent="0.3">
      <c r="A1606" t="s">
        <v>32</v>
      </c>
      <c r="B1606" s="1">
        <v>45808</v>
      </c>
      <c r="C1606">
        <v>242041</v>
      </c>
      <c r="D1606">
        <v>9317.8979999999992</v>
      </c>
      <c r="E1606" t="s">
        <v>4</v>
      </c>
      <c r="F1606" t="s">
        <v>43</v>
      </c>
      <c r="G1606" t="s">
        <v>7</v>
      </c>
    </row>
    <row r="1607" spans="1:7" x14ac:dyDescent="0.3">
      <c r="A1607" t="s">
        <v>32</v>
      </c>
      <c r="B1607" s="1">
        <v>45808</v>
      </c>
      <c r="C1607">
        <v>243002</v>
      </c>
      <c r="D1607">
        <v>-162497.67199999999</v>
      </c>
      <c r="E1607" t="s">
        <v>4</v>
      </c>
      <c r="F1607" t="s">
        <v>43</v>
      </c>
      <c r="G1607" t="s">
        <v>7</v>
      </c>
    </row>
    <row r="1608" spans="1:7" x14ac:dyDescent="0.3">
      <c r="A1608" t="s">
        <v>32</v>
      </c>
      <c r="B1608" s="1">
        <v>45808</v>
      </c>
      <c r="C1608">
        <v>243003</v>
      </c>
      <c r="D1608">
        <v>-343598.31300000002</v>
      </c>
      <c r="E1608" t="s">
        <v>4</v>
      </c>
      <c r="F1608" t="s">
        <v>43</v>
      </c>
      <c r="G1608" t="s">
        <v>7</v>
      </c>
    </row>
    <row r="1609" spans="1:7" x14ac:dyDescent="0.3">
      <c r="A1609" t="s">
        <v>32</v>
      </c>
      <c r="B1609" s="1">
        <v>45808</v>
      </c>
      <c r="C1609">
        <v>243009</v>
      </c>
      <c r="D1609">
        <v>-984.46400000000006</v>
      </c>
      <c r="E1609" t="s">
        <v>4</v>
      </c>
      <c r="F1609" t="s">
        <v>43</v>
      </c>
      <c r="G1609" t="s">
        <v>7</v>
      </c>
    </row>
    <row r="1610" spans="1:7" x14ac:dyDescent="0.3">
      <c r="A1610" t="s">
        <v>32</v>
      </c>
      <c r="B1610" s="1">
        <v>45808</v>
      </c>
      <c r="C1610">
        <v>245010</v>
      </c>
      <c r="D1610">
        <v>-141132.71400000001</v>
      </c>
      <c r="E1610" t="s">
        <v>4</v>
      </c>
      <c r="F1610" t="s">
        <v>44</v>
      </c>
      <c r="G1610" t="s">
        <v>7</v>
      </c>
    </row>
    <row r="1611" spans="1:7" x14ac:dyDescent="0.3">
      <c r="A1611" t="s">
        <v>32</v>
      </c>
      <c r="B1611" s="1">
        <v>45808</v>
      </c>
      <c r="C1611">
        <v>245018</v>
      </c>
      <c r="D1611">
        <v>-22589.675999999999</v>
      </c>
      <c r="E1611" t="s">
        <v>4</v>
      </c>
      <c r="F1611" t="s">
        <v>43</v>
      </c>
      <c r="G1611" t="s">
        <v>7</v>
      </c>
    </row>
    <row r="1612" spans="1:7" x14ac:dyDescent="0.3">
      <c r="A1612" t="s">
        <v>32</v>
      </c>
      <c r="B1612" s="1">
        <v>45808</v>
      </c>
      <c r="C1612">
        <v>245049</v>
      </c>
      <c r="D1612">
        <v>-134348.951</v>
      </c>
      <c r="E1612" t="s">
        <v>4</v>
      </c>
      <c r="F1612" t="s">
        <v>43</v>
      </c>
      <c r="G1612" t="s">
        <v>7</v>
      </c>
    </row>
    <row r="1613" spans="1:7" x14ac:dyDescent="0.3">
      <c r="A1613" t="s">
        <v>32</v>
      </c>
      <c r="B1613" s="1">
        <v>45808</v>
      </c>
      <c r="C1613">
        <v>245055</v>
      </c>
      <c r="D1613">
        <v>-32591.698</v>
      </c>
      <c r="E1613" t="s">
        <v>4</v>
      </c>
      <c r="F1613" t="s">
        <v>43</v>
      </c>
      <c r="G1613" t="s">
        <v>7</v>
      </c>
    </row>
    <row r="1614" spans="1:7" x14ac:dyDescent="0.3">
      <c r="A1614" t="s">
        <v>32</v>
      </c>
      <c r="B1614" s="1">
        <v>45808</v>
      </c>
      <c r="C1614">
        <v>245056</v>
      </c>
      <c r="D1614">
        <v>-6098.0879999999997</v>
      </c>
      <c r="E1614" t="s">
        <v>4</v>
      </c>
      <c r="F1614" t="s">
        <v>49</v>
      </c>
      <c r="G1614" t="s">
        <v>7</v>
      </c>
    </row>
    <row r="1615" spans="1:7" x14ac:dyDescent="0.3">
      <c r="A1615" t="s">
        <v>32</v>
      </c>
      <c r="B1615" s="1">
        <v>45808</v>
      </c>
      <c r="C1615">
        <v>245062</v>
      </c>
      <c r="D1615">
        <v>-60083.328999999998</v>
      </c>
      <c r="E1615" t="s">
        <v>4</v>
      </c>
      <c r="F1615" t="s">
        <v>43</v>
      </c>
      <c r="G1615" t="s">
        <v>7</v>
      </c>
    </row>
    <row r="1616" spans="1:7" x14ac:dyDescent="0.3">
      <c r="A1616" t="s">
        <v>32</v>
      </c>
      <c r="B1616" s="1">
        <v>45808</v>
      </c>
      <c r="C1616">
        <v>250003</v>
      </c>
      <c r="D1616">
        <v>-57770.021000000001</v>
      </c>
      <c r="E1616" t="s">
        <v>4</v>
      </c>
      <c r="F1616" t="s">
        <v>45</v>
      </c>
      <c r="G1616" t="s">
        <v>7</v>
      </c>
    </row>
    <row r="1617" spans="1:7" x14ac:dyDescent="0.3">
      <c r="A1617" t="s">
        <v>32</v>
      </c>
      <c r="B1617" s="1">
        <v>45808</v>
      </c>
      <c r="C1617">
        <v>250007</v>
      </c>
      <c r="D1617">
        <v>-88985.513999999996</v>
      </c>
      <c r="E1617" t="s">
        <v>4</v>
      </c>
      <c r="F1617" t="s">
        <v>43</v>
      </c>
      <c r="G1617" t="s">
        <v>7</v>
      </c>
    </row>
    <row r="1618" spans="1:7" x14ac:dyDescent="0.3">
      <c r="A1618" t="s">
        <v>32</v>
      </c>
      <c r="B1618" s="1">
        <v>45808</v>
      </c>
      <c r="C1618">
        <v>250009</v>
      </c>
      <c r="D1618">
        <v>-1075.9939999999999</v>
      </c>
      <c r="E1618" t="s">
        <v>4</v>
      </c>
      <c r="F1618" t="s">
        <v>43</v>
      </c>
      <c r="G1618" t="s">
        <v>7</v>
      </c>
    </row>
    <row r="1619" spans="1:7" x14ac:dyDescent="0.3">
      <c r="A1619" t="s">
        <v>32</v>
      </c>
      <c r="B1619" s="1">
        <v>45808</v>
      </c>
      <c r="C1619">
        <v>251002</v>
      </c>
      <c r="D1619">
        <v>-14712.325999999999</v>
      </c>
      <c r="E1619" t="s">
        <v>4</v>
      </c>
      <c r="F1619" t="s">
        <v>45</v>
      </c>
      <c r="G1619" t="s">
        <v>7</v>
      </c>
    </row>
    <row r="1620" spans="1:7" x14ac:dyDescent="0.3">
      <c r="A1620" t="s">
        <v>32</v>
      </c>
      <c r="B1620" s="1">
        <v>45808</v>
      </c>
      <c r="C1620">
        <v>251003</v>
      </c>
      <c r="D1620">
        <v>-406017.66</v>
      </c>
      <c r="E1620" t="s">
        <v>4</v>
      </c>
      <c r="F1620" t="s">
        <v>45</v>
      </c>
      <c r="G1620" t="s">
        <v>7</v>
      </c>
    </row>
    <row r="1621" spans="1:7" x14ac:dyDescent="0.3">
      <c r="A1621" t="s">
        <v>32</v>
      </c>
      <c r="B1621" s="1">
        <v>45808</v>
      </c>
      <c r="C1621">
        <v>256037</v>
      </c>
      <c r="D1621">
        <v>-15821.382</v>
      </c>
      <c r="E1621" t="s">
        <v>4</v>
      </c>
      <c r="F1621" t="s">
        <v>43</v>
      </c>
      <c r="G1621" t="s">
        <v>7</v>
      </c>
    </row>
    <row r="1622" spans="1:7" x14ac:dyDescent="0.3">
      <c r="A1622" t="s">
        <v>32</v>
      </c>
      <c r="B1622" s="1">
        <v>45808</v>
      </c>
      <c r="C1622">
        <v>257008</v>
      </c>
      <c r="D1622">
        <v>-8875.4619999999995</v>
      </c>
      <c r="E1622" t="s">
        <v>4</v>
      </c>
      <c r="F1622" t="s">
        <v>45</v>
      </c>
      <c r="G1622" t="s">
        <v>7</v>
      </c>
    </row>
    <row r="1623" spans="1:7" x14ac:dyDescent="0.3">
      <c r="A1623" t="s">
        <v>32</v>
      </c>
      <c r="B1623" s="1">
        <v>45808</v>
      </c>
      <c r="C1623">
        <v>257009</v>
      </c>
      <c r="D1623">
        <v>-32839.712</v>
      </c>
      <c r="E1623" t="s">
        <v>4</v>
      </c>
      <c r="F1623" t="s">
        <v>45</v>
      </c>
      <c r="G1623" t="s">
        <v>7</v>
      </c>
    </row>
    <row r="1624" spans="1:7" x14ac:dyDescent="0.3">
      <c r="A1624" t="s">
        <v>32</v>
      </c>
      <c r="B1624" s="1">
        <v>45808</v>
      </c>
      <c r="C1624">
        <v>257011</v>
      </c>
      <c r="D1624">
        <v>-10521.332</v>
      </c>
      <c r="E1624" t="s">
        <v>4</v>
      </c>
      <c r="F1624" t="s">
        <v>45</v>
      </c>
      <c r="G1624" t="s">
        <v>7</v>
      </c>
    </row>
    <row r="1625" spans="1:7" x14ac:dyDescent="0.3">
      <c r="A1625" t="s">
        <v>32</v>
      </c>
      <c r="B1625" s="1">
        <v>45808</v>
      </c>
      <c r="C1625">
        <v>257022</v>
      </c>
      <c r="D1625">
        <v>5887.058</v>
      </c>
      <c r="E1625" t="s">
        <v>4</v>
      </c>
      <c r="F1625" t="s">
        <v>45</v>
      </c>
      <c r="G1625" t="s">
        <v>7</v>
      </c>
    </row>
    <row r="1626" spans="1:7" x14ac:dyDescent="0.3">
      <c r="A1626" t="s">
        <v>32</v>
      </c>
      <c r="B1626" s="1">
        <v>45808</v>
      </c>
      <c r="C1626">
        <v>257028</v>
      </c>
      <c r="D1626">
        <v>-237262.60399999999</v>
      </c>
      <c r="E1626" t="s">
        <v>4</v>
      </c>
      <c r="F1626" t="s">
        <v>45</v>
      </c>
      <c r="G1626" t="s">
        <v>7</v>
      </c>
    </row>
    <row r="1627" spans="1:7" x14ac:dyDescent="0.3">
      <c r="A1627" t="s">
        <v>32</v>
      </c>
      <c r="B1627" s="1">
        <v>45808</v>
      </c>
      <c r="C1627">
        <v>260004</v>
      </c>
      <c r="D1627">
        <v>100.496</v>
      </c>
      <c r="E1627" t="s">
        <v>4</v>
      </c>
      <c r="F1627" t="s">
        <v>45</v>
      </c>
      <c r="G1627" t="s">
        <v>7</v>
      </c>
    </row>
    <row r="1628" spans="1:7" x14ac:dyDescent="0.3">
      <c r="A1628" t="s">
        <v>32</v>
      </c>
      <c r="B1628" s="1">
        <v>45808</v>
      </c>
      <c r="C1628">
        <v>270024</v>
      </c>
      <c r="D1628">
        <v>-27924.375</v>
      </c>
      <c r="E1628" t="s">
        <v>4</v>
      </c>
      <c r="F1628" t="s">
        <v>58</v>
      </c>
      <c r="G1628" t="s">
        <v>7</v>
      </c>
    </row>
    <row r="1629" spans="1:7" x14ac:dyDescent="0.3">
      <c r="A1629" t="s">
        <v>32</v>
      </c>
      <c r="B1629" s="1">
        <v>45808</v>
      </c>
      <c r="C1629">
        <v>270025</v>
      </c>
      <c r="D1629">
        <v>-213903.97700000001</v>
      </c>
      <c r="E1629" t="s">
        <v>4</v>
      </c>
      <c r="F1629" t="s">
        <v>58</v>
      </c>
      <c r="G1629" t="s">
        <v>7</v>
      </c>
    </row>
    <row r="1630" spans="1:7" x14ac:dyDescent="0.3">
      <c r="A1630" t="s">
        <v>32</v>
      </c>
      <c r="B1630" s="1">
        <v>45808</v>
      </c>
      <c r="C1630">
        <v>270026</v>
      </c>
      <c r="D1630">
        <v>-82864.557000000001</v>
      </c>
      <c r="E1630" t="s">
        <v>4</v>
      </c>
      <c r="F1630" t="s">
        <v>58</v>
      </c>
      <c r="G1630" t="s">
        <v>7</v>
      </c>
    </row>
    <row r="1631" spans="1:7" x14ac:dyDescent="0.3">
      <c r="A1631" t="s">
        <v>32</v>
      </c>
      <c r="B1631" s="1">
        <v>45808</v>
      </c>
      <c r="C1631">
        <v>300004</v>
      </c>
      <c r="D1631">
        <v>13328.543</v>
      </c>
      <c r="E1631" t="s">
        <v>4</v>
      </c>
      <c r="F1631" t="s">
        <v>65</v>
      </c>
      <c r="G1631" t="s">
        <v>7</v>
      </c>
    </row>
    <row r="1632" spans="1:7" x14ac:dyDescent="0.3">
      <c r="A1632" t="s">
        <v>32</v>
      </c>
      <c r="B1632" s="1">
        <v>45808</v>
      </c>
      <c r="C1632">
        <v>300005</v>
      </c>
      <c r="D1632">
        <v>58113.684999999998</v>
      </c>
      <c r="E1632" t="s">
        <v>4</v>
      </c>
      <c r="F1632" t="s">
        <v>65</v>
      </c>
      <c r="G1632" t="s">
        <v>7</v>
      </c>
    </row>
    <row r="1633" spans="1:7" x14ac:dyDescent="0.3">
      <c r="A1633" t="s">
        <v>32</v>
      </c>
      <c r="B1633" s="1">
        <v>45808</v>
      </c>
      <c r="C1633">
        <v>300008</v>
      </c>
      <c r="D1633">
        <v>214859.28200000001</v>
      </c>
      <c r="E1633" t="s">
        <v>4</v>
      </c>
      <c r="F1633" t="s">
        <v>65</v>
      </c>
      <c r="G1633" t="s">
        <v>7</v>
      </c>
    </row>
    <row r="1634" spans="1:7" x14ac:dyDescent="0.3">
      <c r="A1634" t="s">
        <v>32</v>
      </c>
      <c r="B1634" s="1">
        <v>45808</v>
      </c>
      <c r="C1634">
        <v>300009</v>
      </c>
      <c r="D1634">
        <v>4865.0529999999999</v>
      </c>
      <c r="E1634" t="s">
        <v>4</v>
      </c>
      <c r="F1634" t="s">
        <v>65</v>
      </c>
      <c r="G1634" t="s">
        <v>7</v>
      </c>
    </row>
    <row r="1635" spans="1:7" x14ac:dyDescent="0.3">
      <c r="A1635" t="s">
        <v>32</v>
      </c>
      <c r="B1635" s="1">
        <v>45808</v>
      </c>
      <c r="C1635">
        <v>300011</v>
      </c>
      <c r="D1635">
        <v>1035.999</v>
      </c>
      <c r="E1635" t="s">
        <v>4</v>
      </c>
      <c r="F1635" t="s">
        <v>65</v>
      </c>
      <c r="G1635" t="s">
        <v>7</v>
      </c>
    </row>
    <row r="1636" spans="1:7" x14ac:dyDescent="0.3">
      <c r="A1636" t="s">
        <v>32</v>
      </c>
      <c r="B1636" s="1">
        <v>45808</v>
      </c>
      <c r="C1636">
        <v>300012</v>
      </c>
      <c r="D1636">
        <v>54777.917000000001</v>
      </c>
      <c r="E1636" t="s">
        <v>4</v>
      </c>
      <c r="F1636" t="s">
        <v>65</v>
      </c>
      <c r="G1636" t="s">
        <v>7</v>
      </c>
    </row>
    <row r="1637" spans="1:7" x14ac:dyDescent="0.3">
      <c r="A1637" t="s">
        <v>32</v>
      </c>
      <c r="B1637" s="1">
        <v>45808</v>
      </c>
      <c r="C1637">
        <v>300014</v>
      </c>
      <c r="D1637">
        <v>22011.575000000001</v>
      </c>
      <c r="E1637" t="s">
        <v>4</v>
      </c>
      <c r="F1637" t="s">
        <v>65</v>
      </c>
      <c r="G1637" t="s">
        <v>7</v>
      </c>
    </row>
    <row r="1638" spans="1:7" x14ac:dyDescent="0.3">
      <c r="A1638" t="s">
        <v>32</v>
      </c>
      <c r="B1638" s="1">
        <v>45808</v>
      </c>
      <c r="C1638">
        <v>300504</v>
      </c>
      <c r="D1638">
        <v>-12313.808000000001</v>
      </c>
      <c r="E1638" t="s">
        <v>4</v>
      </c>
      <c r="F1638" t="s">
        <v>65</v>
      </c>
      <c r="G1638" t="s">
        <v>7</v>
      </c>
    </row>
    <row r="1639" spans="1:7" x14ac:dyDescent="0.3">
      <c r="A1639" t="s">
        <v>32</v>
      </c>
      <c r="B1639" s="1">
        <v>45808</v>
      </c>
      <c r="C1639">
        <v>300505</v>
      </c>
      <c r="D1639">
        <v>-49140.148000000001</v>
      </c>
      <c r="E1639" t="s">
        <v>4</v>
      </c>
      <c r="F1639" t="s">
        <v>65</v>
      </c>
      <c r="G1639" t="s">
        <v>7</v>
      </c>
    </row>
    <row r="1640" spans="1:7" x14ac:dyDescent="0.3">
      <c r="A1640" t="s">
        <v>32</v>
      </c>
      <c r="B1640" s="1">
        <v>45808</v>
      </c>
      <c r="C1640">
        <v>300508</v>
      </c>
      <c r="D1640">
        <v>-155138.57</v>
      </c>
      <c r="E1640" t="s">
        <v>4</v>
      </c>
      <c r="F1640" t="s">
        <v>65</v>
      </c>
      <c r="G1640" t="s">
        <v>7</v>
      </c>
    </row>
    <row r="1641" spans="1:7" x14ac:dyDescent="0.3">
      <c r="A1641" t="s">
        <v>32</v>
      </c>
      <c r="B1641" s="1">
        <v>45808</v>
      </c>
      <c r="C1641">
        <v>300509</v>
      </c>
      <c r="D1641">
        <v>-4836.8829999999998</v>
      </c>
      <c r="E1641" t="s">
        <v>4</v>
      </c>
      <c r="F1641" t="s">
        <v>65</v>
      </c>
      <c r="G1641" t="s">
        <v>7</v>
      </c>
    </row>
    <row r="1642" spans="1:7" x14ac:dyDescent="0.3">
      <c r="A1642" t="s">
        <v>32</v>
      </c>
      <c r="B1642" s="1">
        <v>45808</v>
      </c>
      <c r="C1642">
        <v>300511</v>
      </c>
      <c r="D1642">
        <v>-1016.53</v>
      </c>
      <c r="E1642" t="s">
        <v>4</v>
      </c>
      <c r="F1642" t="s">
        <v>65</v>
      </c>
      <c r="G1642" t="s">
        <v>7</v>
      </c>
    </row>
    <row r="1643" spans="1:7" x14ac:dyDescent="0.3">
      <c r="A1643" t="s">
        <v>32</v>
      </c>
      <c r="B1643" s="1">
        <v>45808</v>
      </c>
      <c r="C1643">
        <v>300512</v>
      </c>
      <c r="D1643">
        <v>-53052.724999999999</v>
      </c>
      <c r="E1643" t="s">
        <v>4</v>
      </c>
      <c r="F1643" t="s">
        <v>65</v>
      </c>
      <c r="G1643" t="s">
        <v>7</v>
      </c>
    </row>
    <row r="1644" spans="1:7" x14ac:dyDescent="0.3">
      <c r="A1644" t="s">
        <v>32</v>
      </c>
      <c r="B1644" s="1">
        <v>45808</v>
      </c>
      <c r="C1644">
        <v>300514</v>
      </c>
      <c r="D1644">
        <v>-21241.38</v>
      </c>
      <c r="E1644" t="s">
        <v>4</v>
      </c>
      <c r="F1644" t="s">
        <v>65</v>
      </c>
      <c r="G1644" t="s">
        <v>7</v>
      </c>
    </row>
    <row r="1645" spans="1:7" x14ac:dyDescent="0.3">
      <c r="A1645" t="s">
        <v>32</v>
      </c>
      <c r="B1645" s="1">
        <v>45808</v>
      </c>
      <c r="C1645">
        <v>301002</v>
      </c>
      <c r="D1645">
        <v>37047.076999999997</v>
      </c>
      <c r="E1645" t="s">
        <v>4</v>
      </c>
      <c r="F1645" t="s">
        <v>68</v>
      </c>
      <c r="G1645" t="s">
        <v>7</v>
      </c>
    </row>
    <row r="1646" spans="1:7" x14ac:dyDescent="0.3">
      <c r="A1646" t="s">
        <v>32</v>
      </c>
      <c r="B1646" s="1">
        <v>45808</v>
      </c>
      <c r="C1646">
        <v>301004</v>
      </c>
      <c r="D1646">
        <v>77693.224000000002</v>
      </c>
      <c r="E1646" t="s">
        <v>4</v>
      </c>
      <c r="F1646" t="s">
        <v>65</v>
      </c>
      <c r="G1646" t="s">
        <v>7</v>
      </c>
    </row>
    <row r="1647" spans="1:7" x14ac:dyDescent="0.3">
      <c r="A1647" t="s">
        <v>32</v>
      </c>
      <c r="B1647" s="1">
        <v>45808</v>
      </c>
      <c r="C1647">
        <v>301005</v>
      </c>
      <c r="D1647">
        <v>30112.838</v>
      </c>
      <c r="E1647" t="s">
        <v>4</v>
      </c>
      <c r="F1647" t="s">
        <v>65</v>
      </c>
      <c r="G1647" t="s">
        <v>7</v>
      </c>
    </row>
    <row r="1648" spans="1:7" x14ac:dyDescent="0.3">
      <c r="A1648" t="s">
        <v>32</v>
      </c>
      <c r="B1648" s="1">
        <v>45808</v>
      </c>
      <c r="C1648">
        <v>301502</v>
      </c>
      <c r="D1648">
        <v>-37047.076999999997</v>
      </c>
      <c r="E1648" t="s">
        <v>4</v>
      </c>
      <c r="F1648" t="s">
        <v>68</v>
      </c>
      <c r="G1648" t="s">
        <v>7</v>
      </c>
    </row>
    <row r="1649" spans="1:7" x14ac:dyDescent="0.3">
      <c r="A1649" t="s">
        <v>32</v>
      </c>
      <c r="B1649" s="1">
        <v>45808</v>
      </c>
      <c r="C1649">
        <v>301504</v>
      </c>
      <c r="D1649">
        <v>-77693.224000000002</v>
      </c>
      <c r="E1649" t="s">
        <v>4</v>
      </c>
      <c r="F1649" t="s">
        <v>65</v>
      </c>
      <c r="G1649" t="s">
        <v>7</v>
      </c>
    </row>
    <row r="1650" spans="1:7" x14ac:dyDescent="0.3">
      <c r="A1650" t="s">
        <v>32</v>
      </c>
      <c r="B1650" s="1">
        <v>45808</v>
      </c>
      <c r="C1650">
        <v>301505</v>
      </c>
      <c r="D1650">
        <v>-30112.838</v>
      </c>
      <c r="E1650" t="s">
        <v>4</v>
      </c>
      <c r="F1650" t="s">
        <v>65</v>
      </c>
      <c r="G1650" t="s">
        <v>7</v>
      </c>
    </row>
    <row r="1651" spans="1:7" x14ac:dyDescent="0.3">
      <c r="A1651" t="s">
        <v>32</v>
      </c>
      <c r="B1651" s="1">
        <v>45808</v>
      </c>
      <c r="C1651">
        <v>304002</v>
      </c>
      <c r="D1651">
        <v>317937.63799999998</v>
      </c>
      <c r="E1651" t="s">
        <v>4</v>
      </c>
      <c r="F1651" t="s">
        <v>65</v>
      </c>
      <c r="G1651" t="s">
        <v>7</v>
      </c>
    </row>
    <row r="1652" spans="1:7" x14ac:dyDescent="0.3">
      <c r="A1652" t="s">
        <v>32</v>
      </c>
      <c r="B1652" s="1">
        <v>45808</v>
      </c>
      <c r="C1652">
        <v>304502</v>
      </c>
      <c r="D1652">
        <v>-127832.613</v>
      </c>
      <c r="E1652" t="s">
        <v>4</v>
      </c>
      <c r="F1652" t="s">
        <v>65</v>
      </c>
      <c r="G1652" t="s">
        <v>7</v>
      </c>
    </row>
    <row r="1653" spans="1:7" x14ac:dyDescent="0.3">
      <c r="A1653" t="s">
        <v>32</v>
      </c>
      <c r="B1653" s="1">
        <v>45808</v>
      </c>
      <c r="C1653">
        <v>310010</v>
      </c>
      <c r="D1653">
        <v>4582397.5549999997</v>
      </c>
      <c r="E1653" t="s">
        <v>4</v>
      </c>
      <c r="F1653" t="s">
        <v>42</v>
      </c>
      <c r="G1653" t="s">
        <v>7</v>
      </c>
    </row>
    <row r="1654" spans="1:7" x14ac:dyDescent="0.3">
      <c r="A1654" t="s">
        <v>32</v>
      </c>
      <c r="B1654" s="1">
        <v>45808</v>
      </c>
      <c r="C1654">
        <v>310021</v>
      </c>
      <c r="D1654">
        <v>176806.587</v>
      </c>
      <c r="E1654" t="s">
        <v>4</v>
      </c>
      <c r="F1654" t="s">
        <v>42</v>
      </c>
      <c r="G1654" t="s">
        <v>7</v>
      </c>
    </row>
    <row r="1655" spans="1:7" x14ac:dyDescent="0.3">
      <c r="A1655" t="s">
        <v>32</v>
      </c>
      <c r="B1655" s="1">
        <v>45808</v>
      </c>
      <c r="C1655">
        <v>310032</v>
      </c>
      <c r="D1655">
        <v>297.80099999999999</v>
      </c>
      <c r="E1655" t="s">
        <v>4</v>
      </c>
      <c r="F1655" t="s">
        <v>42</v>
      </c>
      <c r="G1655" t="s">
        <v>7</v>
      </c>
    </row>
    <row r="1656" spans="1:7" x14ac:dyDescent="0.3">
      <c r="A1656" t="s">
        <v>32</v>
      </c>
      <c r="B1656" s="1">
        <v>45808</v>
      </c>
      <c r="C1656">
        <v>320002</v>
      </c>
      <c r="D1656">
        <v>135919.52299999999</v>
      </c>
      <c r="E1656" t="s">
        <v>4</v>
      </c>
      <c r="F1656" t="s">
        <v>46</v>
      </c>
      <c r="G1656" t="s">
        <v>7</v>
      </c>
    </row>
    <row r="1657" spans="1:7" x14ac:dyDescent="0.3">
      <c r="A1657" t="s">
        <v>32</v>
      </c>
      <c r="B1657" s="1">
        <v>45808</v>
      </c>
      <c r="C1657">
        <v>320003</v>
      </c>
      <c r="D1657">
        <v>3975032.6970000002</v>
      </c>
      <c r="E1657" t="s">
        <v>4</v>
      </c>
      <c r="F1657" t="s">
        <v>46</v>
      </c>
      <c r="G1657" t="s">
        <v>7</v>
      </c>
    </row>
    <row r="1658" spans="1:7" x14ac:dyDescent="0.3">
      <c r="A1658" t="s">
        <v>32</v>
      </c>
      <c r="B1658" s="1">
        <v>45808</v>
      </c>
      <c r="C1658">
        <v>320013</v>
      </c>
      <c r="D1658">
        <v>33679.576999999997</v>
      </c>
      <c r="E1658" t="s">
        <v>4</v>
      </c>
      <c r="F1658" t="s">
        <v>46</v>
      </c>
      <c r="G1658" t="s">
        <v>7</v>
      </c>
    </row>
    <row r="1659" spans="1:7" x14ac:dyDescent="0.3">
      <c r="A1659" t="s">
        <v>32</v>
      </c>
      <c r="B1659" s="1">
        <v>45808</v>
      </c>
      <c r="C1659">
        <v>320023</v>
      </c>
      <c r="D1659">
        <v>-77745.122000000003</v>
      </c>
      <c r="E1659" t="s">
        <v>4</v>
      </c>
      <c r="F1659" t="s">
        <v>46</v>
      </c>
      <c r="G1659" t="s">
        <v>7</v>
      </c>
    </row>
    <row r="1660" spans="1:7" x14ac:dyDescent="0.3">
      <c r="A1660" t="s">
        <v>32</v>
      </c>
      <c r="B1660" s="1">
        <v>45808</v>
      </c>
      <c r="C1660">
        <v>321010</v>
      </c>
      <c r="D1660">
        <v>248.947</v>
      </c>
      <c r="E1660" t="s">
        <v>4</v>
      </c>
      <c r="F1660" t="s">
        <v>46</v>
      </c>
      <c r="G1660" t="s">
        <v>7</v>
      </c>
    </row>
    <row r="1661" spans="1:7" x14ac:dyDescent="0.3">
      <c r="A1661" t="s">
        <v>32</v>
      </c>
      <c r="B1661" s="1">
        <v>45808</v>
      </c>
      <c r="C1661">
        <v>321012</v>
      </c>
      <c r="D1661">
        <v>412334.283</v>
      </c>
      <c r="E1661" t="s">
        <v>4</v>
      </c>
      <c r="F1661" t="s">
        <v>46</v>
      </c>
      <c r="G1661" t="s">
        <v>7</v>
      </c>
    </row>
    <row r="1662" spans="1:7" x14ac:dyDescent="0.3">
      <c r="A1662" t="s">
        <v>32</v>
      </c>
      <c r="B1662" s="1">
        <v>45808</v>
      </c>
      <c r="C1662">
        <v>321014</v>
      </c>
      <c r="D1662">
        <v>27923.633999999998</v>
      </c>
      <c r="E1662" t="s">
        <v>4</v>
      </c>
      <c r="F1662" t="s">
        <v>46</v>
      </c>
      <c r="G1662" t="s">
        <v>7</v>
      </c>
    </row>
    <row r="1663" spans="1:7" x14ac:dyDescent="0.3">
      <c r="A1663" t="s">
        <v>32</v>
      </c>
      <c r="B1663" s="1">
        <v>45808</v>
      </c>
      <c r="C1663">
        <v>321021</v>
      </c>
      <c r="D1663">
        <v>-219.726</v>
      </c>
      <c r="E1663" t="s">
        <v>4</v>
      </c>
      <c r="F1663" t="s">
        <v>46</v>
      </c>
      <c r="G1663" t="s">
        <v>7</v>
      </c>
    </row>
    <row r="1664" spans="1:7" x14ac:dyDescent="0.3">
      <c r="A1664" t="s">
        <v>32</v>
      </c>
      <c r="B1664" s="1">
        <v>45808</v>
      </c>
      <c r="C1664">
        <v>321025</v>
      </c>
      <c r="D1664">
        <v>121032.421</v>
      </c>
      <c r="E1664" t="s">
        <v>4</v>
      </c>
      <c r="F1664" t="s">
        <v>46</v>
      </c>
      <c r="G1664" t="s">
        <v>7</v>
      </c>
    </row>
    <row r="1665" spans="1:7" x14ac:dyDescent="0.3">
      <c r="A1665" t="s">
        <v>32</v>
      </c>
      <c r="B1665" s="1">
        <v>45808</v>
      </c>
      <c r="C1665">
        <v>321029</v>
      </c>
      <c r="D1665">
        <v>-41507.777999999998</v>
      </c>
      <c r="E1665" t="s">
        <v>4</v>
      </c>
      <c r="F1665" t="s">
        <v>46</v>
      </c>
      <c r="G1665" t="s">
        <v>7</v>
      </c>
    </row>
    <row r="1666" spans="1:7" x14ac:dyDescent="0.3">
      <c r="A1666" t="s">
        <v>32</v>
      </c>
      <c r="B1666" s="1">
        <v>45808</v>
      </c>
      <c r="C1666">
        <v>321030</v>
      </c>
      <c r="D1666">
        <v>886.90200000000004</v>
      </c>
      <c r="E1666" t="s">
        <v>4</v>
      </c>
      <c r="F1666" t="s">
        <v>46</v>
      </c>
      <c r="G1666" t="s">
        <v>7</v>
      </c>
    </row>
    <row r="1667" spans="1:7" x14ac:dyDescent="0.3">
      <c r="A1667" t="s">
        <v>32</v>
      </c>
      <c r="B1667" s="1">
        <v>45808</v>
      </c>
      <c r="C1667">
        <v>321031</v>
      </c>
      <c r="D1667">
        <v>33666.453000000001</v>
      </c>
      <c r="E1667" t="s">
        <v>4</v>
      </c>
      <c r="F1667" t="s">
        <v>46</v>
      </c>
      <c r="G1667" t="s">
        <v>7</v>
      </c>
    </row>
    <row r="1668" spans="1:7" x14ac:dyDescent="0.3">
      <c r="A1668" t="s">
        <v>32</v>
      </c>
      <c r="B1668" s="1">
        <v>45808</v>
      </c>
      <c r="C1668">
        <v>321041</v>
      </c>
      <c r="D1668">
        <v>17008.303</v>
      </c>
      <c r="E1668" t="s">
        <v>4</v>
      </c>
      <c r="F1668" t="s">
        <v>46</v>
      </c>
      <c r="G1668" t="s">
        <v>7</v>
      </c>
    </row>
    <row r="1669" spans="1:7" x14ac:dyDescent="0.3">
      <c r="A1669" t="s">
        <v>32</v>
      </c>
      <c r="B1669" s="1">
        <v>45808</v>
      </c>
      <c r="C1669">
        <v>321042</v>
      </c>
      <c r="D1669">
        <v>6.407</v>
      </c>
      <c r="E1669" t="s">
        <v>4</v>
      </c>
      <c r="F1669" t="s">
        <v>46</v>
      </c>
      <c r="G1669" t="s">
        <v>7</v>
      </c>
    </row>
    <row r="1670" spans="1:7" x14ac:dyDescent="0.3">
      <c r="A1670" t="s">
        <v>32</v>
      </c>
      <c r="B1670" s="1">
        <v>45808</v>
      </c>
      <c r="C1670">
        <v>330002</v>
      </c>
      <c r="D1670">
        <v>-5333.9290000000001</v>
      </c>
      <c r="E1670" t="s">
        <v>4</v>
      </c>
      <c r="F1670" t="s">
        <v>43</v>
      </c>
      <c r="G1670" t="s">
        <v>7</v>
      </c>
    </row>
    <row r="1671" spans="1:7" x14ac:dyDescent="0.3">
      <c r="A1671" t="s">
        <v>32</v>
      </c>
      <c r="B1671" s="1">
        <v>45808</v>
      </c>
      <c r="C1671">
        <v>330115</v>
      </c>
      <c r="D1671">
        <v>-7697.8379999999997</v>
      </c>
      <c r="E1671" t="s">
        <v>4</v>
      </c>
      <c r="F1671" t="s">
        <v>43</v>
      </c>
      <c r="G1671" t="s">
        <v>7</v>
      </c>
    </row>
    <row r="1672" spans="1:7" x14ac:dyDescent="0.3">
      <c r="A1672" t="s">
        <v>32</v>
      </c>
      <c r="B1672" s="1">
        <v>45808</v>
      </c>
      <c r="C1672">
        <v>340053</v>
      </c>
      <c r="D1672">
        <v>2789397.4929999998</v>
      </c>
      <c r="E1672" t="s">
        <v>4</v>
      </c>
      <c r="F1672" t="s">
        <v>47</v>
      </c>
      <c r="G1672" t="s">
        <v>7</v>
      </c>
    </row>
    <row r="1673" spans="1:7" x14ac:dyDescent="0.3">
      <c r="A1673" t="s">
        <v>32</v>
      </c>
      <c r="B1673" s="1">
        <v>45808</v>
      </c>
      <c r="C1673">
        <v>340054</v>
      </c>
      <c r="D1673">
        <v>-2777369.8339999998</v>
      </c>
      <c r="E1673" t="s">
        <v>4</v>
      </c>
      <c r="F1673" t="s">
        <v>47</v>
      </c>
      <c r="G1673" t="s">
        <v>7</v>
      </c>
    </row>
    <row r="1674" spans="1:7" x14ac:dyDescent="0.3">
      <c r="A1674" t="s">
        <v>32</v>
      </c>
      <c r="B1674" s="1">
        <v>45808</v>
      </c>
      <c r="C1674">
        <v>340102</v>
      </c>
      <c r="D1674">
        <v>487406.86599999998</v>
      </c>
      <c r="E1674" t="s">
        <v>4</v>
      </c>
      <c r="F1674" t="s">
        <v>47</v>
      </c>
      <c r="G1674" t="s">
        <v>7</v>
      </c>
    </row>
    <row r="1675" spans="1:7" x14ac:dyDescent="0.3">
      <c r="A1675" t="s">
        <v>32</v>
      </c>
      <c r="B1675" s="1">
        <v>45808</v>
      </c>
      <c r="C1675">
        <v>340103</v>
      </c>
      <c r="D1675">
        <v>88395979.566</v>
      </c>
      <c r="E1675" t="s">
        <v>4</v>
      </c>
      <c r="F1675" t="s">
        <v>47</v>
      </c>
      <c r="G1675" t="s">
        <v>7</v>
      </c>
    </row>
    <row r="1676" spans="1:7" x14ac:dyDescent="0.3">
      <c r="A1676" t="s">
        <v>32</v>
      </c>
      <c r="B1676" s="1">
        <v>45808</v>
      </c>
      <c r="C1676">
        <v>340104</v>
      </c>
      <c r="D1676">
        <v>-88046568.338</v>
      </c>
      <c r="E1676" t="s">
        <v>4</v>
      </c>
      <c r="F1676" t="s">
        <v>47</v>
      </c>
      <c r="G1676" t="s">
        <v>7</v>
      </c>
    </row>
    <row r="1677" spans="1:7" x14ac:dyDescent="0.3">
      <c r="A1677" t="s">
        <v>32</v>
      </c>
      <c r="B1677" s="1">
        <v>45808</v>
      </c>
      <c r="C1677">
        <v>345019</v>
      </c>
      <c r="D1677">
        <v>49318.084000000003</v>
      </c>
      <c r="E1677" t="s">
        <v>4</v>
      </c>
      <c r="F1677" t="s">
        <v>47</v>
      </c>
      <c r="G1677" t="s">
        <v>7</v>
      </c>
    </row>
    <row r="1678" spans="1:7" x14ac:dyDescent="0.3">
      <c r="A1678" t="s">
        <v>32</v>
      </c>
      <c r="B1678" s="1">
        <v>45808</v>
      </c>
      <c r="C1678">
        <v>345020</v>
      </c>
      <c r="D1678">
        <v>4143352.4079999998</v>
      </c>
      <c r="E1678" t="s">
        <v>4</v>
      </c>
      <c r="F1678" t="s">
        <v>47</v>
      </c>
      <c r="G1678" t="s">
        <v>7</v>
      </c>
    </row>
    <row r="1679" spans="1:7" x14ac:dyDescent="0.3">
      <c r="A1679" t="s">
        <v>32</v>
      </c>
      <c r="B1679" s="1">
        <v>45808</v>
      </c>
      <c r="C1679">
        <v>345021</v>
      </c>
      <c r="D1679">
        <v>-4191907.1529999999</v>
      </c>
      <c r="E1679" t="s">
        <v>4</v>
      </c>
      <c r="F1679" t="s">
        <v>47</v>
      </c>
      <c r="G1679" t="s">
        <v>7</v>
      </c>
    </row>
    <row r="1680" spans="1:7" x14ac:dyDescent="0.3">
      <c r="A1680" t="s">
        <v>32</v>
      </c>
      <c r="B1680" s="1">
        <v>45808</v>
      </c>
      <c r="C1680">
        <v>345022</v>
      </c>
      <c r="D1680">
        <v>11891.275</v>
      </c>
      <c r="E1680" t="s">
        <v>4</v>
      </c>
      <c r="F1680" t="s">
        <v>47</v>
      </c>
      <c r="G1680" t="s">
        <v>7</v>
      </c>
    </row>
    <row r="1681" spans="1:7" x14ac:dyDescent="0.3">
      <c r="A1681" t="s">
        <v>32</v>
      </c>
      <c r="B1681" s="1">
        <v>45808</v>
      </c>
      <c r="C1681">
        <v>350002</v>
      </c>
      <c r="D1681">
        <v>3505.636</v>
      </c>
      <c r="E1681" t="s">
        <v>4</v>
      </c>
      <c r="F1681" t="s">
        <v>49</v>
      </c>
      <c r="G1681" t="s">
        <v>7</v>
      </c>
    </row>
    <row r="1682" spans="1:7" x14ac:dyDescent="0.3">
      <c r="A1682" t="s">
        <v>32</v>
      </c>
      <c r="B1682" s="1">
        <v>45808</v>
      </c>
      <c r="C1682">
        <v>350003</v>
      </c>
      <c r="D1682">
        <v>345.142</v>
      </c>
      <c r="E1682" t="s">
        <v>4</v>
      </c>
      <c r="F1682" t="s">
        <v>49</v>
      </c>
      <c r="G1682" t="s">
        <v>7</v>
      </c>
    </row>
    <row r="1683" spans="1:7" x14ac:dyDescent="0.3">
      <c r="A1683" t="s">
        <v>32</v>
      </c>
      <c r="B1683" s="1">
        <v>45808</v>
      </c>
      <c r="C1683">
        <v>350031</v>
      </c>
      <c r="D1683">
        <v>38537.536</v>
      </c>
      <c r="E1683" t="s">
        <v>4</v>
      </c>
      <c r="F1683" t="s">
        <v>43</v>
      </c>
      <c r="G1683" t="s">
        <v>7</v>
      </c>
    </row>
    <row r="1684" spans="1:7" x14ac:dyDescent="0.3">
      <c r="A1684" t="s">
        <v>32</v>
      </c>
      <c r="B1684" s="1">
        <v>45808</v>
      </c>
      <c r="C1684">
        <v>350034</v>
      </c>
      <c r="D1684">
        <v>6098.0879999999997</v>
      </c>
      <c r="E1684" t="s">
        <v>4</v>
      </c>
      <c r="F1684" t="s">
        <v>49</v>
      </c>
      <c r="G1684" t="s">
        <v>7</v>
      </c>
    </row>
    <row r="1685" spans="1:7" x14ac:dyDescent="0.3">
      <c r="A1685" t="s">
        <v>32</v>
      </c>
      <c r="B1685" s="1">
        <v>45808</v>
      </c>
      <c r="C1685">
        <v>351004</v>
      </c>
      <c r="D1685">
        <v>4866.9809999999998</v>
      </c>
      <c r="E1685" t="s">
        <v>4</v>
      </c>
      <c r="F1685" t="s">
        <v>45</v>
      </c>
      <c r="G1685" t="s">
        <v>7</v>
      </c>
    </row>
    <row r="1686" spans="1:7" x14ac:dyDescent="0.3">
      <c r="A1686" t="s">
        <v>32</v>
      </c>
      <c r="B1686" s="1">
        <v>45808</v>
      </c>
      <c r="C1686">
        <v>352002</v>
      </c>
      <c r="D1686">
        <v>1584.885</v>
      </c>
      <c r="E1686" t="s">
        <v>4</v>
      </c>
      <c r="F1686" t="s">
        <v>48</v>
      </c>
      <c r="G1686" t="s">
        <v>7</v>
      </c>
    </row>
    <row r="1687" spans="1:7" x14ac:dyDescent="0.3">
      <c r="A1687" t="s">
        <v>32</v>
      </c>
      <c r="B1687" s="1">
        <v>45808</v>
      </c>
      <c r="C1687">
        <v>352006</v>
      </c>
      <c r="D1687">
        <v>-3.1339999999999999</v>
      </c>
      <c r="E1687" t="s">
        <v>4</v>
      </c>
      <c r="F1687" t="s">
        <v>48</v>
      </c>
      <c r="G1687" t="s">
        <v>7</v>
      </c>
    </row>
    <row r="1688" spans="1:7" x14ac:dyDescent="0.3">
      <c r="A1688" t="s">
        <v>32</v>
      </c>
      <c r="B1688" s="1">
        <v>45808</v>
      </c>
      <c r="C1688">
        <v>354012</v>
      </c>
      <c r="D1688">
        <v>2680568.3080000002</v>
      </c>
      <c r="E1688" t="s">
        <v>4</v>
      </c>
      <c r="F1688" t="s">
        <v>46</v>
      </c>
      <c r="G1688" t="s">
        <v>7</v>
      </c>
    </row>
    <row r="1689" spans="1:7" x14ac:dyDescent="0.3">
      <c r="A1689" t="s">
        <v>32</v>
      </c>
      <c r="B1689" s="1">
        <v>45808</v>
      </c>
      <c r="C1689">
        <v>354013</v>
      </c>
      <c r="D1689">
        <v>46360.190999999999</v>
      </c>
      <c r="E1689" t="s">
        <v>4</v>
      </c>
      <c r="F1689" t="s">
        <v>46</v>
      </c>
      <c r="G1689" t="s">
        <v>7</v>
      </c>
    </row>
    <row r="1690" spans="1:7" x14ac:dyDescent="0.3">
      <c r="A1690" t="s">
        <v>32</v>
      </c>
      <c r="B1690" s="1">
        <v>45808</v>
      </c>
      <c r="C1690">
        <v>354014</v>
      </c>
      <c r="D1690">
        <v>376695.48100000003</v>
      </c>
      <c r="E1690" t="s">
        <v>4</v>
      </c>
      <c r="F1690" t="s">
        <v>46</v>
      </c>
      <c r="G1690" t="s">
        <v>7</v>
      </c>
    </row>
    <row r="1691" spans="1:7" x14ac:dyDescent="0.3">
      <c r="A1691" t="s">
        <v>32</v>
      </c>
      <c r="B1691" s="1">
        <v>45808</v>
      </c>
      <c r="C1691">
        <v>354015</v>
      </c>
      <c r="D1691">
        <v>17817.53</v>
      </c>
      <c r="E1691" t="s">
        <v>4</v>
      </c>
      <c r="F1691" t="s">
        <v>46</v>
      </c>
      <c r="G1691" t="s">
        <v>7</v>
      </c>
    </row>
    <row r="1692" spans="1:7" x14ac:dyDescent="0.3">
      <c r="A1692" t="s">
        <v>32</v>
      </c>
      <c r="B1692" s="1">
        <v>45808</v>
      </c>
      <c r="C1692">
        <v>355002</v>
      </c>
      <c r="D1692">
        <v>11368.121999999999</v>
      </c>
      <c r="E1692" t="s">
        <v>4</v>
      </c>
      <c r="F1692" t="s">
        <v>49</v>
      </c>
      <c r="G1692" t="s">
        <v>7</v>
      </c>
    </row>
    <row r="1693" spans="1:7" x14ac:dyDescent="0.3">
      <c r="A1693" t="s">
        <v>32</v>
      </c>
      <c r="B1693" s="1">
        <v>45808</v>
      </c>
      <c r="C1693">
        <v>355013</v>
      </c>
      <c r="D1693">
        <v>191687.818</v>
      </c>
      <c r="E1693" t="s">
        <v>4</v>
      </c>
      <c r="F1693" t="s">
        <v>49</v>
      </c>
      <c r="G1693" t="s">
        <v>7</v>
      </c>
    </row>
    <row r="1694" spans="1:7" x14ac:dyDescent="0.3">
      <c r="A1694" t="s">
        <v>32</v>
      </c>
      <c r="B1694" s="1">
        <v>45808</v>
      </c>
      <c r="C1694">
        <v>355014</v>
      </c>
      <c r="D1694">
        <v>93728.43</v>
      </c>
      <c r="E1694" t="s">
        <v>4</v>
      </c>
      <c r="F1694" t="s">
        <v>49</v>
      </c>
      <c r="G1694" t="s">
        <v>7</v>
      </c>
    </row>
    <row r="1695" spans="1:7" x14ac:dyDescent="0.3">
      <c r="A1695" t="s">
        <v>32</v>
      </c>
      <c r="B1695" s="1">
        <v>45808</v>
      </c>
      <c r="C1695">
        <v>360021</v>
      </c>
      <c r="D1695">
        <v>-53.042000000000002</v>
      </c>
      <c r="E1695" t="s">
        <v>4</v>
      </c>
      <c r="F1695" t="s">
        <v>45</v>
      </c>
      <c r="G1695" t="s">
        <v>7</v>
      </c>
    </row>
    <row r="1696" spans="1:7" x14ac:dyDescent="0.3">
      <c r="A1696" t="s">
        <v>32</v>
      </c>
      <c r="B1696" s="1">
        <v>45808</v>
      </c>
      <c r="C1696">
        <v>360026</v>
      </c>
      <c r="D1696">
        <v>219853.21299999999</v>
      </c>
      <c r="E1696" t="s">
        <v>4</v>
      </c>
      <c r="F1696" t="s">
        <v>58</v>
      </c>
      <c r="G1696" t="s">
        <v>7</v>
      </c>
    </row>
    <row r="1697" spans="1:7" x14ac:dyDescent="0.3">
      <c r="A1697" t="s">
        <v>32</v>
      </c>
      <c r="B1697" s="1">
        <v>45808</v>
      </c>
      <c r="C1697">
        <v>360028</v>
      </c>
      <c r="D1697">
        <v>113481.66499999999</v>
      </c>
      <c r="E1697" t="s">
        <v>4</v>
      </c>
      <c r="F1697" t="s">
        <v>58</v>
      </c>
      <c r="G1697" t="s">
        <v>7</v>
      </c>
    </row>
    <row r="1698" spans="1:7" x14ac:dyDescent="0.3">
      <c r="A1698" t="s">
        <v>32</v>
      </c>
      <c r="B1698" s="1">
        <v>45808</v>
      </c>
      <c r="C1698">
        <v>360030</v>
      </c>
      <c r="D1698">
        <v>71360.100999999995</v>
      </c>
      <c r="E1698" t="s">
        <v>4</v>
      </c>
      <c r="F1698" t="s">
        <v>58</v>
      </c>
      <c r="G1698" t="s">
        <v>7</v>
      </c>
    </row>
    <row r="1699" spans="1:7" x14ac:dyDescent="0.3">
      <c r="A1699" t="s">
        <v>32</v>
      </c>
      <c r="B1699" s="1">
        <v>45808</v>
      </c>
      <c r="C1699">
        <v>364502</v>
      </c>
      <c r="D1699">
        <v>178815.38800000001</v>
      </c>
      <c r="E1699" t="s">
        <v>4</v>
      </c>
      <c r="F1699" t="s">
        <v>58</v>
      </c>
      <c r="G1699" t="s">
        <v>7</v>
      </c>
    </row>
    <row r="1700" spans="1:7" x14ac:dyDescent="0.3">
      <c r="A1700" t="s">
        <v>32</v>
      </c>
      <c r="B1700" s="1">
        <v>45808</v>
      </c>
      <c r="C1700">
        <v>400002</v>
      </c>
      <c r="D1700">
        <v>-56911.485999999997</v>
      </c>
      <c r="E1700" t="s">
        <v>6</v>
      </c>
      <c r="F1700" t="s">
        <v>50</v>
      </c>
      <c r="G1700" t="s">
        <v>7</v>
      </c>
    </row>
    <row r="1701" spans="1:7" x14ac:dyDescent="0.3">
      <c r="A1701" t="s">
        <v>32</v>
      </c>
      <c r="B1701" s="1">
        <v>45808</v>
      </c>
      <c r="C1701">
        <v>400004</v>
      </c>
      <c r="D1701">
        <v>-34100.396999999997</v>
      </c>
      <c r="E1701" t="s">
        <v>6</v>
      </c>
      <c r="F1701" t="s">
        <v>50</v>
      </c>
      <c r="G1701" t="s">
        <v>7</v>
      </c>
    </row>
    <row r="1702" spans="1:7" x14ac:dyDescent="0.3">
      <c r="A1702" t="s">
        <v>32</v>
      </c>
      <c r="B1702" s="1">
        <v>45808</v>
      </c>
      <c r="C1702">
        <v>410006</v>
      </c>
      <c r="D1702">
        <v>-59963.154000000002</v>
      </c>
      <c r="E1702" t="s">
        <v>6</v>
      </c>
      <c r="F1702" t="s">
        <v>51</v>
      </c>
      <c r="G1702" t="s">
        <v>7</v>
      </c>
    </row>
    <row r="1703" spans="1:7" x14ac:dyDescent="0.3">
      <c r="A1703" t="s">
        <v>32</v>
      </c>
      <c r="B1703" s="1">
        <v>45808</v>
      </c>
      <c r="C1703">
        <v>410009</v>
      </c>
      <c r="D1703">
        <v>-3382.212</v>
      </c>
      <c r="E1703" t="s">
        <v>6</v>
      </c>
      <c r="F1703" t="s">
        <v>51</v>
      </c>
      <c r="G1703" t="s">
        <v>7</v>
      </c>
    </row>
    <row r="1704" spans="1:7" x14ac:dyDescent="0.3">
      <c r="A1704" t="s">
        <v>32</v>
      </c>
      <c r="B1704" s="1">
        <v>45808</v>
      </c>
      <c r="C1704">
        <v>410015</v>
      </c>
      <c r="D1704">
        <v>-49580.974999999999</v>
      </c>
      <c r="E1704" t="s">
        <v>6</v>
      </c>
      <c r="F1704" t="s">
        <v>51</v>
      </c>
      <c r="G1704" t="s">
        <v>7</v>
      </c>
    </row>
    <row r="1705" spans="1:7" x14ac:dyDescent="0.3">
      <c r="A1705" t="s">
        <v>32</v>
      </c>
      <c r="B1705" s="1">
        <v>45808</v>
      </c>
      <c r="C1705">
        <v>410019</v>
      </c>
      <c r="D1705">
        <v>193.02600000000001</v>
      </c>
      <c r="E1705" t="s">
        <v>6</v>
      </c>
      <c r="F1705" t="s">
        <v>51</v>
      </c>
      <c r="G1705" t="s">
        <v>7</v>
      </c>
    </row>
    <row r="1706" spans="1:7" x14ac:dyDescent="0.3">
      <c r="A1706" t="s">
        <v>32</v>
      </c>
      <c r="B1706" s="1">
        <v>45808</v>
      </c>
      <c r="C1706">
        <v>410032</v>
      </c>
      <c r="D1706">
        <v>-26328.353999999999</v>
      </c>
      <c r="E1706" t="s">
        <v>6</v>
      </c>
      <c r="F1706" t="s">
        <v>51</v>
      </c>
      <c r="G1706" t="s">
        <v>7</v>
      </c>
    </row>
    <row r="1707" spans="1:7" x14ac:dyDescent="0.3">
      <c r="A1707" t="s">
        <v>32</v>
      </c>
      <c r="B1707" s="1">
        <v>45808</v>
      </c>
      <c r="C1707">
        <v>410037</v>
      </c>
      <c r="D1707">
        <v>-257339.712</v>
      </c>
      <c r="E1707" t="s">
        <v>6</v>
      </c>
      <c r="F1707" t="s">
        <v>51</v>
      </c>
      <c r="G1707" t="s">
        <v>7</v>
      </c>
    </row>
    <row r="1708" spans="1:7" x14ac:dyDescent="0.3">
      <c r="A1708" t="s">
        <v>32</v>
      </c>
      <c r="B1708" s="1">
        <v>45808</v>
      </c>
      <c r="C1708">
        <v>410039</v>
      </c>
      <c r="D1708">
        <v>-8757.7270000000008</v>
      </c>
      <c r="E1708" t="s">
        <v>6</v>
      </c>
      <c r="F1708" t="s">
        <v>51</v>
      </c>
      <c r="G1708" t="s">
        <v>7</v>
      </c>
    </row>
    <row r="1709" spans="1:7" x14ac:dyDescent="0.3">
      <c r="A1709" t="s">
        <v>32</v>
      </c>
      <c r="B1709" s="1">
        <v>45808</v>
      </c>
      <c r="C1709">
        <v>415002</v>
      </c>
      <c r="D1709">
        <v>-1770080.037</v>
      </c>
      <c r="E1709" t="s">
        <v>6</v>
      </c>
      <c r="F1709" t="s">
        <v>50</v>
      </c>
      <c r="G1709" t="s">
        <v>7</v>
      </c>
    </row>
    <row r="1710" spans="1:7" x14ac:dyDescent="0.3">
      <c r="A1710" t="s">
        <v>32</v>
      </c>
      <c r="B1710" s="1">
        <v>45808</v>
      </c>
      <c r="C1710">
        <v>415003</v>
      </c>
      <c r="D1710">
        <v>-2152.0569999999998</v>
      </c>
      <c r="E1710" t="s">
        <v>6</v>
      </c>
      <c r="F1710" t="s">
        <v>50</v>
      </c>
      <c r="G1710" t="s">
        <v>7</v>
      </c>
    </row>
    <row r="1711" spans="1:7" x14ac:dyDescent="0.3">
      <c r="A1711" t="s">
        <v>32</v>
      </c>
      <c r="B1711" s="1">
        <v>45808</v>
      </c>
      <c r="C1711">
        <v>415004</v>
      </c>
      <c r="D1711">
        <v>-1747517.132</v>
      </c>
      <c r="E1711" t="s">
        <v>6</v>
      </c>
      <c r="F1711" t="s">
        <v>50</v>
      </c>
      <c r="G1711" t="s">
        <v>7</v>
      </c>
    </row>
    <row r="1712" spans="1:7" x14ac:dyDescent="0.3">
      <c r="A1712" t="s">
        <v>32</v>
      </c>
      <c r="B1712" s="1">
        <v>45808</v>
      </c>
      <c r="C1712">
        <v>420003</v>
      </c>
      <c r="D1712">
        <v>-399.01499999999999</v>
      </c>
      <c r="E1712" t="s">
        <v>6</v>
      </c>
      <c r="F1712" t="s">
        <v>52</v>
      </c>
      <c r="G1712" t="s">
        <v>7</v>
      </c>
    </row>
    <row r="1713" spans="1:7" x14ac:dyDescent="0.3">
      <c r="A1713" t="s">
        <v>32</v>
      </c>
      <c r="B1713" s="1">
        <v>45808</v>
      </c>
      <c r="C1713">
        <v>420004</v>
      </c>
      <c r="D1713">
        <v>-66.022000000000006</v>
      </c>
      <c r="E1713" t="s">
        <v>6</v>
      </c>
      <c r="F1713" t="s">
        <v>52</v>
      </c>
      <c r="G1713" t="s">
        <v>7</v>
      </c>
    </row>
    <row r="1714" spans="1:7" x14ac:dyDescent="0.3">
      <c r="A1714" t="s">
        <v>32</v>
      </c>
      <c r="B1714" s="1">
        <v>45808</v>
      </c>
      <c r="C1714">
        <v>421003</v>
      </c>
      <c r="D1714">
        <v>-6930.8739999999998</v>
      </c>
      <c r="E1714" t="s">
        <v>6</v>
      </c>
      <c r="F1714" t="s">
        <v>52</v>
      </c>
      <c r="G1714" t="s">
        <v>7</v>
      </c>
    </row>
    <row r="1715" spans="1:7" x14ac:dyDescent="0.3">
      <c r="A1715" t="s">
        <v>32</v>
      </c>
      <c r="B1715" s="1">
        <v>45808</v>
      </c>
      <c r="C1715">
        <v>421007</v>
      </c>
      <c r="D1715">
        <v>-5.8869999999999996</v>
      </c>
      <c r="E1715" t="s">
        <v>6</v>
      </c>
      <c r="F1715" t="s">
        <v>52</v>
      </c>
      <c r="G1715" t="s">
        <v>7</v>
      </c>
    </row>
    <row r="1716" spans="1:7" x14ac:dyDescent="0.3">
      <c r="A1716" t="s">
        <v>32</v>
      </c>
      <c r="B1716" s="1">
        <v>45808</v>
      </c>
      <c r="C1716">
        <v>510002</v>
      </c>
      <c r="D1716">
        <v>665876.826</v>
      </c>
      <c r="E1716" t="s">
        <v>6</v>
      </c>
      <c r="F1716" t="s">
        <v>53</v>
      </c>
      <c r="G1716" t="s">
        <v>7</v>
      </c>
    </row>
    <row r="1717" spans="1:7" x14ac:dyDescent="0.3">
      <c r="A1717" t="s">
        <v>32</v>
      </c>
      <c r="B1717" s="1">
        <v>45808</v>
      </c>
      <c r="C1717">
        <v>510005</v>
      </c>
      <c r="D1717">
        <v>32851.93</v>
      </c>
      <c r="E1717" t="s">
        <v>6</v>
      </c>
      <c r="F1717" t="s">
        <v>53</v>
      </c>
      <c r="G1717" t="s">
        <v>7</v>
      </c>
    </row>
    <row r="1718" spans="1:7" x14ac:dyDescent="0.3">
      <c r="A1718" t="s">
        <v>32</v>
      </c>
      <c r="B1718" s="1">
        <v>45808</v>
      </c>
      <c r="C1718">
        <v>510007</v>
      </c>
      <c r="D1718">
        <v>59655.144999999997</v>
      </c>
      <c r="E1718" t="s">
        <v>6</v>
      </c>
      <c r="F1718" t="s">
        <v>53</v>
      </c>
      <c r="G1718" t="s">
        <v>7</v>
      </c>
    </row>
    <row r="1719" spans="1:7" x14ac:dyDescent="0.3">
      <c r="A1719" t="s">
        <v>32</v>
      </c>
      <c r="B1719" s="1">
        <v>45808</v>
      </c>
      <c r="C1719">
        <v>510008</v>
      </c>
      <c r="D1719">
        <v>135.83600000000001</v>
      </c>
      <c r="E1719" t="s">
        <v>6</v>
      </c>
      <c r="F1719" t="s">
        <v>53</v>
      </c>
      <c r="G1719" t="s">
        <v>7</v>
      </c>
    </row>
    <row r="1720" spans="1:7" x14ac:dyDescent="0.3">
      <c r="A1720" t="s">
        <v>32</v>
      </c>
      <c r="B1720" s="1">
        <v>45808</v>
      </c>
      <c r="C1720">
        <v>510010</v>
      </c>
      <c r="D1720">
        <v>7598.0789999999997</v>
      </c>
      <c r="E1720" t="s">
        <v>6</v>
      </c>
      <c r="F1720" t="s">
        <v>53</v>
      </c>
      <c r="G1720" t="s">
        <v>7</v>
      </c>
    </row>
    <row r="1721" spans="1:7" x14ac:dyDescent="0.3">
      <c r="A1721" t="s">
        <v>32</v>
      </c>
      <c r="B1721" s="1">
        <v>45808</v>
      </c>
      <c r="C1721">
        <v>510012</v>
      </c>
      <c r="D1721">
        <v>7698.4660000000003</v>
      </c>
      <c r="E1721" t="s">
        <v>6</v>
      </c>
      <c r="F1721" t="s">
        <v>53</v>
      </c>
      <c r="G1721" t="s">
        <v>7</v>
      </c>
    </row>
    <row r="1722" spans="1:7" x14ac:dyDescent="0.3">
      <c r="A1722" t="s">
        <v>32</v>
      </c>
      <c r="B1722" s="1">
        <v>45808</v>
      </c>
      <c r="C1722">
        <v>510015</v>
      </c>
      <c r="D1722">
        <v>65874.542000000001</v>
      </c>
      <c r="E1722" t="s">
        <v>6</v>
      </c>
      <c r="F1722" t="s">
        <v>53</v>
      </c>
      <c r="G1722" t="s">
        <v>7</v>
      </c>
    </row>
    <row r="1723" spans="1:7" x14ac:dyDescent="0.3">
      <c r="A1723" t="s">
        <v>32</v>
      </c>
      <c r="B1723" s="1">
        <v>45808</v>
      </c>
      <c r="C1723">
        <v>510018</v>
      </c>
      <c r="D1723">
        <v>62377.641000000003</v>
      </c>
      <c r="E1723" t="s">
        <v>6</v>
      </c>
      <c r="F1723" t="s">
        <v>53</v>
      </c>
      <c r="G1723" t="s">
        <v>7</v>
      </c>
    </row>
    <row r="1724" spans="1:7" x14ac:dyDescent="0.3">
      <c r="A1724" t="s">
        <v>32</v>
      </c>
      <c r="B1724" s="1">
        <v>45808</v>
      </c>
      <c r="C1724">
        <v>510048</v>
      </c>
      <c r="D1724">
        <v>34.034999999999997</v>
      </c>
      <c r="E1724" t="s">
        <v>6</v>
      </c>
      <c r="F1724" t="s">
        <v>61</v>
      </c>
      <c r="G1724" t="s">
        <v>7</v>
      </c>
    </row>
    <row r="1725" spans="1:7" x14ac:dyDescent="0.3">
      <c r="A1725" t="s">
        <v>32</v>
      </c>
      <c r="B1725" s="1">
        <v>45808</v>
      </c>
      <c r="C1725">
        <v>510059</v>
      </c>
      <c r="D1725">
        <v>4213.2849999999999</v>
      </c>
      <c r="E1725" t="s">
        <v>6</v>
      </c>
      <c r="F1725" t="s">
        <v>53</v>
      </c>
      <c r="G1725" t="s">
        <v>7</v>
      </c>
    </row>
    <row r="1726" spans="1:7" x14ac:dyDescent="0.3">
      <c r="A1726" t="s">
        <v>32</v>
      </c>
      <c r="B1726" s="1">
        <v>45808</v>
      </c>
      <c r="C1726">
        <v>510062</v>
      </c>
      <c r="D1726">
        <v>18042.294000000002</v>
      </c>
      <c r="E1726" t="s">
        <v>6</v>
      </c>
      <c r="F1726" t="s">
        <v>53</v>
      </c>
      <c r="G1726" t="s">
        <v>7</v>
      </c>
    </row>
    <row r="1727" spans="1:7" x14ac:dyDescent="0.3">
      <c r="A1727" t="s">
        <v>32</v>
      </c>
      <c r="B1727" s="1">
        <v>45808</v>
      </c>
      <c r="C1727">
        <v>510064</v>
      </c>
      <c r="D1727">
        <v>386.07900000000001</v>
      </c>
      <c r="E1727" t="s">
        <v>6</v>
      </c>
      <c r="F1727" t="s">
        <v>53</v>
      </c>
      <c r="G1727" t="s">
        <v>7</v>
      </c>
    </row>
    <row r="1728" spans="1:7" x14ac:dyDescent="0.3">
      <c r="A1728" t="s">
        <v>32</v>
      </c>
      <c r="B1728" s="1">
        <v>45808</v>
      </c>
      <c r="C1728">
        <v>510065</v>
      </c>
      <c r="D1728">
        <v>13539.718999999999</v>
      </c>
      <c r="E1728" t="s">
        <v>6</v>
      </c>
      <c r="F1728" t="s">
        <v>53</v>
      </c>
      <c r="G1728" t="s">
        <v>7</v>
      </c>
    </row>
    <row r="1729" spans="1:7" x14ac:dyDescent="0.3">
      <c r="A1729" t="s">
        <v>32</v>
      </c>
      <c r="B1729" s="1">
        <v>45808</v>
      </c>
      <c r="C1729">
        <v>520020</v>
      </c>
      <c r="D1729">
        <v>595.74099999999999</v>
      </c>
      <c r="E1729" t="s">
        <v>6</v>
      </c>
      <c r="F1729" t="s">
        <v>53</v>
      </c>
      <c r="G1729" t="s">
        <v>7</v>
      </c>
    </row>
    <row r="1730" spans="1:7" x14ac:dyDescent="0.3">
      <c r="A1730" t="s">
        <v>32</v>
      </c>
      <c r="B1730" s="1">
        <v>45808</v>
      </c>
      <c r="C1730">
        <v>520021</v>
      </c>
      <c r="D1730">
        <v>787.28800000000001</v>
      </c>
      <c r="E1730" t="s">
        <v>6</v>
      </c>
      <c r="F1730" t="s">
        <v>60</v>
      </c>
      <c r="G1730" t="s">
        <v>7</v>
      </c>
    </row>
    <row r="1731" spans="1:7" x14ac:dyDescent="0.3">
      <c r="A1731" t="s">
        <v>32</v>
      </c>
      <c r="B1731" s="1">
        <v>45808</v>
      </c>
      <c r="C1731">
        <v>530012</v>
      </c>
      <c r="D1731">
        <v>11208.918</v>
      </c>
      <c r="E1731" t="s">
        <v>6</v>
      </c>
      <c r="F1731" t="s">
        <v>53</v>
      </c>
      <c r="G1731" t="s">
        <v>7</v>
      </c>
    </row>
    <row r="1732" spans="1:7" x14ac:dyDescent="0.3">
      <c r="A1732" t="s">
        <v>32</v>
      </c>
      <c r="B1732" s="1">
        <v>45808</v>
      </c>
      <c r="C1732">
        <v>540004</v>
      </c>
      <c r="D1732">
        <v>63.889000000000003</v>
      </c>
      <c r="E1732" t="s">
        <v>6</v>
      </c>
      <c r="F1732" t="s">
        <v>67</v>
      </c>
      <c r="G1732" t="s">
        <v>7</v>
      </c>
    </row>
    <row r="1733" spans="1:7" x14ac:dyDescent="0.3">
      <c r="A1733" t="s">
        <v>32</v>
      </c>
      <c r="B1733" s="1">
        <v>45808</v>
      </c>
      <c r="C1733">
        <v>540008</v>
      </c>
      <c r="D1733">
        <v>2443.085</v>
      </c>
      <c r="E1733" t="s">
        <v>6</v>
      </c>
      <c r="F1733" t="s">
        <v>67</v>
      </c>
      <c r="G1733" t="s">
        <v>7</v>
      </c>
    </row>
    <row r="1734" spans="1:7" x14ac:dyDescent="0.3">
      <c r="A1734" t="s">
        <v>32</v>
      </c>
      <c r="B1734" s="1">
        <v>45808</v>
      </c>
      <c r="C1734">
        <v>541002</v>
      </c>
      <c r="D1734">
        <v>-2.2930000000000001</v>
      </c>
      <c r="E1734" t="s">
        <v>6</v>
      </c>
      <c r="F1734" t="s">
        <v>61</v>
      </c>
      <c r="G1734" t="s">
        <v>7</v>
      </c>
    </row>
    <row r="1735" spans="1:7" x14ac:dyDescent="0.3">
      <c r="A1735" t="s">
        <v>32</v>
      </c>
      <c r="B1735" s="1">
        <v>45808</v>
      </c>
      <c r="C1735">
        <v>541004</v>
      </c>
      <c r="D1735">
        <v>2631.194</v>
      </c>
      <c r="E1735" t="s">
        <v>6</v>
      </c>
      <c r="F1735" t="s">
        <v>61</v>
      </c>
      <c r="G1735" t="s">
        <v>7</v>
      </c>
    </row>
    <row r="1736" spans="1:7" x14ac:dyDescent="0.3">
      <c r="A1736" t="s">
        <v>32</v>
      </c>
      <c r="B1736" s="1">
        <v>45808</v>
      </c>
      <c r="C1736">
        <v>541009</v>
      </c>
      <c r="D1736">
        <v>12506.031999999999</v>
      </c>
      <c r="E1736" t="s">
        <v>6</v>
      </c>
      <c r="F1736" t="s">
        <v>61</v>
      </c>
      <c r="G1736" t="s">
        <v>7</v>
      </c>
    </row>
    <row r="1737" spans="1:7" x14ac:dyDescent="0.3">
      <c r="A1737" t="s">
        <v>32</v>
      </c>
      <c r="B1737" s="1">
        <v>45808</v>
      </c>
      <c r="C1737">
        <v>541010</v>
      </c>
      <c r="D1737">
        <v>5547.2860000000001</v>
      </c>
      <c r="E1737" t="s">
        <v>6</v>
      </c>
      <c r="F1737" t="s">
        <v>61</v>
      </c>
      <c r="G1737" t="s">
        <v>7</v>
      </c>
    </row>
    <row r="1738" spans="1:7" x14ac:dyDescent="0.3">
      <c r="A1738" t="s">
        <v>32</v>
      </c>
      <c r="B1738" s="1">
        <v>45808</v>
      </c>
      <c r="C1738">
        <v>541013</v>
      </c>
      <c r="D1738">
        <v>2743.259</v>
      </c>
      <c r="E1738" t="s">
        <v>6</v>
      </c>
      <c r="F1738" t="s">
        <v>61</v>
      </c>
      <c r="G1738" t="s">
        <v>7</v>
      </c>
    </row>
    <row r="1739" spans="1:7" x14ac:dyDescent="0.3">
      <c r="A1739" t="s">
        <v>32</v>
      </c>
      <c r="B1739" s="1">
        <v>45808</v>
      </c>
      <c r="C1739">
        <v>544006</v>
      </c>
      <c r="D1739">
        <v>10976.481</v>
      </c>
      <c r="E1739" t="s">
        <v>6</v>
      </c>
      <c r="F1739" t="s">
        <v>61</v>
      </c>
      <c r="G1739" t="s">
        <v>7</v>
      </c>
    </row>
    <row r="1740" spans="1:7" x14ac:dyDescent="0.3">
      <c r="A1740" t="s">
        <v>32</v>
      </c>
      <c r="B1740" s="1">
        <v>45808</v>
      </c>
      <c r="C1740">
        <v>546002</v>
      </c>
      <c r="D1740">
        <v>1692536.665</v>
      </c>
      <c r="E1740" t="s">
        <v>6</v>
      </c>
      <c r="F1740" t="s">
        <v>51</v>
      </c>
      <c r="G1740" t="s">
        <v>7</v>
      </c>
    </row>
    <row r="1741" spans="1:7" x14ac:dyDescent="0.3">
      <c r="A1741" t="s">
        <v>32</v>
      </c>
      <c r="B1741" s="1">
        <v>45808</v>
      </c>
      <c r="C1741">
        <v>546005</v>
      </c>
      <c r="D1741">
        <v>5882.3190000000004</v>
      </c>
      <c r="E1741" t="s">
        <v>6</v>
      </c>
      <c r="F1741" t="s">
        <v>51</v>
      </c>
      <c r="G1741" t="s">
        <v>7</v>
      </c>
    </row>
    <row r="1742" spans="1:7" x14ac:dyDescent="0.3">
      <c r="A1742" t="s">
        <v>32</v>
      </c>
      <c r="B1742" s="1">
        <v>45808</v>
      </c>
      <c r="C1742">
        <v>546008</v>
      </c>
      <c r="D1742">
        <v>44250.7</v>
      </c>
      <c r="E1742" t="s">
        <v>6</v>
      </c>
      <c r="F1742" t="s">
        <v>51</v>
      </c>
      <c r="G1742" t="s">
        <v>7</v>
      </c>
    </row>
    <row r="1743" spans="1:7" x14ac:dyDescent="0.3">
      <c r="A1743" t="s">
        <v>32</v>
      </c>
      <c r="B1743" s="1">
        <v>45808</v>
      </c>
      <c r="C1743">
        <v>546012</v>
      </c>
      <c r="D1743">
        <v>8815.7990000000009</v>
      </c>
      <c r="E1743" t="s">
        <v>6</v>
      </c>
      <c r="F1743" t="s">
        <v>51</v>
      </c>
      <c r="G1743" t="s">
        <v>7</v>
      </c>
    </row>
    <row r="1744" spans="1:7" x14ac:dyDescent="0.3">
      <c r="A1744" t="s">
        <v>32</v>
      </c>
      <c r="B1744" s="1">
        <v>45808</v>
      </c>
      <c r="C1744">
        <v>546015</v>
      </c>
      <c r="D1744">
        <v>161921.024</v>
      </c>
      <c r="E1744" t="s">
        <v>6</v>
      </c>
      <c r="F1744" t="s">
        <v>51</v>
      </c>
      <c r="G1744" t="s">
        <v>7</v>
      </c>
    </row>
    <row r="1745" spans="1:7" x14ac:dyDescent="0.3">
      <c r="A1745" t="s">
        <v>32</v>
      </c>
      <c r="B1745" s="1">
        <v>45808</v>
      </c>
      <c r="C1745">
        <v>546016</v>
      </c>
      <c r="D1745">
        <v>20664.636999999999</v>
      </c>
      <c r="E1745" t="s">
        <v>6</v>
      </c>
      <c r="F1745" t="s">
        <v>51</v>
      </c>
      <c r="G1745" t="s">
        <v>7</v>
      </c>
    </row>
    <row r="1746" spans="1:7" x14ac:dyDescent="0.3">
      <c r="A1746" t="s">
        <v>32</v>
      </c>
      <c r="B1746" s="1">
        <v>45808</v>
      </c>
      <c r="C1746">
        <v>546018</v>
      </c>
      <c r="D1746">
        <v>2074.98</v>
      </c>
      <c r="E1746" t="s">
        <v>6</v>
      </c>
      <c r="F1746" t="s">
        <v>51</v>
      </c>
      <c r="G1746" t="s">
        <v>7</v>
      </c>
    </row>
    <row r="1747" spans="1:7" x14ac:dyDescent="0.3">
      <c r="A1747" t="s">
        <v>32</v>
      </c>
      <c r="B1747" s="1">
        <v>45808</v>
      </c>
      <c r="C1747">
        <v>546022</v>
      </c>
      <c r="D1747">
        <v>25947.874</v>
      </c>
      <c r="E1747" t="s">
        <v>6</v>
      </c>
      <c r="F1747" t="s">
        <v>51</v>
      </c>
      <c r="G1747" t="s">
        <v>7</v>
      </c>
    </row>
    <row r="1748" spans="1:7" x14ac:dyDescent="0.3">
      <c r="A1748" t="s">
        <v>32</v>
      </c>
      <c r="B1748" s="1">
        <v>45808</v>
      </c>
      <c r="C1748">
        <v>546035</v>
      </c>
      <c r="D1748">
        <v>5360.4690000000001</v>
      </c>
      <c r="E1748" t="s">
        <v>6</v>
      </c>
      <c r="F1748" t="s">
        <v>51</v>
      </c>
      <c r="G1748" t="s">
        <v>7</v>
      </c>
    </row>
    <row r="1749" spans="1:7" x14ac:dyDescent="0.3">
      <c r="A1749" t="s">
        <v>32</v>
      </c>
      <c r="B1749" s="1">
        <v>45808</v>
      </c>
      <c r="C1749">
        <v>546038</v>
      </c>
      <c r="D1749">
        <v>5143.4229999999998</v>
      </c>
      <c r="E1749" t="s">
        <v>6</v>
      </c>
      <c r="F1749" t="s">
        <v>51</v>
      </c>
      <c r="G1749" t="s">
        <v>7</v>
      </c>
    </row>
    <row r="1750" spans="1:7" x14ac:dyDescent="0.3">
      <c r="A1750" t="s">
        <v>32</v>
      </c>
      <c r="B1750" s="1">
        <v>45808</v>
      </c>
      <c r="C1750">
        <v>546040</v>
      </c>
      <c r="D1750">
        <v>101125.67600000001</v>
      </c>
      <c r="E1750" t="s">
        <v>6</v>
      </c>
      <c r="F1750" t="s">
        <v>51</v>
      </c>
      <c r="G1750" t="s">
        <v>7</v>
      </c>
    </row>
    <row r="1751" spans="1:7" x14ac:dyDescent="0.3">
      <c r="A1751" t="s">
        <v>32</v>
      </c>
      <c r="B1751" s="1">
        <v>45808</v>
      </c>
      <c r="C1751">
        <v>546045</v>
      </c>
      <c r="D1751">
        <v>8037.4059999999999</v>
      </c>
      <c r="E1751" t="s">
        <v>6</v>
      </c>
      <c r="F1751" t="s">
        <v>51</v>
      </c>
      <c r="G1751" t="s">
        <v>7</v>
      </c>
    </row>
    <row r="1752" spans="1:7" x14ac:dyDescent="0.3">
      <c r="A1752" t="s">
        <v>32</v>
      </c>
      <c r="B1752" s="1">
        <v>45808</v>
      </c>
      <c r="C1752">
        <v>546047</v>
      </c>
      <c r="D1752">
        <v>3490.1869999999999</v>
      </c>
      <c r="E1752" t="s">
        <v>6</v>
      </c>
      <c r="F1752" t="s">
        <v>51</v>
      </c>
      <c r="G1752" t="s">
        <v>7</v>
      </c>
    </row>
    <row r="1753" spans="1:7" x14ac:dyDescent="0.3">
      <c r="A1753" t="s">
        <v>32</v>
      </c>
      <c r="B1753" s="1">
        <v>45808</v>
      </c>
      <c r="C1753">
        <v>547002</v>
      </c>
      <c r="D1753">
        <v>220929.22700000001</v>
      </c>
      <c r="E1753" t="s">
        <v>6</v>
      </c>
      <c r="F1753" t="s">
        <v>54</v>
      </c>
      <c r="G1753" t="s">
        <v>7</v>
      </c>
    </row>
    <row r="1754" spans="1:7" x14ac:dyDescent="0.3">
      <c r="A1754" t="s">
        <v>32</v>
      </c>
      <c r="B1754" s="1">
        <v>45808</v>
      </c>
      <c r="C1754">
        <v>547006</v>
      </c>
      <c r="D1754">
        <v>19193.865000000002</v>
      </c>
      <c r="E1754" t="s">
        <v>6</v>
      </c>
      <c r="F1754" t="s">
        <v>54</v>
      </c>
      <c r="G1754" t="s">
        <v>7</v>
      </c>
    </row>
    <row r="1755" spans="1:7" x14ac:dyDescent="0.3">
      <c r="A1755" t="s">
        <v>32</v>
      </c>
      <c r="B1755" s="1">
        <v>45808</v>
      </c>
      <c r="C1755">
        <v>547011</v>
      </c>
      <c r="D1755">
        <v>519.39300000000003</v>
      </c>
      <c r="E1755" t="s">
        <v>6</v>
      </c>
      <c r="F1755" t="s">
        <v>54</v>
      </c>
      <c r="G1755" t="s">
        <v>7</v>
      </c>
    </row>
    <row r="1756" spans="1:7" x14ac:dyDescent="0.3">
      <c r="A1756" t="s">
        <v>32</v>
      </c>
      <c r="B1756" s="1">
        <v>45808</v>
      </c>
      <c r="C1756">
        <v>550002</v>
      </c>
      <c r="D1756">
        <v>-4187.1440000000002</v>
      </c>
      <c r="E1756" t="s">
        <v>6</v>
      </c>
      <c r="F1756" t="s">
        <v>62</v>
      </c>
      <c r="G1756" t="s">
        <v>7</v>
      </c>
    </row>
    <row r="1757" spans="1:7" x14ac:dyDescent="0.3">
      <c r="A1757" t="s">
        <v>32</v>
      </c>
      <c r="B1757" s="1">
        <v>45808</v>
      </c>
      <c r="C1757">
        <v>550003</v>
      </c>
      <c r="D1757">
        <v>439053.04700000002</v>
      </c>
      <c r="E1757" t="s">
        <v>6</v>
      </c>
      <c r="F1757" t="s">
        <v>62</v>
      </c>
      <c r="G1757" t="s">
        <v>7</v>
      </c>
    </row>
    <row r="1758" spans="1:7" x14ac:dyDescent="0.3">
      <c r="A1758" t="s">
        <v>32</v>
      </c>
      <c r="B1758" s="1">
        <v>45808</v>
      </c>
      <c r="C1758">
        <v>551002</v>
      </c>
      <c r="D1758">
        <v>6091.0879999999997</v>
      </c>
      <c r="E1758" t="s">
        <v>6</v>
      </c>
      <c r="F1758" t="s">
        <v>63</v>
      </c>
      <c r="G1758" t="s">
        <v>7</v>
      </c>
    </row>
    <row r="1759" spans="1:7" x14ac:dyDescent="0.3">
      <c r="A1759" t="s">
        <v>32</v>
      </c>
      <c r="B1759" s="1">
        <v>45808</v>
      </c>
      <c r="C1759">
        <v>551003</v>
      </c>
      <c r="D1759">
        <v>12661.623</v>
      </c>
      <c r="E1759" t="s">
        <v>6</v>
      </c>
      <c r="F1759" t="s">
        <v>63</v>
      </c>
      <c r="G1759" t="s">
        <v>7</v>
      </c>
    </row>
    <row r="1760" spans="1:7" x14ac:dyDescent="0.3">
      <c r="A1760" t="s">
        <v>32</v>
      </c>
      <c r="B1760" s="1">
        <v>45808</v>
      </c>
      <c r="C1760">
        <v>551011</v>
      </c>
      <c r="D1760">
        <v>252.24700000000001</v>
      </c>
      <c r="E1760" t="s">
        <v>6</v>
      </c>
      <c r="F1760" t="s">
        <v>61</v>
      </c>
      <c r="G1760" t="s">
        <v>7</v>
      </c>
    </row>
    <row r="1761" spans="1:7" x14ac:dyDescent="0.3">
      <c r="A1761" t="s">
        <v>32</v>
      </c>
      <c r="B1761" s="1">
        <v>45808</v>
      </c>
      <c r="C1761">
        <v>552002</v>
      </c>
      <c r="D1761">
        <v>840.77700000000004</v>
      </c>
      <c r="E1761" t="s">
        <v>6</v>
      </c>
      <c r="F1761" t="s">
        <v>55</v>
      </c>
      <c r="G1761" t="s">
        <v>7</v>
      </c>
    </row>
    <row r="1762" spans="1:7" x14ac:dyDescent="0.3">
      <c r="A1762" t="s">
        <v>32</v>
      </c>
      <c r="B1762" s="1">
        <v>45808</v>
      </c>
      <c r="C1762">
        <v>552502</v>
      </c>
      <c r="D1762">
        <v>1.8280000000000001</v>
      </c>
      <c r="E1762" t="s">
        <v>6</v>
      </c>
      <c r="F1762" t="s">
        <v>55</v>
      </c>
      <c r="G1762" t="s">
        <v>7</v>
      </c>
    </row>
    <row r="1763" spans="1:7" x14ac:dyDescent="0.3">
      <c r="A1763" t="s">
        <v>32</v>
      </c>
      <c r="B1763" s="1">
        <v>45808</v>
      </c>
      <c r="C1763">
        <v>552504</v>
      </c>
      <c r="D1763">
        <v>945.17899999999997</v>
      </c>
      <c r="E1763" t="s">
        <v>6</v>
      </c>
      <c r="F1763" t="s">
        <v>55</v>
      </c>
      <c r="G1763" t="s">
        <v>7</v>
      </c>
    </row>
    <row r="1764" spans="1:7" x14ac:dyDescent="0.3">
      <c r="A1764" t="s">
        <v>32</v>
      </c>
      <c r="B1764" s="1">
        <v>45808</v>
      </c>
      <c r="C1764">
        <v>554005</v>
      </c>
      <c r="D1764">
        <v>3.1560000000000001</v>
      </c>
      <c r="E1764" t="s">
        <v>6</v>
      </c>
      <c r="F1764" t="s">
        <v>55</v>
      </c>
      <c r="G1764" t="s">
        <v>7</v>
      </c>
    </row>
    <row r="1765" spans="1:7" x14ac:dyDescent="0.3">
      <c r="A1765" t="s">
        <v>32</v>
      </c>
      <c r="B1765" s="1">
        <v>45808</v>
      </c>
      <c r="C1765">
        <v>554007</v>
      </c>
      <c r="D1765">
        <v>9.8000000000000004E-2</v>
      </c>
      <c r="E1765" t="s">
        <v>6</v>
      </c>
      <c r="F1765" t="s">
        <v>55</v>
      </c>
      <c r="G1765" t="s">
        <v>7</v>
      </c>
    </row>
    <row r="1766" spans="1:7" x14ac:dyDescent="0.3">
      <c r="A1766" t="s">
        <v>32</v>
      </c>
      <c r="B1766" s="1">
        <v>45808</v>
      </c>
      <c r="C1766">
        <v>555007</v>
      </c>
      <c r="D1766">
        <v>3708.3330000000001</v>
      </c>
      <c r="E1766" t="s">
        <v>6</v>
      </c>
      <c r="F1766" t="s">
        <v>55</v>
      </c>
      <c r="G1766" t="s">
        <v>7</v>
      </c>
    </row>
    <row r="1767" spans="1:7" x14ac:dyDescent="0.3">
      <c r="A1767" t="s">
        <v>32</v>
      </c>
      <c r="B1767" s="1">
        <v>45808</v>
      </c>
      <c r="C1767">
        <v>555502</v>
      </c>
      <c r="D1767">
        <v>4403.7719999999999</v>
      </c>
      <c r="E1767" t="s">
        <v>6</v>
      </c>
      <c r="F1767" t="s">
        <v>55</v>
      </c>
      <c r="G1767" t="s">
        <v>7</v>
      </c>
    </row>
    <row r="1768" spans="1:7" x14ac:dyDescent="0.3">
      <c r="A1768" t="s">
        <v>32</v>
      </c>
      <c r="B1768" s="1">
        <v>45808</v>
      </c>
      <c r="C1768">
        <v>555508</v>
      </c>
      <c r="D1768">
        <v>-134.55199999999999</v>
      </c>
      <c r="E1768" t="s">
        <v>6</v>
      </c>
      <c r="F1768" t="s">
        <v>55</v>
      </c>
      <c r="G1768" t="s">
        <v>7</v>
      </c>
    </row>
    <row r="1769" spans="1:7" x14ac:dyDescent="0.3">
      <c r="A1769" t="s">
        <v>32</v>
      </c>
      <c r="B1769" s="1">
        <v>45808</v>
      </c>
      <c r="C1769">
        <v>556002</v>
      </c>
      <c r="D1769">
        <v>-22549.166000000001</v>
      </c>
      <c r="E1769" t="s">
        <v>6</v>
      </c>
      <c r="F1769" t="s">
        <v>60</v>
      </c>
      <c r="G1769" t="s">
        <v>7</v>
      </c>
    </row>
    <row r="1770" spans="1:7" x14ac:dyDescent="0.3">
      <c r="A1770" t="s">
        <v>32</v>
      </c>
      <c r="B1770" s="1">
        <v>45808</v>
      </c>
      <c r="C1770">
        <v>556004</v>
      </c>
      <c r="D1770">
        <v>1371.2380000000001</v>
      </c>
      <c r="E1770" t="s">
        <v>6</v>
      </c>
      <c r="F1770" t="s">
        <v>55</v>
      </c>
      <c r="G1770" t="s">
        <v>7</v>
      </c>
    </row>
    <row r="1771" spans="1:7" x14ac:dyDescent="0.3">
      <c r="A1771" t="s">
        <v>32</v>
      </c>
      <c r="B1771" s="1">
        <v>45808</v>
      </c>
      <c r="C1771">
        <v>557002</v>
      </c>
      <c r="D1771">
        <v>16721.449000000001</v>
      </c>
      <c r="E1771" t="s">
        <v>6</v>
      </c>
      <c r="F1771" t="s">
        <v>56</v>
      </c>
      <c r="G1771" t="s">
        <v>7</v>
      </c>
    </row>
    <row r="1772" spans="1:7" x14ac:dyDescent="0.3">
      <c r="A1772" t="s">
        <v>32</v>
      </c>
      <c r="B1772" s="1">
        <v>45808</v>
      </c>
      <c r="C1772">
        <v>557003</v>
      </c>
      <c r="D1772">
        <v>8009.6469999999999</v>
      </c>
      <c r="E1772" t="s">
        <v>6</v>
      </c>
      <c r="F1772" t="s">
        <v>56</v>
      </c>
      <c r="G1772" t="s">
        <v>7</v>
      </c>
    </row>
    <row r="1773" spans="1:7" x14ac:dyDescent="0.3">
      <c r="A1773" t="s">
        <v>32</v>
      </c>
      <c r="B1773" s="1">
        <v>45808</v>
      </c>
      <c r="C1773">
        <v>558003</v>
      </c>
      <c r="D1773">
        <v>2209.2600000000002</v>
      </c>
      <c r="E1773" t="s">
        <v>6</v>
      </c>
      <c r="F1773" t="s">
        <v>57</v>
      </c>
      <c r="G1773" t="s">
        <v>7</v>
      </c>
    </row>
    <row r="1774" spans="1:7" x14ac:dyDescent="0.3">
      <c r="A1774" t="s">
        <v>32</v>
      </c>
      <c r="B1774" s="1">
        <v>45808</v>
      </c>
      <c r="C1774">
        <v>558006</v>
      </c>
      <c r="D1774">
        <v>-158.84899999999999</v>
      </c>
      <c r="E1774" t="s">
        <v>6</v>
      </c>
      <c r="F1774" t="s">
        <v>57</v>
      </c>
      <c r="G1774" t="s">
        <v>7</v>
      </c>
    </row>
    <row r="1775" spans="1:7" x14ac:dyDescent="0.3">
      <c r="A1775" t="s">
        <v>32</v>
      </c>
      <c r="B1775" s="1">
        <v>45808</v>
      </c>
      <c r="C1775">
        <v>558007</v>
      </c>
      <c r="D1775">
        <v>215.96799999999999</v>
      </c>
      <c r="E1775" t="s">
        <v>6</v>
      </c>
      <c r="F1775" t="s">
        <v>60</v>
      </c>
      <c r="G1775" t="s">
        <v>7</v>
      </c>
    </row>
    <row r="1776" spans="1:7" x14ac:dyDescent="0.3">
      <c r="A1776" t="s">
        <v>32</v>
      </c>
      <c r="B1776" s="1">
        <v>45808</v>
      </c>
      <c r="C1776">
        <v>558012</v>
      </c>
      <c r="D1776">
        <v>1288.4770000000001</v>
      </c>
      <c r="E1776" t="s">
        <v>6</v>
      </c>
      <c r="F1776" t="s">
        <v>60</v>
      </c>
      <c r="G1776" t="s">
        <v>7</v>
      </c>
    </row>
    <row r="1777" spans="1:7" x14ac:dyDescent="0.3">
      <c r="A1777" t="s">
        <v>32</v>
      </c>
      <c r="B1777" s="1">
        <v>45808</v>
      </c>
      <c r="C1777">
        <v>559002</v>
      </c>
      <c r="D1777">
        <v>60.061999999999998</v>
      </c>
      <c r="E1777" t="s">
        <v>6</v>
      </c>
      <c r="F1777" t="s">
        <v>60</v>
      </c>
      <c r="G1777" t="s">
        <v>7</v>
      </c>
    </row>
    <row r="1778" spans="1:7" x14ac:dyDescent="0.3">
      <c r="A1778" t="s">
        <v>32</v>
      </c>
      <c r="B1778" s="1">
        <v>45808</v>
      </c>
      <c r="C1778">
        <v>564006</v>
      </c>
      <c r="D1778">
        <v>-1.123</v>
      </c>
      <c r="E1778" t="s">
        <v>6</v>
      </c>
      <c r="F1778" t="s">
        <v>57</v>
      </c>
      <c r="G1778" t="s">
        <v>7</v>
      </c>
    </row>
    <row r="1779" spans="1:7" x14ac:dyDescent="0.3">
      <c r="A1779" t="s">
        <v>32</v>
      </c>
      <c r="B1779" s="1">
        <v>45808</v>
      </c>
      <c r="C1779">
        <v>564007</v>
      </c>
      <c r="D1779">
        <v>1E-3</v>
      </c>
      <c r="E1779" t="s">
        <v>6</v>
      </c>
      <c r="F1779" t="s">
        <v>57</v>
      </c>
      <c r="G1779" t="s">
        <v>7</v>
      </c>
    </row>
    <row r="1780" spans="1:7" x14ac:dyDescent="0.3">
      <c r="A1780" t="s">
        <v>32</v>
      </c>
      <c r="B1780" s="1">
        <v>45808</v>
      </c>
      <c r="C1780">
        <v>564008</v>
      </c>
      <c r="D1780">
        <v>202.446</v>
      </c>
      <c r="E1780" t="s">
        <v>6</v>
      </c>
      <c r="F1780" t="s">
        <v>55</v>
      </c>
      <c r="G1780" t="s">
        <v>7</v>
      </c>
    </row>
    <row r="1781" spans="1:7" x14ac:dyDescent="0.3">
      <c r="A1781" t="s">
        <v>32</v>
      </c>
      <c r="B1781" s="1">
        <v>45808</v>
      </c>
      <c r="C1781">
        <v>564020</v>
      </c>
      <c r="D1781">
        <v>438.36399999999998</v>
      </c>
      <c r="E1781" t="s">
        <v>6</v>
      </c>
      <c r="F1781" t="s">
        <v>57</v>
      </c>
      <c r="G1781" t="s">
        <v>7</v>
      </c>
    </row>
    <row r="1782" spans="1:7" x14ac:dyDescent="0.3">
      <c r="A1782" t="s">
        <v>32</v>
      </c>
      <c r="B1782" s="1">
        <v>45808</v>
      </c>
      <c r="C1782">
        <v>564021</v>
      </c>
      <c r="D1782">
        <v>189.06399999999999</v>
      </c>
      <c r="E1782" t="s">
        <v>6</v>
      </c>
      <c r="F1782" t="s">
        <v>57</v>
      </c>
      <c r="G1782" t="s">
        <v>7</v>
      </c>
    </row>
    <row r="1783" spans="1:7" x14ac:dyDescent="0.3">
      <c r="A1783" t="s">
        <v>32</v>
      </c>
      <c r="B1783" s="1">
        <v>45808</v>
      </c>
      <c r="C1783">
        <v>564022</v>
      </c>
      <c r="D1783">
        <v>2350.665</v>
      </c>
      <c r="E1783" t="s">
        <v>6</v>
      </c>
      <c r="F1783" t="s">
        <v>67</v>
      </c>
      <c r="G1783" t="s">
        <v>7</v>
      </c>
    </row>
    <row r="1784" spans="1:7" x14ac:dyDescent="0.3">
      <c r="A1784" t="s">
        <v>32</v>
      </c>
      <c r="B1784" s="1">
        <v>45808</v>
      </c>
      <c r="C1784">
        <v>570002</v>
      </c>
      <c r="D1784">
        <v>5240.0410000000002</v>
      </c>
      <c r="E1784" t="s">
        <v>6</v>
      </c>
      <c r="F1784" t="s">
        <v>66</v>
      </c>
      <c r="G1784" t="s">
        <v>7</v>
      </c>
    </row>
    <row r="1785" spans="1:7" x14ac:dyDescent="0.3">
      <c r="A1785" t="s">
        <v>32</v>
      </c>
      <c r="B1785" s="1">
        <v>45808</v>
      </c>
      <c r="C1785">
        <v>570004</v>
      </c>
      <c r="D1785">
        <v>8303.4179999999997</v>
      </c>
      <c r="E1785" t="s">
        <v>6</v>
      </c>
      <c r="F1785" t="s">
        <v>66</v>
      </c>
      <c r="G1785" t="s">
        <v>7</v>
      </c>
    </row>
    <row r="1786" spans="1:7" x14ac:dyDescent="0.3">
      <c r="A1786" t="s">
        <v>32</v>
      </c>
      <c r="B1786" s="1">
        <v>45808</v>
      </c>
      <c r="C1786">
        <v>580005</v>
      </c>
      <c r="D1786">
        <v>-4603.1419999999998</v>
      </c>
      <c r="E1786" t="s">
        <v>6</v>
      </c>
      <c r="F1786" t="s">
        <v>64</v>
      </c>
      <c r="G1786" t="s">
        <v>7</v>
      </c>
    </row>
    <row r="1787" spans="1:7" x14ac:dyDescent="0.3">
      <c r="A1787" t="s">
        <v>33</v>
      </c>
      <c r="B1787" s="1">
        <v>45808</v>
      </c>
      <c r="C1787">
        <v>210002</v>
      </c>
      <c r="D1787">
        <v>-614036.04700000002</v>
      </c>
      <c r="E1787" t="s">
        <v>4</v>
      </c>
      <c r="F1787" t="s">
        <v>42</v>
      </c>
      <c r="G1787" t="s">
        <v>7</v>
      </c>
    </row>
    <row r="1788" spans="1:7" x14ac:dyDescent="0.3">
      <c r="A1788" t="s">
        <v>33</v>
      </c>
      <c r="B1788" s="1">
        <v>45808</v>
      </c>
      <c r="C1788">
        <v>220006</v>
      </c>
      <c r="D1788">
        <v>-311777.60399999999</v>
      </c>
      <c r="E1788" t="s">
        <v>4</v>
      </c>
      <c r="F1788" t="s">
        <v>42</v>
      </c>
      <c r="G1788" t="s">
        <v>7</v>
      </c>
    </row>
    <row r="1789" spans="1:7" x14ac:dyDescent="0.3">
      <c r="A1789" t="s">
        <v>33</v>
      </c>
      <c r="B1789" s="1">
        <v>45808</v>
      </c>
      <c r="C1789">
        <v>220011</v>
      </c>
      <c r="D1789">
        <v>640748.98400000005</v>
      </c>
      <c r="E1789" t="s">
        <v>4</v>
      </c>
      <c r="F1789" t="s">
        <v>42</v>
      </c>
      <c r="G1789" t="s">
        <v>7</v>
      </c>
    </row>
    <row r="1790" spans="1:7" x14ac:dyDescent="0.3">
      <c r="A1790" t="s">
        <v>33</v>
      </c>
      <c r="B1790" s="1">
        <v>45808</v>
      </c>
      <c r="C1790">
        <v>240002</v>
      </c>
      <c r="D1790">
        <v>-4864.4070000000002</v>
      </c>
      <c r="E1790" t="s">
        <v>4</v>
      </c>
      <c r="F1790" t="s">
        <v>43</v>
      </c>
      <c r="G1790" t="s">
        <v>7</v>
      </c>
    </row>
    <row r="1791" spans="1:7" x14ac:dyDescent="0.3">
      <c r="A1791" t="s">
        <v>33</v>
      </c>
      <c r="B1791" s="1">
        <v>45808</v>
      </c>
      <c r="C1791">
        <v>240009</v>
      </c>
      <c r="D1791">
        <v>-1032.152</v>
      </c>
      <c r="E1791" t="s">
        <v>4</v>
      </c>
      <c r="F1791" t="s">
        <v>43</v>
      </c>
      <c r="G1791" t="s">
        <v>7</v>
      </c>
    </row>
    <row r="1792" spans="1:7" x14ac:dyDescent="0.3">
      <c r="A1792" t="s">
        <v>33</v>
      </c>
      <c r="B1792" s="1">
        <v>45808</v>
      </c>
      <c r="C1792">
        <v>242003</v>
      </c>
      <c r="D1792">
        <v>-532830.90599999996</v>
      </c>
      <c r="E1792" t="s">
        <v>4</v>
      </c>
      <c r="F1792" t="s">
        <v>43</v>
      </c>
      <c r="G1792" t="s">
        <v>7</v>
      </c>
    </row>
    <row r="1793" spans="1:7" x14ac:dyDescent="0.3">
      <c r="A1793" t="s">
        <v>33</v>
      </c>
      <c r="B1793" s="1">
        <v>45808</v>
      </c>
      <c r="C1793">
        <v>242007</v>
      </c>
      <c r="D1793">
        <v>646.52499999999998</v>
      </c>
      <c r="E1793" t="s">
        <v>4</v>
      </c>
      <c r="F1793" t="s">
        <v>43</v>
      </c>
      <c r="G1793" t="s">
        <v>7</v>
      </c>
    </row>
    <row r="1794" spans="1:7" x14ac:dyDescent="0.3">
      <c r="A1794" t="s">
        <v>33</v>
      </c>
      <c r="B1794" s="1">
        <v>45808</v>
      </c>
      <c r="C1794">
        <v>242012</v>
      </c>
      <c r="D1794">
        <v>-904.77</v>
      </c>
      <c r="E1794" t="s">
        <v>4</v>
      </c>
      <c r="F1794" t="s">
        <v>43</v>
      </c>
      <c r="G1794" t="s">
        <v>7</v>
      </c>
    </row>
    <row r="1795" spans="1:7" x14ac:dyDescent="0.3">
      <c r="A1795" t="s">
        <v>33</v>
      </c>
      <c r="B1795" s="1">
        <v>45808</v>
      </c>
      <c r="C1795">
        <v>242014</v>
      </c>
      <c r="D1795">
        <v>-20401.581999999999</v>
      </c>
      <c r="E1795" t="s">
        <v>4</v>
      </c>
      <c r="F1795" t="s">
        <v>43</v>
      </c>
      <c r="G1795" t="s">
        <v>7</v>
      </c>
    </row>
    <row r="1796" spans="1:7" x14ac:dyDescent="0.3">
      <c r="A1796" t="s">
        <v>33</v>
      </c>
      <c r="B1796" s="1">
        <v>45808</v>
      </c>
      <c r="C1796">
        <v>242027</v>
      </c>
      <c r="D1796">
        <v>-2373.402</v>
      </c>
      <c r="E1796" t="s">
        <v>4</v>
      </c>
      <c r="F1796" t="s">
        <v>43</v>
      </c>
      <c r="G1796" t="s">
        <v>7</v>
      </c>
    </row>
    <row r="1797" spans="1:7" x14ac:dyDescent="0.3">
      <c r="A1797" t="s">
        <v>33</v>
      </c>
      <c r="B1797" s="1">
        <v>45808</v>
      </c>
      <c r="C1797">
        <v>242030</v>
      </c>
      <c r="D1797">
        <v>-54224.603000000003</v>
      </c>
      <c r="E1797" t="s">
        <v>4</v>
      </c>
      <c r="F1797" t="s">
        <v>43</v>
      </c>
      <c r="G1797" t="s">
        <v>7</v>
      </c>
    </row>
    <row r="1798" spans="1:7" x14ac:dyDescent="0.3">
      <c r="A1798" t="s">
        <v>33</v>
      </c>
      <c r="B1798" s="1">
        <v>45808</v>
      </c>
      <c r="C1798">
        <v>242038</v>
      </c>
      <c r="D1798">
        <v>-26.068999999999999</v>
      </c>
      <c r="E1798" t="s">
        <v>4</v>
      </c>
      <c r="F1798" t="s">
        <v>43</v>
      </c>
      <c r="G1798" t="s">
        <v>7</v>
      </c>
    </row>
    <row r="1799" spans="1:7" x14ac:dyDescent="0.3">
      <c r="A1799" t="s">
        <v>33</v>
      </c>
      <c r="B1799" s="1">
        <v>45808</v>
      </c>
      <c r="C1799">
        <v>242041</v>
      </c>
      <c r="D1799">
        <v>153.398</v>
      </c>
      <c r="E1799" t="s">
        <v>4</v>
      </c>
      <c r="F1799" t="s">
        <v>43</v>
      </c>
      <c r="G1799" t="s">
        <v>7</v>
      </c>
    </row>
    <row r="1800" spans="1:7" x14ac:dyDescent="0.3">
      <c r="A1800" t="s">
        <v>33</v>
      </c>
      <c r="B1800" s="1">
        <v>45808</v>
      </c>
      <c r="C1800">
        <v>243002</v>
      </c>
      <c r="D1800">
        <v>-2343.71</v>
      </c>
      <c r="E1800" t="s">
        <v>4</v>
      </c>
      <c r="F1800" t="s">
        <v>43</v>
      </c>
      <c r="G1800" t="s">
        <v>7</v>
      </c>
    </row>
    <row r="1801" spans="1:7" x14ac:dyDescent="0.3">
      <c r="A1801" t="s">
        <v>33</v>
      </c>
      <c r="B1801" s="1">
        <v>45808</v>
      </c>
      <c r="C1801">
        <v>243003</v>
      </c>
      <c r="D1801">
        <v>-23921.57</v>
      </c>
      <c r="E1801" t="s">
        <v>4</v>
      </c>
      <c r="F1801" t="s">
        <v>43</v>
      </c>
      <c r="G1801" t="s">
        <v>7</v>
      </c>
    </row>
    <row r="1802" spans="1:7" x14ac:dyDescent="0.3">
      <c r="A1802" t="s">
        <v>33</v>
      </c>
      <c r="B1802" s="1">
        <v>45808</v>
      </c>
      <c r="C1802">
        <v>243009</v>
      </c>
      <c r="D1802">
        <v>-90.328000000000003</v>
      </c>
      <c r="E1802" t="s">
        <v>4</v>
      </c>
      <c r="F1802" t="s">
        <v>43</v>
      </c>
      <c r="G1802" t="s">
        <v>7</v>
      </c>
    </row>
    <row r="1803" spans="1:7" x14ac:dyDescent="0.3">
      <c r="A1803" t="s">
        <v>33</v>
      </c>
      <c r="B1803" s="1">
        <v>45808</v>
      </c>
      <c r="C1803">
        <v>245010</v>
      </c>
      <c r="D1803">
        <v>-40750.61</v>
      </c>
      <c r="E1803" t="s">
        <v>4</v>
      </c>
      <c r="F1803" t="s">
        <v>44</v>
      </c>
      <c r="G1803" t="s">
        <v>7</v>
      </c>
    </row>
    <row r="1804" spans="1:7" x14ac:dyDescent="0.3">
      <c r="A1804" t="s">
        <v>33</v>
      </c>
      <c r="B1804" s="1">
        <v>45808</v>
      </c>
      <c r="C1804">
        <v>245018</v>
      </c>
      <c r="D1804">
        <v>-8405.7800000000007</v>
      </c>
      <c r="E1804" t="s">
        <v>4</v>
      </c>
      <c r="F1804" t="s">
        <v>43</v>
      </c>
      <c r="G1804" t="s">
        <v>7</v>
      </c>
    </row>
    <row r="1805" spans="1:7" x14ac:dyDescent="0.3">
      <c r="A1805" t="s">
        <v>33</v>
      </c>
      <c r="B1805" s="1">
        <v>45808</v>
      </c>
      <c r="C1805">
        <v>245055</v>
      </c>
      <c r="D1805">
        <v>-4781.7449999999999</v>
      </c>
      <c r="E1805" t="s">
        <v>4</v>
      </c>
      <c r="F1805" t="s">
        <v>43</v>
      </c>
      <c r="G1805" t="s">
        <v>7</v>
      </c>
    </row>
    <row r="1806" spans="1:7" x14ac:dyDescent="0.3">
      <c r="A1806" t="s">
        <v>33</v>
      </c>
      <c r="B1806" s="1">
        <v>45808</v>
      </c>
      <c r="C1806">
        <v>245056</v>
      </c>
      <c r="D1806">
        <v>-262.19900000000001</v>
      </c>
      <c r="E1806" t="s">
        <v>4</v>
      </c>
      <c r="F1806" t="s">
        <v>49</v>
      </c>
      <c r="G1806" t="s">
        <v>7</v>
      </c>
    </row>
    <row r="1807" spans="1:7" x14ac:dyDescent="0.3">
      <c r="A1807" t="s">
        <v>33</v>
      </c>
      <c r="B1807" s="1">
        <v>45808</v>
      </c>
      <c r="C1807">
        <v>245062</v>
      </c>
      <c r="D1807">
        <v>-16727.106</v>
      </c>
      <c r="E1807" t="s">
        <v>4</v>
      </c>
      <c r="F1807" t="s">
        <v>43</v>
      </c>
      <c r="G1807" t="s">
        <v>7</v>
      </c>
    </row>
    <row r="1808" spans="1:7" x14ac:dyDescent="0.3">
      <c r="A1808" t="s">
        <v>33</v>
      </c>
      <c r="B1808" s="1">
        <v>45808</v>
      </c>
      <c r="C1808">
        <v>250003</v>
      </c>
      <c r="D1808">
        <v>-9775.1139999999996</v>
      </c>
      <c r="E1808" t="s">
        <v>4</v>
      </c>
      <c r="F1808" t="s">
        <v>45</v>
      </c>
      <c r="G1808" t="s">
        <v>7</v>
      </c>
    </row>
    <row r="1809" spans="1:7" x14ac:dyDescent="0.3">
      <c r="A1809" t="s">
        <v>33</v>
      </c>
      <c r="B1809" s="1">
        <v>45808</v>
      </c>
      <c r="C1809">
        <v>250007</v>
      </c>
      <c r="D1809">
        <v>39470.68</v>
      </c>
      <c r="E1809" t="s">
        <v>4</v>
      </c>
      <c r="F1809" t="s">
        <v>43</v>
      </c>
      <c r="G1809" t="s">
        <v>7</v>
      </c>
    </row>
    <row r="1810" spans="1:7" x14ac:dyDescent="0.3">
      <c r="A1810" t="s">
        <v>33</v>
      </c>
      <c r="B1810" s="1">
        <v>45808</v>
      </c>
      <c r="C1810">
        <v>251003</v>
      </c>
      <c r="D1810">
        <v>-3336.9830000000002</v>
      </c>
      <c r="E1810" t="s">
        <v>4</v>
      </c>
      <c r="F1810" t="s">
        <v>45</v>
      </c>
      <c r="G1810" t="s">
        <v>7</v>
      </c>
    </row>
    <row r="1811" spans="1:7" x14ac:dyDescent="0.3">
      <c r="A1811" t="s">
        <v>33</v>
      </c>
      <c r="B1811" s="1">
        <v>45808</v>
      </c>
      <c r="C1811">
        <v>257008</v>
      </c>
      <c r="D1811">
        <v>-7944.0469999999996</v>
      </c>
      <c r="E1811" t="s">
        <v>4</v>
      </c>
      <c r="F1811" t="s">
        <v>45</v>
      </c>
      <c r="G1811" t="s">
        <v>7</v>
      </c>
    </row>
    <row r="1812" spans="1:7" x14ac:dyDescent="0.3">
      <c r="A1812" t="s">
        <v>33</v>
      </c>
      <c r="B1812" s="1">
        <v>45808</v>
      </c>
      <c r="C1812">
        <v>257009</v>
      </c>
      <c r="D1812">
        <v>-7440.4930000000004</v>
      </c>
      <c r="E1812" t="s">
        <v>4</v>
      </c>
      <c r="F1812" t="s">
        <v>45</v>
      </c>
      <c r="G1812" t="s">
        <v>7</v>
      </c>
    </row>
    <row r="1813" spans="1:7" x14ac:dyDescent="0.3">
      <c r="A1813" t="s">
        <v>33</v>
      </c>
      <c r="B1813" s="1">
        <v>45808</v>
      </c>
      <c r="C1813">
        <v>257011</v>
      </c>
      <c r="D1813">
        <v>-5057.6869999999999</v>
      </c>
      <c r="E1813" t="s">
        <v>4</v>
      </c>
      <c r="F1813" t="s">
        <v>45</v>
      </c>
      <c r="G1813" t="s">
        <v>7</v>
      </c>
    </row>
    <row r="1814" spans="1:7" x14ac:dyDescent="0.3">
      <c r="A1814" t="s">
        <v>33</v>
      </c>
      <c r="B1814" s="1">
        <v>45808</v>
      </c>
      <c r="C1814">
        <v>257028</v>
      </c>
      <c r="D1814">
        <v>-31408.871999999999</v>
      </c>
      <c r="E1814" t="s">
        <v>4</v>
      </c>
      <c r="F1814" t="s">
        <v>45</v>
      </c>
      <c r="G1814" t="s">
        <v>7</v>
      </c>
    </row>
    <row r="1815" spans="1:7" x14ac:dyDescent="0.3">
      <c r="A1815" t="s">
        <v>33</v>
      </c>
      <c r="B1815" s="1">
        <v>45808</v>
      </c>
      <c r="C1815">
        <v>260004</v>
      </c>
      <c r="D1815">
        <v>9949.9169999999995</v>
      </c>
      <c r="E1815" t="s">
        <v>4</v>
      </c>
      <c r="F1815" t="s">
        <v>45</v>
      </c>
      <c r="G1815" t="s">
        <v>7</v>
      </c>
    </row>
    <row r="1816" spans="1:7" x14ac:dyDescent="0.3">
      <c r="A1816" t="s">
        <v>33</v>
      </c>
      <c r="B1816" s="1">
        <v>45808</v>
      </c>
      <c r="C1816">
        <v>270024</v>
      </c>
      <c r="D1816">
        <v>-104.881</v>
      </c>
      <c r="E1816" t="s">
        <v>4</v>
      </c>
      <c r="F1816" t="s">
        <v>58</v>
      </c>
      <c r="G1816" t="s">
        <v>7</v>
      </c>
    </row>
    <row r="1817" spans="1:7" x14ac:dyDescent="0.3">
      <c r="A1817" t="s">
        <v>33</v>
      </c>
      <c r="B1817" s="1">
        <v>45808</v>
      </c>
      <c r="C1817">
        <v>270025</v>
      </c>
      <c r="D1817">
        <v>-66.152000000000001</v>
      </c>
      <c r="E1817" t="s">
        <v>4</v>
      </c>
      <c r="F1817" t="s">
        <v>58</v>
      </c>
      <c r="G1817" t="s">
        <v>7</v>
      </c>
    </row>
    <row r="1818" spans="1:7" x14ac:dyDescent="0.3">
      <c r="A1818" t="s">
        <v>33</v>
      </c>
      <c r="B1818" s="1">
        <v>45808</v>
      </c>
      <c r="C1818">
        <v>270026</v>
      </c>
      <c r="D1818">
        <v>-74.570999999999998</v>
      </c>
      <c r="E1818" t="s">
        <v>4</v>
      </c>
      <c r="F1818" t="s">
        <v>58</v>
      </c>
      <c r="G1818" t="s">
        <v>7</v>
      </c>
    </row>
    <row r="1819" spans="1:7" x14ac:dyDescent="0.3">
      <c r="A1819" t="s">
        <v>33</v>
      </c>
      <c r="B1819" s="1">
        <v>45808</v>
      </c>
      <c r="C1819">
        <v>300004</v>
      </c>
      <c r="D1819">
        <v>90485.126999999993</v>
      </c>
      <c r="E1819" t="s">
        <v>4</v>
      </c>
      <c r="F1819" t="s">
        <v>65</v>
      </c>
      <c r="G1819" t="s">
        <v>7</v>
      </c>
    </row>
    <row r="1820" spans="1:7" x14ac:dyDescent="0.3">
      <c r="A1820" t="s">
        <v>33</v>
      </c>
      <c r="B1820" s="1">
        <v>45808</v>
      </c>
      <c r="C1820">
        <v>300005</v>
      </c>
      <c r="D1820">
        <v>15081.737999999999</v>
      </c>
      <c r="E1820" t="s">
        <v>4</v>
      </c>
      <c r="F1820" t="s">
        <v>65</v>
      </c>
      <c r="G1820" t="s">
        <v>7</v>
      </c>
    </row>
    <row r="1821" spans="1:7" x14ac:dyDescent="0.3">
      <c r="A1821" t="s">
        <v>33</v>
      </c>
      <c r="B1821" s="1">
        <v>45808</v>
      </c>
      <c r="C1821">
        <v>300008</v>
      </c>
      <c r="D1821">
        <v>19206.653999999999</v>
      </c>
      <c r="E1821" t="s">
        <v>4</v>
      </c>
      <c r="F1821" t="s">
        <v>65</v>
      </c>
      <c r="G1821" t="s">
        <v>7</v>
      </c>
    </row>
    <row r="1822" spans="1:7" x14ac:dyDescent="0.3">
      <c r="A1822" t="s">
        <v>33</v>
      </c>
      <c r="B1822" s="1">
        <v>45808</v>
      </c>
      <c r="C1822">
        <v>300009</v>
      </c>
      <c r="D1822">
        <v>1325.0329999999999</v>
      </c>
      <c r="E1822" t="s">
        <v>4</v>
      </c>
      <c r="F1822" t="s">
        <v>65</v>
      </c>
      <c r="G1822" t="s">
        <v>7</v>
      </c>
    </row>
    <row r="1823" spans="1:7" x14ac:dyDescent="0.3">
      <c r="A1823" t="s">
        <v>33</v>
      </c>
      <c r="B1823" s="1">
        <v>45808</v>
      </c>
      <c r="C1823">
        <v>300011</v>
      </c>
      <c r="D1823">
        <v>2323.6489999999999</v>
      </c>
      <c r="E1823" t="s">
        <v>4</v>
      </c>
      <c r="F1823" t="s">
        <v>65</v>
      </c>
      <c r="G1823" t="s">
        <v>7</v>
      </c>
    </row>
    <row r="1824" spans="1:7" x14ac:dyDescent="0.3">
      <c r="A1824" t="s">
        <v>33</v>
      </c>
      <c r="B1824" s="1">
        <v>45808</v>
      </c>
      <c r="C1824">
        <v>300012</v>
      </c>
      <c r="D1824">
        <v>22560.315999999999</v>
      </c>
      <c r="E1824" t="s">
        <v>4</v>
      </c>
      <c r="F1824" t="s">
        <v>65</v>
      </c>
      <c r="G1824" t="s">
        <v>7</v>
      </c>
    </row>
    <row r="1825" spans="1:7" x14ac:dyDescent="0.3">
      <c r="A1825" t="s">
        <v>33</v>
      </c>
      <c r="B1825" s="1">
        <v>45808</v>
      </c>
      <c r="C1825">
        <v>300014</v>
      </c>
      <c r="D1825">
        <v>3926.2449999999999</v>
      </c>
      <c r="E1825" t="s">
        <v>4</v>
      </c>
      <c r="F1825" t="s">
        <v>65</v>
      </c>
      <c r="G1825" t="s">
        <v>7</v>
      </c>
    </row>
    <row r="1826" spans="1:7" x14ac:dyDescent="0.3">
      <c r="A1826" t="s">
        <v>33</v>
      </c>
      <c r="B1826" s="1">
        <v>45808</v>
      </c>
      <c r="C1826">
        <v>300504</v>
      </c>
      <c r="D1826">
        <v>-88342.659</v>
      </c>
      <c r="E1826" t="s">
        <v>4</v>
      </c>
      <c r="F1826" t="s">
        <v>65</v>
      </c>
      <c r="G1826" t="s">
        <v>7</v>
      </c>
    </row>
    <row r="1827" spans="1:7" x14ac:dyDescent="0.3">
      <c r="A1827" t="s">
        <v>33</v>
      </c>
      <c r="B1827" s="1">
        <v>45808</v>
      </c>
      <c r="C1827">
        <v>300505</v>
      </c>
      <c r="D1827">
        <v>-14958.802</v>
      </c>
      <c r="E1827" t="s">
        <v>4</v>
      </c>
      <c r="F1827" t="s">
        <v>65</v>
      </c>
      <c r="G1827" t="s">
        <v>7</v>
      </c>
    </row>
    <row r="1828" spans="1:7" x14ac:dyDescent="0.3">
      <c r="A1828" t="s">
        <v>33</v>
      </c>
      <c r="B1828" s="1">
        <v>45808</v>
      </c>
      <c r="C1828">
        <v>300508</v>
      </c>
      <c r="D1828">
        <v>-19206.653999999999</v>
      </c>
      <c r="E1828" t="s">
        <v>4</v>
      </c>
      <c r="F1828" t="s">
        <v>65</v>
      </c>
      <c r="G1828" t="s">
        <v>7</v>
      </c>
    </row>
    <row r="1829" spans="1:7" x14ac:dyDescent="0.3">
      <c r="A1829" t="s">
        <v>33</v>
      </c>
      <c r="B1829" s="1">
        <v>45808</v>
      </c>
      <c r="C1829">
        <v>300509</v>
      </c>
      <c r="D1829">
        <v>-1325.0329999999999</v>
      </c>
      <c r="E1829" t="s">
        <v>4</v>
      </c>
      <c r="F1829" t="s">
        <v>65</v>
      </c>
      <c r="G1829" t="s">
        <v>7</v>
      </c>
    </row>
    <row r="1830" spans="1:7" x14ac:dyDescent="0.3">
      <c r="A1830" t="s">
        <v>33</v>
      </c>
      <c r="B1830" s="1">
        <v>45808</v>
      </c>
      <c r="C1830">
        <v>300511</v>
      </c>
      <c r="D1830">
        <v>-2317.4209999999998</v>
      </c>
      <c r="E1830" t="s">
        <v>4</v>
      </c>
      <c r="F1830" t="s">
        <v>65</v>
      </c>
      <c r="G1830" t="s">
        <v>7</v>
      </c>
    </row>
    <row r="1831" spans="1:7" x14ac:dyDescent="0.3">
      <c r="A1831" t="s">
        <v>33</v>
      </c>
      <c r="B1831" s="1">
        <v>45808</v>
      </c>
      <c r="C1831">
        <v>300512</v>
      </c>
      <c r="D1831">
        <v>-22529.743999999999</v>
      </c>
      <c r="E1831" t="s">
        <v>4</v>
      </c>
      <c r="F1831" t="s">
        <v>65</v>
      </c>
      <c r="G1831" t="s">
        <v>7</v>
      </c>
    </row>
    <row r="1832" spans="1:7" x14ac:dyDescent="0.3">
      <c r="A1832" t="s">
        <v>33</v>
      </c>
      <c r="B1832" s="1">
        <v>45808</v>
      </c>
      <c r="C1832">
        <v>300514</v>
      </c>
      <c r="D1832">
        <v>-3926.2449999999999</v>
      </c>
      <c r="E1832" t="s">
        <v>4</v>
      </c>
      <c r="F1832" t="s">
        <v>65</v>
      </c>
      <c r="G1832" t="s">
        <v>7</v>
      </c>
    </row>
    <row r="1833" spans="1:7" x14ac:dyDescent="0.3">
      <c r="A1833" t="s">
        <v>33</v>
      </c>
      <c r="B1833" s="1">
        <v>45808</v>
      </c>
      <c r="C1833">
        <v>301002</v>
      </c>
      <c r="D1833">
        <v>371618.86200000002</v>
      </c>
      <c r="E1833" t="s">
        <v>4</v>
      </c>
      <c r="F1833" t="s">
        <v>68</v>
      </c>
      <c r="G1833" t="s">
        <v>7</v>
      </c>
    </row>
    <row r="1834" spans="1:7" x14ac:dyDescent="0.3">
      <c r="A1834" t="s">
        <v>33</v>
      </c>
      <c r="B1834" s="1">
        <v>45808</v>
      </c>
      <c r="C1834">
        <v>301004</v>
      </c>
      <c r="D1834">
        <v>25905.752</v>
      </c>
      <c r="E1834" t="s">
        <v>4</v>
      </c>
      <c r="F1834" t="s">
        <v>65</v>
      </c>
      <c r="G1834" t="s">
        <v>7</v>
      </c>
    </row>
    <row r="1835" spans="1:7" x14ac:dyDescent="0.3">
      <c r="A1835" t="s">
        <v>33</v>
      </c>
      <c r="B1835" s="1">
        <v>45808</v>
      </c>
      <c r="C1835">
        <v>301005</v>
      </c>
      <c r="D1835">
        <v>448602.40899999999</v>
      </c>
      <c r="E1835" t="s">
        <v>4</v>
      </c>
      <c r="F1835" t="s">
        <v>65</v>
      </c>
      <c r="G1835" t="s">
        <v>7</v>
      </c>
    </row>
    <row r="1836" spans="1:7" x14ac:dyDescent="0.3">
      <c r="A1836" t="s">
        <v>33</v>
      </c>
      <c r="B1836" s="1">
        <v>45808</v>
      </c>
      <c r="C1836">
        <v>301502</v>
      </c>
      <c r="D1836">
        <v>-371618.86200000002</v>
      </c>
      <c r="E1836" t="s">
        <v>4</v>
      </c>
      <c r="F1836" t="s">
        <v>68</v>
      </c>
      <c r="G1836" t="s">
        <v>7</v>
      </c>
    </row>
    <row r="1837" spans="1:7" x14ac:dyDescent="0.3">
      <c r="A1837" t="s">
        <v>33</v>
      </c>
      <c r="B1837" s="1">
        <v>45808</v>
      </c>
      <c r="C1837">
        <v>301504</v>
      </c>
      <c r="D1837">
        <v>-25905.752</v>
      </c>
      <c r="E1837" t="s">
        <v>4</v>
      </c>
      <c r="F1837" t="s">
        <v>65</v>
      </c>
      <c r="G1837" t="s">
        <v>7</v>
      </c>
    </row>
    <row r="1838" spans="1:7" x14ac:dyDescent="0.3">
      <c r="A1838" t="s">
        <v>33</v>
      </c>
      <c r="B1838" s="1">
        <v>45808</v>
      </c>
      <c r="C1838">
        <v>301505</v>
      </c>
      <c r="D1838">
        <v>-448602.40899999999</v>
      </c>
      <c r="E1838" t="s">
        <v>4</v>
      </c>
      <c r="F1838" t="s">
        <v>65</v>
      </c>
      <c r="G1838" t="s">
        <v>7</v>
      </c>
    </row>
    <row r="1839" spans="1:7" x14ac:dyDescent="0.3">
      <c r="A1839" t="s">
        <v>33</v>
      </c>
      <c r="B1839" s="1">
        <v>45808</v>
      </c>
      <c r="C1839">
        <v>310032</v>
      </c>
      <c r="D1839">
        <v>6.0780000000000003</v>
      </c>
      <c r="E1839" t="s">
        <v>4</v>
      </c>
      <c r="F1839" t="s">
        <v>42</v>
      </c>
      <c r="G1839" t="s">
        <v>7</v>
      </c>
    </row>
    <row r="1840" spans="1:7" x14ac:dyDescent="0.3">
      <c r="A1840" t="s">
        <v>33</v>
      </c>
      <c r="B1840" s="1">
        <v>45808</v>
      </c>
      <c r="C1840">
        <v>320003</v>
      </c>
      <c r="D1840">
        <v>712674.61800000002</v>
      </c>
      <c r="E1840" t="s">
        <v>4</v>
      </c>
      <c r="F1840" t="s">
        <v>46</v>
      </c>
      <c r="G1840" t="s">
        <v>7</v>
      </c>
    </row>
    <row r="1841" spans="1:7" x14ac:dyDescent="0.3">
      <c r="A1841" t="s">
        <v>33</v>
      </c>
      <c r="B1841" s="1">
        <v>45808</v>
      </c>
      <c r="C1841">
        <v>320010</v>
      </c>
      <c r="D1841">
        <v>81393.599000000002</v>
      </c>
      <c r="E1841" t="s">
        <v>4</v>
      </c>
      <c r="F1841" t="s">
        <v>46</v>
      </c>
      <c r="G1841" t="s">
        <v>7</v>
      </c>
    </row>
    <row r="1842" spans="1:7" x14ac:dyDescent="0.3">
      <c r="A1842" t="s">
        <v>33</v>
      </c>
      <c r="B1842" s="1">
        <v>45808</v>
      </c>
      <c r="C1842">
        <v>320023</v>
      </c>
      <c r="D1842">
        <v>-295337.21600000001</v>
      </c>
      <c r="E1842" t="s">
        <v>4</v>
      </c>
      <c r="F1842" t="s">
        <v>46</v>
      </c>
      <c r="G1842" t="s">
        <v>7</v>
      </c>
    </row>
    <row r="1843" spans="1:7" x14ac:dyDescent="0.3">
      <c r="A1843" t="s">
        <v>33</v>
      </c>
      <c r="B1843" s="1">
        <v>45808</v>
      </c>
      <c r="C1843">
        <v>321002</v>
      </c>
      <c r="D1843">
        <v>76618.720000000001</v>
      </c>
      <c r="E1843" t="s">
        <v>4</v>
      </c>
      <c r="F1843" t="s">
        <v>46</v>
      </c>
      <c r="G1843" t="s">
        <v>7</v>
      </c>
    </row>
    <row r="1844" spans="1:7" x14ac:dyDescent="0.3">
      <c r="A1844" t="s">
        <v>33</v>
      </c>
      <c r="B1844" s="1">
        <v>45808</v>
      </c>
      <c r="C1844">
        <v>321012</v>
      </c>
      <c r="D1844">
        <v>56948.180999999997</v>
      </c>
      <c r="E1844" t="s">
        <v>4</v>
      </c>
      <c r="F1844" t="s">
        <v>46</v>
      </c>
      <c r="G1844" t="s">
        <v>7</v>
      </c>
    </row>
    <row r="1845" spans="1:7" x14ac:dyDescent="0.3">
      <c r="A1845" t="s">
        <v>33</v>
      </c>
      <c r="B1845" s="1">
        <v>45808</v>
      </c>
      <c r="C1845">
        <v>321014</v>
      </c>
      <c r="D1845">
        <v>11820.782999999999</v>
      </c>
      <c r="E1845" t="s">
        <v>4</v>
      </c>
      <c r="F1845" t="s">
        <v>46</v>
      </c>
      <c r="G1845" t="s">
        <v>7</v>
      </c>
    </row>
    <row r="1846" spans="1:7" x14ac:dyDescent="0.3">
      <c r="A1846" t="s">
        <v>33</v>
      </c>
      <c r="B1846" s="1">
        <v>45808</v>
      </c>
      <c r="C1846">
        <v>321021</v>
      </c>
      <c r="D1846">
        <v>11179.075999999999</v>
      </c>
      <c r="E1846" t="s">
        <v>4</v>
      </c>
      <c r="F1846" t="s">
        <v>46</v>
      </c>
      <c r="G1846" t="s">
        <v>7</v>
      </c>
    </row>
    <row r="1847" spans="1:7" x14ac:dyDescent="0.3">
      <c r="A1847" t="s">
        <v>33</v>
      </c>
      <c r="B1847" s="1">
        <v>45808</v>
      </c>
      <c r="C1847">
        <v>321028</v>
      </c>
      <c r="D1847">
        <v>266.66199999999998</v>
      </c>
      <c r="E1847" t="s">
        <v>4</v>
      </c>
      <c r="F1847" t="s">
        <v>46</v>
      </c>
      <c r="G1847" t="s">
        <v>7</v>
      </c>
    </row>
    <row r="1848" spans="1:7" x14ac:dyDescent="0.3">
      <c r="A1848" t="s">
        <v>33</v>
      </c>
      <c r="B1848" s="1">
        <v>45808</v>
      </c>
      <c r="C1848">
        <v>321029</v>
      </c>
      <c r="D1848">
        <v>92347.122000000003</v>
      </c>
      <c r="E1848" t="s">
        <v>4</v>
      </c>
      <c r="F1848" t="s">
        <v>46</v>
      </c>
      <c r="G1848" t="s">
        <v>7</v>
      </c>
    </row>
    <row r="1849" spans="1:7" x14ac:dyDescent="0.3">
      <c r="A1849" t="s">
        <v>33</v>
      </c>
      <c r="B1849" s="1">
        <v>45808</v>
      </c>
      <c r="C1849">
        <v>321036</v>
      </c>
      <c r="D1849">
        <v>-195.81100000000001</v>
      </c>
      <c r="E1849" t="s">
        <v>4</v>
      </c>
      <c r="F1849" t="s">
        <v>46</v>
      </c>
      <c r="G1849" t="s">
        <v>7</v>
      </c>
    </row>
    <row r="1850" spans="1:7" x14ac:dyDescent="0.3">
      <c r="A1850" t="s">
        <v>33</v>
      </c>
      <c r="B1850" s="1">
        <v>45808</v>
      </c>
      <c r="C1850">
        <v>330052</v>
      </c>
      <c r="D1850">
        <v>-328.28899999999999</v>
      </c>
      <c r="E1850" t="s">
        <v>4</v>
      </c>
      <c r="F1850" t="s">
        <v>43</v>
      </c>
      <c r="G1850" t="s">
        <v>7</v>
      </c>
    </row>
    <row r="1851" spans="1:7" x14ac:dyDescent="0.3">
      <c r="A1851" t="s">
        <v>33</v>
      </c>
      <c r="B1851" s="1">
        <v>45808</v>
      </c>
      <c r="C1851">
        <v>330136</v>
      </c>
      <c r="D1851">
        <v>1937.367</v>
      </c>
      <c r="E1851" t="s">
        <v>4</v>
      </c>
      <c r="F1851" t="s">
        <v>43</v>
      </c>
      <c r="G1851" t="s">
        <v>7</v>
      </c>
    </row>
    <row r="1852" spans="1:7" x14ac:dyDescent="0.3">
      <c r="A1852" t="s">
        <v>33</v>
      </c>
      <c r="B1852" s="1">
        <v>45808</v>
      </c>
      <c r="C1852">
        <v>340156</v>
      </c>
      <c r="D1852">
        <v>77972.494000000006</v>
      </c>
      <c r="E1852" t="s">
        <v>4</v>
      </c>
      <c r="F1852" t="s">
        <v>47</v>
      </c>
      <c r="G1852" t="s">
        <v>7</v>
      </c>
    </row>
    <row r="1853" spans="1:7" x14ac:dyDescent="0.3">
      <c r="A1853" t="s">
        <v>33</v>
      </c>
      <c r="B1853" s="1">
        <v>45808</v>
      </c>
      <c r="C1853">
        <v>340157</v>
      </c>
      <c r="D1853">
        <v>17549513.655000001</v>
      </c>
      <c r="E1853" t="s">
        <v>4</v>
      </c>
      <c r="F1853" t="s">
        <v>47</v>
      </c>
      <c r="G1853" t="s">
        <v>7</v>
      </c>
    </row>
    <row r="1854" spans="1:7" x14ac:dyDescent="0.3">
      <c r="A1854" t="s">
        <v>33</v>
      </c>
      <c r="B1854" s="1">
        <v>45808</v>
      </c>
      <c r="C1854">
        <v>340158</v>
      </c>
      <c r="D1854">
        <v>-17499046.063000001</v>
      </c>
      <c r="E1854" t="s">
        <v>4</v>
      </c>
      <c r="F1854" t="s">
        <v>47</v>
      </c>
      <c r="G1854" t="s">
        <v>7</v>
      </c>
    </row>
    <row r="1855" spans="1:7" x14ac:dyDescent="0.3">
      <c r="A1855" t="s">
        <v>33</v>
      </c>
      <c r="B1855" s="1">
        <v>45808</v>
      </c>
      <c r="C1855">
        <v>350002</v>
      </c>
      <c r="D1855">
        <v>709.63199999999995</v>
      </c>
      <c r="E1855" t="s">
        <v>4</v>
      </c>
      <c r="F1855" t="s">
        <v>49</v>
      </c>
      <c r="G1855" t="s">
        <v>7</v>
      </c>
    </row>
    <row r="1856" spans="1:7" x14ac:dyDescent="0.3">
      <c r="A1856" t="s">
        <v>33</v>
      </c>
      <c r="B1856" s="1">
        <v>45808</v>
      </c>
      <c r="C1856">
        <v>350003</v>
      </c>
      <c r="D1856">
        <v>91.521000000000001</v>
      </c>
      <c r="E1856" t="s">
        <v>4</v>
      </c>
      <c r="F1856" t="s">
        <v>49</v>
      </c>
      <c r="G1856" t="s">
        <v>7</v>
      </c>
    </row>
    <row r="1857" spans="1:7" x14ac:dyDescent="0.3">
      <c r="A1857" t="s">
        <v>33</v>
      </c>
      <c r="B1857" s="1">
        <v>45808</v>
      </c>
      <c r="C1857">
        <v>350005</v>
      </c>
      <c r="D1857">
        <v>-147.99299999999999</v>
      </c>
      <c r="E1857" t="s">
        <v>4</v>
      </c>
      <c r="F1857" t="s">
        <v>49</v>
      </c>
      <c r="G1857" t="s">
        <v>7</v>
      </c>
    </row>
    <row r="1858" spans="1:7" x14ac:dyDescent="0.3">
      <c r="A1858" t="s">
        <v>33</v>
      </c>
      <c r="B1858" s="1">
        <v>45808</v>
      </c>
      <c r="C1858">
        <v>350031</v>
      </c>
      <c r="D1858">
        <v>1032.152</v>
      </c>
      <c r="E1858" t="s">
        <v>4</v>
      </c>
      <c r="F1858" t="s">
        <v>43</v>
      </c>
      <c r="G1858" t="s">
        <v>7</v>
      </c>
    </row>
    <row r="1859" spans="1:7" x14ac:dyDescent="0.3">
      <c r="A1859" t="s">
        <v>33</v>
      </c>
      <c r="B1859" s="1">
        <v>45808</v>
      </c>
      <c r="C1859">
        <v>350034</v>
      </c>
      <c r="D1859">
        <v>262.19900000000001</v>
      </c>
      <c r="E1859" t="s">
        <v>4</v>
      </c>
      <c r="F1859" t="s">
        <v>49</v>
      </c>
      <c r="G1859" t="s">
        <v>7</v>
      </c>
    </row>
    <row r="1860" spans="1:7" x14ac:dyDescent="0.3">
      <c r="A1860" t="s">
        <v>33</v>
      </c>
      <c r="B1860" s="1">
        <v>45808</v>
      </c>
      <c r="C1860">
        <v>351004</v>
      </c>
      <c r="D1860">
        <v>6760.384</v>
      </c>
      <c r="E1860" t="s">
        <v>4</v>
      </c>
      <c r="F1860" t="s">
        <v>45</v>
      </c>
      <c r="G1860" t="s">
        <v>7</v>
      </c>
    </row>
    <row r="1861" spans="1:7" x14ac:dyDescent="0.3">
      <c r="A1861" t="s">
        <v>33</v>
      </c>
      <c r="B1861" s="1">
        <v>45808</v>
      </c>
      <c r="C1861">
        <v>352002</v>
      </c>
      <c r="D1861">
        <v>1239.9929999999999</v>
      </c>
      <c r="E1861" t="s">
        <v>4</v>
      </c>
      <c r="F1861" t="s">
        <v>48</v>
      </c>
      <c r="G1861" t="s">
        <v>7</v>
      </c>
    </row>
    <row r="1862" spans="1:7" x14ac:dyDescent="0.3">
      <c r="A1862" t="s">
        <v>33</v>
      </c>
      <c r="B1862" s="1">
        <v>45808</v>
      </c>
      <c r="C1862">
        <v>354014</v>
      </c>
      <c r="D1862">
        <v>38256.133999999998</v>
      </c>
      <c r="E1862" t="s">
        <v>4</v>
      </c>
      <c r="F1862" t="s">
        <v>46</v>
      </c>
      <c r="G1862" t="s">
        <v>7</v>
      </c>
    </row>
    <row r="1863" spans="1:7" x14ac:dyDescent="0.3">
      <c r="A1863" t="s">
        <v>33</v>
      </c>
      <c r="B1863" s="1">
        <v>45808</v>
      </c>
      <c r="C1863">
        <v>355002</v>
      </c>
      <c r="D1863">
        <v>631.476</v>
      </c>
      <c r="E1863" t="s">
        <v>4</v>
      </c>
      <c r="F1863" t="s">
        <v>49</v>
      </c>
      <c r="G1863" t="s">
        <v>7</v>
      </c>
    </row>
    <row r="1864" spans="1:7" x14ac:dyDescent="0.3">
      <c r="A1864" t="s">
        <v>33</v>
      </c>
      <c r="B1864" s="1">
        <v>45808</v>
      </c>
      <c r="C1864">
        <v>360026</v>
      </c>
      <c r="D1864">
        <v>-94014.399000000005</v>
      </c>
      <c r="E1864" t="s">
        <v>4</v>
      </c>
      <c r="F1864" t="s">
        <v>58</v>
      </c>
      <c r="G1864" t="s">
        <v>7</v>
      </c>
    </row>
    <row r="1865" spans="1:7" x14ac:dyDescent="0.3">
      <c r="A1865" t="s">
        <v>33</v>
      </c>
      <c r="B1865" s="1">
        <v>45808</v>
      </c>
      <c r="C1865">
        <v>360028</v>
      </c>
      <c r="D1865">
        <v>-4752.5379999999996</v>
      </c>
      <c r="E1865" t="s">
        <v>4</v>
      </c>
      <c r="F1865" t="s">
        <v>58</v>
      </c>
      <c r="G1865" t="s">
        <v>7</v>
      </c>
    </row>
    <row r="1866" spans="1:7" x14ac:dyDescent="0.3">
      <c r="A1866" t="s">
        <v>33</v>
      </c>
      <c r="B1866" s="1">
        <v>45808</v>
      </c>
      <c r="C1866">
        <v>360030</v>
      </c>
      <c r="D1866">
        <v>24.055</v>
      </c>
      <c r="E1866" t="s">
        <v>4</v>
      </c>
      <c r="F1866" t="s">
        <v>58</v>
      </c>
      <c r="G1866" t="s">
        <v>7</v>
      </c>
    </row>
    <row r="1867" spans="1:7" x14ac:dyDescent="0.3">
      <c r="A1867" t="s">
        <v>33</v>
      </c>
      <c r="B1867" s="1">
        <v>45808</v>
      </c>
      <c r="C1867">
        <v>364502</v>
      </c>
      <c r="D1867">
        <v>94440.85</v>
      </c>
      <c r="E1867" t="s">
        <v>4</v>
      </c>
      <c r="F1867" t="s">
        <v>58</v>
      </c>
      <c r="G1867" t="s">
        <v>7</v>
      </c>
    </row>
    <row r="1868" spans="1:7" x14ac:dyDescent="0.3">
      <c r="A1868" t="s">
        <v>33</v>
      </c>
      <c r="B1868" s="1">
        <v>45808</v>
      </c>
      <c r="C1868">
        <v>410002</v>
      </c>
      <c r="D1868">
        <v>-20664.636999999999</v>
      </c>
      <c r="E1868" t="s">
        <v>6</v>
      </c>
      <c r="F1868" t="s">
        <v>51</v>
      </c>
      <c r="G1868" t="s">
        <v>7</v>
      </c>
    </row>
    <row r="1869" spans="1:7" x14ac:dyDescent="0.3">
      <c r="A1869" t="s">
        <v>33</v>
      </c>
      <c r="B1869" s="1">
        <v>45808</v>
      </c>
      <c r="C1869">
        <v>410006</v>
      </c>
      <c r="D1869">
        <v>-8948.6290000000008</v>
      </c>
      <c r="E1869" t="s">
        <v>6</v>
      </c>
      <c r="F1869" t="s">
        <v>51</v>
      </c>
      <c r="G1869" t="s">
        <v>7</v>
      </c>
    </row>
    <row r="1870" spans="1:7" x14ac:dyDescent="0.3">
      <c r="A1870" t="s">
        <v>33</v>
      </c>
      <c r="B1870" s="1">
        <v>45808</v>
      </c>
      <c r="C1870">
        <v>410009</v>
      </c>
      <c r="D1870">
        <v>-1263.9349999999999</v>
      </c>
      <c r="E1870" t="s">
        <v>6</v>
      </c>
      <c r="F1870" t="s">
        <v>51</v>
      </c>
      <c r="G1870" t="s">
        <v>7</v>
      </c>
    </row>
    <row r="1871" spans="1:7" x14ac:dyDescent="0.3">
      <c r="A1871" t="s">
        <v>33</v>
      </c>
      <c r="B1871" s="1">
        <v>45808</v>
      </c>
      <c r="C1871">
        <v>410036</v>
      </c>
      <c r="D1871">
        <v>-87.772999999999996</v>
      </c>
      <c r="E1871" t="s">
        <v>6</v>
      </c>
      <c r="F1871" t="s">
        <v>51</v>
      </c>
      <c r="G1871" t="s">
        <v>7</v>
      </c>
    </row>
    <row r="1872" spans="1:7" x14ac:dyDescent="0.3">
      <c r="A1872" t="s">
        <v>33</v>
      </c>
      <c r="B1872" s="1">
        <v>45808</v>
      </c>
      <c r="C1872">
        <v>410037</v>
      </c>
      <c r="D1872">
        <v>-35135.942000000003</v>
      </c>
      <c r="E1872" t="s">
        <v>6</v>
      </c>
      <c r="F1872" t="s">
        <v>51</v>
      </c>
      <c r="G1872" t="s">
        <v>7</v>
      </c>
    </row>
    <row r="1873" spans="1:7" x14ac:dyDescent="0.3">
      <c r="A1873" t="s">
        <v>33</v>
      </c>
      <c r="B1873" s="1">
        <v>45808</v>
      </c>
      <c r="C1873">
        <v>415002</v>
      </c>
      <c r="D1873">
        <v>-136373.429</v>
      </c>
      <c r="E1873" t="s">
        <v>6</v>
      </c>
      <c r="F1873" t="s">
        <v>50</v>
      </c>
      <c r="G1873" t="s">
        <v>7</v>
      </c>
    </row>
    <row r="1874" spans="1:7" x14ac:dyDescent="0.3">
      <c r="A1874" t="s">
        <v>33</v>
      </c>
      <c r="B1874" s="1">
        <v>45808</v>
      </c>
      <c r="C1874">
        <v>415004</v>
      </c>
      <c r="D1874">
        <v>-132587.11600000001</v>
      </c>
      <c r="E1874" t="s">
        <v>6</v>
      </c>
      <c r="F1874" t="s">
        <v>50</v>
      </c>
      <c r="G1874" t="s">
        <v>7</v>
      </c>
    </row>
    <row r="1875" spans="1:7" x14ac:dyDescent="0.3">
      <c r="A1875" t="s">
        <v>33</v>
      </c>
      <c r="B1875" s="1">
        <v>45808</v>
      </c>
      <c r="C1875">
        <v>421003</v>
      </c>
      <c r="D1875">
        <v>-199.63300000000001</v>
      </c>
      <c r="E1875" t="s">
        <v>6</v>
      </c>
      <c r="F1875" t="s">
        <v>52</v>
      </c>
      <c r="G1875" t="s">
        <v>7</v>
      </c>
    </row>
    <row r="1876" spans="1:7" x14ac:dyDescent="0.3">
      <c r="A1876" t="s">
        <v>33</v>
      </c>
      <c r="B1876" s="1">
        <v>45808</v>
      </c>
      <c r="C1876">
        <v>510002</v>
      </c>
      <c r="D1876">
        <v>129686.211</v>
      </c>
      <c r="E1876" t="s">
        <v>6</v>
      </c>
      <c r="F1876" t="s">
        <v>53</v>
      </c>
      <c r="G1876" t="s">
        <v>7</v>
      </c>
    </row>
    <row r="1877" spans="1:7" x14ac:dyDescent="0.3">
      <c r="A1877" t="s">
        <v>33</v>
      </c>
      <c r="B1877" s="1">
        <v>45808</v>
      </c>
      <c r="C1877">
        <v>510005</v>
      </c>
      <c r="D1877">
        <v>5074.2510000000002</v>
      </c>
      <c r="E1877" t="s">
        <v>6</v>
      </c>
      <c r="F1877" t="s">
        <v>53</v>
      </c>
      <c r="G1877" t="s">
        <v>7</v>
      </c>
    </row>
    <row r="1878" spans="1:7" x14ac:dyDescent="0.3">
      <c r="A1878" t="s">
        <v>33</v>
      </c>
      <c r="B1878" s="1">
        <v>45808</v>
      </c>
      <c r="C1878">
        <v>510007</v>
      </c>
      <c r="D1878">
        <v>16607.900000000001</v>
      </c>
      <c r="E1878" t="s">
        <v>6</v>
      </c>
      <c r="F1878" t="s">
        <v>53</v>
      </c>
      <c r="G1878" t="s">
        <v>7</v>
      </c>
    </row>
    <row r="1879" spans="1:7" x14ac:dyDescent="0.3">
      <c r="A1879" t="s">
        <v>33</v>
      </c>
      <c r="B1879" s="1">
        <v>45808</v>
      </c>
      <c r="C1879">
        <v>510010</v>
      </c>
      <c r="D1879">
        <v>2268.9920000000002</v>
      </c>
      <c r="E1879" t="s">
        <v>6</v>
      </c>
      <c r="F1879" t="s">
        <v>53</v>
      </c>
      <c r="G1879" t="s">
        <v>7</v>
      </c>
    </row>
    <row r="1880" spans="1:7" x14ac:dyDescent="0.3">
      <c r="A1880" t="s">
        <v>33</v>
      </c>
      <c r="B1880" s="1">
        <v>45808</v>
      </c>
      <c r="C1880">
        <v>510012</v>
      </c>
      <c r="D1880">
        <v>177.298</v>
      </c>
      <c r="E1880" t="s">
        <v>6</v>
      </c>
      <c r="F1880" t="s">
        <v>53</v>
      </c>
      <c r="G1880" t="s">
        <v>7</v>
      </c>
    </row>
    <row r="1881" spans="1:7" x14ac:dyDescent="0.3">
      <c r="A1881" t="s">
        <v>33</v>
      </c>
      <c r="B1881" s="1">
        <v>45808</v>
      </c>
      <c r="C1881">
        <v>510015</v>
      </c>
      <c r="D1881">
        <v>13899.928</v>
      </c>
      <c r="E1881" t="s">
        <v>6</v>
      </c>
      <c r="F1881" t="s">
        <v>53</v>
      </c>
      <c r="G1881" t="s">
        <v>7</v>
      </c>
    </row>
    <row r="1882" spans="1:7" x14ac:dyDescent="0.3">
      <c r="A1882" t="s">
        <v>33</v>
      </c>
      <c r="B1882" s="1">
        <v>45808</v>
      </c>
      <c r="C1882">
        <v>510018</v>
      </c>
      <c r="D1882">
        <v>12002.305</v>
      </c>
      <c r="E1882" t="s">
        <v>6</v>
      </c>
      <c r="F1882" t="s">
        <v>53</v>
      </c>
      <c r="G1882" t="s">
        <v>7</v>
      </c>
    </row>
    <row r="1883" spans="1:7" x14ac:dyDescent="0.3">
      <c r="A1883" t="s">
        <v>33</v>
      </c>
      <c r="B1883" s="1">
        <v>45808</v>
      </c>
      <c r="C1883">
        <v>510059</v>
      </c>
      <c r="D1883">
        <v>578.47699999999998</v>
      </c>
      <c r="E1883" t="s">
        <v>6</v>
      </c>
      <c r="F1883" t="s">
        <v>53</v>
      </c>
      <c r="G1883" t="s">
        <v>7</v>
      </c>
    </row>
    <row r="1884" spans="1:7" x14ac:dyDescent="0.3">
      <c r="A1884" t="s">
        <v>33</v>
      </c>
      <c r="B1884" s="1">
        <v>45808</v>
      </c>
      <c r="C1884">
        <v>510062</v>
      </c>
      <c r="D1884">
        <v>537.38699999999994</v>
      </c>
      <c r="E1884" t="s">
        <v>6</v>
      </c>
      <c r="F1884" t="s">
        <v>53</v>
      </c>
      <c r="G1884" t="s">
        <v>7</v>
      </c>
    </row>
    <row r="1885" spans="1:7" x14ac:dyDescent="0.3">
      <c r="A1885" t="s">
        <v>33</v>
      </c>
      <c r="B1885" s="1">
        <v>45808</v>
      </c>
      <c r="C1885">
        <v>510065</v>
      </c>
      <c r="D1885">
        <v>101.502</v>
      </c>
      <c r="E1885" t="s">
        <v>6</v>
      </c>
      <c r="F1885" t="s">
        <v>53</v>
      </c>
      <c r="G1885" t="s">
        <v>7</v>
      </c>
    </row>
    <row r="1886" spans="1:7" x14ac:dyDescent="0.3">
      <c r="A1886" t="s">
        <v>33</v>
      </c>
      <c r="B1886" s="1">
        <v>45808</v>
      </c>
      <c r="C1886">
        <v>520021</v>
      </c>
      <c r="D1886">
        <v>548.40499999999997</v>
      </c>
      <c r="E1886" t="s">
        <v>6</v>
      </c>
      <c r="F1886" t="s">
        <v>60</v>
      </c>
      <c r="G1886" t="s">
        <v>7</v>
      </c>
    </row>
    <row r="1887" spans="1:7" x14ac:dyDescent="0.3">
      <c r="A1887" t="s">
        <v>33</v>
      </c>
      <c r="B1887" s="1">
        <v>45808</v>
      </c>
      <c r="C1887">
        <v>530012</v>
      </c>
      <c r="D1887">
        <v>2118.328</v>
      </c>
      <c r="E1887" t="s">
        <v>6</v>
      </c>
      <c r="F1887" t="s">
        <v>53</v>
      </c>
      <c r="G1887" t="s">
        <v>7</v>
      </c>
    </row>
    <row r="1888" spans="1:7" x14ac:dyDescent="0.3">
      <c r="A1888" t="s">
        <v>33</v>
      </c>
      <c r="B1888" s="1">
        <v>45808</v>
      </c>
      <c r="C1888">
        <v>541004</v>
      </c>
      <c r="D1888">
        <v>154.05099999999999</v>
      </c>
      <c r="E1888" t="s">
        <v>6</v>
      </c>
      <c r="F1888" t="s">
        <v>61</v>
      </c>
      <c r="G1888" t="s">
        <v>7</v>
      </c>
    </row>
    <row r="1889" spans="1:7" x14ac:dyDescent="0.3">
      <c r="A1889" t="s">
        <v>33</v>
      </c>
      <c r="B1889" s="1">
        <v>45808</v>
      </c>
      <c r="C1889">
        <v>541009</v>
      </c>
      <c r="D1889">
        <v>1034.7</v>
      </c>
      <c r="E1889" t="s">
        <v>6</v>
      </c>
      <c r="F1889" t="s">
        <v>61</v>
      </c>
      <c r="G1889" t="s">
        <v>7</v>
      </c>
    </row>
    <row r="1890" spans="1:7" x14ac:dyDescent="0.3">
      <c r="A1890" t="s">
        <v>33</v>
      </c>
      <c r="B1890" s="1">
        <v>45808</v>
      </c>
      <c r="C1890">
        <v>541010</v>
      </c>
      <c r="D1890">
        <v>2239.5500000000002</v>
      </c>
      <c r="E1890" t="s">
        <v>6</v>
      </c>
      <c r="F1890" t="s">
        <v>61</v>
      </c>
      <c r="G1890" t="s">
        <v>7</v>
      </c>
    </row>
    <row r="1891" spans="1:7" x14ac:dyDescent="0.3">
      <c r="A1891" t="s">
        <v>33</v>
      </c>
      <c r="B1891" s="1">
        <v>45808</v>
      </c>
      <c r="C1891">
        <v>541013</v>
      </c>
      <c r="D1891">
        <v>76.125</v>
      </c>
      <c r="E1891" t="s">
        <v>6</v>
      </c>
      <c r="F1891" t="s">
        <v>61</v>
      </c>
      <c r="G1891" t="s">
        <v>7</v>
      </c>
    </row>
    <row r="1892" spans="1:7" x14ac:dyDescent="0.3">
      <c r="A1892" t="s">
        <v>33</v>
      </c>
      <c r="B1892" s="1">
        <v>45808</v>
      </c>
      <c r="C1892">
        <v>546002</v>
      </c>
      <c r="D1892">
        <v>125957.764</v>
      </c>
      <c r="E1892" t="s">
        <v>6</v>
      </c>
      <c r="F1892" t="s">
        <v>51</v>
      </c>
      <c r="G1892" t="s">
        <v>7</v>
      </c>
    </row>
    <row r="1893" spans="1:7" x14ac:dyDescent="0.3">
      <c r="A1893" t="s">
        <v>33</v>
      </c>
      <c r="B1893" s="1">
        <v>45808</v>
      </c>
      <c r="C1893">
        <v>546008</v>
      </c>
      <c r="D1893">
        <v>4499.9549999999999</v>
      </c>
      <c r="E1893" t="s">
        <v>6</v>
      </c>
      <c r="F1893" t="s">
        <v>51</v>
      </c>
      <c r="G1893" t="s">
        <v>7</v>
      </c>
    </row>
    <row r="1894" spans="1:7" x14ac:dyDescent="0.3">
      <c r="A1894" t="s">
        <v>33</v>
      </c>
      <c r="B1894" s="1">
        <v>45808</v>
      </c>
      <c r="C1894">
        <v>546013</v>
      </c>
      <c r="D1894">
        <v>49580.974999999999</v>
      </c>
      <c r="E1894" t="s">
        <v>6</v>
      </c>
      <c r="F1894" t="s">
        <v>51</v>
      </c>
      <c r="G1894" t="s">
        <v>7</v>
      </c>
    </row>
    <row r="1895" spans="1:7" x14ac:dyDescent="0.3">
      <c r="A1895" t="s">
        <v>33</v>
      </c>
      <c r="B1895" s="1">
        <v>45808</v>
      </c>
      <c r="C1895">
        <v>546015</v>
      </c>
      <c r="D1895">
        <v>527.15300000000002</v>
      </c>
      <c r="E1895" t="s">
        <v>6</v>
      </c>
      <c r="F1895" t="s">
        <v>51</v>
      </c>
      <c r="G1895" t="s">
        <v>7</v>
      </c>
    </row>
    <row r="1896" spans="1:7" x14ac:dyDescent="0.3">
      <c r="A1896" t="s">
        <v>33</v>
      </c>
      <c r="B1896" s="1">
        <v>45808</v>
      </c>
      <c r="C1896">
        <v>546035</v>
      </c>
      <c r="D1896">
        <v>1056.316</v>
      </c>
      <c r="E1896" t="s">
        <v>6</v>
      </c>
      <c r="F1896" t="s">
        <v>51</v>
      </c>
      <c r="G1896" t="s">
        <v>7</v>
      </c>
    </row>
    <row r="1897" spans="1:7" x14ac:dyDescent="0.3">
      <c r="A1897" t="s">
        <v>33</v>
      </c>
      <c r="B1897" s="1">
        <v>45808</v>
      </c>
      <c r="C1897">
        <v>546040</v>
      </c>
      <c r="D1897">
        <v>11952.434999999999</v>
      </c>
      <c r="E1897" t="s">
        <v>6</v>
      </c>
      <c r="F1897" t="s">
        <v>51</v>
      </c>
      <c r="G1897" t="s">
        <v>7</v>
      </c>
    </row>
    <row r="1898" spans="1:7" x14ac:dyDescent="0.3">
      <c r="A1898" t="s">
        <v>33</v>
      </c>
      <c r="B1898" s="1">
        <v>45808</v>
      </c>
      <c r="C1898">
        <v>550003</v>
      </c>
      <c r="D1898">
        <v>41640.364999999998</v>
      </c>
      <c r="E1898" t="s">
        <v>6</v>
      </c>
      <c r="F1898" t="s">
        <v>62</v>
      </c>
      <c r="G1898" t="s">
        <v>7</v>
      </c>
    </row>
    <row r="1899" spans="1:7" x14ac:dyDescent="0.3">
      <c r="A1899" t="s">
        <v>33</v>
      </c>
      <c r="B1899" s="1">
        <v>45808</v>
      </c>
      <c r="C1899">
        <v>551008</v>
      </c>
      <c r="D1899">
        <v>12.057</v>
      </c>
      <c r="E1899" t="s">
        <v>6</v>
      </c>
      <c r="F1899" t="s">
        <v>63</v>
      </c>
      <c r="G1899" t="s">
        <v>7</v>
      </c>
    </row>
    <row r="1900" spans="1:7" x14ac:dyDescent="0.3">
      <c r="A1900" t="s">
        <v>33</v>
      </c>
      <c r="B1900" s="1">
        <v>45808</v>
      </c>
      <c r="C1900">
        <v>552504</v>
      </c>
      <c r="D1900">
        <v>-525.44600000000003</v>
      </c>
      <c r="E1900" t="s">
        <v>6</v>
      </c>
      <c r="F1900" t="s">
        <v>55</v>
      </c>
      <c r="G1900" t="s">
        <v>7</v>
      </c>
    </row>
    <row r="1901" spans="1:7" x14ac:dyDescent="0.3">
      <c r="A1901" t="s">
        <v>33</v>
      </c>
      <c r="B1901" s="1">
        <v>45808</v>
      </c>
      <c r="C1901">
        <v>554005</v>
      </c>
      <c r="D1901">
        <v>12.776999999999999</v>
      </c>
      <c r="E1901" t="s">
        <v>6</v>
      </c>
      <c r="F1901" t="s">
        <v>55</v>
      </c>
      <c r="G1901" t="s">
        <v>7</v>
      </c>
    </row>
    <row r="1902" spans="1:7" x14ac:dyDescent="0.3">
      <c r="A1902" t="s">
        <v>33</v>
      </c>
      <c r="B1902" s="1">
        <v>45808</v>
      </c>
      <c r="C1902">
        <v>555007</v>
      </c>
      <c r="D1902">
        <v>1.194</v>
      </c>
      <c r="E1902" t="s">
        <v>6</v>
      </c>
      <c r="F1902" t="s">
        <v>55</v>
      </c>
      <c r="G1902" t="s">
        <v>7</v>
      </c>
    </row>
    <row r="1903" spans="1:7" x14ac:dyDescent="0.3">
      <c r="A1903" t="s">
        <v>33</v>
      </c>
      <c r="B1903" s="1">
        <v>45808</v>
      </c>
      <c r="C1903">
        <v>555502</v>
      </c>
      <c r="D1903">
        <v>-36.69</v>
      </c>
      <c r="E1903" t="s">
        <v>6</v>
      </c>
      <c r="F1903" t="s">
        <v>55</v>
      </c>
      <c r="G1903" t="s">
        <v>7</v>
      </c>
    </row>
    <row r="1904" spans="1:7" x14ac:dyDescent="0.3">
      <c r="A1904" t="s">
        <v>33</v>
      </c>
      <c r="B1904" s="1">
        <v>45808</v>
      </c>
      <c r="C1904">
        <v>555508</v>
      </c>
      <c r="D1904">
        <v>36.780999999999999</v>
      </c>
      <c r="E1904" t="s">
        <v>6</v>
      </c>
      <c r="F1904" t="s">
        <v>55</v>
      </c>
      <c r="G1904" t="s">
        <v>7</v>
      </c>
    </row>
    <row r="1905" spans="1:7" x14ac:dyDescent="0.3">
      <c r="A1905" t="s">
        <v>33</v>
      </c>
      <c r="B1905" s="1">
        <v>45808</v>
      </c>
      <c r="C1905">
        <v>556002</v>
      </c>
      <c r="D1905">
        <v>1.7909999999999999</v>
      </c>
      <c r="E1905" t="s">
        <v>6</v>
      </c>
      <c r="F1905" t="s">
        <v>60</v>
      </c>
      <c r="G1905" t="s">
        <v>7</v>
      </c>
    </row>
    <row r="1906" spans="1:7" x14ac:dyDescent="0.3">
      <c r="A1906" t="s">
        <v>33</v>
      </c>
      <c r="B1906" s="1">
        <v>45808</v>
      </c>
      <c r="C1906">
        <v>556003</v>
      </c>
      <c r="D1906">
        <v>-989.08399999999995</v>
      </c>
      <c r="E1906" t="s">
        <v>6</v>
      </c>
      <c r="F1906" t="s">
        <v>55</v>
      </c>
      <c r="G1906" t="s">
        <v>7</v>
      </c>
    </row>
    <row r="1907" spans="1:7" x14ac:dyDescent="0.3">
      <c r="A1907" t="s">
        <v>33</v>
      </c>
      <c r="B1907" s="1">
        <v>45808</v>
      </c>
      <c r="C1907">
        <v>557002</v>
      </c>
      <c r="D1907">
        <v>2188.741</v>
      </c>
      <c r="E1907" t="s">
        <v>6</v>
      </c>
      <c r="F1907" t="s">
        <v>56</v>
      </c>
      <c r="G1907" t="s">
        <v>7</v>
      </c>
    </row>
    <row r="1908" spans="1:7" x14ac:dyDescent="0.3">
      <c r="A1908" t="s">
        <v>33</v>
      </c>
      <c r="B1908" s="1">
        <v>45808</v>
      </c>
      <c r="C1908">
        <v>557003</v>
      </c>
      <c r="D1908">
        <v>567.24199999999996</v>
      </c>
      <c r="E1908" t="s">
        <v>6</v>
      </c>
      <c r="F1908" t="s">
        <v>56</v>
      </c>
      <c r="G1908" t="s">
        <v>7</v>
      </c>
    </row>
    <row r="1909" spans="1:7" x14ac:dyDescent="0.3">
      <c r="A1909" t="s">
        <v>33</v>
      </c>
      <c r="B1909" s="1">
        <v>45808</v>
      </c>
      <c r="C1909">
        <v>559002</v>
      </c>
      <c r="D1909">
        <v>30.582000000000001</v>
      </c>
      <c r="E1909" t="s">
        <v>6</v>
      </c>
      <c r="F1909" t="s">
        <v>60</v>
      </c>
      <c r="G1909" t="s">
        <v>7</v>
      </c>
    </row>
    <row r="1910" spans="1:7" x14ac:dyDescent="0.3">
      <c r="A1910" t="s">
        <v>33</v>
      </c>
      <c r="B1910" s="1">
        <v>45808</v>
      </c>
      <c r="C1910">
        <v>564020</v>
      </c>
      <c r="D1910">
        <v>51.512</v>
      </c>
      <c r="E1910" t="s">
        <v>6</v>
      </c>
      <c r="F1910" t="s">
        <v>57</v>
      </c>
      <c r="G1910" t="s">
        <v>7</v>
      </c>
    </row>
    <row r="1911" spans="1:7" x14ac:dyDescent="0.3">
      <c r="A1911" t="s">
        <v>33</v>
      </c>
      <c r="B1911" s="1">
        <v>45808</v>
      </c>
      <c r="C1911">
        <v>570002</v>
      </c>
      <c r="D1911">
        <v>339.48599999999999</v>
      </c>
      <c r="E1911" t="s">
        <v>6</v>
      </c>
      <c r="F1911" t="s">
        <v>66</v>
      </c>
      <c r="G1911" t="s">
        <v>7</v>
      </c>
    </row>
    <row r="1912" spans="1:7" x14ac:dyDescent="0.3">
      <c r="A1912" t="s">
        <v>34</v>
      </c>
      <c r="B1912" s="1">
        <v>45808</v>
      </c>
      <c r="C1912">
        <v>210002</v>
      </c>
      <c r="D1912">
        <v>-13230.424999999999</v>
      </c>
      <c r="E1912" t="s">
        <v>4</v>
      </c>
      <c r="F1912" t="s">
        <v>42</v>
      </c>
      <c r="G1912" t="s">
        <v>7</v>
      </c>
    </row>
    <row r="1913" spans="1:7" x14ac:dyDescent="0.3">
      <c r="A1913" t="s">
        <v>34</v>
      </c>
      <c r="B1913" s="1">
        <v>45808</v>
      </c>
      <c r="C1913">
        <v>220006</v>
      </c>
      <c r="D1913">
        <v>-1651859.331</v>
      </c>
      <c r="E1913" t="s">
        <v>4</v>
      </c>
      <c r="F1913" t="s">
        <v>42</v>
      </c>
      <c r="G1913" t="s">
        <v>7</v>
      </c>
    </row>
    <row r="1914" spans="1:7" x14ac:dyDescent="0.3">
      <c r="A1914" t="s">
        <v>34</v>
      </c>
      <c r="B1914" s="1">
        <v>45808</v>
      </c>
      <c r="C1914">
        <v>240002</v>
      </c>
      <c r="D1914">
        <v>-286.779</v>
      </c>
      <c r="E1914" t="s">
        <v>4</v>
      </c>
      <c r="F1914" t="s">
        <v>43</v>
      </c>
      <c r="G1914" t="s">
        <v>7</v>
      </c>
    </row>
    <row r="1915" spans="1:7" x14ac:dyDescent="0.3">
      <c r="A1915" t="s">
        <v>34</v>
      </c>
      <c r="B1915" s="1">
        <v>45808</v>
      </c>
      <c r="C1915">
        <v>240003</v>
      </c>
      <c r="D1915">
        <v>10.137</v>
      </c>
      <c r="E1915" t="s">
        <v>4</v>
      </c>
      <c r="F1915" t="s">
        <v>43</v>
      </c>
      <c r="G1915" t="s">
        <v>7</v>
      </c>
    </row>
    <row r="1916" spans="1:7" x14ac:dyDescent="0.3">
      <c r="A1916" t="s">
        <v>34</v>
      </c>
      <c r="B1916" s="1">
        <v>45808</v>
      </c>
      <c r="C1916">
        <v>240009</v>
      </c>
      <c r="D1916">
        <v>-169.06899999999999</v>
      </c>
      <c r="E1916" t="s">
        <v>4</v>
      </c>
      <c r="F1916" t="s">
        <v>43</v>
      </c>
      <c r="G1916" t="s">
        <v>7</v>
      </c>
    </row>
    <row r="1917" spans="1:7" x14ac:dyDescent="0.3">
      <c r="A1917" t="s">
        <v>34</v>
      </c>
      <c r="B1917" s="1">
        <v>45808</v>
      </c>
      <c r="C1917">
        <v>242003</v>
      </c>
      <c r="D1917">
        <v>-172135.576</v>
      </c>
      <c r="E1917" t="s">
        <v>4</v>
      </c>
      <c r="F1917" t="s">
        <v>43</v>
      </c>
      <c r="G1917" t="s">
        <v>7</v>
      </c>
    </row>
    <row r="1918" spans="1:7" x14ac:dyDescent="0.3">
      <c r="A1918" t="s">
        <v>34</v>
      </c>
      <c r="B1918" s="1">
        <v>45808</v>
      </c>
      <c r="C1918">
        <v>242011</v>
      </c>
      <c r="D1918">
        <v>-412334.283</v>
      </c>
      <c r="E1918" t="s">
        <v>4</v>
      </c>
      <c r="F1918" t="s">
        <v>43</v>
      </c>
      <c r="G1918" t="s">
        <v>7</v>
      </c>
    </row>
    <row r="1919" spans="1:7" x14ac:dyDescent="0.3">
      <c r="A1919" t="s">
        <v>34</v>
      </c>
      <c r="B1919" s="1">
        <v>45808</v>
      </c>
      <c r="C1919">
        <v>242013</v>
      </c>
      <c r="D1919">
        <v>-56948.180999999997</v>
      </c>
      <c r="E1919" t="s">
        <v>4</v>
      </c>
      <c r="F1919" t="s">
        <v>43</v>
      </c>
      <c r="G1919" t="s">
        <v>7</v>
      </c>
    </row>
    <row r="1920" spans="1:7" x14ac:dyDescent="0.3">
      <c r="A1920" t="s">
        <v>34</v>
      </c>
      <c r="B1920" s="1">
        <v>45808</v>
      </c>
      <c r="C1920">
        <v>242014</v>
      </c>
      <c r="D1920">
        <v>-19662.848000000002</v>
      </c>
      <c r="E1920" t="s">
        <v>4</v>
      </c>
      <c r="F1920" t="s">
        <v>43</v>
      </c>
      <c r="G1920" t="s">
        <v>7</v>
      </c>
    </row>
    <row r="1921" spans="1:7" x14ac:dyDescent="0.3">
      <c r="A1921" t="s">
        <v>34</v>
      </c>
      <c r="B1921" s="1">
        <v>45808</v>
      </c>
      <c r="C1921">
        <v>242017</v>
      </c>
      <c r="D1921">
        <v>276.05900000000003</v>
      </c>
      <c r="E1921" t="s">
        <v>4</v>
      </c>
      <c r="F1921" t="s">
        <v>43</v>
      </c>
      <c r="G1921" t="s">
        <v>7</v>
      </c>
    </row>
    <row r="1922" spans="1:7" x14ac:dyDescent="0.3">
      <c r="A1922" t="s">
        <v>34</v>
      </c>
      <c r="B1922" s="1">
        <v>45808</v>
      </c>
      <c r="C1922">
        <v>242023</v>
      </c>
      <c r="D1922">
        <v>-6769.0039999999999</v>
      </c>
      <c r="E1922" t="s">
        <v>4</v>
      </c>
      <c r="F1922" t="s">
        <v>43</v>
      </c>
      <c r="G1922" t="s">
        <v>7</v>
      </c>
    </row>
    <row r="1923" spans="1:7" x14ac:dyDescent="0.3">
      <c r="A1923" t="s">
        <v>34</v>
      </c>
      <c r="B1923" s="1">
        <v>45808</v>
      </c>
      <c r="C1923">
        <v>242027</v>
      </c>
      <c r="D1923">
        <v>-122426.717</v>
      </c>
      <c r="E1923" t="s">
        <v>4</v>
      </c>
      <c r="F1923" t="s">
        <v>43</v>
      </c>
      <c r="G1923" t="s">
        <v>7</v>
      </c>
    </row>
    <row r="1924" spans="1:7" x14ac:dyDescent="0.3">
      <c r="A1924" t="s">
        <v>34</v>
      </c>
      <c r="B1924" s="1">
        <v>45808</v>
      </c>
      <c r="C1924">
        <v>242030</v>
      </c>
      <c r="D1924">
        <v>-71725.089000000007</v>
      </c>
      <c r="E1924" t="s">
        <v>4</v>
      </c>
      <c r="F1924" t="s">
        <v>43</v>
      </c>
      <c r="G1924" t="s">
        <v>7</v>
      </c>
    </row>
    <row r="1925" spans="1:7" x14ac:dyDescent="0.3">
      <c r="A1925" t="s">
        <v>34</v>
      </c>
      <c r="B1925" s="1">
        <v>45808</v>
      </c>
      <c r="C1925">
        <v>242036</v>
      </c>
      <c r="D1925">
        <v>-22.135999999999999</v>
      </c>
      <c r="E1925" t="s">
        <v>4</v>
      </c>
      <c r="F1925" t="s">
        <v>43</v>
      </c>
      <c r="G1925" t="s">
        <v>7</v>
      </c>
    </row>
    <row r="1926" spans="1:7" x14ac:dyDescent="0.3">
      <c r="A1926" t="s">
        <v>34</v>
      </c>
      <c r="B1926" s="1">
        <v>45808</v>
      </c>
      <c r="C1926">
        <v>242038</v>
      </c>
      <c r="D1926">
        <v>-3970.607</v>
      </c>
      <c r="E1926" t="s">
        <v>4</v>
      </c>
      <c r="F1926" t="s">
        <v>43</v>
      </c>
      <c r="G1926" t="s">
        <v>7</v>
      </c>
    </row>
    <row r="1927" spans="1:7" x14ac:dyDescent="0.3">
      <c r="A1927" t="s">
        <v>34</v>
      </c>
      <c r="B1927" s="1">
        <v>45808</v>
      </c>
      <c r="C1927">
        <v>242039</v>
      </c>
      <c r="D1927">
        <v>-367.14299999999997</v>
      </c>
      <c r="E1927" t="s">
        <v>4</v>
      </c>
      <c r="F1927" t="s">
        <v>43</v>
      </c>
      <c r="G1927" t="s">
        <v>7</v>
      </c>
    </row>
    <row r="1928" spans="1:7" x14ac:dyDescent="0.3">
      <c r="A1928" t="s">
        <v>34</v>
      </c>
      <c r="B1928" s="1">
        <v>45808</v>
      </c>
      <c r="C1928">
        <v>242041</v>
      </c>
      <c r="D1928">
        <v>6439.1350000000002</v>
      </c>
      <c r="E1928" t="s">
        <v>4</v>
      </c>
      <c r="F1928" t="s">
        <v>43</v>
      </c>
      <c r="G1928" t="s">
        <v>7</v>
      </c>
    </row>
    <row r="1929" spans="1:7" x14ac:dyDescent="0.3">
      <c r="A1929" t="s">
        <v>34</v>
      </c>
      <c r="B1929" s="1">
        <v>45808</v>
      </c>
      <c r="C1929">
        <v>243002</v>
      </c>
      <c r="D1929">
        <v>-10814.91</v>
      </c>
      <c r="E1929" t="s">
        <v>4</v>
      </c>
      <c r="F1929" t="s">
        <v>43</v>
      </c>
      <c r="G1929" t="s">
        <v>7</v>
      </c>
    </row>
    <row r="1930" spans="1:7" x14ac:dyDescent="0.3">
      <c r="A1930" t="s">
        <v>34</v>
      </c>
      <c r="B1930" s="1">
        <v>45808</v>
      </c>
      <c r="C1930">
        <v>243003</v>
      </c>
      <c r="D1930">
        <v>-10494.853999999999</v>
      </c>
      <c r="E1930" t="s">
        <v>4</v>
      </c>
      <c r="F1930" t="s">
        <v>43</v>
      </c>
      <c r="G1930" t="s">
        <v>7</v>
      </c>
    </row>
    <row r="1931" spans="1:7" x14ac:dyDescent="0.3">
      <c r="A1931" t="s">
        <v>34</v>
      </c>
      <c r="B1931" s="1">
        <v>45808</v>
      </c>
      <c r="C1931">
        <v>243010</v>
      </c>
      <c r="D1931">
        <v>-4383.9880000000003</v>
      </c>
      <c r="E1931" t="s">
        <v>4</v>
      </c>
      <c r="F1931" t="s">
        <v>43</v>
      </c>
      <c r="G1931" t="s">
        <v>7</v>
      </c>
    </row>
    <row r="1932" spans="1:7" x14ac:dyDescent="0.3">
      <c r="A1932" t="s">
        <v>34</v>
      </c>
      <c r="B1932" s="1">
        <v>45808</v>
      </c>
      <c r="C1932">
        <v>245010</v>
      </c>
      <c r="D1932">
        <v>-66395.827999999994</v>
      </c>
      <c r="E1932" t="s">
        <v>4</v>
      </c>
      <c r="F1932" t="s">
        <v>44</v>
      </c>
      <c r="G1932" t="s">
        <v>7</v>
      </c>
    </row>
    <row r="1933" spans="1:7" x14ac:dyDescent="0.3">
      <c r="A1933" t="s">
        <v>34</v>
      </c>
      <c r="B1933" s="1">
        <v>45808</v>
      </c>
      <c r="C1933">
        <v>245018</v>
      </c>
      <c r="D1933">
        <v>-42630.656999999999</v>
      </c>
      <c r="E1933" t="s">
        <v>4</v>
      </c>
      <c r="F1933" t="s">
        <v>43</v>
      </c>
      <c r="G1933" t="s">
        <v>7</v>
      </c>
    </row>
    <row r="1934" spans="1:7" x14ac:dyDescent="0.3">
      <c r="A1934" t="s">
        <v>34</v>
      </c>
      <c r="B1934" s="1">
        <v>45808</v>
      </c>
      <c r="C1934">
        <v>245055</v>
      </c>
      <c r="D1934">
        <v>-8460.134</v>
      </c>
      <c r="E1934" t="s">
        <v>4</v>
      </c>
      <c r="F1934" t="s">
        <v>43</v>
      </c>
      <c r="G1934" t="s">
        <v>7</v>
      </c>
    </row>
    <row r="1935" spans="1:7" x14ac:dyDescent="0.3">
      <c r="A1935" t="s">
        <v>34</v>
      </c>
      <c r="B1935" s="1">
        <v>45808</v>
      </c>
      <c r="C1935">
        <v>245056</v>
      </c>
      <c r="D1935">
        <v>-103.84399999999999</v>
      </c>
      <c r="E1935" t="s">
        <v>4</v>
      </c>
      <c r="F1935" t="s">
        <v>49</v>
      </c>
      <c r="G1935" t="s">
        <v>7</v>
      </c>
    </row>
    <row r="1936" spans="1:7" x14ac:dyDescent="0.3">
      <c r="A1936" t="s">
        <v>34</v>
      </c>
      <c r="B1936" s="1">
        <v>45808</v>
      </c>
      <c r="C1936">
        <v>245062</v>
      </c>
      <c r="D1936">
        <v>-26485.385999999999</v>
      </c>
      <c r="E1936" t="s">
        <v>4</v>
      </c>
      <c r="F1936" t="s">
        <v>43</v>
      </c>
      <c r="G1936" t="s">
        <v>7</v>
      </c>
    </row>
    <row r="1937" spans="1:7" x14ac:dyDescent="0.3">
      <c r="A1937" t="s">
        <v>34</v>
      </c>
      <c r="B1937" s="1">
        <v>45808</v>
      </c>
      <c r="C1937">
        <v>250003</v>
      </c>
      <c r="D1937">
        <v>-863.93700000000001</v>
      </c>
      <c r="E1937" t="s">
        <v>4</v>
      </c>
      <c r="F1937" t="s">
        <v>45</v>
      </c>
      <c r="G1937" t="s">
        <v>7</v>
      </c>
    </row>
    <row r="1938" spans="1:7" x14ac:dyDescent="0.3">
      <c r="A1938" t="s">
        <v>34</v>
      </c>
      <c r="B1938" s="1">
        <v>45808</v>
      </c>
      <c r="C1938">
        <v>250007</v>
      </c>
      <c r="D1938">
        <v>-13720.47</v>
      </c>
      <c r="E1938" t="s">
        <v>4</v>
      </c>
      <c r="F1938" t="s">
        <v>43</v>
      </c>
      <c r="G1938" t="s">
        <v>7</v>
      </c>
    </row>
    <row r="1939" spans="1:7" x14ac:dyDescent="0.3">
      <c r="A1939" t="s">
        <v>34</v>
      </c>
      <c r="B1939" s="1">
        <v>45808</v>
      </c>
      <c r="C1939">
        <v>251002</v>
      </c>
      <c r="D1939">
        <v>-593.68299999999999</v>
      </c>
      <c r="E1939" t="s">
        <v>4</v>
      </c>
      <c r="F1939" t="s">
        <v>45</v>
      </c>
      <c r="G1939" t="s">
        <v>7</v>
      </c>
    </row>
    <row r="1940" spans="1:7" x14ac:dyDescent="0.3">
      <c r="A1940" t="s">
        <v>34</v>
      </c>
      <c r="B1940" s="1">
        <v>45808</v>
      </c>
      <c r="C1940">
        <v>257008</v>
      </c>
      <c r="D1940">
        <v>-959.96199999999999</v>
      </c>
      <c r="E1940" t="s">
        <v>4</v>
      </c>
      <c r="F1940" t="s">
        <v>45</v>
      </c>
      <c r="G1940" t="s">
        <v>7</v>
      </c>
    </row>
    <row r="1941" spans="1:7" x14ac:dyDescent="0.3">
      <c r="A1941" t="s">
        <v>34</v>
      </c>
      <c r="B1941" s="1">
        <v>45808</v>
      </c>
      <c r="C1941">
        <v>257009</v>
      </c>
      <c r="D1941">
        <v>-12499.183999999999</v>
      </c>
      <c r="E1941" t="s">
        <v>4</v>
      </c>
      <c r="F1941" t="s">
        <v>45</v>
      </c>
      <c r="G1941" t="s">
        <v>7</v>
      </c>
    </row>
    <row r="1942" spans="1:7" x14ac:dyDescent="0.3">
      <c r="A1942" t="s">
        <v>34</v>
      </c>
      <c r="B1942" s="1">
        <v>45808</v>
      </c>
      <c r="C1942">
        <v>257011</v>
      </c>
      <c r="D1942">
        <v>-3315.3090000000002</v>
      </c>
      <c r="E1942" t="s">
        <v>4</v>
      </c>
      <c r="F1942" t="s">
        <v>45</v>
      </c>
      <c r="G1942" t="s">
        <v>7</v>
      </c>
    </row>
    <row r="1943" spans="1:7" x14ac:dyDescent="0.3">
      <c r="A1943" t="s">
        <v>34</v>
      </c>
      <c r="B1943" s="1">
        <v>45808</v>
      </c>
      <c r="C1943">
        <v>257028</v>
      </c>
      <c r="D1943">
        <v>-34969.921999999999</v>
      </c>
      <c r="E1943" t="s">
        <v>4</v>
      </c>
      <c r="F1943" t="s">
        <v>45</v>
      </c>
      <c r="G1943" t="s">
        <v>7</v>
      </c>
    </row>
    <row r="1944" spans="1:7" x14ac:dyDescent="0.3">
      <c r="A1944" t="s">
        <v>34</v>
      </c>
      <c r="B1944" s="1">
        <v>45808</v>
      </c>
      <c r="C1944">
        <v>260004</v>
      </c>
      <c r="D1944">
        <v>1848.1890000000001</v>
      </c>
      <c r="E1944" t="s">
        <v>4</v>
      </c>
      <c r="F1944" t="s">
        <v>45</v>
      </c>
      <c r="G1944" t="s">
        <v>7</v>
      </c>
    </row>
    <row r="1945" spans="1:7" x14ac:dyDescent="0.3">
      <c r="A1945" t="s">
        <v>34</v>
      </c>
      <c r="B1945" s="1">
        <v>45808</v>
      </c>
      <c r="C1945">
        <v>270024</v>
      </c>
      <c r="D1945">
        <v>-13804.866</v>
      </c>
      <c r="E1945" t="s">
        <v>4</v>
      </c>
      <c r="F1945" t="s">
        <v>58</v>
      </c>
      <c r="G1945" t="s">
        <v>7</v>
      </c>
    </row>
    <row r="1946" spans="1:7" x14ac:dyDescent="0.3">
      <c r="A1946" t="s">
        <v>34</v>
      </c>
      <c r="B1946" s="1">
        <v>45808</v>
      </c>
      <c r="C1946">
        <v>270025</v>
      </c>
      <c r="D1946">
        <v>-124.967</v>
      </c>
      <c r="E1946" t="s">
        <v>4</v>
      </c>
      <c r="F1946" t="s">
        <v>58</v>
      </c>
      <c r="G1946" t="s">
        <v>7</v>
      </c>
    </row>
    <row r="1947" spans="1:7" x14ac:dyDescent="0.3">
      <c r="A1947" t="s">
        <v>34</v>
      </c>
      <c r="B1947" s="1">
        <v>45808</v>
      </c>
      <c r="C1947">
        <v>270026</v>
      </c>
      <c r="D1947">
        <v>-16489.319</v>
      </c>
      <c r="E1947" t="s">
        <v>4</v>
      </c>
      <c r="F1947" t="s">
        <v>58</v>
      </c>
      <c r="G1947" t="s">
        <v>7</v>
      </c>
    </row>
    <row r="1948" spans="1:7" x14ac:dyDescent="0.3">
      <c r="A1948" t="s">
        <v>34</v>
      </c>
      <c r="B1948" s="1">
        <v>45808</v>
      </c>
      <c r="C1948">
        <v>300004</v>
      </c>
      <c r="D1948">
        <v>1662.7840000000001</v>
      </c>
      <c r="E1948" t="s">
        <v>4</v>
      </c>
      <c r="F1948" t="s">
        <v>65</v>
      </c>
      <c r="G1948" t="s">
        <v>7</v>
      </c>
    </row>
    <row r="1949" spans="1:7" x14ac:dyDescent="0.3">
      <c r="A1949" t="s">
        <v>34</v>
      </c>
      <c r="B1949" s="1">
        <v>45808</v>
      </c>
      <c r="C1949">
        <v>300005</v>
      </c>
      <c r="D1949">
        <v>5412.4470000000001</v>
      </c>
      <c r="E1949" t="s">
        <v>4</v>
      </c>
      <c r="F1949" t="s">
        <v>65</v>
      </c>
      <c r="G1949" t="s">
        <v>7</v>
      </c>
    </row>
    <row r="1950" spans="1:7" x14ac:dyDescent="0.3">
      <c r="A1950" t="s">
        <v>34</v>
      </c>
      <c r="B1950" s="1">
        <v>45808</v>
      </c>
      <c r="C1950">
        <v>300008</v>
      </c>
      <c r="D1950">
        <v>15602.311</v>
      </c>
      <c r="E1950" t="s">
        <v>4</v>
      </c>
      <c r="F1950" t="s">
        <v>65</v>
      </c>
      <c r="G1950" t="s">
        <v>7</v>
      </c>
    </row>
    <row r="1951" spans="1:7" x14ac:dyDescent="0.3">
      <c r="A1951" t="s">
        <v>34</v>
      </c>
      <c r="B1951" s="1">
        <v>45808</v>
      </c>
      <c r="C1951">
        <v>300009</v>
      </c>
      <c r="D1951">
        <v>270.84399999999999</v>
      </c>
      <c r="E1951" t="s">
        <v>4</v>
      </c>
      <c r="F1951" t="s">
        <v>65</v>
      </c>
      <c r="G1951" t="s">
        <v>7</v>
      </c>
    </row>
    <row r="1952" spans="1:7" x14ac:dyDescent="0.3">
      <c r="A1952" t="s">
        <v>34</v>
      </c>
      <c r="B1952" s="1">
        <v>45808</v>
      </c>
      <c r="C1952">
        <v>300011</v>
      </c>
      <c r="D1952">
        <v>136.803</v>
      </c>
      <c r="E1952" t="s">
        <v>4</v>
      </c>
      <c r="F1952" t="s">
        <v>65</v>
      </c>
      <c r="G1952" t="s">
        <v>7</v>
      </c>
    </row>
    <row r="1953" spans="1:7" x14ac:dyDescent="0.3">
      <c r="A1953" t="s">
        <v>34</v>
      </c>
      <c r="B1953" s="1">
        <v>45808</v>
      </c>
      <c r="C1953">
        <v>300012</v>
      </c>
      <c r="D1953">
        <v>4835.4939999999997</v>
      </c>
      <c r="E1953" t="s">
        <v>4</v>
      </c>
      <c r="F1953" t="s">
        <v>65</v>
      </c>
      <c r="G1953" t="s">
        <v>7</v>
      </c>
    </row>
    <row r="1954" spans="1:7" x14ac:dyDescent="0.3">
      <c r="A1954" t="s">
        <v>34</v>
      </c>
      <c r="B1954" s="1">
        <v>45808</v>
      </c>
      <c r="C1954">
        <v>300504</v>
      </c>
      <c r="D1954">
        <v>-1661.1690000000001</v>
      </c>
      <c r="E1954" t="s">
        <v>4</v>
      </c>
      <c r="F1954" t="s">
        <v>65</v>
      </c>
      <c r="G1954" t="s">
        <v>7</v>
      </c>
    </row>
    <row r="1955" spans="1:7" x14ac:dyDescent="0.3">
      <c r="A1955" t="s">
        <v>34</v>
      </c>
      <c r="B1955" s="1">
        <v>45808</v>
      </c>
      <c r="C1955">
        <v>300505</v>
      </c>
      <c r="D1955">
        <v>-5412.4470000000001</v>
      </c>
      <c r="E1955" t="s">
        <v>4</v>
      </c>
      <c r="F1955" t="s">
        <v>65</v>
      </c>
      <c r="G1955" t="s">
        <v>7</v>
      </c>
    </row>
    <row r="1956" spans="1:7" x14ac:dyDescent="0.3">
      <c r="A1956" t="s">
        <v>34</v>
      </c>
      <c r="B1956" s="1">
        <v>45808</v>
      </c>
      <c r="C1956">
        <v>300508</v>
      </c>
      <c r="D1956">
        <v>-15602.311</v>
      </c>
      <c r="E1956" t="s">
        <v>4</v>
      </c>
      <c r="F1956" t="s">
        <v>65</v>
      </c>
      <c r="G1956" t="s">
        <v>7</v>
      </c>
    </row>
    <row r="1957" spans="1:7" x14ac:dyDescent="0.3">
      <c r="A1957" t="s">
        <v>34</v>
      </c>
      <c r="B1957" s="1">
        <v>45808</v>
      </c>
      <c r="C1957">
        <v>300509</v>
      </c>
      <c r="D1957">
        <v>-270.84399999999999</v>
      </c>
      <c r="E1957" t="s">
        <v>4</v>
      </c>
      <c r="F1957" t="s">
        <v>65</v>
      </c>
      <c r="G1957" t="s">
        <v>7</v>
      </c>
    </row>
    <row r="1958" spans="1:7" x14ac:dyDescent="0.3">
      <c r="A1958" t="s">
        <v>34</v>
      </c>
      <c r="B1958" s="1">
        <v>45808</v>
      </c>
      <c r="C1958">
        <v>300511</v>
      </c>
      <c r="D1958">
        <v>-106.39100000000001</v>
      </c>
      <c r="E1958" t="s">
        <v>4</v>
      </c>
      <c r="F1958" t="s">
        <v>65</v>
      </c>
      <c r="G1958" t="s">
        <v>7</v>
      </c>
    </row>
    <row r="1959" spans="1:7" x14ac:dyDescent="0.3">
      <c r="A1959" t="s">
        <v>34</v>
      </c>
      <c r="B1959" s="1">
        <v>45808</v>
      </c>
      <c r="C1959">
        <v>300512</v>
      </c>
      <c r="D1959">
        <v>-4835.4939999999997</v>
      </c>
      <c r="E1959" t="s">
        <v>4</v>
      </c>
      <c r="F1959" t="s">
        <v>65</v>
      </c>
      <c r="G1959" t="s">
        <v>7</v>
      </c>
    </row>
    <row r="1960" spans="1:7" x14ac:dyDescent="0.3">
      <c r="A1960" t="s">
        <v>34</v>
      </c>
      <c r="B1960" s="1">
        <v>45808</v>
      </c>
      <c r="C1960">
        <v>301005</v>
      </c>
      <c r="D1960">
        <v>4478.2640000000001</v>
      </c>
      <c r="E1960" t="s">
        <v>4</v>
      </c>
      <c r="F1960" t="s">
        <v>65</v>
      </c>
      <c r="G1960" t="s">
        <v>7</v>
      </c>
    </row>
    <row r="1961" spans="1:7" x14ac:dyDescent="0.3">
      <c r="A1961" t="s">
        <v>34</v>
      </c>
      <c r="B1961" s="1">
        <v>45808</v>
      </c>
      <c r="C1961">
        <v>301505</v>
      </c>
      <c r="D1961">
        <v>-4478.2640000000001</v>
      </c>
      <c r="E1961" t="s">
        <v>4</v>
      </c>
      <c r="F1961" t="s">
        <v>65</v>
      </c>
      <c r="G1961" t="s">
        <v>7</v>
      </c>
    </row>
    <row r="1962" spans="1:7" x14ac:dyDescent="0.3">
      <c r="A1962" t="s">
        <v>34</v>
      </c>
      <c r="B1962" s="1">
        <v>45808</v>
      </c>
      <c r="C1962">
        <v>310019</v>
      </c>
      <c r="D1962">
        <v>0.11799999999999999</v>
      </c>
      <c r="E1962" t="s">
        <v>4</v>
      </c>
      <c r="F1962" t="s">
        <v>42</v>
      </c>
      <c r="G1962" t="s">
        <v>7</v>
      </c>
    </row>
    <row r="1963" spans="1:7" x14ac:dyDescent="0.3">
      <c r="A1963" t="s">
        <v>34</v>
      </c>
      <c r="B1963" s="1">
        <v>45808</v>
      </c>
      <c r="C1963">
        <v>320002</v>
      </c>
      <c r="D1963">
        <v>1594.5070000000001</v>
      </c>
      <c r="E1963" t="s">
        <v>4</v>
      </c>
      <c r="F1963" t="s">
        <v>46</v>
      </c>
      <c r="G1963" t="s">
        <v>7</v>
      </c>
    </row>
    <row r="1964" spans="1:7" x14ac:dyDescent="0.3">
      <c r="A1964" t="s">
        <v>34</v>
      </c>
      <c r="B1964" s="1">
        <v>45808</v>
      </c>
      <c r="C1964">
        <v>320003</v>
      </c>
      <c r="D1964">
        <v>820714.223</v>
      </c>
      <c r="E1964" t="s">
        <v>4</v>
      </c>
      <c r="F1964" t="s">
        <v>46</v>
      </c>
      <c r="G1964" t="s">
        <v>7</v>
      </c>
    </row>
    <row r="1965" spans="1:7" x14ac:dyDescent="0.3">
      <c r="A1965" t="s">
        <v>34</v>
      </c>
      <c r="B1965" s="1">
        <v>45808</v>
      </c>
      <c r="C1965">
        <v>320016</v>
      </c>
      <c r="D1965">
        <v>13617.835999999999</v>
      </c>
      <c r="E1965" t="s">
        <v>4</v>
      </c>
      <c r="F1965" t="s">
        <v>46</v>
      </c>
      <c r="G1965" t="s">
        <v>7</v>
      </c>
    </row>
    <row r="1966" spans="1:7" x14ac:dyDescent="0.3">
      <c r="A1966" t="s">
        <v>34</v>
      </c>
      <c r="B1966" s="1">
        <v>45808</v>
      </c>
      <c r="C1966">
        <v>320023</v>
      </c>
      <c r="D1966">
        <v>-17876.338</v>
      </c>
      <c r="E1966" t="s">
        <v>4</v>
      </c>
      <c r="F1966" t="s">
        <v>46</v>
      </c>
      <c r="G1966" t="s">
        <v>7</v>
      </c>
    </row>
    <row r="1967" spans="1:7" x14ac:dyDescent="0.3">
      <c r="A1967" t="s">
        <v>34</v>
      </c>
      <c r="B1967" s="1">
        <v>45808</v>
      </c>
      <c r="C1967">
        <v>321002</v>
      </c>
      <c r="D1967">
        <v>1004573.817</v>
      </c>
      <c r="E1967" t="s">
        <v>4</v>
      </c>
      <c r="F1967" t="s">
        <v>46</v>
      </c>
      <c r="G1967" t="s">
        <v>7</v>
      </c>
    </row>
    <row r="1968" spans="1:7" x14ac:dyDescent="0.3">
      <c r="A1968" t="s">
        <v>34</v>
      </c>
      <c r="B1968" s="1">
        <v>45808</v>
      </c>
      <c r="C1968">
        <v>321010</v>
      </c>
      <c r="D1968">
        <v>0.90200000000000002</v>
      </c>
      <c r="E1968" t="s">
        <v>4</v>
      </c>
      <c r="F1968" t="s">
        <v>46</v>
      </c>
      <c r="G1968" t="s">
        <v>7</v>
      </c>
    </row>
    <row r="1969" spans="1:7" x14ac:dyDescent="0.3">
      <c r="A1969" t="s">
        <v>34</v>
      </c>
      <c r="B1969" s="1">
        <v>45808</v>
      </c>
      <c r="C1969">
        <v>321013</v>
      </c>
      <c r="D1969">
        <v>904.77</v>
      </c>
      <c r="E1969" t="s">
        <v>4</v>
      </c>
      <c r="F1969" t="s">
        <v>46</v>
      </c>
      <c r="G1969" t="s">
        <v>7</v>
      </c>
    </row>
    <row r="1970" spans="1:7" x14ac:dyDescent="0.3">
      <c r="A1970" t="s">
        <v>34</v>
      </c>
      <c r="B1970" s="1">
        <v>45808</v>
      </c>
      <c r="C1970">
        <v>321014</v>
      </c>
      <c r="D1970">
        <v>46265.925000000003</v>
      </c>
      <c r="E1970" t="s">
        <v>4</v>
      </c>
      <c r="F1970" t="s">
        <v>46</v>
      </c>
      <c r="G1970" t="s">
        <v>7</v>
      </c>
    </row>
    <row r="1971" spans="1:7" x14ac:dyDescent="0.3">
      <c r="A1971" t="s">
        <v>34</v>
      </c>
      <c r="B1971" s="1">
        <v>45808</v>
      </c>
      <c r="C1971">
        <v>321021</v>
      </c>
      <c r="D1971">
        <v>12879.896000000001</v>
      </c>
      <c r="E1971" t="s">
        <v>4</v>
      </c>
      <c r="F1971" t="s">
        <v>46</v>
      </c>
      <c r="G1971" t="s">
        <v>7</v>
      </c>
    </row>
    <row r="1972" spans="1:7" x14ac:dyDescent="0.3">
      <c r="A1972" t="s">
        <v>34</v>
      </c>
      <c r="B1972" s="1">
        <v>45808</v>
      </c>
      <c r="C1972">
        <v>321025</v>
      </c>
      <c r="D1972">
        <v>44212.786</v>
      </c>
      <c r="E1972" t="s">
        <v>4</v>
      </c>
      <c r="F1972" t="s">
        <v>46</v>
      </c>
      <c r="G1972" t="s">
        <v>7</v>
      </c>
    </row>
    <row r="1973" spans="1:7" x14ac:dyDescent="0.3">
      <c r="A1973" t="s">
        <v>34</v>
      </c>
      <c r="B1973" s="1">
        <v>45808</v>
      </c>
      <c r="C1973">
        <v>321028</v>
      </c>
      <c r="D1973">
        <v>2281.0639999999999</v>
      </c>
      <c r="E1973" t="s">
        <v>4</v>
      </c>
      <c r="F1973" t="s">
        <v>46</v>
      </c>
      <c r="G1973" t="s">
        <v>7</v>
      </c>
    </row>
    <row r="1974" spans="1:7" x14ac:dyDescent="0.3">
      <c r="A1974" t="s">
        <v>34</v>
      </c>
      <c r="B1974" s="1">
        <v>45808</v>
      </c>
      <c r="C1974">
        <v>321029</v>
      </c>
      <c r="D1974">
        <v>55951.184999999998</v>
      </c>
      <c r="E1974" t="s">
        <v>4</v>
      </c>
      <c r="F1974" t="s">
        <v>46</v>
      </c>
      <c r="G1974" t="s">
        <v>7</v>
      </c>
    </row>
    <row r="1975" spans="1:7" x14ac:dyDescent="0.3">
      <c r="A1975" t="s">
        <v>34</v>
      </c>
      <c r="B1975" s="1">
        <v>45808</v>
      </c>
      <c r="C1975">
        <v>321041</v>
      </c>
      <c r="D1975">
        <v>14125.157999999999</v>
      </c>
      <c r="E1975" t="s">
        <v>4</v>
      </c>
      <c r="F1975" t="s">
        <v>46</v>
      </c>
      <c r="G1975" t="s">
        <v>7</v>
      </c>
    </row>
    <row r="1976" spans="1:7" x14ac:dyDescent="0.3">
      <c r="A1976" t="s">
        <v>34</v>
      </c>
      <c r="B1976" s="1">
        <v>45808</v>
      </c>
      <c r="C1976">
        <v>321042</v>
      </c>
      <c r="D1976">
        <v>-30.861999999999998</v>
      </c>
      <c r="E1976" t="s">
        <v>4</v>
      </c>
      <c r="F1976" t="s">
        <v>46</v>
      </c>
      <c r="G1976" t="s">
        <v>7</v>
      </c>
    </row>
    <row r="1977" spans="1:7" x14ac:dyDescent="0.3">
      <c r="A1977" t="s">
        <v>34</v>
      </c>
      <c r="B1977" s="1">
        <v>45808</v>
      </c>
      <c r="C1977">
        <v>330051</v>
      </c>
      <c r="D1977">
        <v>-1861.3679999999999</v>
      </c>
      <c r="E1977" t="s">
        <v>4</v>
      </c>
      <c r="F1977" t="s">
        <v>43</v>
      </c>
      <c r="G1977" t="s">
        <v>7</v>
      </c>
    </row>
    <row r="1978" spans="1:7" x14ac:dyDescent="0.3">
      <c r="A1978" t="s">
        <v>34</v>
      </c>
      <c r="B1978" s="1">
        <v>45808</v>
      </c>
      <c r="C1978">
        <v>330138</v>
      </c>
      <c r="D1978">
        <v>-529.34400000000005</v>
      </c>
      <c r="E1978" t="s">
        <v>4</v>
      </c>
      <c r="F1978" t="s">
        <v>43</v>
      </c>
      <c r="G1978" t="s">
        <v>7</v>
      </c>
    </row>
    <row r="1979" spans="1:7" x14ac:dyDescent="0.3">
      <c r="A1979" t="s">
        <v>34</v>
      </c>
      <c r="B1979" s="1">
        <v>45808</v>
      </c>
      <c r="C1979">
        <v>340062</v>
      </c>
      <c r="D1979">
        <v>336311.22700000001</v>
      </c>
      <c r="E1979" t="s">
        <v>4</v>
      </c>
      <c r="F1979" t="s">
        <v>47</v>
      </c>
      <c r="G1979" t="s">
        <v>7</v>
      </c>
    </row>
    <row r="1980" spans="1:7" x14ac:dyDescent="0.3">
      <c r="A1980" t="s">
        <v>34</v>
      </c>
      <c r="B1980" s="1">
        <v>45808</v>
      </c>
      <c r="C1980">
        <v>340063</v>
      </c>
      <c r="D1980">
        <v>13333107.776000001</v>
      </c>
      <c r="E1980" t="s">
        <v>4</v>
      </c>
      <c r="F1980" t="s">
        <v>47</v>
      </c>
      <c r="G1980" t="s">
        <v>7</v>
      </c>
    </row>
    <row r="1981" spans="1:7" x14ac:dyDescent="0.3">
      <c r="A1981" t="s">
        <v>34</v>
      </c>
      <c r="B1981" s="1">
        <v>45808</v>
      </c>
      <c r="C1981">
        <v>340064</v>
      </c>
      <c r="D1981">
        <v>-13534445.384</v>
      </c>
      <c r="E1981" t="s">
        <v>4</v>
      </c>
      <c r="F1981" t="s">
        <v>47</v>
      </c>
      <c r="G1981" t="s">
        <v>7</v>
      </c>
    </row>
    <row r="1982" spans="1:7" x14ac:dyDescent="0.3">
      <c r="A1982" t="s">
        <v>34</v>
      </c>
      <c r="B1982" s="1">
        <v>45808</v>
      </c>
      <c r="C1982">
        <v>340098</v>
      </c>
      <c r="D1982">
        <v>694.86900000000003</v>
      </c>
      <c r="E1982" t="s">
        <v>4</v>
      </c>
      <c r="F1982" t="s">
        <v>47</v>
      </c>
      <c r="G1982" t="s">
        <v>7</v>
      </c>
    </row>
    <row r="1983" spans="1:7" x14ac:dyDescent="0.3">
      <c r="A1983" t="s">
        <v>34</v>
      </c>
      <c r="B1983" s="1">
        <v>45808</v>
      </c>
      <c r="C1983">
        <v>340162</v>
      </c>
      <c r="D1983">
        <v>71667.353000000003</v>
      </c>
      <c r="E1983" t="s">
        <v>4</v>
      </c>
      <c r="F1983" t="s">
        <v>47</v>
      </c>
      <c r="G1983" t="s">
        <v>7</v>
      </c>
    </row>
    <row r="1984" spans="1:7" x14ac:dyDescent="0.3">
      <c r="A1984" t="s">
        <v>34</v>
      </c>
      <c r="B1984" s="1">
        <v>45808</v>
      </c>
      <c r="C1984">
        <v>340163</v>
      </c>
      <c r="D1984">
        <v>6199011.7029999997</v>
      </c>
      <c r="E1984" t="s">
        <v>4</v>
      </c>
      <c r="F1984" t="s">
        <v>47</v>
      </c>
      <c r="G1984" t="s">
        <v>7</v>
      </c>
    </row>
    <row r="1985" spans="1:7" x14ac:dyDescent="0.3">
      <c r="A1985" t="s">
        <v>34</v>
      </c>
      <c r="B1985" s="1">
        <v>45808</v>
      </c>
      <c r="C1985">
        <v>340164</v>
      </c>
      <c r="D1985">
        <v>-6173764.6370000001</v>
      </c>
      <c r="E1985" t="s">
        <v>4</v>
      </c>
      <c r="F1985" t="s">
        <v>47</v>
      </c>
      <c r="G1985" t="s">
        <v>7</v>
      </c>
    </row>
    <row r="1986" spans="1:7" x14ac:dyDescent="0.3">
      <c r="A1986" t="s">
        <v>34</v>
      </c>
      <c r="B1986" s="1">
        <v>45808</v>
      </c>
      <c r="C1986">
        <v>350002</v>
      </c>
      <c r="D1986">
        <v>240.553</v>
      </c>
      <c r="E1986" t="s">
        <v>4</v>
      </c>
      <c r="F1986" t="s">
        <v>49</v>
      </c>
      <c r="G1986" t="s">
        <v>7</v>
      </c>
    </row>
    <row r="1987" spans="1:7" x14ac:dyDescent="0.3">
      <c r="A1987" t="s">
        <v>34</v>
      </c>
      <c r="B1987" s="1">
        <v>45808</v>
      </c>
      <c r="C1987">
        <v>350003</v>
      </c>
      <c r="D1987">
        <v>-45.018000000000001</v>
      </c>
      <c r="E1987" t="s">
        <v>4</v>
      </c>
      <c r="F1987" t="s">
        <v>49</v>
      </c>
      <c r="G1987" t="s">
        <v>7</v>
      </c>
    </row>
    <row r="1988" spans="1:7" x14ac:dyDescent="0.3">
      <c r="A1988" t="s">
        <v>34</v>
      </c>
      <c r="B1988" s="1">
        <v>45808</v>
      </c>
      <c r="C1988">
        <v>350031</v>
      </c>
      <c r="D1988">
        <v>169.06899999999999</v>
      </c>
      <c r="E1988" t="s">
        <v>4</v>
      </c>
      <c r="F1988" t="s">
        <v>43</v>
      </c>
      <c r="G1988" t="s">
        <v>7</v>
      </c>
    </row>
    <row r="1989" spans="1:7" x14ac:dyDescent="0.3">
      <c r="A1989" t="s">
        <v>34</v>
      </c>
      <c r="B1989" s="1">
        <v>45808</v>
      </c>
      <c r="C1989">
        <v>350034</v>
      </c>
      <c r="D1989">
        <v>103.84399999999999</v>
      </c>
      <c r="E1989" t="s">
        <v>4</v>
      </c>
      <c r="F1989" t="s">
        <v>49</v>
      </c>
      <c r="G1989" t="s">
        <v>7</v>
      </c>
    </row>
    <row r="1990" spans="1:7" x14ac:dyDescent="0.3">
      <c r="A1990" t="s">
        <v>34</v>
      </c>
      <c r="B1990" s="1">
        <v>45808</v>
      </c>
      <c r="C1990">
        <v>351004</v>
      </c>
      <c r="D1990">
        <v>1534.7919999999999</v>
      </c>
      <c r="E1990" t="s">
        <v>4</v>
      </c>
      <c r="F1990" t="s">
        <v>45</v>
      </c>
      <c r="G1990" t="s">
        <v>7</v>
      </c>
    </row>
    <row r="1991" spans="1:7" x14ac:dyDescent="0.3">
      <c r="A1991" t="s">
        <v>34</v>
      </c>
      <c r="B1991" s="1">
        <v>45808</v>
      </c>
      <c r="C1991">
        <v>354012</v>
      </c>
      <c r="D1991">
        <v>301641.81</v>
      </c>
      <c r="E1991" t="s">
        <v>4</v>
      </c>
      <c r="F1991" t="s">
        <v>46</v>
      </c>
      <c r="G1991" t="s">
        <v>7</v>
      </c>
    </row>
    <row r="1992" spans="1:7" x14ac:dyDescent="0.3">
      <c r="A1992" t="s">
        <v>34</v>
      </c>
      <c r="B1992" s="1">
        <v>45808</v>
      </c>
      <c r="C1992">
        <v>354014</v>
      </c>
      <c r="D1992">
        <v>83384.528000000006</v>
      </c>
      <c r="E1992" t="s">
        <v>4</v>
      </c>
      <c r="F1992" t="s">
        <v>46</v>
      </c>
      <c r="G1992" t="s">
        <v>7</v>
      </c>
    </row>
    <row r="1993" spans="1:7" x14ac:dyDescent="0.3">
      <c r="A1993" t="s">
        <v>34</v>
      </c>
      <c r="B1993" s="1">
        <v>45808</v>
      </c>
      <c r="C1993">
        <v>354015</v>
      </c>
      <c r="D1993">
        <v>6948.7610000000004</v>
      </c>
      <c r="E1993" t="s">
        <v>4</v>
      </c>
      <c r="F1993" t="s">
        <v>46</v>
      </c>
      <c r="G1993" t="s">
        <v>7</v>
      </c>
    </row>
    <row r="1994" spans="1:7" x14ac:dyDescent="0.3">
      <c r="A1994" t="s">
        <v>34</v>
      </c>
      <c r="B1994" s="1">
        <v>45808</v>
      </c>
      <c r="C1994">
        <v>360026</v>
      </c>
      <c r="D1994">
        <v>45533.586000000003</v>
      </c>
      <c r="E1994" t="s">
        <v>4</v>
      </c>
      <c r="F1994" t="s">
        <v>58</v>
      </c>
      <c r="G1994" t="s">
        <v>7</v>
      </c>
    </row>
    <row r="1995" spans="1:7" x14ac:dyDescent="0.3">
      <c r="A1995" t="s">
        <v>34</v>
      </c>
      <c r="B1995" s="1">
        <v>45808</v>
      </c>
      <c r="C1995">
        <v>360027</v>
      </c>
      <c r="D1995">
        <v>13554.209000000001</v>
      </c>
      <c r="E1995" t="s">
        <v>4</v>
      </c>
      <c r="F1995" t="s">
        <v>58</v>
      </c>
      <c r="G1995" t="s">
        <v>7</v>
      </c>
    </row>
    <row r="1996" spans="1:7" x14ac:dyDescent="0.3">
      <c r="A1996" t="s">
        <v>34</v>
      </c>
      <c r="B1996" s="1">
        <v>45808</v>
      </c>
      <c r="C1996">
        <v>360028</v>
      </c>
      <c r="D1996">
        <v>1381.645</v>
      </c>
      <c r="E1996" t="s">
        <v>4</v>
      </c>
      <c r="F1996" t="s">
        <v>58</v>
      </c>
      <c r="G1996" t="s">
        <v>7</v>
      </c>
    </row>
    <row r="1997" spans="1:7" x14ac:dyDescent="0.3">
      <c r="A1997" t="s">
        <v>34</v>
      </c>
      <c r="B1997" s="1">
        <v>45808</v>
      </c>
      <c r="C1997">
        <v>360030</v>
      </c>
      <c r="D1997">
        <v>27660.007000000001</v>
      </c>
      <c r="E1997" t="s">
        <v>4</v>
      </c>
      <c r="F1997" t="s">
        <v>58</v>
      </c>
      <c r="G1997" t="s">
        <v>7</v>
      </c>
    </row>
    <row r="1998" spans="1:7" x14ac:dyDescent="0.3">
      <c r="A1998" t="s">
        <v>34</v>
      </c>
      <c r="B1998" s="1">
        <v>45808</v>
      </c>
      <c r="C1998">
        <v>364502</v>
      </c>
      <c r="D1998">
        <v>33820.654000000002</v>
      </c>
      <c r="E1998" t="s">
        <v>4</v>
      </c>
      <c r="F1998" t="s">
        <v>58</v>
      </c>
      <c r="G1998" t="s">
        <v>7</v>
      </c>
    </row>
    <row r="1999" spans="1:7" x14ac:dyDescent="0.3">
      <c r="A1999" t="s">
        <v>34</v>
      </c>
      <c r="B1999" s="1">
        <v>45808</v>
      </c>
      <c r="C1999">
        <v>400002</v>
      </c>
      <c r="D1999">
        <v>98.221000000000004</v>
      </c>
      <c r="E1999" t="s">
        <v>6</v>
      </c>
      <c r="F1999" t="s">
        <v>50</v>
      </c>
      <c r="G1999" t="s">
        <v>7</v>
      </c>
    </row>
    <row r="2000" spans="1:7" x14ac:dyDescent="0.3">
      <c r="A2000" t="s">
        <v>34</v>
      </c>
      <c r="B2000" s="1">
        <v>45808</v>
      </c>
      <c r="C2000">
        <v>400004</v>
      </c>
      <c r="D2000">
        <v>8243.9959999999992</v>
      </c>
      <c r="E2000" t="s">
        <v>6</v>
      </c>
      <c r="F2000" t="s">
        <v>50</v>
      </c>
      <c r="G2000" t="s">
        <v>7</v>
      </c>
    </row>
    <row r="2001" spans="1:7" x14ac:dyDescent="0.3">
      <c r="A2001" t="s">
        <v>34</v>
      </c>
      <c r="B2001" s="1">
        <v>45808</v>
      </c>
      <c r="C2001">
        <v>410002</v>
      </c>
      <c r="D2001">
        <v>-161921.024</v>
      </c>
      <c r="E2001" t="s">
        <v>6</v>
      </c>
      <c r="F2001" t="s">
        <v>51</v>
      </c>
      <c r="G2001" t="s">
        <v>7</v>
      </c>
    </row>
    <row r="2002" spans="1:7" x14ac:dyDescent="0.3">
      <c r="A2002" t="s">
        <v>34</v>
      </c>
      <c r="B2002" s="1">
        <v>45808</v>
      </c>
      <c r="C2002">
        <v>410009</v>
      </c>
      <c r="D2002">
        <v>-17055.61</v>
      </c>
      <c r="E2002" t="s">
        <v>6</v>
      </c>
      <c r="F2002" t="s">
        <v>51</v>
      </c>
      <c r="G2002" t="s">
        <v>7</v>
      </c>
    </row>
    <row r="2003" spans="1:7" x14ac:dyDescent="0.3">
      <c r="A2003" t="s">
        <v>34</v>
      </c>
      <c r="B2003" s="1">
        <v>45808</v>
      </c>
      <c r="C2003">
        <v>410015</v>
      </c>
      <c r="D2003">
        <v>-527.15300000000002</v>
      </c>
      <c r="E2003" t="s">
        <v>6</v>
      </c>
      <c r="F2003" t="s">
        <v>51</v>
      </c>
      <c r="G2003" t="s">
        <v>7</v>
      </c>
    </row>
    <row r="2004" spans="1:7" x14ac:dyDescent="0.3">
      <c r="A2004" t="s">
        <v>34</v>
      </c>
      <c r="B2004" s="1">
        <v>45808</v>
      </c>
      <c r="C2004">
        <v>410019</v>
      </c>
      <c r="D2004">
        <v>73.244</v>
      </c>
      <c r="E2004" t="s">
        <v>6</v>
      </c>
      <c r="F2004" t="s">
        <v>51</v>
      </c>
      <c r="G2004" t="s">
        <v>7</v>
      </c>
    </row>
    <row r="2005" spans="1:7" x14ac:dyDescent="0.3">
      <c r="A2005" t="s">
        <v>34</v>
      </c>
      <c r="B2005" s="1">
        <v>45808</v>
      </c>
      <c r="C2005">
        <v>410032</v>
      </c>
      <c r="D2005">
        <v>-3385.3690000000001</v>
      </c>
      <c r="E2005" t="s">
        <v>6</v>
      </c>
      <c r="F2005" t="s">
        <v>51</v>
      </c>
      <c r="G2005" t="s">
        <v>7</v>
      </c>
    </row>
    <row r="2006" spans="1:7" x14ac:dyDescent="0.3">
      <c r="A2006" t="s">
        <v>34</v>
      </c>
      <c r="B2006" s="1">
        <v>45808</v>
      </c>
      <c r="C2006">
        <v>410036</v>
      </c>
      <c r="D2006">
        <v>-277.06099999999998</v>
      </c>
      <c r="E2006" t="s">
        <v>6</v>
      </c>
      <c r="F2006" t="s">
        <v>51</v>
      </c>
      <c r="G2006" t="s">
        <v>7</v>
      </c>
    </row>
    <row r="2007" spans="1:7" x14ac:dyDescent="0.3">
      <c r="A2007" t="s">
        <v>34</v>
      </c>
      <c r="B2007" s="1">
        <v>45808</v>
      </c>
      <c r="C2007">
        <v>410037</v>
      </c>
      <c r="D2007">
        <v>-13450.871999999999</v>
      </c>
      <c r="E2007" t="s">
        <v>6</v>
      </c>
      <c r="F2007" t="s">
        <v>51</v>
      </c>
      <c r="G2007" t="s">
        <v>7</v>
      </c>
    </row>
    <row r="2008" spans="1:7" x14ac:dyDescent="0.3">
      <c r="A2008" t="s">
        <v>34</v>
      </c>
      <c r="B2008" s="1">
        <v>45808</v>
      </c>
      <c r="C2008">
        <v>415002</v>
      </c>
      <c r="D2008">
        <v>-222348.15299999999</v>
      </c>
      <c r="E2008" t="s">
        <v>6</v>
      </c>
      <c r="F2008" t="s">
        <v>50</v>
      </c>
      <c r="G2008" t="s">
        <v>7</v>
      </c>
    </row>
    <row r="2009" spans="1:7" x14ac:dyDescent="0.3">
      <c r="A2009" t="s">
        <v>34</v>
      </c>
      <c r="B2009" s="1">
        <v>45808</v>
      </c>
      <c r="C2009">
        <v>415004</v>
      </c>
      <c r="D2009">
        <v>-313115.04800000001</v>
      </c>
      <c r="E2009" t="s">
        <v>6</v>
      </c>
      <c r="F2009" t="s">
        <v>50</v>
      </c>
      <c r="G2009" t="s">
        <v>7</v>
      </c>
    </row>
    <row r="2010" spans="1:7" x14ac:dyDescent="0.3">
      <c r="A2010" t="s">
        <v>34</v>
      </c>
      <c r="B2010" s="1">
        <v>45808</v>
      </c>
      <c r="C2010">
        <v>420004</v>
      </c>
      <c r="D2010">
        <v>-0.13600000000000001</v>
      </c>
      <c r="E2010" t="s">
        <v>6</v>
      </c>
      <c r="F2010" t="s">
        <v>52</v>
      </c>
      <c r="G2010" t="s">
        <v>7</v>
      </c>
    </row>
    <row r="2011" spans="1:7" x14ac:dyDescent="0.3">
      <c r="A2011" t="s">
        <v>34</v>
      </c>
      <c r="B2011" s="1">
        <v>45808</v>
      </c>
      <c r="C2011">
        <v>421003</v>
      </c>
      <c r="D2011">
        <v>-3608.3629999999998</v>
      </c>
      <c r="E2011" t="s">
        <v>6</v>
      </c>
      <c r="F2011" t="s">
        <v>52</v>
      </c>
      <c r="G2011" t="s">
        <v>7</v>
      </c>
    </row>
    <row r="2012" spans="1:7" x14ac:dyDescent="0.3">
      <c r="A2012" t="s">
        <v>34</v>
      </c>
      <c r="B2012" s="1">
        <v>45808</v>
      </c>
      <c r="C2012">
        <v>421007</v>
      </c>
      <c r="D2012">
        <v>15.313000000000001</v>
      </c>
      <c r="E2012" t="s">
        <v>6</v>
      </c>
      <c r="F2012" t="s">
        <v>52</v>
      </c>
      <c r="G2012" t="s">
        <v>7</v>
      </c>
    </row>
    <row r="2013" spans="1:7" x14ac:dyDescent="0.3">
      <c r="A2013" t="s">
        <v>34</v>
      </c>
      <c r="B2013" s="1">
        <v>45808</v>
      </c>
      <c r="C2013">
        <v>510002</v>
      </c>
      <c r="D2013">
        <v>205322.01699999999</v>
      </c>
      <c r="E2013" t="s">
        <v>6</v>
      </c>
      <c r="F2013" t="s">
        <v>53</v>
      </c>
      <c r="G2013" t="s">
        <v>7</v>
      </c>
    </row>
    <row r="2014" spans="1:7" x14ac:dyDescent="0.3">
      <c r="A2014" t="s">
        <v>34</v>
      </c>
      <c r="B2014" s="1">
        <v>45808</v>
      </c>
      <c r="C2014">
        <v>510005</v>
      </c>
      <c r="D2014">
        <v>12642.955</v>
      </c>
      <c r="E2014" t="s">
        <v>6</v>
      </c>
      <c r="F2014" t="s">
        <v>53</v>
      </c>
      <c r="G2014" t="s">
        <v>7</v>
      </c>
    </row>
    <row r="2015" spans="1:7" x14ac:dyDescent="0.3">
      <c r="A2015" t="s">
        <v>34</v>
      </c>
      <c r="B2015" s="1">
        <v>45808</v>
      </c>
      <c r="C2015">
        <v>510007</v>
      </c>
      <c r="D2015">
        <v>26296.637999999999</v>
      </c>
      <c r="E2015" t="s">
        <v>6</v>
      </c>
      <c r="F2015" t="s">
        <v>53</v>
      </c>
      <c r="G2015" t="s">
        <v>7</v>
      </c>
    </row>
    <row r="2016" spans="1:7" x14ac:dyDescent="0.3">
      <c r="A2016" t="s">
        <v>34</v>
      </c>
      <c r="B2016" s="1">
        <v>45808</v>
      </c>
      <c r="C2016">
        <v>510010</v>
      </c>
      <c r="D2016">
        <v>5642.366</v>
      </c>
      <c r="E2016" t="s">
        <v>6</v>
      </c>
      <c r="F2016" t="s">
        <v>53</v>
      </c>
      <c r="G2016" t="s">
        <v>7</v>
      </c>
    </row>
    <row r="2017" spans="1:7" x14ac:dyDescent="0.3">
      <c r="A2017" t="s">
        <v>34</v>
      </c>
      <c r="B2017" s="1">
        <v>45808</v>
      </c>
      <c r="C2017">
        <v>510012</v>
      </c>
      <c r="D2017">
        <v>3925.95</v>
      </c>
      <c r="E2017" t="s">
        <v>6</v>
      </c>
      <c r="F2017" t="s">
        <v>53</v>
      </c>
      <c r="G2017" t="s">
        <v>7</v>
      </c>
    </row>
    <row r="2018" spans="1:7" x14ac:dyDescent="0.3">
      <c r="A2018" t="s">
        <v>34</v>
      </c>
      <c r="B2018" s="1">
        <v>45808</v>
      </c>
      <c r="C2018">
        <v>510015</v>
      </c>
      <c r="D2018">
        <v>22037.644</v>
      </c>
      <c r="E2018" t="s">
        <v>6</v>
      </c>
      <c r="F2018" t="s">
        <v>53</v>
      </c>
      <c r="G2018" t="s">
        <v>7</v>
      </c>
    </row>
    <row r="2019" spans="1:7" x14ac:dyDescent="0.3">
      <c r="A2019" t="s">
        <v>34</v>
      </c>
      <c r="B2019" s="1">
        <v>45808</v>
      </c>
      <c r="C2019">
        <v>510018</v>
      </c>
      <c r="D2019">
        <v>22599.69</v>
      </c>
      <c r="E2019" t="s">
        <v>6</v>
      </c>
      <c r="F2019" t="s">
        <v>53</v>
      </c>
      <c r="G2019" t="s">
        <v>7</v>
      </c>
    </row>
    <row r="2020" spans="1:7" x14ac:dyDescent="0.3">
      <c r="A2020" t="s">
        <v>34</v>
      </c>
      <c r="B2020" s="1">
        <v>45808</v>
      </c>
      <c r="C2020">
        <v>510059</v>
      </c>
      <c r="D2020">
        <v>4081.1019999999999</v>
      </c>
      <c r="E2020" t="s">
        <v>6</v>
      </c>
      <c r="F2020" t="s">
        <v>53</v>
      </c>
      <c r="G2020" t="s">
        <v>7</v>
      </c>
    </row>
    <row r="2021" spans="1:7" x14ac:dyDescent="0.3">
      <c r="A2021" t="s">
        <v>34</v>
      </c>
      <c r="B2021" s="1">
        <v>45808</v>
      </c>
      <c r="C2021">
        <v>510062</v>
      </c>
      <c r="D2021">
        <v>3340.759</v>
      </c>
      <c r="E2021" t="s">
        <v>6</v>
      </c>
      <c r="F2021" t="s">
        <v>53</v>
      </c>
      <c r="G2021" t="s">
        <v>7</v>
      </c>
    </row>
    <row r="2022" spans="1:7" x14ac:dyDescent="0.3">
      <c r="A2022" t="s">
        <v>34</v>
      </c>
      <c r="B2022" s="1">
        <v>45808</v>
      </c>
      <c r="C2022">
        <v>510064</v>
      </c>
      <c r="D2022">
        <v>480.71300000000002</v>
      </c>
      <c r="E2022" t="s">
        <v>6</v>
      </c>
      <c r="F2022" t="s">
        <v>53</v>
      </c>
      <c r="G2022" t="s">
        <v>7</v>
      </c>
    </row>
    <row r="2023" spans="1:7" x14ac:dyDescent="0.3">
      <c r="A2023" t="s">
        <v>34</v>
      </c>
      <c r="B2023" s="1">
        <v>45808</v>
      </c>
      <c r="C2023">
        <v>510065</v>
      </c>
      <c r="D2023">
        <v>1518.472</v>
      </c>
      <c r="E2023" t="s">
        <v>6</v>
      </c>
      <c r="F2023" t="s">
        <v>53</v>
      </c>
      <c r="G2023" t="s">
        <v>7</v>
      </c>
    </row>
    <row r="2024" spans="1:7" x14ac:dyDescent="0.3">
      <c r="A2024" t="s">
        <v>34</v>
      </c>
      <c r="B2024" s="1">
        <v>45808</v>
      </c>
      <c r="C2024">
        <v>520021</v>
      </c>
      <c r="D2024">
        <v>105.334</v>
      </c>
      <c r="E2024" t="s">
        <v>6</v>
      </c>
      <c r="F2024" t="s">
        <v>60</v>
      </c>
      <c r="G2024" t="s">
        <v>7</v>
      </c>
    </row>
    <row r="2025" spans="1:7" x14ac:dyDescent="0.3">
      <c r="A2025" t="s">
        <v>34</v>
      </c>
      <c r="B2025" s="1">
        <v>45808</v>
      </c>
      <c r="C2025">
        <v>530012</v>
      </c>
      <c r="D2025">
        <v>31930.671999999999</v>
      </c>
      <c r="E2025" t="s">
        <v>6</v>
      </c>
      <c r="F2025" t="s">
        <v>53</v>
      </c>
      <c r="G2025" t="s">
        <v>7</v>
      </c>
    </row>
    <row r="2026" spans="1:7" x14ac:dyDescent="0.3">
      <c r="A2026" t="s">
        <v>34</v>
      </c>
      <c r="B2026" s="1">
        <v>45808</v>
      </c>
      <c r="C2026">
        <v>541002</v>
      </c>
      <c r="D2026">
        <v>5216.5990000000002</v>
      </c>
      <c r="E2026" t="s">
        <v>6</v>
      </c>
      <c r="F2026" t="s">
        <v>61</v>
      </c>
      <c r="G2026" t="s">
        <v>7</v>
      </c>
    </row>
    <row r="2027" spans="1:7" x14ac:dyDescent="0.3">
      <c r="A2027" t="s">
        <v>34</v>
      </c>
      <c r="B2027" s="1">
        <v>45808</v>
      </c>
      <c r="C2027">
        <v>541004</v>
      </c>
      <c r="D2027">
        <v>353.48200000000003</v>
      </c>
      <c r="E2027" t="s">
        <v>6</v>
      </c>
      <c r="F2027" t="s">
        <v>61</v>
      </c>
      <c r="G2027" t="s">
        <v>7</v>
      </c>
    </row>
    <row r="2028" spans="1:7" x14ac:dyDescent="0.3">
      <c r="A2028" t="s">
        <v>34</v>
      </c>
      <c r="B2028" s="1">
        <v>45808</v>
      </c>
      <c r="C2028">
        <v>541009</v>
      </c>
      <c r="D2028">
        <v>6093.0529999999999</v>
      </c>
      <c r="E2028" t="s">
        <v>6</v>
      </c>
      <c r="F2028" t="s">
        <v>61</v>
      </c>
      <c r="G2028" t="s">
        <v>7</v>
      </c>
    </row>
    <row r="2029" spans="1:7" x14ac:dyDescent="0.3">
      <c r="A2029" t="s">
        <v>34</v>
      </c>
      <c r="B2029" s="1">
        <v>45808</v>
      </c>
      <c r="C2029">
        <v>541010</v>
      </c>
      <c r="D2029">
        <v>2642.627</v>
      </c>
      <c r="E2029" t="s">
        <v>6</v>
      </c>
      <c r="F2029" t="s">
        <v>61</v>
      </c>
      <c r="G2029" t="s">
        <v>7</v>
      </c>
    </row>
    <row r="2030" spans="1:7" x14ac:dyDescent="0.3">
      <c r="A2030" t="s">
        <v>34</v>
      </c>
      <c r="B2030" s="1">
        <v>45808</v>
      </c>
      <c r="C2030">
        <v>541012</v>
      </c>
      <c r="D2030">
        <v>12.539</v>
      </c>
      <c r="E2030" t="s">
        <v>6</v>
      </c>
      <c r="F2030" t="s">
        <v>61</v>
      </c>
      <c r="G2030" t="s">
        <v>7</v>
      </c>
    </row>
    <row r="2031" spans="1:7" x14ac:dyDescent="0.3">
      <c r="A2031" t="s">
        <v>34</v>
      </c>
      <c r="B2031" s="1">
        <v>45808</v>
      </c>
      <c r="C2031">
        <v>541013</v>
      </c>
      <c r="D2031">
        <v>1302.999</v>
      </c>
      <c r="E2031" t="s">
        <v>6</v>
      </c>
      <c r="F2031" t="s">
        <v>61</v>
      </c>
      <c r="G2031" t="s">
        <v>7</v>
      </c>
    </row>
    <row r="2032" spans="1:7" x14ac:dyDescent="0.3">
      <c r="A2032" t="s">
        <v>34</v>
      </c>
      <c r="B2032" s="1">
        <v>45808</v>
      </c>
      <c r="C2032">
        <v>544006</v>
      </c>
      <c r="D2032">
        <v>-1096.5329999999999</v>
      </c>
      <c r="E2032" t="s">
        <v>6</v>
      </c>
      <c r="F2032" t="s">
        <v>61</v>
      </c>
      <c r="G2032" t="s">
        <v>7</v>
      </c>
    </row>
    <row r="2033" spans="1:7" x14ac:dyDescent="0.3">
      <c r="A2033" t="s">
        <v>34</v>
      </c>
      <c r="B2033" s="1">
        <v>45808</v>
      </c>
      <c r="C2033">
        <v>546002</v>
      </c>
      <c r="D2033">
        <v>289627.49699999997</v>
      </c>
      <c r="E2033" t="s">
        <v>6</v>
      </c>
      <c r="F2033" t="s">
        <v>51</v>
      </c>
      <c r="G2033" t="s">
        <v>7</v>
      </c>
    </row>
    <row r="2034" spans="1:7" x14ac:dyDescent="0.3">
      <c r="A2034" t="s">
        <v>34</v>
      </c>
      <c r="B2034" s="1">
        <v>45808</v>
      </c>
      <c r="C2034">
        <v>546008</v>
      </c>
      <c r="D2034">
        <v>1217.136</v>
      </c>
      <c r="E2034" t="s">
        <v>6</v>
      </c>
      <c r="F2034" t="s">
        <v>51</v>
      </c>
      <c r="G2034" t="s">
        <v>7</v>
      </c>
    </row>
    <row r="2035" spans="1:7" x14ac:dyDescent="0.3">
      <c r="A2035" t="s">
        <v>34</v>
      </c>
      <c r="B2035" s="1">
        <v>45808</v>
      </c>
      <c r="C2035">
        <v>546013</v>
      </c>
      <c r="D2035">
        <v>59963.154000000002</v>
      </c>
      <c r="E2035" t="s">
        <v>6</v>
      </c>
      <c r="F2035" t="s">
        <v>51</v>
      </c>
      <c r="G2035" t="s">
        <v>7</v>
      </c>
    </row>
    <row r="2036" spans="1:7" x14ac:dyDescent="0.3">
      <c r="A2036" t="s">
        <v>34</v>
      </c>
      <c r="B2036" s="1">
        <v>45808</v>
      </c>
      <c r="C2036">
        <v>546016</v>
      </c>
      <c r="D2036">
        <v>8948.6290000000008</v>
      </c>
      <c r="E2036" t="s">
        <v>6</v>
      </c>
      <c r="F2036" t="s">
        <v>51</v>
      </c>
      <c r="G2036" t="s">
        <v>7</v>
      </c>
    </row>
    <row r="2037" spans="1:7" x14ac:dyDescent="0.3">
      <c r="A2037" t="s">
        <v>34</v>
      </c>
      <c r="B2037" s="1">
        <v>45808</v>
      </c>
      <c r="C2037">
        <v>546035</v>
      </c>
      <c r="D2037">
        <v>25842.895</v>
      </c>
      <c r="E2037" t="s">
        <v>6</v>
      </c>
      <c r="F2037" t="s">
        <v>51</v>
      </c>
      <c r="G2037" t="s">
        <v>7</v>
      </c>
    </row>
    <row r="2038" spans="1:7" x14ac:dyDescent="0.3">
      <c r="A2038" t="s">
        <v>34</v>
      </c>
      <c r="B2038" s="1">
        <v>45808</v>
      </c>
      <c r="C2038">
        <v>546040</v>
      </c>
      <c r="D2038">
        <v>7491.4610000000002</v>
      </c>
      <c r="E2038" t="s">
        <v>6</v>
      </c>
      <c r="F2038" t="s">
        <v>51</v>
      </c>
      <c r="G2038" t="s">
        <v>7</v>
      </c>
    </row>
    <row r="2039" spans="1:7" x14ac:dyDescent="0.3">
      <c r="A2039" t="s">
        <v>34</v>
      </c>
      <c r="B2039" s="1">
        <v>45808</v>
      </c>
      <c r="C2039">
        <v>546045</v>
      </c>
      <c r="D2039">
        <v>364.52699999999999</v>
      </c>
      <c r="E2039" t="s">
        <v>6</v>
      </c>
      <c r="F2039" t="s">
        <v>51</v>
      </c>
      <c r="G2039" t="s">
        <v>7</v>
      </c>
    </row>
    <row r="2040" spans="1:7" x14ac:dyDescent="0.3">
      <c r="A2040" t="s">
        <v>34</v>
      </c>
      <c r="B2040" s="1">
        <v>45808</v>
      </c>
      <c r="C2040">
        <v>546047</v>
      </c>
      <c r="D2040">
        <v>43.323999999999998</v>
      </c>
      <c r="E2040" t="s">
        <v>6</v>
      </c>
      <c r="F2040" t="s">
        <v>51</v>
      </c>
      <c r="G2040" t="s">
        <v>7</v>
      </c>
    </row>
    <row r="2041" spans="1:7" x14ac:dyDescent="0.3">
      <c r="A2041" t="s">
        <v>34</v>
      </c>
      <c r="B2041" s="1">
        <v>45808</v>
      </c>
      <c r="C2041">
        <v>550003</v>
      </c>
      <c r="D2041">
        <v>21950.01</v>
      </c>
      <c r="E2041" t="s">
        <v>6</v>
      </c>
      <c r="F2041" t="s">
        <v>62</v>
      </c>
      <c r="G2041" t="s">
        <v>7</v>
      </c>
    </row>
    <row r="2042" spans="1:7" x14ac:dyDescent="0.3">
      <c r="A2042" t="s">
        <v>34</v>
      </c>
      <c r="B2042" s="1">
        <v>45808</v>
      </c>
      <c r="C2042">
        <v>555502</v>
      </c>
      <c r="D2042">
        <v>-17.913</v>
      </c>
      <c r="E2042" t="s">
        <v>6</v>
      </c>
      <c r="F2042" t="s">
        <v>55</v>
      </c>
      <c r="G2042" t="s">
        <v>7</v>
      </c>
    </row>
    <row r="2043" spans="1:7" x14ac:dyDescent="0.3">
      <c r="A2043" t="s">
        <v>34</v>
      </c>
      <c r="B2043" s="1">
        <v>45808</v>
      </c>
      <c r="C2043">
        <v>556002</v>
      </c>
      <c r="D2043">
        <v>49.545999999999999</v>
      </c>
      <c r="E2043" t="s">
        <v>6</v>
      </c>
      <c r="F2043" t="s">
        <v>60</v>
      </c>
      <c r="G2043" t="s">
        <v>7</v>
      </c>
    </row>
    <row r="2044" spans="1:7" x14ac:dyDescent="0.3">
      <c r="A2044" t="s">
        <v>34</v>
      </c>
      <c r="B2044" s="1">
        <v>45808</v>
      </c>
      <c r="C2044">
        <v>557002</v>
      </c>
      <c r="D2044">
        <v>1901.789</v>
      </c>
      <c r="E2044" t="s">
        <v>6</v>
      </c>
      <c r="F2044" t="s">
        <v>56</v>
      </c>
      <c r="G2044" t="s">
        <v>7</v>
      </c>
    </row>
    <row r="2045" spans="1:7" x14ac:dyDescent="0.3">
      <c r="A2045" t="s">
        <v>34</v>
      </c>
      <c r="B2045" s="1">
        <v>45808</v>
      </c>
      <c r="C2045">
        <v>557003</v>
      </c>
      <c r="D2045">
        <v>-113.926</v>
      </c>
      <c r="E2045" t="s">
        <v>6</v>
      </c>
      <c r="F2045" t="s">
        <v>56</v>
      </c>
      <c r="G2045" t="s">
        <v>7</v>
      </c>
    </row>
    <row r="2046" spans="1:7" x14ac:dyDescent="0.3">
      <c r="A2046" t="s">
        <v>34</v>
      </c>
      <c r="B2046" s="1">
        <v>45808</v>
      </c>
      <c r="C2046">
        <v>558012</v>
      </c>
      <c r="D2046">
        <v>259.01</v>
      </c>
      <c r="E2046" t="s">
        <v>6</v>
      </c>
      <c r="F2046" t="s">
        <v>60</v>
      </c>
      <c r="G2046" t="s">
        <v>7</v>
      </c>
    </row>
    <row r="2047" spans="1:7" x14ac:dyDescent="0.3">
      <c r="A2047" t="s">
        <v>34</v>
      </c>
      <c r="B2047" s="1">
        <v>45808</v>
      </c>
      <c r="C2047">
        <v>564006</v>
      </c>
      <c r="D2047">
        <v>-0.121</v>
      </c>
      <c r="E2047" t="s">
        <v>6</v>
      </c>
      <c r="F2047" t="s">
        <v>57</v>
      </c>
      <c r="G2047" t="s">
        <v>7</v>
      </c>
    </row>
    <row r="2048" spans="1:7" x14ac:dyDescent="0.3">
      <c r="A2048" t="s">
        <v>34</v>
      </c>
      <c r="B2048" s="1">
        <v>45808</v>
      </c>
      <c r="C2048">
        <v>564020</v>
      </c>
      <c r="D2048">
        <v>31.263000000000002</v>
      </c>
      <c r="E2048" t="s">
        <v>6</v>
      </c>
      <c r="F2048" t="s">
        <v>57</v>
      </c>
      <c r="G2048" t="s">
        <v>7</v>
      </c>
    </row>
    <row r="2049" spans="1:7" x14ac:dyDescent="0.3">
      <c r="A2049" t="s">
        <v>34</v>
      </c>
      <c r="B2049" s="1">
        <v>45808</v>
      </c>
      <c r="C2049">
        <v>570002</v>
      </c>
      <c r="D2049">
        <v>6.6550000000000002</v>
      </c>
      <c r="E2049" t="s">
        <v>6</v>
      </c>
      <c r="F2049" t="s">
        <v>66</v>
      </c>
      <c r="G2049" t="s">
        <v>7</v>
      </c>
    </row>
    <row r="2050" spans="1:7" x14ac:dyDescent="0.3">
      <c r="A2050" t="s">
        <v>35</v>
      </c>
      <c r="B2050" s="1">
        <v>45808</v>
      </c>
      <c r="C2050">
        <v>210002</v>
      </c>
      <c r="D2050">
        <v>-60138.294999999998</v>
      </c>
      <c r="E2050" t="s">
        <v>4</v>
      </c>
      <c r="F2050" t="s">
        <v>42</v>
      </c>
      <c r="G2050" t="s">
        <v>7</v>
      </c>
    </row>
    <row r="2051" spans="1:7" x14ac:dyDescent="0.3">
      <c r="A2051" t="s">
        <v>35</v>
      </c>
      <c r="B2051" s="1">
        <v>45808</v>
      </c>
      <c r="C2051">
        <v>220006</v>
      </c>
      <c r="D2051">
        <v>-7041633.284</v>
      </c>
      <c r="E2051" t="s">
        <v>4</v>
      </c>
      <c r="F2051" t="s">
        <v>42</v>
      </c>
      <c r="G2051" t="s">
        <v>7</v>
      </c>
    </row>
    <row r="2052" spans="1:7" x14ac:dyDescent="0.3">
      <c r="A2052" t="s">
        <v>35</v>
      </c>
      <c r="B2052" s="1">
        <v>45808</v>
      </c>
      <c r="C2052">
        <v>240002</v>
      </c>
      <c r="D2052">
        <v>-20022.478999999999</v>
      </c>
      <c r="E2052" t="s">
        <v>4</v>
      </c>
      <c r="F2052" t="s">
        <v>43</v>
      </c>
      <c r="G2052" t="s">
        <v>7</v>
      </c>
    </row>
    <row r="2053" spans="1:7" x14ac:dyDescent="0.3">
      <c r="A2053" t="s">
        <v>35</v>
      </c>
      <c r="B2053" s="1">
        <v>45808</v>
      </c>
      <c r="C2053">
        <v>240003</v>
      </c>
      <c r="D2053">
        <v>6555.2209999999995</v>
      </c>
      <c r="E2053" t="s">
        <v>4</v>
      </c>
      <c r="F2053" t="s">
        <v>43</v>
      </c>
      <c r="G2053" t="s">
        <v>7</v>
      </c>
    </row>
    <row r="2054" spans="1:7" x14ac:dyDescent="0.3">
      <c r="A2054" t="s">
        <v>35</v>
      </c>
      <c r="B2054" s="1">
        <v>45808</v>
      </c>
      <c r="C2054">
        <v>240009</v>
      </c>
      <c r="D2054">
        <v>-43617.36</v>
      </c>
      <c r="E2054" t="s">
        <v>4</v>
      </c>
      <c r="F2054" t="s">
        <v>43</v>
      </c>
      <c r="G2054" t="s">
        <v>7</v>
      </c>
    </row>
    <row r="2055" spans="1:7" x14ac:dyDescent="0.3">
      <c r="A2055" t="s">
        <v>35</v>
      </c>
      <c r="B2055" s="1">
        <v>45808</v>
      </c>
      <c r="C2055">
        <v>242003</v>
      </c>
      <c r="D2055">
        <v>222494.965</v>
      </c>
      <c r="E2055" t="s">
        <v>4</v>
      </c>
      <c r="F2055" t="s">
        <v>43</v>
      </c>
      <c r="G2055" t="s">
        <v>7</v>
      </c>
    </row>
    <row r="2056" spans="1:7" x14ac:dyDescent="0.3">
      <c r="A2056" t="s">
        <v>35</v>
      </c>
      <c r="B2056" s="1">
        <v>45808</v>
      </c>
      <c r="C2056">
        <v>242007</v>
      </c>
      <c r="D2056">
        <v>-10662.143</v>
      </c>
      <c r="E2056" t="s">
        <v>4</v>
      </c>
      <c r="F2056" t="s">
        <v>43</v>
      </c>
      <c r="G2056" t="s">
        <v>7</v>
      </c>
    </row>
    <row r="2057" spans="1:7" x14ac:dyDescent="0.3">
      <c r="A2057" t="s">
        <v>35</v>
      </c>
      <c r="B2057" s="1">
        <v>45808</v>
      </c>
      <c r="C2057">
        <v>242011</v>
      </c>
      <c r="D2057">
        <v>-315632.01799999998</v>
      </c>
      <c r="E2057" t="s">
        <v>4</v>
      </c>
      <c r="F2057" t="s">
        <v>43</v>
      </c>
      <c r="G2057" t="s">
        <v>7</v>
      </c>
    </row>
    <row r="2058" spans="1:7" x14ac:dyDescent="0.3">
      <c r="A2058" t="s">
        <v>35</v>
      </c>
      <c r="B2058" s="1">
        <v>45808</v>
      </c>
      <c r="C2058">
        <v>242012</v>
      </c>
      <c r="D2058">
        <v>-55951.184999999998</v>
      </c>
      <c r="E2058" t="s">
        <v>4</v>
      </c>
      <c r="F2058" t="s">
        <v>43</v>
      </c>
      <c r="G2058" t="s">
        <v>7</v>
      </c>
    </row>
    <row r="2059" spans="1:7" x14ac:dyDescent="0.3">
      <c r="A2059" t="s">
        <v>35</v>
      </c>
      <c r="B2059" s="1">
        <v>45808</v>
      </c>
      <c r="C2059">
        <v>242013</v>
      </c>
      <c r="D2059">
        <v>-92347.122000000003</v>
      </c>
      <c r="E2059" t="s">
        <v>4</v>
      </c>
      <c r="F2059" t="s">
        <v>43</v>
      </c>
      <c r="G2059" t="s">
        <v>7</v>
      </c>
    </row>
    <row r="2060" spans="1:7" x14ac:dyDescent="0.3">
      <c r="A2060" t="s">
        <v>35</v>
      </c>
      <c r="B2060" s="1">
        <v>45808</v>
      </c>
      <c r="C2060">
        <v>242014</v>
      </c>
      <c r="D2060">
        <v>-107811.497</v>
      </c>
      <c r="E2060" t="s">
        <v>4</v>
      </c>
      <c r="F2060" t="s">
        <v>43</v>
      </c>
      <c r="G2060" t="s">
        <v>7</v>
      </c>
    </row>
    <row r="2061" spans="1:7" x14ac:dyDescent="0.3">
      <c r="A2061" t="s">
        <v>35</v>
      </c>
      <c r="B2061" s="1">
        <v>45808</v>
      </c>
      <c r="C2061">
        <v>242017</v>
      </c>
      <c r="D2061">
        <v>-12353.575000000001</v>
      </c>
      <c r="E2061" t="s">
        <v>4</v>
      </c>
      <c r="F2061" t="s">
        <v>43</v>
      </c>
      <c r="G2061" t="s">
        <v>7</v>
      </c>
    </row>
    <row r="2062" spans="1:7" x14ac:dyDescent="0.3">
      <c r="A2062" t="s">
        <v>35</v>
      </c>
      <c r="B2062" s="1">
        <v>45808</v>
      </c>
      <c r="C2062">
        <v>242019</v>
      </c>
      <c r="D2062">
        <v>-13674.724</v>
      </c>
      <c r="E2062" t="s">
        <v>4</v>
      </c>
      <c r="F2062" t="s">
        <v>43</v>
      </c>
      <c r="G2062" t="s">
        <v>7</v>
      </c>
    </row>
    <row r="2063" spans="1:7" x14ac:dyDescent="0.3">
      <c r="A2063" t="s">
        <v>35</v>
      </c>
      <c r="B2063" s="1">
        <v>45808</v>
      </c>
      <c r="C2063">
        <v>242023</v>
      </c>
      <c r="D2063">
        <v>-6006.3950000000004</v>
      </c>
      <c r="E2063" t="s">
        <v>4</v>
      </c>
      <c r="F2063" t="s">
        <v>43</v>
      </c>
      <c r="G2063" t="s">
        <v>7</v>
      </c>
    </row>
    <row r="2064" spans="1:7" x14ac:dyDescent="0.3">
      <c r="A2064" t="s">
        <v>35</v>
      </c>
      <c r="B2064" s="1">
        <v>45808</v>
      </c>
      <c r="C2064">
        <v>242027</v>
      </c>
      <c r="D2064">
        <v>-142888.73800000001</v>
      </c>
      <c r="E2064" t="s">
        <v>4</v>
      </c>
      <c r="F2064" t="s">
        <v>43</v>
      </c>
      <c r="G2064" t="s">
        <v>7</v>
      </c>
    </row>
    <row r="2065" spans="1:7" x14ac:dyDescent="0.3">
      <c r="A2065" t="s">
        <v>35</v>
      </c>
      <c r="B2065" s="1">
        <v>45808</v>
      </c>
      <c r="C2065">
        <v>242037</v>
      </c>
      <c r="D2065">
        <v>-827.63599999999997</v>
      </c>
      <c r="E2065" t="s">
        <v>4</v>
      </c>
      <c r="F2065" t="s">
        <v>43</v>
      </c>
      <c r="G2065" t="s">
        <v>7</v>
      </c>
    </row>
    <row r="2066" spans="1:7" x14ac:dyDescent="0.3">
      <c r="A2066" t="s">
        <v>35</v>
      </c>
      <c r="B2066" s="1">
        <v>45808</v>
      </c>
      <c r="C2066">
        <v>242038</v>
      </c>
      <c r="D2066">
        <v>-12480.297</v>
      </c>
      <c r="E2066" t="s">
        <v>4</v>
      </c>
      <c r="F2066" t="s">
        <v>43</v>
      </c>
      <c r="G2066" t="s">
        <v>7</v>
      </c>
    </row>
    <row r="2067" spans="1:7" x14ac:dyDescent="0.3">
      <c r="A2067" t="s">
        <v>35</v>
      </c>
      <c r="B2067" s="1">
        <v>45808</v>
      </c>
      <c r="C2067">
        <v>242039</v>
      </c>
      <c r="D2067">
        <v>-25490.154999999999</v>
      </c>
      <c r="E2067" t="s">
        <v>4</v>
      </c>
      <c r="F2067" t="s">
        <v>43</v>
      </c>
      <c r="G2067" t="s">
        <v>7</v>
      </c>
    </row>
    <row r="2068" spans="1:7" x14ac:dyDescent="0.3">
      <c r="A2068" t="s">
        <v>35</v>
      </c>
      <c r="B2068" s="1">
        <v>45808</v>
      </c>
      <c r="C2068">
        <v>242041</v>
      </c>
      <c r="D2068">
        <v>10700.83</v>
      </c>
      <c r="E2068" t="s">
        <v>4</v>
      </c>
      <c r="F2068" t="s">
        <v>43</v>
      </c>
      <c r="G2068" t="s">
        <v>7</v>
      </c>
    </row>
    <row r="2069" spans="1:7" x14ac:dyDescent="0.3">
      <c r="A2069" t="s">
        <v>35</v>
      </c>
      <c r="B2069" s="1">
        <v>45808</v>
      </c>
      <c r="C2069">
        <v>243002</v>
      </c>
      <c r="D2069">
        <v>-101825.621</v>
      </c>
      <c r="E2069" t="s">
        <v>4</v>
      </c>
      <c r="F2069" t="s">
        <v>43</v>
      </c>
      <c r="G2069" t="s">
        <v>7</v>
      </c>
    </row>
    <row r="2070" spans="1:7" x14ac:dyDescent="0.3">
      <c r="A2070" t="s">
        <v>35</v>
      </c>
      <c r="B2070" s="1">
        <v>45808</v>
      </c>
      <c r="C2070">
        <v>243003</v>
      </c>
      <c r="D2070">
        <v>-935581.65099999995</v>
      </c>
      <c r="E2070" t="s">
        <v>4</v>
      </c>
      <c r="F2070" t="s">
        <v>43</v>
      </c>
      <c r="G2070" t="s">
        <v>7</v>
      </c>
    </row>
    <row r="2071" spans="1:7" x14ac:dyDescent="0.3">
      <c r="A2071" t="s">
        <v>35</v>
      </c>
      <c r="B2071" s="1">
        <v>45808</v>
      </c>
      <c r="C2071">
        <v>243009</v>
      </c>
      <c r="D2071">
        <v>-9702.1119999999992</v>
      </c>
      <c r="E2071" t="s">
        <v>4</v>
      </c>
      <c r="F2071" t="s">
        <v>43</v>
      </c>
      <c r="G2071" t="s">
        <v>7</v>
      </c>
    </row>
    <row r="2072" spans="1:7" x14ac:dyDescent="0.3">
      <c r="A2072" t="s">
        <v>35</v>
      </c>
      <c r="B2072" s="1">
        <v>45808</v>
      </c>
      <c r="C2072">
        <v>243010</v>
      </c>
      <c r="D2072">
        <v>-4051.8359999999998</v>
      </c>
      <c r="E2072" t="s">
        <v>4</v>
      </c>
      <c r="F2072" t="s">
        <v>43</v>
      </c>
      <c r="G2072" t="s">
        <v>7</v>
      </c>
    </row>
    <row r="2073" spans="1:7" x14ac:dyDescent="0.3">
      <c r="A2073" t="s">
        <v>35</v>
      </c>
      <c r="B2073" s="1">
        <v>45808</v>
      </c>
      <c r="C2073">
        <v>243011</v>
      </c>
      <c r="D2073">
        <v>-32474.679</v>
      </c>
      <c r="E2073" t="s">
        <v>4</v>
      </c>
      <c r="F2073" t="s">
        <v>43</v>
      </c>
      <c r="G2073" t="s">
        <v>7</v>
      </c>
    </row>
    <row r="2074" spans="1:7" x14ac:dyDescent="0.3">
      <c r="A2074" t="s">
        <v>35</v>
      </c>
      <c r="B2074" s="1">
        <v>45808</v>
      </c>
      <c r="C2074">
        <v>245006</v>
      </c>
      <c r="D2074">
        <v>-1443.623</v>
      </c>
      <c r="E2074" t="s">
        <v>4</v>
      </c>
      <c r="F2074" t="s">
        <v>43</v>
      </c>
      <c r="G2074" t="s">
        <v>7</v>
      </c>
    </row>
    <row r="2075" spans="1:7" x14ac:dyDescent="0.3">
      <c r="A2075" t="s">
        <v>35</v>
      </c>
      <c r="B2075" s="1">
        <v>45808</v>
      </c>
      <c r="C2075">
        <v>245010</v>
      </c>
      <c r="D2075">
        <v>-188628.459</v>
      </c>
      <c r="E2075" t="s">
        <v>4</v>
      </c>
      <c r="F2075" t="s">
        <v>44</v>
      </c>
      <c r="G2075" t="s">
        <v>7</v>
      </c>
    </row>
    <row r="2076" spans="1:7" x14ac:dyDescent="0.3">
      <c r="A2076" t="s">
        <v>35</v>
      </c>
      <c r="B2076" s="1">
        <v>45808</v>
      </c>
      <c r="C2076">
        <v>245018</v>
      </c>
      <c r="D2076">
        <v>-77259.34</v>
      </c>
      <c r="E2076" t="s">
        <v>4</v>
      </c>
      <c r="F2076" t="s">
        <v>43</v>
      </c>
      <c r="G2076" t="s">
        <v>7</v>
      </c>
    </row>
    <row r="2077" spans="1:7" x14ac:dyDescent="0.3">
      <c r="A2077" t="s">
        <v>35</v>
      </c>
      <c r="B2077" s="1">
        <v>45808</v>
      </c>
      <c r="C2077">
        <v>245055</v>
      </c>
      <c r="D2077">
        <v>-43310.938999999998</v>
      </c>
      <c r="E2077" t="s">
        <v>4</v>
      </c>
      <c r="F2077" t="s">
        <v>43</v>
      </c>
      <c r="G2077" t="s">
        <v>7</v>
      </c>
    </row>
    <row r="2078" spans="1:7" x14ac:dyDescent="0.3">
      <c r="A2078" t="s">
        <v>35</v>
      </c>
      <c r="B2078" s="1">
        <v>45808</v>
      </c>
      <c r="C2078">
        <v>245056</v>
      </c>
      <c r="D2078">
        <v>-4154.2439999999997</v>
      </c>
      <c r="E2078" t="s">
        <v>4</v>
      </c>
      <c r="F2078" t="s">
        <v>49</v>
      </c>
      <c r="G2078" t="s">
        <v>7</v>
      </c>
    </row>
    <row r="2079" spans="1:7" x14ac:dyDescent="0.3">
      <c r="A2079" t="s">
        <v>35</v>
      </c>
      <c r="B2079" s="1">
        <v>45808</v>
      </c>
      <c r="C2079">
        <v>245062</v>
      </c>
      <c r="D2079">
        <v>-66421.785000000003</v>
      </c>
      <c r="E2079" t="s">
        <v>4</v>
      </c>
      <c r="F2079" t="s">
        <v>43</v>
      </c>
      <c r="G2079" t="s">
        <v>7</v>
      </c>
    </row>
    <row r="2080" spans="1:7" x14ac:dyDescent="0.3">
      <c r="A2080" t="s">
        <v>35</v>
      </c>
      <c r="B2080" s="1">
        <v>45808</v>
      </c>
      <c r="C2080">
        <v>250003</v>
      </c>
      <c r="D2080">
        <v>-31226.550999999999</v>
      </c>
      <c r="E2080" t="s">
        <v>4</v>
      </c>
      <c r="F2080" t="s">
        <v>45</v>
      </c>
      <c r="G2080" t="s">
        <v>7</v>
      </c>
    </row>
    <row r="2081" spans="1:7" x14ac:dyDescent="0.3">
      <c r="A2081" t="s">
        <v>35</v>
      </c>
      <c r="B2081" s="1">
        <v>45808</v>
      </c>
      <c r="C2081">
        <v>250007</v>
      </c>
      <c r="D2081">
        <v>-171967.51199999999</v>
      </c>
      <c r="E2081" t="s">
        <v>4</v>
      </c>
      <c r="F2081" t="s">
        <v>43</v>
      </c>
      <c r="G2081" t="s">
        <v>7</v>
      </c>
    </row>
    <row r="2082" spans="1:7" x14ac:dyDescent="0.3">
      <c r="A2082" t="s">
        <v>35</v>
      </c>
      <c r="B2082" s="1">
        <v>45808</v>
      </c>
      <c r="C2082">
        <v>251002</v>
      </c>
      <c r="D2082">
        <v>-311917.32</v>
      </c>
      <c r="E2082" t="s">
        <v>4</v>
      </c>
      <c r="F2082" t="s">
        <v>45</v>
      </c>
      <c r="G2082" t="s">
        <v>7</v>
      </c>
    </row>
    <row r="2083" spans="1:7" x14ac:dyDescent="0.3">
      <c r="A2083" t="s">
        <v>35</v>
      </c>
      <c r="B2083" s="1">
        <v>45808</v>
      </c>
      <c r="C2083">
        <v>251003</v>
      </c>
      <c r="D2083">
        <v>-180987.32500000001</v>
      </c>
      <c r="E2083" t="s">
        <v>4</v>
      </c>
      <c r="F2083" t="s">
        <v>45</v>
      </c>
      <c r="G2083" t="s">
        <v>7</v>
      </c>
    </row>
    <row r="2084" spans="1:7" x14ac:dyDescent="0.3">
      <c r="A2084" t="s">
        <v>35</v>
      </c>
      <c r="B2084" s="1">
        <v>45808</v>
      </c>
      <c r="C2084">
        <v>256037</v>
      </c>
      <c r="D2084">
        <v>15821.382</v>
      </c>
      <c r="E2084" t="s">
        <v>4</v>
      </c>
      <c r="F2084" t="s">
        <v>43</v>
      </c>
      <c r="G2084" t="s">
        <v>7</v>
      </c>
    </row>
    <row r="2085" spans="1:7" x14ac:dyDescent="0.3">
      <c r="A2085" t="s">
        <v>35</v>
      </c>
      <c r="B2085" s="1">
        <v>45808</v>
      </c>
      <c r="C2085">
        <v>257008</v>
      </c>
      <c r="D2085">
        <v>-10576.277</v>
      </c>
      <c r="E2085" t="s">
        <v>4</v>
      </c>
      <c r="F2085" t="s">
        <v>45</v>
      </c>
      <c r="G2085" t="s">
        <v>7</v>
      </c>
    </row>
    <row r="2086" spans="1:7" x14ac:dyDescent="0.3">
      <c r="A2086" t="s">
        <v>35</v>
      </c>
      <c r="B2086" s="1">
        <v>45808</v>
      </c>
      <c r="C2086">
        <v>257009</v>
      </c>
      <c r="D2086">
        <v>-20741.073</v>
      </c>
      <c r="E2086" t="s">
        <v>4</v>
      </c>
      <c r="F2086" t="s">
        <v>45</v>
      </c>
      <c r="G2086" t="s">
        <v>7</v>
      </c>
    </row>
    <row r="2087" spans="1:7" x14ac:dyDescent="0.3">
      <c r="A2087" t="s">
        <v>35</v>
      </c>
      <c r="B2087" s="1">
        <v>45808</v>
      </c>
      <c r="C2087">
        <v>257011</v>
      </c>
      <c r="D2087">
        <v>-146.96600000000001</v>
      </c>
      <c r="E2087" t="s">
        <v>4</v>
      </c>
      <c r="F2087" t="s">
        <v>45</v>
      </c>
      <c r="G2087" t="s">
        <v>7</v>
      </c>
    </row>
    <row r="2088" spans="1:7" x14ac:dyDescent="0.3">
      <c r="A2088" t="s">
        <v>35</v>
      </c>
      <c r="B2088" s="1">
        <v>45808</v>
      </c>
      <c r="C2088">
        <v>257022</v>
      </c>
      <c r="D2088">
        <v>1581.14</v>
      </c>
      <c r="E2088" t="s">
        <v>4</v>
      </c>
      <c r="F2088" t="s">
        <v>45</v>
      </c>
      <c r="G2088" t="s">
        <v>7</v>
      </c>
    </row>
    <row r="2089" spans="1:7" x14ac:dyDescent="0.3">
      <c r="A2089" t="s">
        <v>35</v>
      </c>
      <c r="B2089" s="1">
        <v>45808</v>
      </c>
      <c r="C2089">
        <v>257028</v>
      </c>
      <c r="D2089">
        <v>-94650.349000000002</v>
      </c>
      <c r="E2089" t="s">
        <v>4</v>
      </c>
      <c r="F2089" t="s">
        <v>45</v>
      </c>
      <c r="G2089" t="s">
        <v>7</v>
      </c>
    </row>
    <row r="2090" spans="1:7" x14ac:dyDescent="0.3">
      <c r="A2090" t="s">
        <v>35</v>
      </c>
      <c r="B2090" s="1">
        <v>45808</v>
      </c>
      <c r="C2090">
        <v>260004</v>
      </c>
      <c r="D2090">
        <v>-17181.655999999999</v>
      </c>
      <c r="E2090" t="s">
        <v>4</v>
      </c>
      <c r="F2090" t="s">
        <v>45</v>
      </c>
      <c r="G2090" t="s">
        <v>7</v>
      </c>
    </row>
    <row r="2091" spans="1:7" x14ac:dyDescent="0.3">
      <c r="A2091" t="s">
        <v>35</v>
      </c>
      <c r="B2091" s="1">
        <v>45808</v>
      </c>
      <c r="C2091">
        <v>270024</v>
      </c>
      <c r="D2091">
        <v>-340956.12400000001</v>
      </c>
      <c r="E2091" t="s">
        <v>4</v>
      </c>
      <c r="F2091" t="s">
        <v>58</v>
      </c>
      <c r="G2091" t="s">
        <v>7</v>
      </c>
    </row>
    <row r="2092" spans="1:7" x14ac:dyDescent="0.3">
      <c r="A2092" t="s">
        <v>35</v>
      </c>
      <c r="B2092" s="1">
        <v>45808</v>
      </c>
      <c r="C2092">
        <v>270025</v>
      </c>
      <c r="D2092">
        <v>-399908.88400000002</v>
      </c>
      <c r="E2092" t="s">
        <v>4</v>
      </c>
      <c r="F2092" t="s">
        <v>58</v>
      </c>
      <c r="G2092" t="s">
        <v>7</v>
      </c>
    </row>
    <row r="2093" spans="1:7" x14ac:dyDescent="0.3">
      <c r="A2093" t="s">
        <v>35</v>
      </c>
      <c r="B2093" s="1">
        <v>45808</v>
      </c>
      <c r="C2093">
        <v>270026</v>
      </c>
      <c r="D2093">
        <v>-572046.16700000002</v>
      </c>
      <c r="E2093" t="s">
        <v>4</v>
      </c>
      <c r="F2093" t="s">
        <v>58</v>
      </c>
      <c r="G2093" t="s">
        <v>7</v>
      </c>
    </row>
    <row r="2094" spans="1:7" x14ac:dyDescent="0.3">
      <c r="A2094" t="s">
        <v>35</v>
      </c>
      <c r="B2094" s="1">
        <v>45808</v>
      </c>
      <c r="C2094">
        <v>300004</v>
      </c>
      <c r="D2094">
        <v>5215.7520000000004</v>
      </c>
      <c r="E2094" t="s">
        <v>4</v>
      </c>
      <c r="F2094" t="s">
        <v>65</v>
      </c>
      <c r="G2094" t="s">
        <v>7</v>
      </c>
    </row>
    <row r="2095" spans="1:7" x14ac:dyDescent="0.3">
      <c r="A2095" t="s">
        <v>35</v>
      </c>
      <c r="B2095" s="1">
        <v>45808</v>
      </c>
      <c r="C2095">
        <v>300005</v>
      </c>
      <c r="D2095">
        <v>31207.944</v>
      </c>
      <c r="E2095" t="s">
        <v>4</v>
      </c>
      <c r="F2095" t="s">
        <v>65</v>
      </c>
      <c r="G2095" t="s">
        <v>7</v>
      </c>
    </row>
    <row r="2096" spans="1:7" x14ac:dyDescent="0.3">
      <c r="A2096" t="s">
        <v>35</v>
      </c>
      <c r="B2096" s="1">
        <v>45808</v>
      </c>
      <c r="C2096">
        <v>300008</v>
      </c>
      <c r="D2096">
        <v>46884.012000000002</v>
      </c>
      <c r="E2096" t="s">
        <v>4</v>
      </c>
      <c r="F2096" t="s">
        <v>65</v>
      </c>
      <c r="G2096" t="s">
        <v>7</v>
      </c>
    </row>
    <row r="2097" spans="1:7" x14ac:dyDescent="0.3">
      <c r="A2097" t="s">
        <v>35</v>
      </c>
      <c r="B2097" s="1">
        <v>45808</v>
      </c>
      <c r="C2097">
        <v>300009</v>
      </c>
      <c r="D2097">
        <v>37.579000000000001</v>
      </c>
      <c r="E2097" t="s">
        <v>4</v>
      </c>
      <c r="F2097" t="s">
        <v>65</v>
      </c>
      <c r="G2097" t="s">
        <v>7</v>
      </c>
    </row>
    <row r="2098" spans="1:7" x14ac:dyDescent="0.3">
      <c r="A2098" t="s">
        <v>35</v>
      </c>
      <c r="B2098" s="1">
        <v>45808</v>
      </c>
      <c r="C2098">
        <v>300012</v>
      </c>
      <c r="D2098">
        <v>83.611000000000004</v>
      </c>
      <c r="E2098" t="s">
        <v>4</v>
      </c>
      <c r="F2098" t="s">
        <v>65</v>
      </c>
      <c r="G2098" t="s">
        <v>7</v>
      </c>
    </row>
    <row r="2099" spans="1:7" x14ac:dyDescent="0.3">
      <c r="A2099" t="s">
        <v>35</v>
      </c>
      <c r="B2099" s="1">
        <v>45808</v>
      </c>
      <c r="C2099">
        <v>300504</v>
      </c>
      <c r="D2099">
        <v>-4568.8180000000002</v>
      </c>
      <c r="E2099" t="s">
        <v>4</v>
      </c>
      <c r="F2099" t="s">
        <v>65</v>
      </c>
      <c r="G2099" t="s">
        <v>7</v>
      </c>
    </row>
    <row r="2100" spans="1:7" x14ac:dyDescent="0.3">
      <c r="A2100" t="s">
        <v>35</v>
      </c>
      <c r="B2100" s="1">
        <v>45808</v>
      </c>
      <c r="C2100">
        <v>300505</v>
      </c>
      <c r="D2100">
        <v>-29079.607</v>
      </c>
      <c r="E2100" t="s">
        <v>4</v>
      </c>
      <c r="F2100" t="s">
        <v>65</v>
      </c>
      <c r="G2100" t="s">
        <v>7</v>
      </c>
    </row>
    <row r="2101" spans="1:7" x14ac:dyDescent="0.3">
      <c r="A2101" t="s">
        <v>35</v>
      </c>
      <c r="B2101" s="1">
        <v>45808</v>
      </c>
      <c r="C2101">
        <v>300508</v>
      </c>
      <c r="D2101">
        <v>-43796.016000000003</v>
      </c>
      <c r="E2101" t="s">
        <v>4</v>
      </c>
      <c r="F2101" t="s">
        <v>65</v>
      </c>
      <c r="G2101" t="s">
        <v>7</v>
      </c>
    </row>
    <row r="2102" spans="1:7" x14ac:dyDescent="0.3">
      <c r="A2102" t="s">
        <v>35</v>
      </c>
      <c r="B2102" s="1">
        <v>45808</v>
      </c>
      <c r="C2102">
        <v>300509</v>
      </c>
      <c r="D2102">
        <v>-8.2620000000000005</v>
      </c>
      <c r="E2102" t="s">
        <v>4</v>
      </c>
      <c r="F2102" t="s">
        <v>65</v>
      </c>
      <c r="G2102" t="s">
        <v>7</v>
      </c>
    </row>
    <row r="2103" spans="1:7" x14ac:dyDescent="0.3">
      <c r="A2103" t="s">
        <v>35</v>
      </c>
      <c r="B2103" s="1">
        <v>45808</v>
      </c>
      <c r="C2103">
        <v>300512</v>
      </c>
      <c r="D2103">
        <v>-22.533000000000001</v>
      </c>
      <c r="E2103" t="s">
        <v>4</v>
      </c>
      <c r="F2103" t="s">
        <v>65</v>
      </c>
      <c r="G2103" t="s">
        <v>7</v>
      </c>
    </row>
    <row r="2104" spans="1:7" x14ac:dyDescent="0.3">
      <c r="A2104" t="s">
        <v>35</v>
      </c>
      <c r="B2104" s="1">
        <v>45808</v>
      </c>
      <c r="C2104">
        <v>301004</v>
      </c>
      <c r="D2104">
        <v>75758.144</v>
      </c>
      <c r="E2104" t="s">
        <v>4</v>
      </c>
      <c r="F2104" t="s">
        <v>65</v>
      </c>
      <c r="G2104" t="s">
        <v>7</v>
      </c>
    </row>
    <row r="2105" spans="1:7" x14ac:dyDescent="0.3">
      <c r="A2105" t="s">
        <v>35</v>
      </c>
      <c r="B2105" s="1">
        <v>45808</v>
      </c>
      <c r="C2105">
        <v>301504</v>
      </c>
      <c r="D2105">
        <v>-75758.144</v>
      </c>
      <c r="E2105" t="s">
        <v>4</v>
      </c>
      <c r="F2105" t="s">
        <v>65</v>
      </c>
      <c r="G2105" t="s">
        <v>7</v>
      </c>
    </row>
    <row r="2106" spans="1:7" x14ac:dyDescent="0.3">
      <c r="A2106" t="s">
        <v>35</v>
      </c>
      <c r="B2106" s="1">
        <v>45808</v>
      </c>
      <c r="C2106">
        <v>310033</v>
      </c>
      <c r="D2106">
        <v>33530.707999999999</v>
      </c>
      <c r="E2106" t="s">
        <v>4</v>
      </c>
      <c r="F2106" t="s">
        <v>42</v>
      </c>
      <c r="G2106" t="s">
        <v>7</v>
      </c>
    </row>
    <row r="2107" spans="1:7" x14ac:dyDescent="0.3">
      <c r="A2107" t="s">
        <v>35</v>
      </c>
      <c r="B2107" s="1">
        <v>45808</v>
      </c>
      <c r="C2107">
        <v>310035</v>
      </c>
      <c r="D2107">
        <v>969728.08200000005</v>
      </c>
      <c r="E2107" t="s">
        <v>4</v>
      </c>
      <c r="F2107" t="s">
        <v>42</v>
      </c>
      <c r="G2107" t="s">
        <v>7</v>
      </c>
    </row>
    <row r="2108" spans="1:7" x14ac:dyDescent="0.3">
      <c r="A2108" t="s">
        <v>35</v>
      </c>
      <c r="B2108" s="1">
        <v>45808</v>
      </c>
      <c r="C2108">
        <v>315016</v>
      </c>
      <c r="D2108">
        <v>962212.72</v>
      </c>
      <c r="E2108" t="s">
        <v>4</v>
      </c>
      <c r="F2108" t="s">
        <v>47</v>
      </c>
      <c r="G2108" t="s">
        <v>7</v>
      </c>
    </row>
    <row r="2109" spans="1:7" x14ac:dyDescent="0.3">
      <c r="A2109" t="s">
        <v>35</v>
      </c>
      <c r="B2109" s="1">
        <v>45808</v>
      </c>
      <c r="C2109">
        <v>320002</v>
      </c>
      <c r="D2109">
        <v>10815.271000000001</v>
      </c>
      <c r="E2109" t="s">
        <v>4</v>
      </c>
      <c r="F2109" t="s">
        <v>46</v>
      </c>
      <c r="G2109" t="s">
        <v>7</v>
      </c>
    </row>
    <row r="2110" spans="1:7" x14ac:dyDescent="0.3">
      <c r="A2110" t="s">
        <v>35</v>
      </c>
      <c r="B2110" s="1">
        <v>45808</v>
      </c>
      <c r="C2110">
        <v>320003</v>
      </c>
      <c r="D2110">
        <v>2716498.341</v>
      </c>
      <c r="E2110" t="s">
        <v>4</v>
      </c>
      <c r="F2110" t="s">
        <v>46</v>
      </c>
      <c r="G2110" t="s">
        <v>7</v>
      </c>
    </row>
    <row r="2111" spans="1:7" x14ac:dyDescent="0.3">
      <c r="A2111" t="s">
        <v>35</v>
      </c>
      <c r="B2111" s="1">
        <v>45808</v>
      </c>
      <c r="C2111">
        <v>320020</v>
      </c>
      <c r="D2111">
        <v>2343.9499999999998</v>
      </c>
      <c r="E2111" t="s">
        <v>4</v>
      </c>
      <c r="F2111" t="s">
        <v>46</v>
      </c>
      <c r="G2111" t="s">
        <v>7</v>
      </c>
    </row>
    <row r="2112" spans="1:7" x14ac:dyDescent="0.3">
      <c r="A2112" t="s">
        <v>35</v>
      </c>
      <c r="B2112" s="1">
        <v>45808</v>
      </c>
      <c r="C2112">
        <v>320023</v>
      </c>
      <c r="D2112">
        <v>-2343.9499999999998</v>
      </c>
      <c r="E2112" t="s">
        <v>4</v>
      </c>
      <c r="F2112" t="s">
        <v>46</v>
      </c>
      <c r="G2112" t="s">
        <v>7</v>
      </c>
    </row>
    <row r="2113" spans="1:7" x14ac:dyDescent="0.3">
      <c r="A2113" t="s">
        <v>35</v>
      </c>
      <c r="B2113" s="1">
        <v>45808</v>
      </c>
      <c r="C2113">
        <v>320024</v>
      </c>
      <c r="D2113">
        <v>295165.88900000002</v>
      </c>
      <c r="E2113" t="s">
        <v>4</v>
      </c>
      <c r="F2113" t="s">
        <v>46</v>
      </c>
      <c r="G2113" t="s">
        <v>7</v>
      </c>
    </row>
    <row r="2114" spans="1:7" x14ac:dyDescent="0.3">
      <c r="A2114" t="s">
        <v>35</v>
      </c>
      <c r="B2114" s="1">
        <v>45808</v>
      </c>
      <c r="C2114">
        <v>321002</v>
      </c>
      <c r="D2114">
        <v>411180.46100000001</v>
      </c>
      <c r="E2114" t="s">
        <v>4</v>
      </c>
      <c r="F2114" t="s">
        <v>46</v>
      </c>
      <c r="G2114" t="s">
        <v>7</v>
      </c>
    </row>
    <row r="2115" spans="1:7" x14ac:dyDescent="0.3">
      <c r="A2115" t="s">
        <v>35</v>
      </c>
      <c r="B2115" s="1">
        <v>45808</v>
      </c>
      <c r="C2115">
        <v>321012</v>
      </c>
      <c r="D2115">
        <v>71725.089000000007</v>
      </c>
      <c r="E2115" t="s">
        <v>4</v>
      </c>
      <c r="F2115" t="s">
        <v>46</v>
      </c>
      <c r="G2115" t="s">
        <v>7</v>
      </c>
    </row>
    <row r="2116" spans="1:7" x14ac:dyDescent="0.3">
      <c r="A2116" t="s">
        <v>35</v>
      </c>
      <c r="B2116" s="1">
        <v>45808</v>
      </c>
      <c r="C2116">
        <v>321013</v>
      </c>
      <c r="D2116">
        <v>54224.603000000003</v>
      </c>
      <c r="E2116" t="s">
        <v>4</v>
      </c>
      <c r="F2116" t="s">
        <v>46</v>
      </c>
      <c r="G2116" t="s">
        <v>7</v>
      </c>
    </row>
    <row r="2117" spans="1:7" x14ac:dyDescent="0.3">
      <c r="A2117" t="s">
        <v>35</v>
      </c>
      <c r="B2117" s="1">
        <v>45808</v>
      </c>
      <c r="C2117">
        <v>321014</v>
      </c>
      <c r="D2117">
        <v>16786.714</v>
      </c>
      <c r="E2117" t="s">
        <v>4</v>
      </c>
      <c r="F2117" t="s">
        <v>46</v>
      </c>
      <c r="G2117" t="s">
        <v>7</v>
      </c>
    </row>
    <row r="2118" spans="1:7" x14ac:dyDescent="0.3">
      <c r="A2118" t="s">
        <v>35</v>
      </c>
      <c r="B2118" s="1">
        <v>45808</v>
      </c>
      <c r="C2118">
        <v>321025</v>
      </c>
      <c r="D2118">
        <v>94348.09</v>
      </c>
      <c r="E2118" t="s">
        <v>4</v>
      </c>
      <c r="F2118" t="s">
        <v>46</v>
      </c>
      <c r="G2118" t="s">
        <v>7</v>
      </c>
    </row>
    <row r="2119" spans="1:7" x14ac:dyDescent="0.3">
      <c r="A2119" t="s">
        <v>35</v>
      </c>
      <c r="B2119" s="1">
        <v>45808</v>
      </c>
      <c r="C2119">
        <v>321031</v>
      </c>
      <c r="D2119">
        <v>13986.135</v>
      </c>
      <c r="E2119" t="s">
        <v>4</v>
      </c>
      <c r="F2119" t="s">
        <v>46</v>
      </c>
      <c r="G2119" t="s">
        <v>7</v>
      </c>
    </row>
    <row r="2120" spans="1:7" x14ac:dyDescent="0.3">
      <c r="A2120" t="s">
        <v>35</v>
      </c>
      <c r="B2120" s="1">
        <v>45808</v>
      </c>
      <c r="C2120">
        <v>321041</v>
      </c>
      <c r="D2120">
        <v>267.95</v>
      </c>
      <c r="E2120" t="s">
        <v>4</v>
      </c>
      <c r="F2120" t="s">
        <v>46</v>
      </c>
      <c r="G2120" t="s">
        <v>7</v>
      </c>
    </row>
    <row r="2121" spans="1:7" x14ac:dyDescent="0.3">
      <c r="A2121" t="s">
        <v>35</v>
      </c>
      <c r="B2121" s="1">
        <v>45808</v>
      </c>
      <c r="C2121">
        <v>321042</v>
      </c>
      <c r="D2121">
        <v>6.3040000000000003</v>
      </c>
      <c r="E2121" t="s">
        <v>4</v>
      </c>
      <c r="F2121" t="s">
        <v>46</v>
      </c>
      <c r="G2121" t="s">
        <v>7</v>
      </c>
    </row>
    <row r="2122" spans="1:7" x14ac:dyDescent="0.3">
      <c r="A2122" t="s">
        <v>35</v>
      </c>
      <c r="B2122" s="1">
        <v>45808</v>
      </c>
      <c r="C2122">
        <v>330115</v>
      </c>
      <c r="D2122">
        <v>7697.8379999999997</v>
      </c>
      <c r="E2122" t="s">
        <v>4</v>
      </c>
      <c r="F2122" t="s">
        <v>43</v>
      </c>
      <c r="G2122" t="s">
        <v>7</v>
      </c>
    </row>
    <row r="2123" spans="1:7" x14ac:dyDescent="0.3">
      <c r="A2123" t="s">
        <v>35</v>
      </c>
      <c r="B2123" s="1">
        <v>45808</v>
      </c>
      <c r="C2123">
        <v>330123</v>
      </c>
      <c r="D2123">
        <v>900443.82400000002</v>
      </c>
      <c r="E2123" t="s">
        <v>4</v>
      </c>
      <c r="F2123" t="s">
        <v>43</v>
      </c>
      <c r="G2123" t="s">
        <v>7</v>
      </c>
    </row>
    <row r="2124" spans="1:7" x14ac:dyDescent="0.3">
      <c r="A2124" t="s">
        <v>35</v>
      </c>
      <c r="B2124" s="1">
        <v>45808</v>
      </c>
      <c r="C2124">
        <v>330129</v>
      </c>
      <c r="D2124">
        <v>-6773.6840000000002</v>
      </c>
      <c r="E2124" t="s">
        <v>4</v>
      </c>
      <c r="F2124" t="s">
        <v>43</v>
      </c>
      <c r="G2124" t="s">
        <v>7</v>
      </c>
    </row>
    <row r="2125" spans="1:7" x14ac:dyDescent="0.3">
      <c r="A2125" t="s">
        <v>35</v>
      </c>
      <c r="B2125" s="1">
        <v>45808</v>
      </c>
      <c r="C2125">
        <v>330136</v>
      </c>
      <c r="D2125">
        <v>-1937.367</v>
      </c>
      <c r="E2125" t="s">
        <v>4</v>
      </c>
      <c r="F2125" t="s">
        <v>43</v>
      </c>
      <c r="G2125" t="s">
        <v>7</v>
      </c>
    </row>
    <row r="2126" spans="1:7" x14ac:dyDescent="0.3">
      <c r="A2126" t="s">
        <v>35</v>
      </c>
      <c r="B2126" s="1">
        <v>45808</v>
      </c>
      <c r="C2126">
        <v>330138</v>
      </c>
      <c r="D2126">
        <v>529.34400000000005</v>
      </c>
      <c r="E2126" t="s">
        <v>4</v>
      </c>
      <c r="F2126" t="s">
        <v>43</v>
      </c>
      <c r="G2126" t="s">
        <v>7</v>
      </c>
    </row>
    <row r="2127" spans="1:7" x14ac:dyDescent="0.3">
      <c r="A2127" t="s">
        <v>35</v>
      </c>
      <c r="B2127" s="1">
        <v>45808</v>
      </c>
      <c r="C2127">
        <v>340255</v>
      </c>
      <c r="D2127">
        <v>1565412.595</v>
      </c>
      <c r="E2127" t="s">
        <v>4</v>
      </c>
      <c r="F2127" t="s">
        <v>47</v>
      </c>
      <c r="G2127" t="s">
        <v>7</v>
      </c>
    </row>
    <row r="2128" spans="1:7" x14ac:dyDescent="0.3">
      <c r="A2128" t="s">
        <v>35</v>
      </c>
      <c r="B2128" s="1">
        <v>45808</v>
      </c>
      <c r="C2128">
        <v>340256</v>
      </c>
      <c r="D2128">
        <v>48594627.442000002</v>
      </c>
      <c r="E2128" t="s">
        <v>4</v>
      </c>
      <c r="F2128" t="s">
        <v>47</v>
      </c>
      <c r="G2128" t="s">
        <v>7</v>
      </c>
    </row>
    <row r="2129" spans="1:7" x14ac:dyDescent="0.3">
      <c r="A2129" t="s">
        <v>35</v>
      </c>
      <c r="B2129" s="1">
        <v>45808</v>
      </c>
      <c r="C2129">
        <v>340257</v>
      </c>
      <c r="D2129">
        <v>-49441035.572999999</v>
      </c>
      <c r="E2129" t="s">
        <v>4</v>
      </c>
      <c r="F2129" t="s">
        <v>47</v>
      </c>
      <c r="G2129" t="s">
        <v>7</v>
      </c>
    </row>
    <row r="2130" spans="1:7" x14ac:dyDescent="0.3">
      <c r="A2130" t="s">
        <v>35</v>
      </c>
      <c r="B2130" s="1">
        <v>45808</v>
      </c>
      <c r="C2130">
        <v>350002</v>
      </c>
      <c r="D2130">
        <v>21139.187000000002</v>
      </c>
      <c r="E2130" t="s">
        <v>4</v>
      </c>
      <c r="F2130" t="s">
        <v>49</v>
      </c>
      <c r="G2130" t="s">
        <v>7</v>
      </c>
    </row>
    <row r="2131" spans="1:7" x14ac:dyDescent="0.3">
      <c r="A2131" t="s">
        <v>35</v>
      </c>
      <c r="B2131" s="1">
        <v>45808</v>
      </c>
      <c r="C2131">
        <v>350003</v>
      </c>
      <c r="D2131">
        <v>72413.778999999995</v>
      </c>
      <c r="E2131" t="s">
        <v>4</v>
      </c>
      <c r="F2131" t="s">
        <v>49</v>
      </c>
      <c r="G2131" t="s">
        <v>7</v>
      </c>
    </row>
    <row r="2132" spans="1:7" x14ac:dyDescent="0.3">
      <c r="A2132" t="s">
        <v>35</v>
      </c>
      <c r="B2132" s="1">
        <v>45808</v>
      </c>
      <c r="C2132">
        <v>350031</v>
      </c>
      <c r="D2132">
        <v>43617.36</v>
      </c>
      <c r="E2132" t="s">
        <v>4</v>
      </c>
      <c r="F2132" t="s">
        <v>43</v>
      </c>
      <c r="G2132" t="s">
        <v>7</v>
      </c>
    </row>
    <row r="2133" spans="1:7" x14ac:dyDescent="0.3">
      <c r="A2133" t="s">
        <v>35</v>
      </c>
      <c r="B2133" s="1">
        <v>45808</v>
      </c>
      <c r="C2133">
        <v>350034</v>
      </c>
      <c r="D2133">
        <v>4154.2439999999997</v>
      </c>
      <c r="E2133" t="s">
        <v>4</v>
      </c>
      <c r="F2133" t="s">
        <v>49</v>
      </c>
      <c r="G2133" t="s">
        <v>7</v>
      </c>
    </row>
    <row r="2134" spans="1:7" x14ac:dyDescent="0.3">
      <c r="A2134" t="s">
        <v>35</v>
      </c>
      <c r="B2134" s="1">
        <v>45808</v>
      </c>
      <c r="C2134">
        <v>352002</v>
      </c>
      <c r="D2134">
        <v>8651.4570000000003</v>
      </c>
      <c r="E2134" t="s">
        <v>4</v>
      </c>
      <c r="F2134" t="s">
        <v>48</v>
      </c>
      <c r="G2134" t="s">
        <v>7</v>
      </c>
    </row>
    <row r="2135" spans="1:7" x14ac:dyDescent="0.3">
      <c r="A2135" t="s">
        <v>35</v>
      </c>
      <c r="B2135" s="1">
        <v>45808</v>
      </c>
      <c r="C2135">
        <v>354011</v>
      </c>
      <c r="D2135">
        <v>-295165.88900000002</v>
      </c>
      <c r="E2135" t="s">
        <v>4</v>
      </c>
      <c r="F2135" t="s">
        <v>46</v>
      </c>
      <c r="G2135" t="s">
        <v>7</v>
      </c>
    </row>
    <row r="2136" spans="1:7" x14ac:dyDescent="0.3">
      <c r="A2136" t="s">
        <v>35</v>
      </c>
      <c r="B2136" s="1">
        <v>45808</v>
      </c>
      <c r="C2136">
        <v>354012</v>
      </c>
      <c r="D2136">
        <v>462167.61200000002</v>
      </c>
      <c r="E2136" t="s">
        <v>4</v>
      </c>
      <c r="F2136" t="s">
        <v>46</v>
      </c>
      <c r="G2136" t="s">
        <v>7</v>
      </c>
    </row>
    <row r="2137" spans="1:7" x14ac:dyDescent="0.3">
      <c r="A2137" t="s">
        <v>35</v>
      </c>
      <c r="B2137" s="1">
        <v>45808</v>
      </c>
      <c r="C2137">
        <v>354014</v>
      </c>
      <c r="D2137">
        <v>2081906.07</v>
      </c>
      <c r="E2137" t="s">
        <v>4</v>
      </c>
      <c r="F2137" t="s">
        <v>46</v>
      </c>
      <c r="G2137" t="s">
        <v>7</v>
      </c>
    </row>
    <row r="2138" spans="1:7" x14ac:dyDescent="0.3">
      <c r="A2138" t="s">
        <v>35</v>
      </c>
      <c r="B2138" s="1">
        <v>45808</v>
      </c>
      <c r="C2138">
        <v>354015</v>
      </c>
      <c r="D2138">
        <v>909.29100000000005</v>
      </c>
      <c r="E2138" t="s">
        <v>4</v>
      </c>
      <c r="F2138" t="s">
        <v>46</v>
      </c>
      <c r="G2138" t="s">
        <v>7</v>
      </c>
    </row>
    <row r="2139" spans="1:7" x14ac:dyDescent="0.3">
      <c r="A2139" t="s">
        <v>35</v>
      </c>
      <c r="B2139" s="1">
        <v>45808</v>
      </c>
      <c r="C2139">
        <v>355002</v>
      </c>
      <c r="D2139">
        <v>30166.692999999999</v>
      </c>
      <c r="E2139" t="s">
        <v>4</v>
      </c>
      <c r="F2139" t="s">
        <v>49</v>
      </c>
      <c r="G2139" t="s">
        <v>7</v>
      </c>
    </row>
    <row r="2140" spans="1:7" x14ac:dyDescent="0.3">
      <c r="A2140" t="s">
        <v>35</v>
      </c>
      <c r="B2140" s="1">
        <v>45808</v>
      </c>
      <c r="C2140">
        <v>355014</v>
      </c>
      <c r="D2140">
        <v>31404.120999999999</v>
      </c>
      <c r="E2140" t="s">
        <v>4</v>
      </c>
      <c r="F2140" t="s">
        <v>49</v>
      </c>
      <c r="G2140" t="s">
        <v>7</v>
      </c>
    </row>
    <row r="2141" spans="1:7" x14ac:dyDescent="0.3">
      <c r="A2141" t="s">
        <v>35</v>
      </c>
      <c r="B2141" s="1">
        <v>45808</v>
      </c>
      <c r="C2141">
        <v>360022</v>
      </c>
      <c r="D2141">
        <v>10829.691999999999</v>
      </c>
      <c r="E2141" t="s">
        <v>4</v>
      </c>
      <c r="F2141" t="s">
        <v>58</v>
      </c>
      <c r="G2141" t="s">
        <v>7</v>
      </c>
    </row>
    <row r="2142" spans="1:7" x14ac:dyDescent="0.3">
      <c r="A2142" t="s">
        <v>35</v>
      </c>
      <c r="B2142" s="1">
        <v>45808</v>
      </c>
      <c r="C2142">
        <v>360026</v>
      </c>
      <c r="D2142">
        <v>367008.56199999998</v>
      </c>
      <c r="E2142" t="s">
        <v>4</v>
      </c>
      <c r="F2142" t="s">
        <v>58</v>
      </c>
      <c r="G2142" t="s">
        <v>7</v>
      </c>
    </row>
    <row r="2143" spans="1:7" x14ac:dyDescent="0.3">
      <c r="A2143" t="s">
        <v>35</v>
      </c>
      <c r="B2143" s="1">
        <v>45808</v>
      </c>
      <c r="C2143">
        <v>360028</v>
      </c>
      <c r="D2143">
        <v>418521.72100000002</v>
      </c>
      <c r="E2143" t="s">
        <v>4</v>
      </c>
      <c r="F2143" t="s">
        <v>58</v>
      </c>
      <c r="G2143" t="s">
        <v>7</v>
      </c>
    </row>
    <row r="2144" spans="1:7" x14ac:dyDescent="0.3">
      <c r="A2144" t="s">
        <v>35</v>
      </c>
      <c r="B2144" s="1">
        <v>45808</v>
      </c>
      <c r="C2144">
        <v>360030</v>
      </c>
      <c r="D2144">
        <v>672896.21100000001</v>
      </c>
      <c r="E2144" t="s">
        <v>4</v>
      </c>
      <c r="F2144" t="s">
        <v>58</v>
      </c>
      <c r="G2144" t="s">
        <v>7</v>
      </c>
    </row>
    <row r="2145" spans="1:7" x14ac:dyDescent="0.3">
      <c r="A2145" t="s">
        <v>35</v>
      </c>
      <c r="B2145" s="1">
        <v>45808</v>
      </c>
      <c r="C2145">
        <v>360032</v>
      </c>
      <c r="D2145">
        <v>316.92899999999997</v>
      </c>
      <c r="E2145" t="s">
        <v>4</v>
      </c>
      <c r="F2145" t="s">
        <v>58</v>
      </c>
      <c r="G2145" t="s">
        <v>7</v>
      </c>
    </row>
    <row r="2146" spans="1:7" x14ac:dyDescent="0.3">
      <c r="A2146" t="s">
        <v>35</v>
      </c>
      <c r="B2146" s="1">
        <v>45808</v>
      </c>
      <c r="C2146">
        <v>364502</v>
      </c>
      <c r="D2146">
        <v>432084.91600000003</v>
      </c>
      <c r="E2146" t="s">
        <v>4</v>
      </c>
      <c r="F2146" t="s">
        <v>58</v>
      </c>
      <c r="G2146" t="s">
        <v>7</v>
      </c>
    </row>
    <row r="2147" spans="1:7" x14ac:dyDescent="0.3">
      <c r="A2147" t="s">
        <v>35</v>
      </c>
      <c r="B2147" s="1">
        <v>45808</v>
      </c>
      <c r="C2147">
        <v>400002</v>
      </c>
      <c r="D2147">
        <v>-4700.3490000000002</v>
      </c>
      <c r="E2147" t="s">
        <v>6</v>
      </c>
      <c r="F2147" t="s">
        <v>50</v>
      </c>
      <c r="G2147" t="s">
        <v>7</v>
      </c>
    </row>
    <row r="2148" spans="1:7" x14ac:dyDescent="0.3">
      <c r="A2148" t="s">
        <v>35</v>
      </c>
      <c r="B2148" s="1">
        <v>45808</v>
      </c>
      <c r="C2148">
        <v>400004</v>
      </c>
      <c r="D2148">
        <v>-764.28399999999999</v>
      </c>
      <c r="E2148" t="s">
        <v>6</v>
      </c>
      <c r="F2148" t="s">
        <v>50</v>
      </c>
      <c r="G2148" t="s">
        <v>7</v>
      </c>
    </row>
    <row r="2149" spans="1:7" x14ac:dyDescent="0.3">
      <c r="A2149" t="s">
        <v>35</v>
      </c>
      <c r="B2149" s="1">
        <v>45808</v>
      </c>
      <c r="C2149">
        <v>410002</v>
      </c>
      <c r="D2149">
        <v>-101125.67600000001</v>
      </c>
      <c r="E2149" t="s">
        <v>6</v>
      </c>
      <c r="F2149" t="s">
        <v>51</v>
      </c>
      <c r="G2149" t="s">
        <v>7</v>
      </c>
    </row>
    <row r="2150" spans="1:7" x14ac:dyDescent="0.3">
      <c r="A2150" t="s">
        <v>35</v>
      </c>
      <c r="B2150" s="1">
        <v>45808</v>
      </c>
      <c r="C2150">
        <v>410006</v>
      </c>
      <c r="D2150">
        <v>-7491.4610000000002</v>
      </c>
      <c r="E2150" t="s">
        <v>6</v>
      </c>
      <c r="F2150" t="s">
        <v>51</v>
      </c>
      <c r="G2150" t="s">
        <v>7</v>
      </c>
    </row>
    <row r="2151" spans="1:7" x14ac:dyDescent="0.3">
      <c r="A2151" t="s">
        <v>35</v>
      </c>
      <c r="B2151" s="1">
        <v>45808</v>
      </c>
      <c r="C2151">
        <v>410009</v>
      </c>
      <c r="D2151">
        <v>-3237.1779999999999</v>
      </c>
      <c r="E2151" t="s">
        <v>6</v>
      </c>
      <c r="F2151" t="s">
        <v>51</v>
      </c>
      <c r="G2151" t="s">
        <v>7</v>
      </c>
    </row>
    <row r="2152" spans="1:7" x14ac:dyDescent="0.3">
      <c r="A2152" t="s">
        <v>35</v>
      </c>
      <c r="B2152" s="1">
        <v>45808</v>
      </c>
      <c r="C2152">
        <v>410015</v>
      </c>
      <c r="D2152">
        <v>-11952.434999999999</v>
      </c>
      <c r="E2152" t="s">
        <v>6</v>
      </c>
      <c r="F2152" t="s">
        <v>51</v>
      </c>
      <c r="G2152" t="s">
        <v>7</v>
      </c>
    </row>
    <row r="2153" spans="1:7" x14ac:dyDescent="0.3">
      <c r="A2153" t="s">
        <v>35</v>
      </c>
      <c r="B2153" s="1">
        <v>45808</v>
      </c>
      <c r="C2153">
        <v>410032</v>
      </c>
      <c r="D2153">
        <v>-21835.665000000001</v>
      </c>
      <c r="E2153" t="s">
        <v>6</v>
      </c>
      <c r="F2153" t="s">
        <v>51</v>
      </c>
      <c r="G2153" t="s">
        <v>7</v>
      </c>
    </row>
    <row r="2154" spans="1:7" x14ac:dyDescent="0.3">
      <c r="A2154" t="s">
        <v>35</v>
      </c>
      <c r="B2154" s="1">
        <v>45808</v>
      </c>
      <c r="C2154">
        <v>410039</v>
      </c>
      <c r="D2154">
        <v>-3300.9029999999998</v>
      </c>
      <c r="E2154" t="s">
        <v>6</v>
      </c>
      <c r="F2154" t="s">
        <v>51</v>
      </c>
      <c r="G2154" t="s">
        <v>7</v>
      </c>
    </row>
    <row r="2155" spans="1:7" x14ac:dyDescent="0.3">
      <c r="A2155" t="s">
        <v>35</v>
      </c>
      <c r="B2155" s="1">
        <v>45808</v>
      </c>
      <c r="C2155">
        <v>415002</v>
      </c>
      <c r="D2155">
        <v>-2841133.736</v>
      </c>
      <c r="E2155" t="s">
        <v>6</v>
      </c>
      <c r="F2155" t="s">
        <v>50</v>
      </c>
      <c r="G2155" t="s">
        <v>7</v>
      </c>
    </row>
    <row r="2156" spans="1:7" x14ac:dyDescent="0.3">
      <c r="A2156" t="s">
        <v>35</v>
      </c>
      <c r="B2156" s="1">
        <v>45808</v>
      </c>
      <c r="C2156">
        <v>415003</v>
      </c>
      <c r="D2156">
        <v>-8886.866</v>
      </c>
      <c r="E2156" t="s">
        <v>6</v>
      </c>
      <c r="F2156" t="s">
        <v>50</v>
      </c>
      <c r="G2156" t="s">
        <v>7</v>
      </c>
    </row>
    <row r="2157" spans="1:7" x14ac:dyDescent="0.3">
      <c r="A2157" t="s">
        <v>35</v>
      </c>
      <c r="B2157" s="1">
        <v>45808</v>
      </c>
      <c r="C2157">
        <v>415004</v>
      </c>
      <c r="D2157">
        <v>-1685634.0190000001</v>
      </c>
      <c r="E2157" t="s">
        <v>6</v>
      </c>
      <c r="F2157" t="s">
        <v>50</v>
      </c>
      <c r="G2157" t="s">
        <v>7</v>
      </c>
    </row>
    <row r="2158" spans="1:7" x14ac:dyDescent="0.3">
      <c r="A2158" t="s">
        <v>35</v>
      </c>
      <c r="B2158" s="1">
        <v>45808</v>
      </c>
      <c r="C2158">
        <v>421003</v>
      </c>
      <c r="D2158">
        <v>-8188.8509999999997</v>
      </c>
      <c r="E2158" t="s">
        <v>6</v>
      </c>
      <c r="F2158" t="s">
        <v>52</v>
      </c>
      <c r="G2158" t="s">
        <v>7</v>
      </c>
    </row>
    <row r="2159" spans="1:7" x14ac:dyDescent="0.3">
      <c r="A2159" t="s">
        <v>35</v>
      </c>
      <c r="B2159" s="1">
        <v>45808</v>
      </c>
      <c r="C2159">
        <v>421007</v>
      </c>
      <c r="D2159">
        <v>0.127</v>
      </c>
      <c r="E2159" t="s">
        <v>6</v>
      </c>
      <c r="F2159" t="s">
        <v>52</v>
      </c>
      <c r="G2159" t="s">
        <v>7</v>
      </c>
    </row>
    <row r="2160" spans="1:7" x14ac:dyDescent="0.3">
      <c r="A2160" t="s">
        <v>35</v>
      </c>
      <c r="B2160" s="1">
        <v>45808</v>
      </c>
      <c r="C2160">
        <v>423012</v>
      </c>
      <c r="D2160">
        <v>-549.47799999999995</v>
      </c>
      <c r="E2160" t="s">
        <v>6</v>
      </c>
      <c r="F2160" t="s">
        <v>52</v>
      </c>
      <c r="G2160" t="s">
        <v>7</v>
      </c>
    </row>
    <row r="2161" spans="1:7" x14ac:dyDescent="0.3">
      <c r="A2161" t="s">
        <v>35</v>
      </c>
      <c r="B2161" s="1">
        <v>45808</v>
      </c>
      <c r="C2161">
        <v>510002</v>
      </c>
      <c r="D2161">
        <v>837107.69700000004</v>
      </c>
      <c r="E2161" t="s">
        <v>6</v>
      </c>
      <c r="F2161" t="s">
        <v>53</v>
      </c>
      <c r="G2161" t="s">
        <v>7</v>
      </c>
    </row>
    <row r="2162" spans="1:7" x14ac:dyDescent="0.3">
      <c r="A2162" t="s">
        <v>35</v>
      </c>
      <c r="B2162" s="1">
        <v>45808</v>
      </c>
      <c r="C2162">
        <v>510005</v>
      </c>
      <c r="D2162">
        <v>42905.788</v>
      </c>
      <c r="E2162" t="s">
        <v>6</v>
      </c>
      <c r="F2162" t="s">
        <v>53</v>
      </c>
      <c r="G2162" t="s">
        <v>7</v>
      </c>
    </row>
    <row r="2163" spans="1:7" x14ac:dyDescent="0.3">
      <c r="A2163" t="s">
        <v>35</v>
      </c>
      <c r="B2163" s="1">
        <v>45808</v>
      </c>
      <c r="C2163">
        <v>510007</v>
      </c>
      <c r="D2163">
        <v>65948.429999999993</v>
      </c>
      <c r="E2163" t="s">
        <v>6</v>
      </c>
      <c r="F2163" t="s">
        <v>53</v>
      </c>
      <c r="G2163" t="s">
        <v>7</v>
      </c>
    </row>
    <row r="2164" spans="1:7" x14ac:dyDescent="0.3">
      <c r="A2164" t="s">
        <v>35</v>
      </c>
      <c r="B2164" s="1">
        <v>45808</v>
      </c>
      <c r="C2164">
        <v>510008</v>
      </c>
      <c r="D2164">
        <v>1758.671</v>
      </c>
      <c r="E2164" t="s">
        <v>6</v>
      </c>
      <c r="F2164" t="s">
        <v>53</v>
      </c>
      <c r="G2164" t="s">
        <v>7</v>
      </c>
    </row>
    <row r="2165" spans="1:7" x14ac:dyDescent="0.3">
      <c r="A2165" t="s">
        <v>35</v>
      </c>
      <c r="B2165" s="1">
        <v>45808</v>
      </c>
      <c r="C2165">
        <v>510010</v>
      </c>
      <c r="D2165">
        <v>10818.212</v>
      </c>
      <c r="E2165" t="s">
        <v>6</v>
      </c>
      <c r="F2165" t="s">
        <v>53</v>
      </c>
      <c r="G2165" t="s">
        <v>7</v>
      </c>
    </row>
    <row r="2166" spans="1:7" x14ac:dyDescent="0.3">
      <c r="A2166" t="s">
        <v>35</v>
      </c>
      <c r="B2166" s="1">
        <v>45808</v>
      </c>
      <c r="C2166">
        <v>510012</v>
      </c>
      <c r="D2166">
        <v>14783.501</v>
      </c>
      <c r="E2166" t="s">
        <v>6</v>
      </c>
      <c r="F2166" t="s">
        <v>53</v>
      </c>
      <c r="G2166" t="s">
        <v>7</v>
      </c>
    </row>
    <row r="2167" spans="1:7" x14ac:dyDescent="0.3">
      <c r="A2167" t="s">
        <v>35</v>
      </c>
      <c r="B2167" s="1">
        <v>45808</v>
      </c>
      <c r="C2167">
        <v>510015</v>
      </c>
      <c r="D2167">
        <v>77676.740999999995</v>
      </c>
      <c r="E2167" t="s">
        <v>6</v>
      </c>
      <c r="F2167" t="s">
        <v>53</v>
      </c>
      <c r="G2167" t="s">
        <v>7</v>
      </c>
    </row>
    <row r="2168" spans="1:7" x14ac:dyDescent="0.3">
      <c r="A2168" t="s">
        <v>35</v>
      </c>
      <c r="B2168" s="1">
        <v>45808</v>
      </c>
      <c r="C2168">
        <v>510018</v>
      </c>
      <c r="D2168">
        <v>69559.266000000003</v>
      </c>
      <c r="E2168" t="s">
        <v>6</v>
      </c>
      <c r="F2168" t="s">
        <v>53</v>
      </c>
      <c r="G2168" t="s">
        <v>7</v>
      </c>
    </row>
    <row r="2169" spans="1:7" x14ac:dyDescent="0.3">
      <c r="A2169" t="s">
        <v>35</v>
      </c>
      <c r="B2169" s="1">
        <v>45808</v>
      </c>
      <c r="C2169">
        <v>510048</v>
      </c>
      <c r="D2169">
        <v>378.17700000000002</v>
      </c>
      <c r="E2169" t="s">
        <v>6</v>
      </c>
      <c r="F2169" t="s">
        <v>61</v>
      </c>
      <c r="G2169" t="s">
        <v>7</v>
      </c>
    </row>
    <row r="2170" spans="1:7" x14ac:dyDescent="0.3">
      <c r="A2170" t="s">
        <v>35</v>
      </c>
      <c r="B2170" s="1">
        <v>45808</v>
      </c>
      <c r="C2170">
        <v>510059</v>
      </c>
      <c r="D2170">
        <v>9972.1540000000005</v>
      </c>
      <c r="E2170" t="s">
        <v>6</v>
      </c>
      <c r="F2170" t="s">
        <v>53</v>
      </c>
      <c r="G2170" t="s">
        <v>7</v>
      </c>
    </row>
    <row r="2171" spans="1:7" x14ac:dyDescent="0.3">
      <c r="A2171" t="s">
        <v>35</v>
      </c>
      <c r="B2171" s="1">
        <v>45808</v>
      </c>
      <c r="C2171">
        <v>510062</v>
      </c>
      <c r="D2171">
        <v>9060.4290000000001</v>
      </c>
      <c r="E2171" t="s">
        <v>6</v>
      </c>
      <c r="F2171" t="s">
        <v>53</v>
      </c>
      <c r="G2171" t="s">
        <v>7</v>
      </c>
    </row>
    <row r="2172" spans="1:7" x14ac:dyDescent="0.3">
      <c r="A2172" t="s">
        <v>35</v>
      </c>
      <c r="B2172" s="1">
        <v>45808</v>
      </c>
      <c r="C2172">
        <v>510064</v>
      </c>
      <c r="D2172">
        <v>351.06099999999998</v>
      </c>
      <c r="E2172" t="s">
        <v>6</v>
      </c>
      <c r="F2172" t="s">
        <v>53</v>
      </c>
      <c r="G2172" t="s">
        <v>7</v>
      </c>
    </row>
    <row r="2173" spans="1:7" x14ac:dyDescent="0.3">
      <c r="A2173" t="s">
        <v>35</v>
      </c>
      <c r="B2173" s="1">
        <v>45808</v>
      </c>
      <c r="C2173">
        <v>510065</v>
      </c>
      <c r="D2173">
        <v>21186.584999999999</v>
      </c>
      <c r="E2173" t="s">
        <v>6</v>
      </c>
      <c r="F2173" t="s">
        <v>53</v>
      </c>
      <c r="G2173" t="s">
        <v>7</v>
      </c>
    </row>
    <row r="2174" spans="1:7" x14ac:dyDescent="0.3">
      <c r="A2174" t="s">
        <v>35</v>
      </c>
      <c r="B2174" s="1">
        <v>45808</v>
      </c>
      <c r="C2174">
        <v>520020</v>
      </c>
      <c r="D2174">
        <v>-423.25799999999998</v>
      </c>
      <c r="E2174" t="s">
        <v>6</v>
      </c>
      <c r="F2174" t="s">
        <v>53</v>
      </c>
      <c r="G2174" t="s">
        <v>7</v>
      </c>
    </row>
    <row r="2175" spans="1:7" x14ac:dyDescent="0.3">
      <c r="A2175" t="s">
        <v>35</v>
      </c>
      <c r="B2175" s="1">
        <v>45808</v>
      </c>
      <c r="C2175">
        <v>520021</v>
      </c>
      <c r="D2175">
        <v>1980.5219999999999</v>
      </c>
      <c r="E2175" t="s">
        <v>6</v>
      </c>
      <c r="F2175" t="s">
        <v>60</v>
      </c>
      <c r="G2175" t="s">
        <v>7</v>
      </c>
    </row>
    <row r="2176" spans="1:7" x14ac:dyDescent="0.3">
      <c r="A2176" t="s">
        <v>35</v>
      </c>
      <c r="B2176" s="1">
        <v>45808</v>
      </c>
      <c r="C2176">
        <v>530012</v>
      </c>
      <c r="D2176">
        <v>23199.105</v>
      </c>
      <c r="E2176" t="s">
        <v>6</v>
      </c>
      <c r="F2176" t="s">
        <v>53</v>
      </c>
      <c r="G2176" t="s">
        <v>7</v>
      </c>
    </row>
    <row r="2177" spans="1:7" x14ac:dyDescent="0.3">
      <c r="A2177" t="s">
        <v>35</v>
      </c>
      <c r="B2177" s="1">
        <v>45808</v>
      </c>
      <c r="C2177">
        <v>540004</v>
      </c>
      <c r="D2177">
        <v>220.59299999999999</v>
      </c>
      <c r="E2177" t="s">
        <v>6</v>
      </c>
      <c r="F2177" t="s">
        <v>67</v>
      </c>
      <c r="G2177" t="s">
        <v>7</v>
      </c>
    </row>
    <row r="2178" spans="1:7" x14ac:dyDescent="0.3">
      <c r="A2178" t="s">
        <v>35</v>
      </c>
      <c r="B2178" s="1">
        <v>45808</v>
      </c>
      <c r="C2178">
        <v>541002</v>
      </c>
      <c r="D2178">
        <v>10682.328</v>
      </c>
      <c r="E2178" t="s">
        <v>6</v>
      </c>
      <c r="F2178" t="s">
        <v>61</v>
      </c>
      <c r="G2178" t="s">
        <v>7</v>
      </c>
    </row>
    <row r="2179" spans="1:7" x14ac:dyDescent="0.3">
      <c r="A2179" t="s">
        <v>35</v>
      </c>
      <c r="B2179" s="1">
        <v>45808</v>
      </c>
      <c r="C2179">
        <v>541004</v>
      </c>
      <c r="D2179">
        <v>18386.455999999998</v>
      </c>
      <c r="E2179" t="s">
        <v>6</v>
      </c>
      <c r="F2179" t="s">
        <v>61</v>
      </c>
      <c r="G2179" t="s">
        <v>7</v>
      </c>
    </row>
    <row r="2180" spans="1:7" x14ac:dyDescent="0.3">
      <c r="A2180" t="s">
        <v>35</v>
      </c>
      <c r="B2180" s="1">
        <v>45808</v>
      </c>
      <c r="C2180">
        <v>541009</v>
      </c>
      <c r="D2180">
        <v>5144.1719999999996</v>
      </c>
      <c r="E2180" t="s">
        <v>6</v>
      </c>
      <c r="F2180" t="s">
        <v>61</v>
      </c>
      <c r="G2180" t="s">
        <v>7</v>
      </c>
    </row>
    <row r="2181" spans="1:7" x14ac:dyDescent="0.3">
      <c r="A2181" t="s">
        <v>35</v>
      </c>
      <c r="B2181" s="1">
        <v>45808</v>
      </c>
      <c r="C2181">
        <v>541010</v>
      </c>
      <c r="D2181">
        <v>8883.9210000000003</v>
      </c>
      <c r="E2181" t="s">
        <v>6</v>
      </c>
      <c r="F2181" t="s">
        <v>61</v>
      </c>
      <c r="G2181" t="s">
        <v>7</v>
      </c>
    </row>
    <row r="2182" spans="1:7" x14ac:dyDescent="0.3">
      <c r="A2182" t="s">
        <v>35</v>
      </c>
      <c r="B2182" s="1">
        <v>45808</v>
      </c>
      <c r="C2182">
        <v>541013</v>
      </c>
      <c r="D2182">
        <v>1242.2339999999999</v>
      </c>
      <c r="E2182" t="s">
        <v>6</v>
      </c>
      <c r="F2182" t="s">
        <v>61</v>
      </c>
      <c r="G2182" t="s">
        <v>7</v>
      </c>
    </row>
    <row r="2183" spans="1:7" x14ac:dyDescent="0.3">
      <c r="A2183" t="s">
        <v>35</v>
      </c>
      <c r="B2183" s="1">
        <v>45808</v>
      </c>
      <c r="C2183">
        <v>541021</v>
      </c>
      <c r="D2183">
        <v>-242.899</v>
      </c>
      <c r="E2183" t="s">
        <v>6</v>
      </c>
      <c r="F2183" t="s">
        <v>61</v>
      </c>
      <c r="G2183" t="s">
        <v>7</v>
      </c>
    </row>
    <row r="2184" spans="1:7" x14ac:dyDescent="0.3">
      <c r="A2184" t="s">
        <v>35</v>
      </c>
      <c r="B2184" s="1">
        <v>45808</v>
      </c>
      <c r="C2184">
        <v>544006</v>
      </c>
      <c r="D2184">
        <v>2347.7339999999999</v>
      </c>
      <c r="E2184" t="s">
        <v>6</v>
      </c>
      <c r="F2184" t="s">
        <v>61</v>
      </c>
      <c r="G2184" t="s">
        <v>7</v>
      </c>
    </row>
    <row r="2185" spans="1:7" x14ac:dyDescent="0.3">
      <c r="A2185" t="s">
        <v>35</v>
      </c>
      <c r="B2185" s="1">
        <v>45808</v>
      </c>
      <c r="C2185">
        <v>546002</v>
      </c>
      <c r="D2185">
        <v>1602078.4080000001</v>
      </c>
      <c r="E2185" t="s">
        <v>6</v>
      </c>
      <c r="F2185" t="s">
        <v>51</v>
      </c>
      <c r="G2185" t="s">
        <v>7</v>
      </c>
    </row>
    <row r="2186" spans="1:7" x14ac:dyDescent="0.3">
      <c r="A2186" t="s">
        <v>35</v>
      </c>
      <c r="B2186" s="1">
        <v>45808</v>
      </c>
      <c r="C2186">
        <v>546005</v>
      </c>
      <c r="D2186">
        <v>3303.6590000000001</v>
      </c>
      <c r="E2186" t="s">
        <v>6</v>
      </c>
      <c r="F2186" t="s">
        <v>51</v>
      </c>
      <c r="G2186" t="s">
        <v>7</v>
      </c>
    </row>
    <row r="2187" spans="1:7" x14ac:dyDescent="0.3">
      <c r="A2187" t="s">
        <v>35</v>
      </c>
      <c r="B2187" s="1">
        <v>45808</v>
      </c>
      <c r="C2187">
        <v>546008</v>
      </c>
      <c r="D2187">
        <v>24175.422999999999</v>
      </c>
      <c r="E2187" t="s">
        <v>6</v>
      </c>
      <c r="F2187" t="s">
        <v>51</v>
      </c>
      <c r="G2187" t="s">
        <v>7</v>
      </c>
    </row>
    <row r="2188" spans="1:7" x14ac:dyDescent="0.3">
      <c r="A2188" t="s">
        <v>35</v>
      </c>
      <c r="B2188" s="1">
        <v>45808</v>
      </c>
      <c r="C2188">
        <v>546012</v>
      </c>
      <c r="D2188">
        <v>2606.2550000000001</v>
      </c>
      <c r="E2188" t="s">
        <v>6</v>
      </c>
      <c r="F2188" t="s">
        <v>51</v>
      </c>
      <c r="G2188" t="s">
        <v>7</v>
      </c>
    </row>
    <row r="2189" spans="1:7" x14ac:dyDescent="0.3">
      <c r="A2189" t="s">
        <v>35</v>
      </c>
      <c r="B2189" s="1">
        <v>45808</v>
      </c>
      <c r="C2189">
        <v>546013</v>
      </c>
      <c r="D2189">
        <v>257339.712</v>
      </c>
      <c r="E2189" t="s">
        <v>6</v>
      </c>
      <c r="F2189" t="s">
        <v>51</v>
      </c>
      <c r="G2189" t="s">
        <v>7</v>
      </c>
    </row>
    <row r="2190" spans="1:7" x14ac:dyDescent="0.3">
      <c r="A2190" t="s">
        <v>35</v>
      </c>
      <c r="B2190" s="1">
        <v>45808</v>
      </c>
      <c r="C2190">
        <v>546015</v>
      </c>
      <c r="D2190">
        <v>13450.871999999999</v>
      </c>
      <c r="E2190" t="s">
        <v>6</v>
      </c>
      <c r="F2190" t="s">
        <v>51</v>
      </c>
      <c r="G2190" t="s">
        <v>7</v>
      </c>
    </row>
    <row r="2191" spans="1:7" x14ac:dyDescent="0.3">
      <c r="A2191" t="s">
        <v>35</v>
      </c>
      <c r="B2191" s="1">
        <v>45808</v>
      </c>
      <c r="C2191">
        <v>546016</v>
      </c>
      <c r="D2191">
        <v>35135.942000000003</v>
      </c>
      <c r="E2191" t="s">
        <v>6</v>
      </c>
      <c r="F2191" t="s">
        <v>51</v>
      </c>
      <c r="G2191" t="s">
        <v>7</v>
      </c>
    </row>
    <row r="2192" spans="1:7" x14ac:dyDescent="0.3">
      <c r="A2192" t="s">
        <v>35</v>
      </c>
      <c r="B2192" s="1">
        <v>45808</v>
      </c>
      <c r="C2192">
        <v>546018</v>
      </c>
      <c r="D2192">
        <v>1974.289</v>
      </c>
      <c r="E2192" t="s">
        <v>6</v>
      </c>
      <c r="F2192" t="s">
        <v>51</v>
      </c>
      <c r="G2192" t="s">
        <v>7</v>
      </c>
    </row>
    <row r="2193" spans="1:7" x14ac:dyDescent="0.3">
      <c r="A2193" t="s">
        <v>35</v>
      </c>
      <c r="B2193" s="1">
        <v>45808</v>
      </c>
      <c r="C2193">
        <v>546024</v>
      </c>
      <c r="D2193">
        <v>1476.021</v>
      </c>
      <c r="E2193" t="s">
        <v>6</v>
      </c>
      <c r="F2193" t="s">
        <v>51</v>
      </c>
      <c r="G2193" t="s">
        <v>7</v>
      </c>
    </row>
    <row r="2194" spans="1:7" x14ac:dyDescent="0.3">
      <c r="A2194" t="s">
        <v>35</v>
      </c>
      <c r="B2194" s="1">
        <v>45808</v>
      </c>
      <c r="C2194">
        <v>546035</v>
      </c>
      <c r="D2194">
        <v>26059.364000000001</v>
      </c>
      <c r="E2194" t="s">
        <v>6</v>
      </c>
      <c r="F2194" t="s">
        <v>51</v>
      </c>
      <c r="G2194" t="s">
        <v>7</v>
      </c>
    </row>
    <row r="2195" spans="1:7" x14ac:dyDescent="0.3">
      <c r="A2195" t="s">
        <v>35</v>
      </c>
      <c r="B2195" s="1">
        <v>45808</v>
      </c>
      <c r="C2195">
        <v>546045</v>
      </c>
      <c r="D2195">
        <v>8673.5550000000003</v>
      </c>
      <c r="E2195" t="s">
        <v>6</v>
      </c>
      <c r="F2195" t="s">
        <v>51</v>
      </c>
      <c r="G2195" t="s">
        <v>7</v>
      </c>
    </row>
    <row r="2196" spans="1:7" x14ac:dyDescent="0.3">
      <c r="A2196" t="s">
        <v>35</v>
      </c>
      <c r="B2196" s="1">
        <v>45808</v>
      </c>
      <c r="C2196">
        <v>546047</v>
      </c>
      <c r="D2196">
        <v>1410.7760000000001</v>
      </c>
      <c r="E2196" t="s">
        <v>6</v>
      </c>
      <c r="F2196" t="s">
        <v>51</v>
      </c>
      <c r="G2196" t="s">
        <v>7</v>
      </c>
    </row>
    <row r="2197" spans="1:7" x14ac:dyDescent="0.3">
      <c r="A2197" t="s">
        <v>35</v>
      </c>
      <c r="B2197" s="1">
        <v>45808</v>
      </c>
      <c r="C2197">
        <v>547002</v>
      </c>
      <c r="D2197">
        <v>14301.611000000001</v>
      </c>
      <c r="E2197" t="s">
        <v>6</v>
      </c>
      <c r="F2197" t="s">
        <v>54</v>
      </c>
      <c r="G2197" t="s">
        <v>7</v>
      </c>
    </row>
    <row r="2198" spans="1:7" x14ac:dyDescent="0.3">
      <c r="A2198" t="s">
        <v>35</v>
      </c>
      <c r="B2198" s="1">
        <v>45808</v>
      </c>
      <c r="C2198">
        <v>547006</v>
      </c>
      <c r="D2198">
        <v>7631.5349999999999</v>
      </c>
      <c r="E2198" t="s">
        <v>6</v>
      </c>
      <c r="F2198" t="s">
        <v>54</v>
      </c>
      <c r="G2198" t="s">
        <v>7</v>
      </c>
    </row>
    <row r="2199" spans="1:7" x14ac:dyDescent="0.3">
      <c r="A2199" t="s">
        <v>35</v>
      </c>
      <c r="B2199" s="1">
        <v>45808</v>
      </c>
      <c r="C2199">
        <v>550003</v>
      </c>
      <c r="D2199">
        <v>1083226.1259999999</v>
      </c>
      <c r="E2199" t="s">
        <v>6</v>
      </c>
      <c r="F2199" t="s">
        <v>62</v>
      </c>
      <c r="G2199" t="s">
        <v>7</v>
      </c>
    </row>
    <row r="2200" spans="1:7" x14ac:dyDescent="0.3">
      <c r="A2200" t="s">
        <v>35</v>
      </c>
      <c r="B2200" s="1">
        <v>45808</v>
      </c>
      <c r="C2200">
        <v>551002</v>
      </c>
      <c r="D2200">
        <v>1150.819</v>
      </c>
      <c r="E2200" t="s">
        <v>6</v>
      </c>
      <c r="F2200" t="s">
        <v>63</v>
      </c>
      <c r="G2200" t="s">
        <v>7</v>
      </c>
    </row>
    <row r="2201" spans="1:7" x14ac:dyDescent="0.3">
      <c r="A2201" t="s">
        <v>35</v>
      </c>
      <c r="B2201" s="1">
        <v>45808</v>
      </c>
      <c r="C2201">
        <v>551003</v>
      </c>
      <c r="D2201">
        <v>13398.823</v>
      </c>
      <c r="E2201" t="s">
        <v>6</v>
      </c>
      <c r="F2201" t="s">
        <v>63</v>
      </c>
      <c r="G2201" t="s">
        <v>7</v>
      </c>
    </row>
    <row r="2202" spans="1:7" x14ac:dyDescent="0.3">
      <c r="A2202" t="s">
        <v>35</v>
      </c>
      <c r="B2202" s="1">
        <v>45808</v>
      </c>
      <c r="C2202">
        <v>551008</v>
      </c>
      <c r="D2202">
        <v>8.4190000000000005</v>
      </c>
      <c r="E2202" t="s">
        <v>6</v>
      </c>
      <c r="F2202" t="s">
        <v>63</v>
      </c>
      <c r="G2202" t="s">
        <v>7</v>
      </c>
    </row>
    <row r="2203" spans="1:7" x14ac:dyDescent="0.3">
      <c r="A2203" t="s">
        <v>35</v>
      </c>
      <c r="B2203" s="1">
        <v>45808</v>
      </c>
      <c r="C2203">
        <v>551011</v>
      </c>
      <c r="D2203">
        <v>89.62</v>
      </c>
      <c r="E2203" t="s">
        <v>6</v>
      </c>
      <c r="F2203" t="s">
        <v>61</v>
      </c>
      <c r="G2203" t="s">
        <v>7</v>
      </c>
    </row>
    <row r="2204" spans="1:7" x14ac:dyDescent="0.3">
      <c r="A2204" t="s">
        <v>35</v>
      </c>
      <c r="B2204" s="1">
        <v>45808</v>
      </c>
      <c r="C2204">
        <v>552002</v>
      </c>
      <c r="D2204">
        <v>364.685</v>
      </c>
      <c r="E2204" t="s">
        <v>6</v>
      </c>
      <c r="F2204" t="s">
        <v>55</v>
      </c>
      <c r="G2204" t="s">
        <v>7</v>
      </c>
    </row>
    <row r="2205" spans="1:7" x14ac:dyDescent="0.3">
      <c r="A2205" t="s">
        <v>35</v>
      </c>
      <c r="B2205" s="1">
        <v>45808</v>
      </c>
      <c r="C2205">
        <v>552502</v>
      </c>
      <c r="D2205">
        <v>5257.5510000000004</v>
      </c>
      <c r="E2205" t="s">
        <v>6</v>
      </c>
      <c r="F2205" t="s">
        <v>55</v>
      </c>
      <c r="G2205" t="s">
        <v>7</v>
      </c>
    </row>
    <row r="2206" spans="1:7" x14ac:dyDescent="0.3">
      <c r="A2206" t="s">
        <v>35</v>
      </c>
      <c r="B2206" s="1">
        <v>45808</v>
      </c>
      <c r="C2206">
        <v>552504</v>
      </c>
      <c r="D2206">
        <v>268.45499999999998</v>
      </c>
      <c r="E2206" t="s">
        <v>6</v>
      </c>
      <c r="F2206" t="s">
        <v>55</v>
      </c>
      <c r="G2206" t="s">
        <v>7</v>
      </c>
    </row>
    <row r="2207" spans="1:7" x14ac:dyDescent="0.3">
      <c r="A2207" t="s">
        <v>35</v>
      </c>
      <c r="B2207" s="1">
        <v>45808</v>
      </c>
      <c r="C2207">
        <v>554006</v>
      </c>
      <c r="D2207">
        <v>182.34299999999999</v>
      </c>
      <c r="E2207" t="s">
        <v>6</v>
      </c>
      <c r="F2207" t="s">
        <v>55</v>
      </c>
      <c r="G2207" t="s">
        <v>7</v>
      </c>
    </row>
    <row r="2208" spans="1:7" x14ac:dyDescent="0.3">
      <c r="A2208" t="s">
        <v>35</v>
      </c>
      <c r="B2208" s="1">
        <v>45808</v>
      </c>
      <c r="C2208">
        <v>555502</v>
      </c>
      <c r="D2208">
        <v>4185.34</v>
      </c>
      <c r="E2208" t="s">
        <v>6</v>
      </c>
      <c r="F2208" t="s">
        <v>55</v>
      </c>
      <c r="G2208" t="s">
        <v>7</v>
      </c>
    </row>
    <row r="2209" spans="1:7" x14ac:dyDescent="0.3">
      <c r="A2209" t="s">
        <v>35</v>
      </c>
      <c r="B2209" s="1">
        <v>45808</v>
      </c>
      <c r="C2209">
        <v>555508</v>
      </c>
      <c r="D2209">
        <v>883.423</v>
      </c>
      <c r="E2209" t="s">
        <v>6</v>
      </c>
      <c r="F2209" t="s">
        <v>55</v>
      </c>
      <c r="G2209" t="s">
        <v>7</v>
      </c>
    </row>
    <row r="2210" spans="1:7" x14ac:dyDescent="0.3">
      <c r="A2210" t="s">
        <v>35</v>
      </c>
      <c r="B2210" s="1">
        <v>45808</v>
      </c>
      <c r="C2210">
        <v>556002</v>
      </c>
      <c r="D2210">
        <v>1358.482</v>
      </c>
      <c r="E2210" t="s">
        <v>6</v>
      </c>
      <c r="F2210" t="s">
        <v>60</v>
      </c>
      <c r="G2210" t="s">
        <v>7</v>
      </c>
    </row>
    <row r="2211" spans="1:7" x14ac:dyDescent="0.3">
      <c r="A2211" t="s">
        <v>35</v>
      </c>
      <c r="B2211" s="1">
        <v>45808</v>
      </c>
      <c r="C2211">
        <v>557002</v>
      </c>
      <c r="D2211">
        <v>6843.7619999999997</v>
      </c>
      <c r="E2211" t="s">
        <v>6</v>
      </c>
      <c r="F2211" t="s">
        <v>56</v>
      </c>
      <c r="G2211" t="s">
        <v>7</v>
      </c>
    </row>
    <row r="2212" spans="1:7" x14ac:dyDescent="0.3">
      <c r="A2212" t="s">
        <v>35</v>
      </c>
      <c r="B2212" s="1">
        <v>45808</v>
      </c>
      <c r="C2212">
        <v>557003</v>
      </c>
      <c r="D2212">
        <v>275.08300000000003</v>
      </c>
      <c r="E2212" t="s">
        <v>6</v>
      </c>
      <c r="F2212" t="s">
        <v>56</v>
      </c>
      <c r="G2212" t="s">
        <v>7</v>
      </c>
    </row>
    <row r="2213" spans="1:7" x14ac:dyDescent="0.3">
      <c r="A2213" t="s">
        <v>35</v>
      </c>
      <c r="B2213" s="1">
        <v>45808</v>
      </c>
      <c r="C2213">
        <v>558003</v>
      </c>
      <c r="D2213">
        <v>16135.272999999999</v>
      </c>
      <c r="E2213" t="s">
        <v>6</v>
      </c>
      <c r="F2213" t="s">
        <v>57</v>
      </c>
      <c r="G2213" t="s">
        <v>7</v>
      </c>
    </row>
    <row r="2214" spans="1:7" x14ac:dyDescent="0.3">
      <c r="A2214" t="s">
        <v>35</v>
      </c>
      <c r="B2214" s="1">
        <v>45808</v>
      </c>
      <c r="C2214">
        <v>558006</v>
      </c>
      <c r="D2214">
        <v>9891.3150000000005</v>
      </c>
      <c r="E2214" t="s">
        <v>6</v>
      </c>
      <c r="F2214" t="s">
        <v>57</v>
      </c>
      <c r="G2214" t="s">
        <v>7</v>
      </c>
    </row>
    <row r="2215" spans="1:7" x14ac:dyDescent="0.3">
      <c r="A2215" t="s">
        <v>35</v>
      </c>
      <c r="B2215" s="1">
        <v>45808</v>
      </c>
      <c r="C2215">
        <v>558007</v>
      </c>
      <c r="D2215">
        <v>33.436999999999998</v>
      </c>
      <c r="E2215" t="s">
        <v>6</v>
      </c>
      <c r="F2215" t="s">
        <v>60</v>
      </c>
      <c r="G2215" t="s">
        <v>7</v>
      </c>
    </row>
    <row r="2216" spans="1:7" x14ac:dyDescent="0.3">
      <c r="A2216" t="s">
        <v>35</v>
      </c>
      <c r="B2216" s="1">
        <v>45808</v>
      </c>
      <c r="C2216">
        <v>558011</v>
      </c>
      <c r="D2216">
        <v>1152.3979999999999</v>
      </c>
      <c r="E2216" t="s">
        <v>6</v>
      </c>
      <c r="F2216" t="s">
        <v>57</v>
      </c>
      <c r="G2216" t="s">
        <v>7</v>
      </c>
    </row>
    <row r="2217" spans="1:7" x14ac:dyDescent="0.3">
      <c r="A2217" t="s">
        <v>35</v>
      </c>
      <c r="B2217" s="1">
        <v>45808</v>
      </c>
      <c r="C2217">
        <v>558012</v>
      </c>
      <c r="D2217">
        <v>1389.924</v>
      </c>
      <c r="E2217" t="s">
        <v>6</v>
      </c>
      <c r="F2217" t="s">
        <v>60</v>
      </c>
      <c r="G2217" t="s">
        <v>7</v>
      </c>
    </row>
    <row r="2218" spans="1:7" x14ac:dyDescent="0.3">
      <c r="A2218" t="s">
        <v>35</v>
      </c>
      <c r="B2218" s="1">
        <v>45808</v>
      </c>
      <c r="C2218">
        <v>559002</v>
      </c>
      <c r="D2218">
        <v>13.193</v>
      </c>
      <c r="E2218" t="s">
        <v>6</v>
      </c>
      <c r="F2218" t="s">
        <v>60</v>
      </c>
      <c r="G2218" t="s">
        <v>7</v>
      </c>
    </row>
    <row r="2219" spans="1:7" x14ac:dyDescent="0.3">
      <c r="A2219" t="s">
        <v>35</v>
      </c>
      <c r="B2219" s="1">
        <v>45808</v>
      </c>
      <c r="C2219">
        <v>564006</v>
      </c>
      <c r="D2219">
        <v>-0.02</v>
      </c>
      <c r="E2219" t="s">
        <v>6</v>
      </c>
      <c r="F2219" t="s">
        <v>57</v>
      </c>
      <c r="G2219" t="s">
        <v>7</v>
      </c>
    </row>
    <row r="2220" spans="1:7" x14ac:dyDescent="0.3">
      <c r="A2220" t="s">
        <v>35</v>
      </c>
      <c r="B2220" s="1">
        <v>45808</v>
      </c>
      <c r="C2220">
        <v>564008</v>
      </c>
      <c r="D2220">
        <v>383.98399999999998</v>
      </c>
      <c r="E2220" t="s">
        <v>6</v>
      </c>
      <c r="F2220" t="s">
        <v>55</v>
      </c>
      <c r="G2220" t="s">
        <v>7</v>
      </c>
    </row>
    <row r="2221" spans="1:7" x14ac:dyDescent="0.3">
      <c r="A2221" t="s">
        <v>35</v>
      </c>
      <c r="B2221" s="1">
        <v>45808</v>
      </c>
      <c r="C2221">
        <v>564020</v>
      </c>
      <c r="D2221">
        <v>268.70999999999998</v>
      </c>
      <c r="E2221" t="s">
        <v>6</v>
      </c>
      <c r="F2221" t="s">
        <v>57</v>
      </c>
      <c r="G2221" t="s">
        <v>7</v>
      </c>
    </row>
    <row r="2222" spans="1:7" x14ac:dyDescent="0.3">
      <c r="A2222" t="s">
        <v>35</v>
      </c>
      <c r="B2222" s="1">
        <v>45808</v>
      </c>
      <c r="C2222">
        <v>564022</v>
      </c>
      <c r="D2222">
        <v>444.56</v>
      </c>
      <c r="E2222" t="s">
        <v>6</v>
      </c>
      <c r="F2222" t="s">
        <v>67</v>
      </c>
      <c r="G2222" t="s">
        <v>7</v>
      </c>
    </row>
    <row r="2223" spans="1:7" x14ac:dyDescent="0.3">
      <c r="A2223" t="s">
        <v>35</v>
      </c>
      <c r="B2223" s="1">
        <v>45808</v>
      </c>
      <c r="C2223">
        <v>570002</v>
      </c>
      <c r="D2223">
        <v>806.51099999999997</v>
      </c>
      <c r="E2223" t="s">
        <v>6</v>
      </c>
      <c r="F2223" t="s">
        <v>66</v>
      </c>
      <c r="G2223" t="s">
        <v>7</v>
      </c>
    </row>
    <row r="2224" spans="1:7" x14ac:dyDescent="0.3">
      <c r="A2224" t="s">
        <v>35</v>
      </c>
      <c r="B2224" s="1">
        <v>45808</v>
      </c>
      <c r="C2224">
        <v>580005</v>
      </c>
      <c r="D2224">
        <v>3629.3960000000002</v>
      </c>
      <c r="E2224" t="s">
        <v>6</v>
      </c>
      <c r="F2224" t="s">
        <v>64</v>
      </c>
      <c r="G2224" t="s">
        <v>7</v>
      </c>
    </row>
    <row r="2225" spans="1:7" x14ac:dyDescent="0.3">
      <c r="A2225" t="s">
        <v>36</v>
      </c>
      <c r="B2225" s="1">
        <v>45808</v>
      </c>
      <c r="C2225">
        <v>210002</v>
      </c>
      <c r="D2225">
        <v>-969728.08200000005</v>
      </c>
      <c r="E2225" t="s">
        <v>4</v>
      </c>
      <c r="F2225" t="s">
        <v>42</v>
      </c>
      <c r="G2225" t="s">
        <v>7</v>
      </c>
    </row>
    <row r="2226" spans="1:7" x14ac:dyDescent="0.3">
      <c r="A2226" t="s">
        <v>36</v>
      </c>
      <c r="B2226" s="1">
        <v>45808</v>
      </c>
      <c r="C2226">
        <v>220006</v>
      </c>
      <c r="D2226">
        <v>1687031.5460000001</v>
      </c>
      <c r="E2226" t="s">
        <v>4</v>
      </c>
      <c r="F2226" t="s">
        <v>42</v>
      </c>
      <c r="G2226" t="s">
        <v>7</v>
      </c>
    </row>
    <row r="2227" spans="1:7" x14ac:dyDescent="0.3">
      <c r="A2227" t="s">
        <v>36</v>
      </c>
      <c r="B2227" s="1">
        <v>45808</v>
      </c>
      <c r="C2227">
        <v>300005</v>
      </c>
      <c r="D2227">
        <v>5349.5190000000002</v>
      </c>
      <c r="E2227" t="s">
        <v>4</v>
      </c>
      <c r="F2227" t="s">
        <v>65</v>
      </c>
      <c r="G2227" t="s">
        <v>7</v>
      </c>
    </row>
    <row r="2228" spans="1:7" x14ac:dyDescent="0.3">
      <c r="A2228" t="s">
        <v>36</v>
      </c>
      <c r="B2228" s="1">
        <v>45808</v>
      </c>
      <c r="C2228">
        <v>300008</v>
      </c>
      <c r="D2228">
        <v>11427.421</v>
      </c>
      <c r="E2228" t="s">
        <v>4</v>
      </c>
      <c r="F2228" t="s">
        <v>65</v>
      </c>
      <c r="G2228" t="s">
        <v>7</v>
      </c>
    </row>
    <row r="2229" spans="1:7" x14ac:dyDescent="0.3">
      <c r="A2229" t="s">
        <v>36</v>
      </c>
      <c r="B2229" s="1">
        <v>45808</v>
      </c>
      <c r="C2229">
        <v>300505</v>
      </c>
      <c r="D2229">
        <v>-5349.5190000000002</v>
      </c>
      <c r="E2229" t="s">
        <v>4</v>
      </c>
      <c r="F2229" t="s">
        <v>65</v>
      </c>
      <c r="G2229" t="s">
        <v>7</v>
      </c>
    </row>
    <row r="2230" spans="1:7" x14ac:dyDescent="0.3">
      <c r="A2230" t="s">
        <v>36</v>
      </c>
      <c r="B2230" s="1">
        <v>45808</v>
      </c>
      <c r="C2230">
        <v>300508</v>
      </c>
      <c r="D2230">
        <v>-11427.421</v>
      </c>
      <c r="E2230" t="s">
        <v>4</v>
      </c>
      <c r="F2230" t="s">
        <v>65</v>
      </c>
      <c r="G2230" t="s">
        <v>7</v>
      </c>
    </row>
    <row r="2231" spans="1:7" x14ac:dyDescent="0.3">
      <c r="A2231" t="s">
        <v>36</v>
      </c>
      <c r="B2231" s="1">
        <v>45808</v>
      </c>
      <c r="C2231">
        <v>301002</v>
      </c>
      <c r="D2231">
        <v>449948.83</v>
      </c>
      <c r="E2231" t="s">
        <v>4</v>
      </c>
      <c r="F2231" t="s">
        <v>68</v>
      </c>
      <c r="G2231" t="s">
        <v>7</v>
      </c>
    </row>
    <row r="2232" spans="1:7" x14ac:dyDescent="0.3">
      <c r="A2232" t="s">
        <v>36</v>
      </c>
      <c r="B2232" s="1">
        <v>45808</v>
      </c>
      <c r="C2232">
        <v>301502</v>
      </c>
      <c r="D2232">
        <v>-367546.712</v>
      </c>
      <c r="E2232" t="s">
        <v>4</v>
      </c>
      <c r="F2232" t="s">
        <v>68</v>
      </c>
      <c r="G2232" t="s">
        <v>7</v>
      </c>
    </row>
    <row r="2233" spans="1:7" x14ac:dyDescent="0.3">
      <c r="A2233" t="s">
        <v>36</v>
      </c>
      <c r="B2233" s="1">
        <v>45808</v>
      </c>
      <c r="C2233">
        <v>330123</v>
      </c>
      <c r="D2233">
        <v>-900443.82400000002</v>
      </c>
      <c r="E2233" t="s">
        <v>4</v>
      </c>
      <c r="F2233" t="s">
        <v>43</v>
      </c>
      <c r="G2233" t="s">
        <v>7</v>
      </c>
    </row>
    <row r="2234" spans="1:7" x14ac:dyDescent="0.3">
      <c r="A2234" t="s">
        <v>36</v>
      </c>
      <c r="B2234" s="1">
        <v>45808</v>
      </c>
      <c r="C2234">
        <v>340258</v>
      </c>
      <c r="D2234">
        <v>176.625</v>
      </c>
      <c r="E2234" t="s">
        <v>4</v>
      </c>
      <c r="F2234" t="s">
        <v>47</v>
      </c>
      <c r="G2234" t="s">
        <v>7</v>
      </c>
    </row>
    <row r="2235" spans="1:7" x14ac:dyDescent="0.3">
      <c r="A2235" t="s">
        <v>36</v>
      </c>
      <c r="B2235" s="1">
        <v>45808</v>
      </c>
      <c r="C2235">
        <v>364502</v>
      </c>
      <c r="D2235">
        <v>93036.822</v>
      </c>
      <c r="E2235" t="s">
        <v>4</v>
      </c>
      <c r="F2235" t="s">
        <v>58</v>
      </c>
      <c r="G2235" t="s">
        <v>7</v>
      </c>
    </row>
    <row r="2236" spans="1:7" x14ac:dyDescent="0.3">
      <c r="A2236" t="s">
        <v>36</v>
      </c>
      <c r="B2236" s="1">
        <v>45808</v>
      </c>
      <c r="C2236">
        <v>570003</v>
      </c>
      <c r="D2236">
        <v>7471.1189999999997</v>
      </c>
      <c r="E2236" t="s">
        <v>6</v>
      </c>
      <c r="F2236" t="s">
        <v>66</v>
      </c>
      <c r="G2236" t="s">
        <v>7</v>
      </c>
    </row>
    <row r="2237" spans="1:7" x14ac:dyDescent="0.3">
      <c r="A2237" t="s">
        <v>37</v>
      </c>
      <c r="B2237" s="1">
        <v>45808</v>
      </c>
      <c r="C2237">
        <v>210002</v>
      </c>
      <c r="D2237">
        <v>-102099.21799999999</v>
      </c>
      <c r="E2237" t="s">
        <v>4</v>
      </c>
      <c r="F2237" t="s">
        <v>42</v>
      </c>
      <c r="G2237" t="s">
        <v>7</v>
      </c>
    </row>
    <row r="2238" spans="1:7" x14ac:dyDescent="0.3">
      <c r="A2238" t="s">
        <v>37</v>
      </c>
      <c r="B2238" s="1">
        <v>45808</v>
      </c>
      <c r="C2238">
        <v>220006</v>
      </c>
      <c r="D2238">
        <v>-102235.692</v>
      </c>
      <c r="E2238" t="s">
        <v>4</v>
      </c>
      <c r="F2238" t="s">
        <v>42</v>
      </c>
      <c r="G2238" t="s">
        <v>7</v>
      </c>
    </row>
    <row r="2239" spans="1:7" x14ac:dyDescent="0.3">
      <c r="A2239" t="s">
        <v>37</v>
      </c>
      <c r="B2239" s="1">
        <v>45808</v>
      </c>
      <c r="C2239">
        <v>234003</v>
      </c>
      <c r="D2239">
        <v>-24340.953000000001</v>
      </c>
      <c r="E2239" t="s">
        <v>4</v>
      </c>
      <c r="F2239" t="s">
        <v>43</v>
      </c>
      <c r="G2239" t="s">
        <v>7</v>
      </c>
    </row>
    <row r="2240" spans="1:7" x14ac:dyDescent="0.3">
      <c r="A2240" t="s">
        <v>37</v>
      </c>
      <c r="B2240" s="1">
        <v>45808</v>
      </c>
      <c r="C2240">
        <v>240002</v>
      </c>
      <c r="D2240">
        <v>-892.02</v>
      </c>
      <c r="E2240" t="s">
        <v>4</v>
      </c>
      <c r="F2240" t="s">
        <v>43</v>
      </c>
      <c r="G2240" t="s">
        <v>7</v>
      </c>
    </row>
    <row r="2241" spans="1:7" x14ac:dyDescent="0.3">
      <c r="A2241" t="s">
        <v>37</v>
      </c>
      <c r="B2241" s="1">
        <v>45808</v>
      </c>
      <c r="C2241">
        <v>243002</v>
      </c>
      <c r="D2241">
        <v>-715.79499999999996</v>
      </c>
      <c r="E2241" t="s">
        <v>4</v>
      </c>
      <c r="F2241" t="s">
        <v>43</v>
      </c>
      <c r="G2241" t="s">
        <v>7</v>
      </c>
    </row>
    <row r="2242" spans="1:7" x14ac:dyDescent="0.3">
      <c r="A2242" t="s">
        <v>37</v>
      </c>
      <c r="B2242" s="1">
        <v>45808</v>
      </c>
      <c r="C2242">
        <v>243003</v>
      </c>
      <c r="D2242">
        <v>-44012.529000000002</v>
      </c>
      <c r="E2242" t="s">
        <v>4</v>
      </c>
      <c r="F2242" t="s">
        <v>43</v>
      </c>
      <c r="G2242" t="s">
        <v>7</v>
      </c>
    </row>
    <row r="2243" spans="1:7" x14ac:dyDescent="0.3">
      <c r="A2243" t="s">
        <v>37</v>
      </c>
      <c r="B2243" s="1">
        <v>45808</v>
      </c>
      <c r="C2243">
        <v>245010</v>
      </c>
      <c r="D2243">
        <v>-27504.338</v>
      </c>
      <c r="E2243" t="s">
        <v>4</v>
      </c>
      <c r="F2243" t="s">
        <v>44</v>
      </c>
      <c r="G2243" t="s">
        <v>7</v>
      </c>
    </row>
    <row r="2244" spans="1:7" x14ac:dyDescent="0.3">
      <c r="A2244" t="s">
        <v>37</v>
      </c>
      <c r="B2244" s="1">
        <v>45808</v>
      </c>
      <c r="C2244">
        <v>245044</v>
      </c>
      <c r="D2244">
        <v>-5116.6059999999998</v>
      </c>
      <c r="E2244" t="s">
        <v>4</v>
      </c>
      <c r="F2244" t="s">
        <v>43</v>
      </c>
      <c r="G2244" t="s">
        <v>7</v>
      </c>
    </row>
    <row r="2245" spans="1:7" x14ac:dyDescent="0.3">
      <c r="A2245" t="s">
        <v>37</v>
      </c>
      <c r="B2245" s="1">
        <v>45808</v>
      </c>
      <c r="C2245">
        <v>251002</v>
      </c>
      <c r="D2245">
        <v>-14519.11</v>
      </c>
      <c r="E2245" t="s">
        <v>4</v>
      </c>
      <c r="F2245" t="s">
        <v>45</v>
      </c>
      <c r="G2245" t="s">
        <v>7</v>
      </c>
    </row>
    <row r="2246" spans="1:7" x14ac:dyDescent="0.3">
      <c r="A2246" t="s">
        <v>37</v>
      </c>
      <c r="B2246" s="1">
        <v>45808</v>
      </c>
      <c r="C2246">
        <v>257022</v>
      </c>
      <c r="D2246">
        <v>-2820.8820000000001</v>
      </c>
      <c r="E2246" t="s">
        <v>4</v>
      </c>
      <c r="F2246" t="s">
        <v>45</v>
      </c>
      <c r="G2246" t="s">
        <v>7</v>
      </c>
    </row>
    <row r="2247" spans="1:7" x14ac:dyDescent="0.3">
      <c r="A2247" t="s">
        <v>37</v>
      </c>
      <c r="B2247" s="1">
        <v>45808</v>
      </c>
      <c r="C2247">
        <v>257030</v>
      </c>
      <c r="D2247">
        <v>-8595.0609999999997</v>
      </c>
      <c r="E2247" t="s">
        <v>4</v>
      </c>
      <c r="F2247" t="s">
        <v>45</v>
      </c>
      <c r="G2247" t="s">
        <v>7</v>
      </c>
    </row>
    <row r="2248" spans="1:7" x14ac:dyDescent="0.3">
      <c r="A2248" t="s">
        <v>37</v>
      </c>
      <c r="B2248" s="1">
        <v>45808</v>
      </c>
      <c r="C2248">
        <v>270024</v>
      </c>
      <c r="D2248">
        <v>-14894.977000000001</v>
      </c>
      <c r="E2248" t="s">
        <v>4</v>
      </c>
      <c r="F2248" t="s">
        <v>58</v>
      </c>
      <c r="G2248" t="s">
        <v>7</v>
      </c>
    </row>
    <row r="2249" spans="1:7" x14ac:dyDescent="0.3">
      <c r="A2249" t="s">
        <v>37</v>
      </c>
      <c r="B2249" s="1">
        <v>45808</v>
      </c>
      <c r="C2249">
        <v>300012</v>
      </c>
      <c r="D2249">
        <v>6808.95</v>
      </c>
      <c r="E2249" t="s">
        <v>4</v>
      </c>
      <c r="F2249" t="s">
        <v>65</v>
      </c>
      <c r="G2249" t="s">
        <v>7</v>
      </c>
    </row>
    <row r="2250" spans="1:7" x14ac:dyDescent="0.3">
      <c r="A2250" t="s">
        <v>37</v>
      </c>
      <c r="B2250" s="1">
        <v>45808</v>
      </c>
      <c r="C2250">
        <v>300013</v>
      </c>
      <c r="D2250">
        <v>1734.31</v>
      </c>
      <c r="E2250" t="s">
        <v>4</v>
      </c>
      <c r="F2250" t="s">
        <v>65</v>
      </c>
      <c r="G2250" t="s">
        <v>7</v>
      </c>
    </row>
    <row r="2251" spans="1:7" x14ac:dyDescent="0.3">
      <c r="A2251" t="s">
        <v>37</v>
      </c>
      <c r="B2251" s="1">
        <v>45808</v>
      </c>
      <c r="C2251">
        <v>300512</v>
      </c>
      <c r="D2251">
        <v>-3995.3009999999999</v>
      </c>
      <c r="E2251" t="s">
        <v>4</v>
      </c>
      <c r="F2251" t="s">
        <v>65</v>
      </c>
      <c r="G2251" t="s">
        <v>7</v>
      </c>
    </row>
    <row r="2252" spans="1:7" x14ac:dyDescent="0.3">
      <c r="A2252" t="s">
        <v>37</v>
      </c>
      <c r="B2252" s="1">
        <v>45808</v>
      </c>
      <c r="C2252">
        <v>300513</v>
      </c>
      <c r="D2252">
        <v>-723.24199999999996</v>
      </c>
      <c r="E2252" t="s">
        <v>4</v>
      </c>
      <c r="F2252" t="s">
        <v>65</v>
      </c>
      <c r="G2252" t="s">
        <v>7</v>
      </c>
    </row>
    <row r="2253" spans="1:7" x14ac:dyDescent="0.3">
      <c r="A2253" t="s">
        <v>37</v>
      </c>
      <c r="B2253" s="1">
        <v>45808</v>
      </c>
      <c r="C2253">
        <v>304002</v>
      </c>
      <c r="D2253">
        <v>26553.768</v>
      </c>
      <c r="E2253" t="s">
        <v>4</v>
      </c>
      <c r="F2253" t="s">
        <v>65</v>
      </c>
      <c r="G2253" t="s">
        <v>7</v>
      </c>
    </row>
    <row r="2254" spans="1:7" x14ac:dyDescent="0.3">
      <c r="A2254" t="s">
        <v>37</v>
      </c>
      <c r="B2254" s="1">
        <v>45808</v>
      </c>
      <c r="C2254">
        <v>304502</v>
      </c>
      <c r="D2254">
        <v>-2212.8159999999998</v>
      </c>
      <c r="E2254" t="s">
        <v>4</v>
      </c>
      <c r="F2254" t="s">
        <v>65</v>
      </c>
      <c r="G2254" t="s">
        <v>7</v>
      </c>
    </row>
    <row r="2255" spans="1:7" x14ac:dyDescent="0.3">
      <c r="A2255" t="s">
        <v>37</v>
      </c>
      <c r="B2255" s="1">
        <v>45808</v>
      </c>
      <c r="C2255">
        <v>320002</v>
      </c>
      <c r="D2255">
        <v>8685.5720000000001</v>
      </c>
      <c r="E2255" t="s">
        <v>4</v>
      </c>
      <c r="F2255" t="s">
        <v>46</v>
      </c>
      <c r="G2255" t="s">
        <v>7</v>
      </c>
    </row>
    <row r="2256" spans="1:7" x14ac:dyDescent="0.3">
      <c r="A2256" t="s">
        <v>37</v>
      </c>
      <c r="B2256" s="1">
        <v>45808</v>
      </c>
      <c r="C2256">
        <v>320003</v>
      </c>
      <c r="D2256">
        <v>50133.076999999997</v>
      </c>
      <c r="E2256" t="s">
        <v>4</v>
      </c>
      <c r="F2256" t="s">
        <v>46</v>
      </c>
      <c r="G2256" t="s">
        <v>7</v>
      </c>
    </row>
    <row r="2257" spans="1:7" x14ac:dyDescent="0.3">
      <c r="A2257" t="s">
        <v>37</v>
      </c>
      <c r="B2257" s="1">
        <v>45808</v>
      </c>
      <c r="C2257">
        <v>321002</v>
      </c>
      <c r="D2257">
        <v>11935.791999999999</v>
      </c>
      <c r="E2257" t="s">
        <v>4</v>
      </c>
      <c r="F2257" t="s">
        <v>46</v>
      </c>
      <c r="G2257" t="s">
        <v>7</v>
      </c>
    </row>
    <row r="2258" spans="1:7" x14ac:dyDescent="0.3">
      <c r="A2258" t="s">
        <v>37</v>
      </c>
      <c r="B2258" s="1">
        <v>45808</v>
      </c>
      <c r="C2258">
        <v>321025</v>
      </c>
      <c r="D2258">
        <v>8379.4189999999999</v>
      </c>
      <c r="E2258" t="s">
        <v>4</v>
      </c>
      <c r="F2258" t="s">
        <v>46</v>
      </c>
      <c r="G2258" t="s">
        <v>7</v>
      </c>
    </row>
    <row r="2259" spans="1:7" x14ac:dyDescent="0.3">
      <c r="A2259" t="s">
        <v>37</v>
      </c>
      <c r="B2259" s="1">
        <v>45808</v>
      </c>
      <c r="C2259">
        <v>340008</v>
      </c>
      <c r="D2259">
        <v>161238.351</v>
      </c>
      <c r="E2259" t="s">
        <v>4</v>
      </c>
      <c r="F2259" t="s">
        <v>47</v>
      </c>
      <c r="G2259" t="s">
        <v>7</v>
      </c>
    </row>
    <row r="2260" spans="1:7" x14ac:dyDescent="0.3">
      <c r="A2260" t="s">
        <v>37</v>
      </c>
      <c r="B2260" s="1">
        <v>45808</v>
      </c>
      <c r="C2260">
        <v>350002</v>
      </c>
      <c r="D2260">
        <v>1198.9000000000001</v>
      </c>
      <c r="E2260" t="s">
        <v>4</v>
      </c>
      <c r="F2260" t="s">
        <v>49</v>
      </c>
      <c r="G2260" t="s">
        <v>7</v>
      </c>
    </row>
    <row r="2261" spans="1:7" x14ac:dyDescent="0.3">
      <c r="A2261" t="s">
        <v>37</v>
      </c>
      <c r="B2261" s="1">
        <v>45808</v>
      </c>
      <c r="C2261">
        <v>350006</v>
      </c>
      <c r="D2261">
        <v>0</v>
      </c>
      <c r="E2261" t="s">
        <v>4</v>
      </c>
      <c r="F2261" t="s">
        <v>43</v>
      </c>
      <c r="G2261" t="s">
        <v>7</v>
      </c>
    </row>
    <row r="2262" spans="1:7" x14ac:dyDescent="0.3">
      <c r="A2262" t="s">
        <v>37</v>
      </c>
      <c r="B2262" s="1">
        <v>45808</v>
      </c>
      <c r="C2262">
        <v>352004</v>
      </c>
      <c r="D2262">
        <v>511.642</v>
      </c>
      <c r="E2262" t="s">
        <v>4</v>
      </c>
      <c r="F2262" t="s">
        <v>48</v>
      </c>
      <c r="G2262" t="s">
        <v>7</v>
      </c>
    </row>
    <row r="2263" spans="1:7" x14ac:dyDescent="0.3">
      <c r="A2263" t="s">
        <v>37</v>
      </c>
      <c r="B2263" s="1">
        <v>45808</v>
      </c>
      <c r="C2263">
        <v>354014</v>
      </c>
      <c r="D2263">
        <v>63320.95</v>
      </c>
      <c r="E2263" t="s">
        <v>4</v>
      </c>
      <c r="F2263" t="s">
        <v>46</v>
      </c>
      <c r="G2263" t="s">
        <v>7</v>
      </c>
    </row>
    <row r="2264" spans="1:7" x14ac:dyDescent="0.3">
      <c r="A2264" t="s">
        <v>37</v>
      </c>
      <c r="B2264" s="1">
        <v>45808</v>
      </c>
      <c r="C2264">
        <v>355002</v>
      </c>
      <c r="D2264">
        <v>545.41099999999994</v>
      </c>
      <c r="E2264" t="s">
        <v>4</v>
      </c>
      <c r="F2264" t="s">
        <v>49</v>
      </c>
      <c r="G2264" t="s">
        <v>7</v>
      </c>
    </row>
    <row r="2265" spans="1:7" x14ac:dyDescent="0.3">
      <c r="A2265" t="s">
        <v>37</v>
      </c>
      <c r="B2265" s="1">
        <v>45808</v>
      </c>
      <c r="C2265">
        <v>360012</v>
      </c>
      <c r="D2265">
        <v>5919.4560000000001</v>
      </c>
      <c r="E2265" t="s">
        <v>4</v>
      </c>
      <c r="F2265" t="s">
        <v>58</v>
      </c>
      <c r="G2265" t="s">
        <v>7</v>
      </c>
    </row>
    <row r="2266" spans="1:7" x14ac:dyDescent="0.3">
      <c r="A2266" t="s">
        <v>37</v>
      </c>
      <c r="B2266" s="1">
        <v>45808</v>
      </c>
      <c r="C2266">
        <v>360019</v>
      </c>
      <c r="D2266">
        <v>3620.25</v>
      </c>
      <c r="E2266" t="s">
        <v>4</v>
      </c>
      <c r="F2266" t="s">
        <v>58</v>
      </c>
      <c r="G2266" t="s">
        <v>7</v>
      </c>
    </row>
    <row r="2267" spans="1:7" x14ac:dyDescent="0.3">
      <c r="A2267" t="s">
        <v>37</v>
      </c>
      <c r="B2267" s="1">
        <v>45808</v>
      </c>
      <c r="C2267">
        <v>360026</v>
      </c>
      <c r="D2267">
        <v>19925.863000000001</v>
      </c>
      <c r="E2267" t="s">
        <v>4</v>
      </c>
      <c r="F2267" t="s">
        <v>58</v>
      </c>
      <c r="G2267" t="s">
        <v>7</v>
      </c>
    </row>
    <row r="2268" spans="1:7" x14ac:dyDescent="0.3">
      <c r="A2268" t="s">
        <v>37</v>
      </c>
      <c r="B2268" s="1">
        <v>45808</v>
      </c>
      <c r="C2268">
        <v>364502</v>
      </c>
      <c r="D2268">
        <v>16740.151999999998</v>
      </c>
      <c r="E2268" t="s">
        <v>4</v>
      </c>
      <c r="F2268" t="s">
        <v>58</v>
      </c>
      <c r="G2268" t="s">
        <v>7</v>
      </c>
    </row>
    <row r="2269" spans="1:7" x14ac:dyDescent="0.3">
      <c r="A2269" t="s">
        <v>37</v>
      </c>
      <c r="B2269" s="1">
        <v>45808</v>
      </c>
      <c r="C2269">
        <v>400002</v>
      </c>
      <c r="D2269">
        <v>-9371.5519999999997</v>
      </c>
      <c r="E2269" t="s">
        <v>6</v>
      </c>
      <c r="F2269" t="s">
        <v>50</v>
      </c>
      <c r="G2269" t="s">
        <v>7</v>
      </c>
    </row>
    <row r="2270" spans="1:7" x14ac:dyDescent="0.3">
      <c r="A2270" t="s">
        <v>37</v>
      </c>
      <c r="B2270" s="1">
        <v>45808</v>
      </c>
      <c r="C2270">
        <v>410002</v>
      </c>
      <c r="D2270">
        <v>-25000.611000000001</v>
      </c>
      <c r="E2270" t="s">
        <v>6</v>
      </c>
      <c r="F2270" t="s">
        <v>51</v>
      </c>
      <c r="G2270" t="s">
        <v>7</v>
      </c>
    </row>
    <row r="2271" spans="1:7" x14ac:dyDescent="0.3">
      <c r="A2271" t="s">
        <v>37</v>
      </c>
      <c r="B2271" s="1">
        <v>45808</v>
      </c>
      <c r="C2271">
        <v>410032</v>
      </c>
      <c r="D2271">
        <v>-8033.0460000000003</v>
      </c>
      <c r="E2271" t="s">
        <v>6</v>
      </c>
      <c r="F2271" t="s">
        <v>51</v>
      </c>
      <c r="G2271" t="s">
        <v>7</v>
      </c>
    </row>
    <row r="2272" spans="1:7" x14ac:dyDescent="0.3">
      <c r="A2272" t="s">
        <v>37</v>
      </c>
      <c r="B2272" s="1">
        <v>45808</v>
      </c>
      <c r="C2272">
        <v>415002</v>
      </c>
      <c r="D2272">
        <v>-131266.53899999999</v>
      </c>
      <c r="E2272" t="s">
        <v>6</v>
      </c>
      <c r="F2272" t="s">
        <v>50</v>
      </c>
      <c r="G2272" t="s">
        <v>7</v>
      </c>
    </row>
    <row r="2273" spans="1:7" x14ac:dyDescent="0.3">
      <c r="A2273" t="s">
        <v>37</v>
      </c>
      <c r="B2273" s="1">
        <v>45808</v>
      </c>
      <c r="C2273">
        <v>420002</v>
      </c>
      <c r="D2273">
        <v>-397.57299999999998</v>
      </c>
      <c r="E2273" t="s">
        <v>6</v>
      </c>
      <c r="F2273" t="s">
        <v>52</v>
      </c>
      <c r="G2273" t="s">
        <v>7</v>
      </c>
    </row>
    <row r="2274" spans="1:7" x14ac:dyDescent="0.3">
      <c r="A2274" t="s">
        <v>37</v>
      </c>
      <c r="B2274" s="1">
        <v>45808</v>
      </c>
      <c r="C2274">
        <v>421002</v>
      </c>
      <c r="D2274">
        <v>1137.8320000000001</v>
      </c>
      <c r="E2274" t="s">
        <v>6</v>
      </c>
      <c r="F2274" t="s">
        <v>52</v>
      </c>
      <c r="G2274" t="s">
        <v>7</v>
      </c>
    </row>
    <row r="2275" spans="1:7" x14ac:dyDescent="0.3">
      <c r="A2275" t="s">
        <v>37</v>
      </c>
      <c r="B2275" s="1">
        <v>45808</v>
      </c>
      <c r="C2275">
        <v>510002</v>
      </c>
      <c r="D2275">
        <v>19833.249</v>
      </c>
      <c r="E2275" t="s">
        <v>6</v>
      </c>
      <c r="F2275" t="s">
        <v>53</v>
      </c>
      <c r="G2275" t="s">
        <v>7</v>
      </c>
    </row>
    <row r="2276" spans="1:7" x14ac:dyDescent="0.3">
      <c r="A2276" t="s">
        <v>37</v>
      </c>
      <c r="B2276" s="1">
        <v>45808</v>
      </c>
      <c r="C2276">
        <v>510004</v>
      </c>
      <c r="D2276">
        <v>2141.3359999999998</v>
      </c>
      <c r="E2276" t="s">
        <v>6</v>
      </c>
      <c r="F2276" t="s">
        <v>53</v>
      </c>
      <c r="G2276" t="s">
        <v>7</v>
      </c>
    </row>
    <row r="2277" spans="1:7" x14ac:dyDescent="0.3">
      <c r="A2277" t="s">
        <v>37</v>
      </c>
      <c r="B2277" s="1">
        <v>45808</v>
      </c>
      <c r="C2277">
        <v>510005</v>
      </c>
      <c r="D2277">
        <v>4341.2979999999998</v>
      </c>
      <c r="E2277" t="s">
        <v>6</v>
      </c>
      <c r="F2277" t="s">
        <v>53</v>
      </c>
      <c r="G2277" t="s">
        <v>7</v>
      </c>
    </row>
    <row r="2278" spans="1:7" x14ac:dyDescent="0.3">
      <c r="A2278" t="s">
        <v>37</v>
      </c>
      <c r="B2278" s="1">
        <v>45808</v>
      </c>
      <c r="C2278">
        <v>510007</v>
      </c>
      <c r="D2278">
        <v>968.34199999999998</v>
      </c>
      <c r="E2278" t="s">
        <v>6</v>
      </c>
      <c r="F2278" t="s">
        <v>53</v>
      </c>
      <c r="G2278" t="s">
        <v>7</v>
      </c>
    </row>
    <row r="2279" spans="1:7" x14ac:dyDescent="0.3">
      <c r="A2279" t="s">
        <v>37</v>
      </c>
      <c r="B2279" s="1">
        <v>45808</v>
      </c>
      <c r="C2279">
        <v>510015</v>
      </c>
      <c r="D2279">
        <v>8082.6049999999996</v>
      </c>
      <c r="E2279" t="s">
        <v>6</v>
      </c>
      <c r="F2279" t="s">
        <v>53</v>
      </c>
      <c r="G2279" t="s">
        <v>7</v>
      </c>
    </row>
    <row r="2280" spans="1:7" x14ac:dyDescent="0.3">
      <c r="A2280" t="s">
        <v>37</v>
      </c>
      <c r="B2280" s="1">
        <v>45808</v>
      </c>
      <c r="C2280">
        <v>520021</v>
      </c>
      <c r="D2280">
        <v>28.382000000000001</v>
      </c>
      <c r="E2280" t="s">
        <v>6</v>
      </c>
      <c r="F2280" t="s">
        <v>60</v>
      </c>
      <c r="G2280" t="s">
        <v>7</v>
      </c>
    </row>
    <row r="2281" spans="1:7" x14ac:dyDescent="0.3">
      <c r="A2281" t="s">
        <v>37</v>
      </c>
      <c r="B2281" s="1">
        <v>45808</v>
      </c>
      <c r="C2281">
        <v>530012</v>
      </c>
      <c r="D2281">
        <v>4641.3819999999996</v>
      </c>
      <c r="E2281" t="s">
        <v>6</v>
      </c>
      <c r="F2281" t="s">
        <v>53</v>
      </c>
      <c r="G2281" t="s">
        <v>7</v>
      </c>
    </row>
    <row r="2282" spans="1:7" x14ac:dyDescent="0.3">
      <c r="A2282" t="s">
        <v>37</v>
      </c>
      <c r="B2282" s="1">
        <v>45808</v>
      </c>
      <c r="C2282">
        <v>540004</v>
      </c>
      <c r="D2282">
        <v>0</v>
      </c>
      <c r="E2282" t="s">
        <v>6</v>
      </c>
      <c r="F2282" t="s">
        <v>67</v>
      </c>
      <c r="G2282" t="s">
        <v>7</v>
      </c>
    </row>
    <row r="2283" spans="1:7" x14ac:dyDescent="0.3">
      <c r="A2283" t="s">
        <v>37</v>
      </c>
      <c r="B2283" s="1">
        <v>45808</v>
      </c>
      <c r="C2283">
        <v>541022</v>
      </c>
      <c r="D2283">
        <v>412.995</v>
      </c>
      <c r="E2283" t="s">
        <v>6</v>
      </c>
      <c r="F2283" t="s">
        <v>61</v>
      </c>
      <c r="G2283" t="s">
        <v>7</v>
      </c>
    </row>
    <row r="2284" spans="1:7" x14ac:dyDescent="0.3">
      <c r="A2284" t="s">
        <v>37</v>
      </c>
      <c r="B2284" s="1">
        <v>45808</v>
      </c>
      <c r="C2284">
        <v>544002</v>
      </c>
      <c r="D2284">
        <v>73.507999999999996</v>
      </c>
      <c r="E2284" t="s">
        <v>6</v>
      </c>
      <c r="F2284" t="s">
        <v>61</v>
      </c>
      <c r="G2284" t="s">
        <v>7</v>
      </c>
    </row>
    <row r="2285" spans="1:7" x14ac:dyDescent="0.3">
      <c r="A2285" t="s">
        <v>37</v>
      </c>
      <c r="B2285" s="1">
        <v>45808</v>
      </c>
      <c r="C2285">
        <v>547002</v>
      </c>
      <c r="D2285">
        <v>456.322</v>
      </c>
      <c r="E2285" t="s">
        <v>6</v>
      </c>
      <c r="F2285" t="s">
        <v>54</v>
      </c>
      <c r="G2285" t="s">
        <v>7</v>
      </c>
    </row>
    <row r="2286" spans="1:7" x14ac:dyDescent="0.3">
      <c r="A2286" t="s">
        <v>37</v>
      </c>
      <c r="B2286" s="1">
        <v>45808</v>
      </c>
      <c r="C2286">
        <v>550002</v>
      </c>
      <c r="D2286">
        <v>84289.016000000003</v>
      </c>
      <c r="E2286" t="s">
        <v>6</v>
      </c>
      <c r="F2286" t="s">
        <v>62</v>
      </c>
      <c r="G2286" t="s">
        <v>7</v>
      </c>
    </row>
    <row r="2287" spans="1:7" x14ac:dyDescent="0.3">
      <c r="A2287" t="s">
        <v>37</v>
      </c>
      <c r="B2287" s="1">
        <v>45808</v>
      </c>
      <c r="C2287">
        <v>552502</v>
      </c>
      <c r="D2287">
        <v>1006.078</v>
      </c>
      <c r="E2287" t="s">
        <v>6</v>
      </c>
      <c r="F2287" t="s">
        <v>55</v>
      </c>
      <c r="G2287" t="s">
        <v>7</v>
      </c>
    </row>
    <row r="2288" spans="1:7" x14ac:dyDescent="0.3">
      <c r="A2288" t="s">
        <v>37</v>
      </c>
      <c r="B2288" s="1">
        <v>45808</v>
      </c>
      <c r="C2288">
        <v>555508</v>
      </c>
      <c r="D2288">
        <v>17.643999999999998</v>
      </c>
      <c r="E2288" t="s">
        <v>6</v>
      </c>
      <c r="F2288" t="s">
        <v>55</v>
      </c>
      <c r="G2288" t="s">
        <v>7</v>
      </c>
    </row>
    <row r="2289" spans="1:7" x14ac:dyDescent="0.3">
      <c r="A2289" t="s">
        <v>37</v>
      </c>
      <c r="B2289" s="1">
        <v>45808</v>
      </c>
      <c r="C2289">
        <v>556002</v>
      </c>
      <c r="D2289">
        <v>93.278000000000006</v>
      </c>
      <c r="E2289" t="s">
        <v>6</v>
      </c>
      <c r="F2289" t="s">
        <v>60</v>
      </c>
      <c r="G2289" t="s">
        <v>7</v>
      </c>
    </row>
    <row r="2290" spans="1:7" x14ac:dyDescent="0.3">
      <c r="A2290" t="s">
        <v>37</v>
      </c>
      <c r="B2290" s="1">
        <v>45808</v>
      </c>
      <c r="C2290">
        <v>557002</v>
      </c>
      <c r="D2290">
        <v>1079.6400000000001</v>
      </c>
      <c r="E2290" t="s">
        <v>6</v>
      </c>
      <c r="F2290" t="s">
        <v>56</v>
      </c>
      <c r="G2290" t="s">
        <v>7</v>
      </c>
    </row>
    <row r="2291" spans="1:7" x14ac:dyDescent="0.3">
      <c r="A2291" t="s">
        <v>37</v>
      </c>
      <c r="B2291" s="1">
        <v>45808</v>
      </c>
      <c r="C2291">
        <v>557003</v>
      </c>
      <c r="D2291">
        <v>753.19</v>
      </c>
      <c r="E2291" t="s">
        <v>6</v>
      </c>
      <c r="F2291" t="s">
        <v>56</v>
      </c>
      <c r="G2291" t="s">
        <v>7</v>
      </c>
    </row>
    <row r="2292" spans="1:7" x14ac:dyDescent="0.3">
      <c r="A2292" t="s">
        <v>37</v>
      </c>
      <c r="B2292" s="1">
        <v>45808</v>
      </c>
      <c r="C2292">
        <v>558003</v>
      </c>
      <c r="D2292">
        <v>106.498</v>
      </c>
      <c r="E2292" t="s">
        <v>6</v>
      </c>
      <c r="F2292" t="s">
        <v>57</v>
      </c>
      <c r="G2292" t="s">
        <v>7</v>
      </c>
    </row>
    <row r="2293" spans="1:7" x14ac:dyDescent="0.3">
      <c r="A2293" t="s">
        <v>37</v>
      </c>
      <c r="B2293" s="1">
        <v>45808</v>
      </c>
      <c r="C2293">
        <v>558007</v>
      </c>
      <c r="D2293">
        <v>462.39400000000001</v>
      </c>
      <c r="E2293" t="s">
        <v>6</v>
      </c>
      <c r="F2293" t="s">
        <v>60</v>
      </c>
      <c r="G2293" t="s">
        <v>7</v>
      </c>
    </row>
    <row r="2294" spans="1:7" x14ac:dyDescent="0.3">
      <c r="A2294" t="s">
        <v>37</v>
      </c>
      <c r="B2294" s="1">
        <v>45808</v>
      </c>
      <c r="C2294">
        <v>564008</v>
      </c>
      <c r="D2294">
        <v>272.29599999999999</v>
      </c>
      <c r="E2294" t="s">
        <v>6</v>
      </c>
      <c r="F2294" t="s">
        <v>55</v>
      </c>
      <c r="G2294" t="s">
        <v>7</v>
      </c>
    </row>
    <row r="2295" spans="1:7" x14ac:dyDescent="0.3">
      <c r="A2295" t="s">
        <v>37</v>
      </c>
      <c r="B2295" s="1">
        <v>45808</v>
      </c>
      <c r="C2295">
        <v>564020</v>
      </c>
      <c r="D2295">
        <v>34.604999999999997</v>
      </c>
      <c r="E2295" t="s">
        <v>6</v>
      </c>
      <c r="F2295" t="s">
        <v>57</v>
      </c>
      <c r="G2295" t="s">
        <v>7</v>
      </c>
    </row>
    <row r="2296" spans="1:7" x14ac:dyDescent="0.3">
      <c r="A2296" t="s">
        <v>37</v>
      </c>
      <c r="B2296" s="1">
        <v>45808</v>
      </c>
      <c r="C2296">
        <v>570002</v>
      </c>
      <c r="D2296">
        <v>96.703999999999994</v>
      </c>
      <c r="E2296" t="s">
        <v>6</v>
      </c>
      <c r="F2296" t="s">
        <v>66</v>
      </c>
      <c r="G2296" t="s">
        <v>7</v>
      </c>
    </row>
    <row r="2297" spans="1:7" x14ac:dyDescent="0.3">
      <c r="A2297" t="s">
        <v>37</v>
      </c>
      <c r="B2297" s="1">
        <v>45808</v>
      </c>
      <c r="C2297">
        <v>580002</v>
      </c>
      <c r="D2297">
        <v>9972.3379999999997</v>
      </c>
      <c r="E2297" t="s">
        <v>6</v>
      </c>
      <c r="F2297" t="s">
        <v>64</v>
      </c>
      <c r="G2297" t="s">
        <v>7</v>
      </c>
    </row>
    <row r="2298" spans="1:7" x14ac:dyDescent="0.3">
      <c r="A2298" t="s">
        <v>37</v>
      </c>
      <c r="B2298" s="1">
        <v>45808</v>
      </c>
      <c r="C2298">
        <v>580003</v>
      </c>
      <c r="D2298">
        <v>-792.75199999999995</v>
      </c>
      <c r="E2298" t="s">
        <v>6</v>
      </c>
      <c r="F2298" t="s">
        <v>64</v>
      </c>
      <c r="G2298" t="s">
        <v>7</v>
      </c>
    </row>
    <row r="2299" spans="1:7" x14ac:dyDescent="0.3">
      <c r="A2299" t="s">
        <v>37</v>
      </c>
      <c r="B2299" s="1">
        <v>45808</v>
      </c>
      <c r="C2299">
        <v>510006</v>
      </c>
      <c r="D2299">
        <v>2998.279</v>
      </c>
      <c r="E2299" t="s">
        <v>6</v>
      </c>
      <c r="F2299" t="s">
        <v>53</v>
      </c>
      <c r="G2299" t="s">
        <v>7</v>
      </c>
    </row>
    <row r="2300" spans="1:7" x14ac:dyDescent="0.3">
      <c r="A2300" t="s">
        <v>37</v>
      </c>
      <c r="B2300" s="1">
        <v>45808</v>
      </c>
      <c r="C2300">
        <v>560008</v>
      </c>
      <c r="D2300">
        <v>0</v>
      </c>
      <c r="E2300" t="s">
        <v>6</v>
      </c>
      <c r="F2300" t="s">
        <v>56</v>
      </c>
      <c r="G2300" t="s">
        <v>7</v>
      </c>
    </row>
    <row r="2301" spans="1:7" x14ac:dyDescent="0.3">
      <c r="A2301" t="s">
        <v>32</v>
      </c>
      <c r="B2301" s="1">
        <v>45808</v>
      </c>
      <c r="C2301">
        <v>220007</v>
      </c>
      <c r="D2301">
        <v>-1627.289</v>
      </c>
      <c r="E2301" t="s">
        <v>4</v>
      </c>
      <c r="F2301" t="s">
        <v>42</v>
      </c>
      <c r="G2301" t="s">
        <v>7</v>
      </c>
    </row>
    <row r="2302" spans="1:7" x14ac:dyDescent="0.3">
      <c r="A2302" t="s">
        <v>33</v>
      </c>
      <c r="B2302" s="1">
        <v>45808</v>
      </c>
      <c r="C2302">
        <v>220007</v>
      </c>
      <c r="D2302">
        <v>637.01700000000005</v>
      </c>
      <c r="E2302" t="s">
        <v>4</v>
      </c>
      <c r="F2302" t="s">
        <v>42</v>
      </c>
      <c r="G2302" t="s">
        <v>7</v>
      </c>
    </row>
    <row r="2303" spans="1:7" x14ac:dyDescent="0.3">
      <c r="A2303" t="s">
        <v>34</v>
      </c>
      <c r="B2303" s="1">
        <v>45808</v>
      </c>
      <c r="C2303">
        <v>220007</v>
      </c>
      <c r="D2303">
        <v>321.24299999999999</v>
      </c>
      <c r="E2303" t="s">
        <v>4</v>
      </c>
      <c r="F2303" t="s">
        <v>42</v>
      </c>
      <c r="G2303" t="s">
        <v>7</v>
      </c>
    </row>
    <row r="2304" spans="1:7" x14ac:dyDescent="0.3">
      <c r="A2304" t="s">
        <v>35</v>
      </c>
      <c r="B2304" s="1">
        <v>45808</v>
      </c>
      <c r="C2304">
        <v>220007</v>
      </c>
      <c r="D2304">
        <v>-2258.1880000000001</v>
      </c>
      <c r="E2304" t="s">
        <v>4</v>
      </c>
      <c r="F2304" t="s">
        <v>42</v>
      </c>
      <c r="G2304" t="s">
        <v>7</v>
      </c>
    </row>
    <row r="2305" spans="1:7" x14ac:dyDescent="0.3">
      <c r="A2305" t="s">
        <v>36</v>
      </c>
      <c r="B2305" s="1">
        <v>45808</v>
      </c>
      <c r="C2305">
        <v>220007</v>
      </c>
      <c r="D2305">
        <v>53.625</v>
      </c>
      <c r="E2305" t="s">
        <v>4</v>
      </c>
      <c r="F2305" t="s">
        <v>42</v>
      </c>
      <c r="G2305" t="s">
        <v>7</v>
      </c>
    </row>
    <row r="2306" spans="1:7" x14ac:dyDescent="0.3">
      <c r="A2306" t="s">
        <v>11</v>
      </c>
      <c r="B2306" s="1">
        <v>45808</v>
      </c>
      <c r="C2306">
        <v>220007</v>
      </c>
      <c r="D2306">
        <v>550.33000000000004</v>
      </c>
      <c r="E2306" t="s">
        <v>4</v>
      </c>
      <c r="F2306" t="s">
        <v>42</v>
      </c>
      <c r="G2306" t="s">
        <v>7</v>
      </c>
    </row>
    <row r="2307" spans="1:7" x14ac:dyDescent="0.3">
      <c r="A2307" t="s">
        <v>37</v>
      </c>
      <c r="B2307" s="1">
        <v>45808</v>
      </c>
      <c r="C2307">
        <v>220007</v>
      </c>
      <c r="D2307">
        <v>-1010.457</v>
      </c>
      <c r="E2307" t="s">
        <v>4</v>
      </c>
      <c r="F2307" t="s">
        <v>42</v>
      </c>
      <c r="G2307" t="s">
        <v>7</v>
      </c>
    </row>
    <row r="2308" spans="1:7" x14ac:dyDescent="0.3">
      <c r="A2308" t="s">
        <v>30</v>
      </c>
      <c r="B2308" s="1">
        <v>45808</v>
      </c>
      <c r="C2308">
        <v>220007</v>
      </c>
      <c r="D2308">
        <v>-238.042</v>
      </c>
      <c r="E2308" t="s">
        <v>4</v>
      </c>
      <c r="F2308" t="s">
        <v>42</v>
      </c>
      <c r="G2308" t="s">
        <v>8</v>
      </c>
    </row>
    <row r="2309" spans="1:7" x14ac:dyDescent="0.3">
      <c r="A2309" t="s">
        <v>31</v>
      </c>
      <c r="B2309" s="1">
        <v>45808</v>
      </c>
      <c r="C2309">
        <v>220007</v>
      </c>
      <c r="D2309">
        <v>26.079000000000001</v>
      </c>
      <c r="E2309" t="s">
        <v>4</v>
      </c>
      <c r="F2309" t="s">
        <v>42</v>
      </c>
      <c r="G2309" t="s">
        <v>8</v>
      </c>
    </row>
    <row r="2310" spans="1:7" x14ac:dyDescent="0.3">
      <c r="A2310" t="s">
        <v>14</v>
      </c>
      <c r="B2310" s="1">
        <v>45808</v>
      </c>
      <c r="C2310">
        <v>220007</v>
      </c>
      <c r="D2310">
        <v>-248.59700000000001</v>
      </c>
      <c r="E2310" t="s">
        <v>4</v>
      </c>
      <c r="F2310" t="s">
        <v>42</v>
      </c>
      <c r="G2310" t="s">
        <v>8</v>
      </c>
    </row>
    <row r="2311" spans="1:7" x14ac:dyDescent="0.3">
      <c r="A2311" t="s">
        <v>38</v>
      </c>
      <c r="B2311" s="1">
        <v>45808</v>
      </c>
      <c r="C2311">
        <v>220007</v>
      </c>
      <c r="D2311">
        <v>0</v>
      </c>
      <c r="E2311" t="s">
        <v>4</v>
      </c>
      <c r="F2311" t="s">
        <v>42</v>
      </c>
      <c r="G2311" t="s">
        <v>8</v>
      </c>
    </row>
    <row r="2312" spans="1:7" x14ac:dyDescent="0.3">
      <c r="A2312" t="s">
        <v>22</v>
      </c>
      <c r="B2312" s="1">
        <v>45808</v>
      </c>
      <c r="C2312">
        <v>220007</v>
      </c>
      <c r="D2312">
        <v>-49.026000000000003</v>
      </c>
      <c r="E2312" t="s">
        <v>4</v>
      </c>
      <c r="F2312" t="s">
        <v>42</v>
      </c>
      <c r="G2312" t="s">
        <v>8</v>
      </c>
    </row>
    <row r="2313" spans="1:7" x14ac:dyDescent="0.3">
      <c r="A2313" t="s">
        <v>13</v>
      </c>
      <c r="B2313" s="1">
        <v>45808</v>
      </c>
      <c r="C2313">
        <v>220007</v>
      </c>
      <c r="D2313">
        <v>906.19799999999998</v>
      </c>
      <c r="E2313" t="s">
        <v>4</v>
      </c>
      <c r="F2313" t="s">
        <v>42</v>
      </c>
      <c r="G2313" t="s">
        <v>8</v>
      </c>
    </row>
    <row r="2314" spans="1:7" x14ac:dyDescent="0.3">
      <c r="A2314" t="s">
        <v>28</v>
      </c>
      <c r="B2314" s="1">
        <v>45808</v>
      </c>
      <c r="C2314">
        <v>421005</v>
      </c>
      <c r="D2314">
        <v>2.8969999999999998</v>
      </c>
      <c r="E2314" t="s">
        <v>6</v>
      </c>
      <c r="F2314" t="s">
        <v>52</v>
      </c>
      <c r="G2314" t="s">
        <v>8</v>
      </c>
    </row>
    <row r="2315" spans="1:7" x14ac:dyDescent="0.3">
      <c r="A2315" t="s">
        <v>29</v>
      </c>
      <c r="B2315" s="1">
        <v>45808</v>
      </c>
      <c r="C2315">
        <v>421005</v>
      </c>
      <c r="D2315">
        <v>-66.528999999999996</v>
      </c>
      <c r="E2315" t="s">
        <v>6</v>
      </c>
      <c r="F2315" t="s">
        <v>52</v>
      </c>
      <c r="G2315" t="s">
        <v>8</v>
      </c>
    </row>
    <row r="2316" spans="1:7" x14ac:dyDescent="0.3">
      <c r="A2316" t="s">
        <v>24</v>
      </c>
      <c r="B2316" s="1">
        <v>45808</v>
      </c>
      <c r="C2316">
        <v>421005</v>
      </c>
      <c r="D2316">
        <v>10.119999999999999</v>
      </c>
      <c r="E2316" t="s">
        <v>6</v>
      </c>
      <c r="F2316" t="s">
        <v>52</v>
      </c>
      <c r="G2316" t="s">
        <v>8</v>
      </c>
    </row>
    <row r="2317" spans="1:7" x14ac:dyDescent="0.3">
      <c r="A2317" t="s">
        <v>15</v>
      </c>
      <c r="B2317" s="1">
        <v>45808</v>
      </c>
      <c r="C2317">
        <v>220007</v>
      </c>
      <c r="D2317">
        <v>0</v>
      </c>
      <c r="E2317" t="s">
        <v>4</v>
      </c>
      <c r="F2317" t="s">
        <v>42</v>
      </c>
      <c r="G2317" t="s">
        <v>5</v>
      </c>
    </row>
    <row r="2318" spans="1:7" x14ac:dyDescent="0.3">
      <c r="A2318" t="s">
        <v>19</v>
      </c>
      <c r="B2318" s="1">
        <v>45808</v>
      </c>
      <c r="C2318">
        <v>220007</v>
      </c>
      <c r="D2318">
        <v>40.823</v>
      </c>
      <c r="E2318" t="s">
        <v>4</v>
      </c>
      <c r="F2318" t="s">
        <v>42</v>
      </c>
      <c r="G2318" t="s">
        <v>5</v>
      </c>
    </row>
    <row r="2319" spans="1:7" x14ac:dyDescent="0.3">
      <c r="A2319" t="s">
        <v>10</v>
      </c>
      <c r="B2319" s="1">
        <v>45808</v>
      </c>
      <c r="C2319">
        <v>220007</v>
      </c>
      <c r="D2319">
        <v>144.56700000000001</v>
      </c>
      <c r="E2319" t="s">
        <v>4</v>
      </c>
      <c r="F2319" t="s">
        <v>42</v>
      </c>
      <c r="G2319" t="s">
        <v>5</v>
      </c>
    </row>
    <row r="2320" spans="1:7" x14ac:dyDescent="0.3">
      <c r="A2320" t="s">
        <v>18</v>
      </c>
      <c r="B2320" s="1">
        <v>45808</v>
      </c>
      <c r="C2320">
        <v>220007</v>
      </c>
      <c r="D2320">
        <v>4.4850000000000003</v>
      </c>
      <c r="E2320" t="s">
        <v>4</v>
      </c>
      <c r="F2320" t="s">
        <v>42</v>
      </c>
      <c r="G2320" t="s">
        <v>5</v>
      </c>
    </row>
    <row r="2321" spans="1:7" x14ac:dyDescent="0.3">
      <c r="A2321" t="s">
        <v>26</v>
      </c>
      <c r="B2321" s="1">
        <v>45808</v>
      </c>
      <c r="C2321">
        <v>421005</v>
      </c>
      <c r="D2321">
        <v>140.05500000000001</v>
      </c>
      <c r="E2321" t="s">
        <v>6</v>
      </c>
      <c r="F2321" t="s">
        <v>52</v>
      </c>
      <c r="G2321" t="s">
        <v>5</v>
      </c>
    </row>
    <row r="2322" spans="1:7" x14ac:dyDescent="0.3">
      <c r="A2322" t="s">
        <v>20</v>
      </c>
      <c r="B2322" s="1">
        <v>45808</v>
      </c>
      <c r="C2322">
        <v>220007</v>
      </c>
      <c r="D2322">
        <v>5.9279999999999999</v>
      </c>
      <c r="E2322" t="s">
        <v>4</v>
      </c>
      <c r="F2322" t="s">
        <v>42</v>
      </c>
      <c r="G2322" t="s">
        <v>5</v>
      </c>
    </row>
    <row r="2323" spans="1:7" x14ac:dyDescent="0.3">
      <c r="A2323" t="s">
        <v>21</v>
      </c>
      <c r="B2323" s="1">
        <v>45808</v>
      </c>
      <c r="C2323">
        <v>220007</v>
      </c>
      <c r="D2323">
        <v>175.84200000000001</v>
      </c>
      <c r="E2323" t="s">
        <v>4</v>
      </c>
      <c r="F2323" t="s">
        <v>42</v>
      </c>
      <c r="G2323" t="s">
        <v>7</v>
      </c>
    </row>
    <row r="2324" spans="1:7" x14ac:dyDescent="0.3">
      <c r="A2324" t="s">
        <v>25</v>
      </c>
      <c r="B2324" s="1">
        <v>45808</v>
      </c>
      <c r="C2324">
        <v>421005</v>
      </c>
      <c r="D2324">
        <v>0.54500000000000004</v>
      </c>
      <c r="E2324" t="s">
        <v>6</v>
      </c>
      <c r="F2324" t="s">
        <v>52</v>
      </c>
      <c r="G2324" t="s">
        <v>5</v>
      </c>
    </row>
    <row r="2325" spans="1:7" x14ac:dyDescent="0.3">
      <c r="A2325" t="s">
        <v>17</v>
      </c>
      <c r="B2325" s="1">
        <v>45808</v>
      </c>
      <c r="C2325">
        <v>220007</v>
      </c>
      <c r="D2325">
        <v>0</v>
      </c>
      <c r="E2325" t="s">
        <v>4</v>
      </c>
      <c r="F2325" t="s">
        <v>42</v>
      </c>
      <c r="G2325" t="s">
        <v>5</v>
      </c>
    </row>
    <row r="2326" spans="1:7" x14ac:dyDescent="0.3">
      <c r="A2326" t="s">
        <v>39</v>
      </c>
      <c r="B2326" s="1">
        <v>45808</v>
      </c>
      <c r="C2326">
        <v>421005</v>
      </c>
      <c r="D2326">
        <v>0</v>
      </c>
      <c r="E2326" t="s">
        <v>6</v>
      </c>
      <c r="F2326" t="s">
        <v>52</v>
      </c>
      <c r="G2326" t="s">
        <v>5</v>
      </c>
    </row>
    <row r="2327" spans="1:7" x14ac:dyDescent="0.3">
      <c r="A2327" t="s">
        <v>27</v>
      </c>
      <c r="B2327" s="1">
        <v>45808</v>
      </c>
      <c r="C2327">
        <v>220007</v>
      </c>
      <c r="D2327">
        <v>-4.7060000000000004</v>
      </c>
      <c r="E2327" t="s">
        <v>4</v>
      </c>
      <c r="F2327" t="s">
        <v>42</v>
      </c>
      <c r="G2327" t="s">
        <v>8</v>
      </c>
    </row>
    <row r="2328" spans="1:7" x14ac:dyDescent="0.3">
      <c r="A2328" t="s">
        <v>12</v>
      </c>
      <c r="B2328" s="1">
        <v>45808</v>
      </c>
      <c r="C2328">
        <v>220007</v>
      </c>
      <c r="D2328">
        <v>-22.042000000000002</v>
      </c>
      <c r="E2328" t="s">
        <v>4</v>
      </c>
      <c r="F2328" t="s">
        <v>42</v>
      </c>
      <c r="G2328" t="s">
        <v>8</v>
      </c>
    </row>
    <row r="2329" spans="1:7" x14ac:dyDescent="0.3">
      <c r="A2329" t="s">
        <v>23</v>
      </c>
      <c r="B2329" s="1">
        <v>45808</v>
      </c>
      <c r="C2329">
        <v>220007</v>
      </c>
      <c r="D2329">
        <v>206.47399999999999</v>
      </c>
      <c r="E2329" t="s">
        <v>4</v>
      </c>
      <c r="F2329" t="s">
        <v>42</v>
      </c>
      <c r="G2329" t="s">
        <v>5</v>
      </c>
    </row>
  </sheetData>
  <autoFilter ref="B1:G2329" xr:uid="{BA789BBF-5998-4906-953E-5F64728F9A9E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7F93-1C05-4C39-BBE8-8E20D431DF0B}">
  <dimension ref="A1:G2969"/>
  <sheetViews>
    <sheetView topLeftCell="A2949" workbookViewId="0">
      <selection activeCell="C1" sqref="C1"/>
    </sheetView>
  </sheetViews>
  <sheetFormatPr defaultRowHeight="14.4" x14ac:dyDescent="0.3"/>
  <cols>
    <col min="1" max="1" width="20.77734375" bestFit="1" customWidth="1"/>
    <col min="2" max="2" width="8.33203125" style="1" bestFit="1" customWidth="1"/>
    <col min="3" max="3" width="10.109375" bestFit="1" customWidth="1"/>
    <col min="4" max="4" width="12.6640625" customWidth="1"/>
    <col min="5" max="5" width="10.88671875" bestFit="1" customWidth="1"/>
    <col min="6" max="6" width="52.21875" bestFit="1" customWidth="1"/>
    <col min="7" max="7" width="8.77734375" bestFit="1" customWidth="1"/>
  </cols>
  <sheetData>
    <row r="1" spans="1:7" x14ac:dyDescent="0.3">
      <c r="A1" s="6" t="s">
        <v>9</v>
      </c>
      <c r="B1" s="4" t="s">
        <v>0</v>
      </c>
      <c r="C1" s="5" t="s">
        <v>1</v>
      </c>
      <c r="D1" s="5" t="s">
        <v>40</v>
      </c>
      <c r="E1" s="5" t="s">
        <v>2</v>
      </c>
      <c r="F1" s="5" t="s">
        <v>41</v>
      </c>
      <c r="G1" s="5" t="s">
        <v>3</v>
      </c>
    </row>
    <row r="2" spans="1:7" x14ac:dyDescent="0.3">
      <c r="A2" t="s">
        <v>10</v>
      </c>
      <c r="B2" s="1">
        <v>45838</v>
      </c>
      <c r="C2">
        <v>220006</v>
      </c>
      <c r="D2">
        <v>72584.652000000002</v>
      </c>
      <c r="E2" t="s">
        <v>4</v>
      </c>
      <c r="F2" t="s">
        <v>42</v>
      </c>
      <c r="G2" t="s">
        <v>5</v>
      </c>
    </row>
    <row r="3" spans="1:7" x14ac:dyDescent="0.3">
      <c r="A3" t="s">
        <v>10</v>
      </c>
      <c r="B3" s="1">
        <v>45838</v>
      </c>
      <c r="C3">
        <v>240002</v>
      </c>
      <c r="D3">
        <v>0</v>
      </c>
      <c r="E3" t="s">
        <v>4</v>
      </c>
      <c r="F3" t="s">
        <v>43</v>
      </c>
      <c r="G3" t="s">
        <v>5</v>
      </c>
    </row>
    <row r="4" spans="1:7" x14ac:dyDescent="0.3">
      <c r="A4" t="s">
        <v>10</v>
      </c>
      <c r="B4" s="1">
        <v>45838</v>
      </c>
      <c r="C4">
        <v>240003</v>
      </c>
      <c r="D4">
        <v>0</v>
      </c>
      <c r="E4" t="s">
        <v>4</v>
      </c>
      <c r="F4" t="s">
        <v>43</v>
      </c>
      <c r="G4" t="s">
        <v>5</v>
      </c>
    </row>
    <row r="5" spans="1:7" x14ac:dyDescent="0.3">
      <c r="A5" t="s">
        <v>10</v>
      </c>
      <c r="B5" s="1">
        <v>45838</v>
      </c>
      <c r="C5">
        <v>242003</v>
      </c>
      <c r="D5">
        <v>-6013.3419999999996</v>
      </c>
      <c r="E5" t="s">
        <v>4</v>
      </c>
      <c r="F5" t="s">
        <v>43</v>
      </c>
      <c r="G5" t="s">
        <v>5</v>
      </c>
    </row>
    <row r="6" spans="1:7" x14ac:dyDescent="0.3">
      <c r="A6" t="s">
        <v>10</v>
      </c>
      <c r="B6" s="1">
        <v>45838</v>
      </c>
      <c r="C6">
        <v>242041</v>
      </c>
      <c r="D6">
        <v>-89.561999999999998</v>
      </c>
      <c r="E6" t="s">
        <v>4</v>
      </c>
      <c r="F6" t="s">
        <v>43</v>
      </c>
      <c r="G6" t="s">
        <v>5</v>
      </c>
    </row>
    <row r="7" spans="1:7" x14ac:dyDescent="0.3">
      <c r="A7" t="s">
        <v>10</v>
      </c>
      <c r="B7" s="1">
        <v>45838</v>
      </c>
      <c r="C7">
        <v>243002</v>
      </c>
      <c r="D7">
        <v>-1455.7760000000001</v>
      </c>
      <c r="E7" t="s">
        <v>4</v>
      </c>
      <c r="F7" t="s">
        <v>43</v>
      </c>
      <c r="G7" t="s">
        <v>5</v>
      </c>
    </row>
    <row r="8" spans="1:7" x14ac:dyDescent="0.3">
      <c r="A8" t="s">
        <v>10</v>
      </c>
      <c r="B8" s="1">
        <v>45838</v>
      </c>
      <c r="C8">
        <v>245010</v>
      </c>
      <c r="D8">
        <v>-305.46100000000001</v>
      </c>
      <c r="E8" t="s">
        <v>4</v>
      </c>
      <c r="F8" t="s">
        <v>44</v>
      </c>
      <c r="G8" t="s">
        <v>5</v>
      </c>
    </row>
    <row r="9" spans="1:7" x14ac:dyDescent="0.3">
      <c r="A9" t="s">
        <v>10</v>
      </c>
      <c r="B9" s="1">
        <v>45838</v>
      </c>
      <c r="C9">
        <v>245055</v>
      </c>
      <c r="D9">
        <v>0</v>
      </c>
      <c r="E9" t="s">
        <v>4</v>
      </c>
      <c r="F9" t="s">
        <v>43</v>
      </c>
      <c r="G9" t="s">
        <v>5</v>
      </c>
    </row>
    <row r="10" spans="1:7" x14ac:dyDescent="0.3">
      <c r="A10" t="s">
        <v>10</v>
      </c>
      <c r="B10" s="1">
        <v>45838</v>
      </c>
      <c r="C10">
        <v>245058</v>
      </c>
      <c r="D10">
        <v>0</v>
      </c>
      <c r="E10" t="s">
        <v>4</v>
      </c>
      <c r="F10" t="s">
        <v>43</v>
      </c>
      <c r="G10" t="s">
        <v>5</v>
      </c>
    </row>
    <row r="11" spans="1:7" x14ac:dyDescent="0.3">
      <c r="A11" t="s">
        <v>10</v>
      </c>
      <c r="B11" s="1">
        <v>45838</v>
      </c>
      <c r="C11">
        <v>245062</v>
      </c>
      <c r="D11">
        <v>-417.93299999999999</v>
      </c>
      <c r="E11" t="s">
        <v>4</v>
      </c>
      <c r="F11" t="s">
        <v>43</v>
      </c>
      <c r="G11" t="s">
        <v>5</v>
      </c>
    </row>
    <row r="12" spans="1:7" x14ac:dyDescent="0.3">
      <c r="A12" t="s">
        <v>10</v>
      </c>
      <c r="B12" s="1">
        <v>45838</v>
      </c>
      <c r="C12">
        <v>251002</v>
      </c>
      <c r="D12">
        <v>0</v>
      </c>
      <c r="E12" t="s">
        <v>4</v>
      </c>
      <c r="F12" t="s">
        <v>45</v>
      </c>
      <c r="G12" t="s">
        <v>5</v>
      </c>
    </row>
    <row r="13" spans="1:7" x14ac:dyDescent="0.3">
      <c r="A13" t="s">
        <v>10</v>
      </c>
      <c r="B13" s="1">
        <v>45838</v>
      </c>
      <c r="C13">
        <v>257010</v>
      </c>
      <c r="D13">
        <v>-1163.672</v>
      </c>
      <c r="E13" t="s">
        <v>4</v>
      </c>
      <c r="F13" t="s">
        <v>45</v>
      </c>
      <c r="G13" t="s">
        <v>5</v>
      </c>
    </row>
    <row r="14" spans="1:7" x14ac:dyDescent="0.3">
      <c r="A14" t="s">
        <v>10</v>
      </c>
      <c r="B14" s="1">
        <v>45838</v>
      </c>
      <c r="C14">
        <v>257030</v>
      </c>
      <c r="D14">
        <v>-1946.1590000000001</v>
      </c>
      <c r="E14" t="s">
        <v>4</v>
      </c>
      <c r="F14" t="s">
        <v>45</v>
      </c>
      <c r="G14" t="s">
        <v>5</v>
      </c>
    </row>
    <row r="15" spans="1:7" x14ac:dyDescent="0.3">
      <c r="A15" t="s">
        <v>10</v>
      </c>
      <c r="B15" s="1">
        <v>45838</v>
      </c>
      <c r="C15">
        <v>260004</v>
      </c>
      <c r="D15">
        <v>-1288.0419999999999</v>
      </c>
      <c r="E15" t="s">
        <v>4</v>
      </c>
      <c r="F15" t="s">
        <v>45</v>
      </c>
      <c r="G15" t="s">
        <v>5</v>
      </c>
    </row>
    <row r="16" spans="1:7" x14ac:dyDescent="0.3">
      <c r="A16" t="s">
        <v>10</v>
      </c>
      <c r="B16" s="1">
        <v>45838</v>
      </c>
      <c r="C16">
        <v>320002</v>
      </c>
      <c r="D16">
        <v>5224.7259999999997</v>
      </c>
      <c r="E16" t="s">
        <v>4</v>
      </c>
      <c r="F16" t="s">
        <v>46</v>
      </c>
      <c r="G16" t="s">
        <v>5</v>
      </c>
    </row>
    <row r="17" spans="1:7" x14ac:dyDescent="0.3">
      <c r="A17" t="s">
        <v>10</v>
      </c>
      <c r="B17" s="1">
        <v>45838</v>
      </c>
      <c r="C17">
        <v>320003</v>
      </c>
      <c r="D17">
        <v>6912.2849999999999</v>
      </c>
      <c r="E17" t="s">
        <v>4</v>
      </c>
      <c r="F17" t="s">
        <v>46</v>
      </c>
      <c r="G17" t="s">
        <v>5</v>
      </c>
    </row>
    <row r="18" spans="1:7" x14ac:dyDescent="0.3">
      <c r="A18" t="s">
        <v>10</v>
      </c>
      <c r="B18" s="1">
        <v>45838</v>
      </c>
      <c r="C18">
        <v>320004</v>
      </c>
      <c r="D18">
        <v>532.86699999999996</v>
      </c>
      <c r="E18" t="s">
        <v>4</v>
      </c>
      <c r="F18" t="s">
        <v>46</v>
      </c>
      <c r="G18" t="s">
        <v>5</v>
      </c>
    </row>
    <row r="19" spans="1:7" x14ac:dyDescent="0.3">
      <c r="A19" t="s">
        <v>10</v>
      </c>
      <c r="B19" s="1">
        <v>45838</v>
      </c>
      <c r="C19">
        <v>320006</v>
      </c>
      <c r="D19">
        <v>317.34800000000001</v>
      </c>
      <c r="E19" t="s">
        <v>4</v>
      </c>
      <c r="F19" t="s">
        <v>46</v>
      </c>
      <c r="G19" t="s">
        <v>5</v>
      </c>
    </row>
    <row r="20" spans="1:7" x14ac:dyDescent="0.3">
      <c r="A20" t="s">
        <v>10</v>
      </c>
      <c r="B20" s="1">
        <v>45838</v>
      </c>
      <c r="C20">
        <v>320023</v>
      </c>
      <c r="D20">
        <v>-379.43599999999998</v>
      </c>
      <c r="E20" t="s">
        <v>4</v>
      </c>
      <c r="F20" t="s">
        <v>46</v>
      </c>
      <c r="G20" t="s">
        <v>5</v>
      </c>
    </row>
    <row r="21" spans="1:7" x14ac:dyDescent="0.3">
      <c r="A21" t="s">
        <v>10</v>
      </c>
      <c r="B21" s="1">
        <v>45838</v>
      </c>
      <c r="C21">
        <v>321002</v>
      </c>
      <c r="D21">
        <v>4129.4589999999998</v>
      </c>
      <c r="E21" t="s">
        <v>4</v>
      </c>
      <c r="F21" t="s">
        <v>46</v>
      </c>
      <c r="G21" t="s">
        <v>5</v>
      </c>
    </row>
    <row r="22" spans="1:7" x14ac:dyDescent="0.3">
      <c r="A22" t="s">
        <v>10</v>
      </c>
      <c r="B22" s="1">
        <v>45838</v>
      </c>
      <c r="C22">
        <v>321010</v>
      </c>
      <c r="D22">
        <v>-5811.3609999999999</v>
      </c>
      <c r="E22" t="s">
        <v>4</v>
      </c>
      <c r="F22" t="s">
        <v>46</v>
      </c>
      <c r="G22" t="s">
        <v>5</v>
      </c>
    </row>
    <row r="23" spans="1:7" x14ac:dyDescent="0.3">
      <c r="A23" t="s">
        <v>10</v>
      </c>
      <c r="B23" s="1">
        <v>45838</v>
      </c>
      <c r="C23">
        <v>321029</v>
      </c>
      <c r="D23">
        <v>10599.662</v>
      </c>
      <c r="E23" t="s">
        <v>4</v>
      </c>
      <c r="F23" t="s">
        <v>46</v>
      </c>
      <c r="G23" t="s">
        <v>5</v>
      </c>
    </row>
    <row r="24" spans="1:7" x14ac:dyDescent="0.3">
      <c r="A24" t="s">
        <v>10</v>
      </c>
      <c r="B24" s="1">
        <v>45838</v>
      </c>
      <c r="C24">
        <v>321042</v>
      </c>
      <c r="D24">
        <v>-1630.2570000000001</v>
      </c>
      <c r="E24" t="s">
        <v>4</v>
      </c>
      <c r="F24" t="s">
        <v>46</v>
      </c>
      <c r="G24" t="s">
        <v>5</v>
      </c>
    </row>
    <row r="25" spans="1:7" x14ac:dyDescent="0.3">
      <c r="A25" t="s">
        <v>10</v>
      </c>
      <c r="B25" s="1">
        <v>45838</v>
      </c>
      <c r="C25">
        <v>321045</v>
      </c>
      <c r="D25">
        <v>33112.303999999996</v>
      </c>
      <c r="E25" t="s">
        <v>4</v>
      </c>
      <c r="F25" t="s">
        <v>46</v>
      </c>
      <c r="G25" t="s">
        <v>5</v>
      </c>
    </row>
    <row r="26" spans="1:7" x14ac:dyDescent="0.3">
      <c r="A26" t="s">
        <v>10</v>
      </c>
      <c r="B26" s="1">
        <v>45838</v>
      </c>
      <c r="C26">
        <v>330049</v>
      </c>
      <c r="D26">
        <v>-166818.88800000001</v>
      </c>
      <c r="E26" t="s">
        <v>4</v>
      </c>
      <c r="F26" t="s">
        <v>43</v>
      </c>
      <c r="G26" t="s">
        <v>5</v>
      </c>
    </row>
    <row r="27" spans="1:7" x14ac:dyDescent="0.3">
      <c r="A27" t="s">
        <v>10</v>
      </c>
      <c r="B27" s="1">
        <v>45838</v>
      </c>
      <c r="C27">
        <v>330055</v>
      </c>
      <c r="D27">
        <v>133.846</v>
      </c>
      <c r="E27" t="s">
        <v>4</v>
      </c>
      <c r="F27" t="s">
        <v>43</v>
      </c>
      <c r="G27" t="s">
        <v>5</v>
      </c>
    </row>
    <row r="28" spans="1:7" x14ac:dyDescent="0.3">
      <c r="A28" t="s">
        <v>10</v>
      </c>
      <c r="B28" s="1">
        <v>45838</v>
      </c>
      <c r="C28">
        <v>330112</v>
      </c>
      <c r="D28">
        <v>10921.73</v>
      </c>
      <c r="E28" t="s">
        <v>4</v>
      </c>
      <c r="F28" t="s">
        <v>43</v>
      </c>
      <c r="G28" t="s">
        <v>5</v>
      </c>
    </row>
    <row r="29" spans="1:7" x14ac:dyDescent="0.3">
      <c r="A29" t="s">
        <v>10</v>
      </c>
      <c r="B29" s="1">
        <v>45838</v>
      </c>
      <c r="C29">
        <v>340041</v>
      </c>
      <c r="D29">
        <v>15440.544</v>
      </c>
      <c r="E29" t="s">
        <v>4</v>
      </c>
      <c r="F29" t="s">
        <v>47</v>
      </c>
      <c r="G29" t="s">
        <v>5</v>
      </c>
    </row>
    <row r="30" spans="1:7" x14ac:dyDescent="0.3">
      <c r="A30" t="s">
        <v>10</v>
      </c>
      <c r="B30" s="1">
        <v>45838</v>
      </c>
      <c r="C30">
        <v>340126</v>
      </c>
      <c r="D30">
        <v>0</v>
      </c>
      <c r="E30" t="s">
        <v>4</v>
      </c>
      <c r="F30" t="s">
        <v>47</v>
      </c>
      <c r="G30" t="s">
        <v>5</v>
      </c>
    </row>
    <row r="31" spans="1:7" x14ac:dyDescent="0.3">
      <c r="A31" t="s">
        <v>10</v>
      </c>
      <c r="B31" s="1">
        <v>45838</v>
      </c>
      <c r="C31">
        <v>352002</v>
      </c>
      <c r="D31">
        <v>17.641999999999999</v>
      </c>
      <c r="E31" t="s">
        <v>4</v>
      </c>
      <c r="F31" t="s">
        <v>48</v>
      </c>
      <c r="G31" t="s">
        <v>5</v>
      </c>
    </row>
    <row r="32" spans="1:7" x14ac:dyDescent="0.3">
      <c r="A32" t="s">
        <v>10</v>
      </c>
      <c r="B32" s="1">
        <v>45838</v>
      </c>
      <c r="C32">
        <v>354006</v>
      </c>
      <c r="D32">
        <v>0</v>
      </c>
      <c r="E32" t="s">
        <v>4</v>
      </c>
      <c r="F32" t="s">
        <v>46</v>
      </c>
      <c r="G32" t="s">
        <v>5</v>
      </c>
    </row>
    <row r="33" spans="1:7" x14ac:dyDescent="0.3">
      <c r="A33" t="s">
        <v>10</v>
      </c>
      <c r="B33" s="1">
        <v>45838</v>
      </c>
      <c r="C33">
        <v>354015</v>
      </c>
      <c r="D33">
        <v>2507.357</v>
      </c>
      <c r="E33" t="s">
        <v>4</v>
      </c>
      <c r="F33" t="s">
        <v>46</v>
      </c>
      <c r="G33" t="s">
        <v>5</v>
      </c>
    </row>
    <row r="34" spans="1:7" x14ac:dyDescent="0.3">
      <c r="A34" t="s">
        <v>10</v>
      </c>
      <c r="B34" s="1">
        <v>45838</v>
      </c>
      <c r="C34">
        <v>355002</v>
      </c>
      <c r="D34">
        <v>34.441000000000003</v>
      </c>
      <c r="E34" t="s">
        <v>4</v>
      </c>
      <c r="F34" t="s">
        <v>49</v>
      </c>
      <c r="G34" t="s">
        <v>5</v>
      </c>
    </row>
    <row r="35" spans="1:7" x14ac:dyDescent="0.3">
      <c r="A35" t="s">
        <v>10</v>
      </c>
      <c r="B35" s="1">
        <v>45838</v>
      </c>
      <c r="C35">
        <v>355013</v>
      </c>
      <c r="D35">
        <v>11578.322</v>
      </c>
      <c r="E35" t="s">
        <v>4</v>
      </c>
      <c r="F35" t="s">
        <v>49</v>
      </c>
      <c r="G35" t="s">
        <v>5</v>
      </c>
    </row>
    <row r="36" spans="1:7" x14ac:dyDescent="0.3">
      <c r="A36" t="s">
        <v>10</v>
      </c>
      <c r="B36" s="1">
        <v>45838</v>
      </c>
      <c r="C36">
        <v>372004</v>
      </c>
      <c r="D36">
        <v>106.28400000000001</v>
      </c>
      <c r="E36" t="s">
        <v>4</v>
      </c>
      <c r="F36" t="s">
        <v>45</v>
      </c>
      <c r="G36" t="s">
        <v>5</v>
      </c>
    </row>
    <row r="37" spans="1:7" x14ac:dyDescent="0.3">
      <c r="A37" t="s">
        <v>10</v>
      </c>
      <c r="B37" s="1">
        <v>45838</v>
      </c>
      <c r="C37">
        <v>400002</v>
      </c>
      <c r="D37">
        <v>517.93499999999995</v>
      </c>
      <c r="E37" t="s">
        <v>6</v>
      </c>
      <c r="F37" t="s">
        <v>50</v>
      </c>
      <c r="G37" t="s">
        <v>5</v>
      </c>
    </row>
    <row r="38" spans="1:7" x14ac:dyDescent="0.3">
      <c r="A38" t="s">
        <v>10</v>
      </c>
      <c r="B38" s="1">
        <v>45838</v>
      </c>
      <c r="C38">
        <v>400004</v>
      </c>
      <c r="D38">
        <v>-9973.5470000000005</v>
      </c>
      <c r="E38" t="s">
        <v>6</v>
      </c>
      <c r="F38" t="s">
        <v>50</v>
      </c>
      <c r="G38" t="s">
        <v>5</v>
      </c>
    </row>
    <row r="39" spans="1:7" x14ac:dyDescent="0.3">
      <c r="A39" t="s">
        <v>10</v>
      </c>
      <c r="B39" s="1">
        <v>45838</v>
      </c>
      <c r="C39">
        <v>410002</v>
      </c>
      <c r="D39">
        <v>-5036.5510000000004</v>
      </c>
      <c r="E39" t="s">
        <v>6</v>
      </c>
      <c r="F39" t="s">
        <v>51</v>
      </c>
      <c r="G39" t="s">
        <v>5</v>
      </c>
    </row>
    <row r="40" spans="1:7" x14ac:dyDescent="0.3">
      <c r="A40" t="s">
        <v>10</v>
      </c>
      <c r="B40" s="1">
        <v>45838</v>
      </c>
      <c r="C40">
        <v>410037</v>
      </c>
      <c r="D40">
        <v>-1371.4480000000001</v>
      </c>
      <c r="E40" t="s">
        <v>6</v>
      </c>
      <c r="F40" t="s">
        <v>51</v>
      </c>
      <c r="G40" t="s">
        <v>5</v>
      </c>
    </row>
    <row r="41" spans="1:7" x14ac:dyDescent="0.3">
      <c r="A41" t="s">
        <v>10</v>
      </c>
      <c r="B41" s="1">
        <v>45838</v>
      </c>
      <c r="C41">
        <v>410049</v>
      </c>
      <c r="D41">
        <v>-285.27999999999997</v>
      </c>
      <c r="E41" t="s">
        <v>6</v>
      </c>
      <c r="F41" t="s">
        <v>51</v>
      </c>
      <c r="G41" t="s">
        <v>5</v>
      </c>
    </row>
    <row r="42" spans="1:7" x14ac:dyDescent="0.3">
      <c r="A42" t="s">
        <v>10</v>
      </c>
      <c r="B42" s="1">
        <v>45838</v>
      </c>
      <c r="C42">
        <v>421002</v>
      </c>
      <c r="D42">
        <v>210.23699999999999</v>
      </c>
      <c r="E42" t="s">
        <v>6</v>
      </c>
      <c r="F42" t="s">
        <v>52</v>
      </c>
      <c r="G42" t="s">
        <v>5</v>
      </c>
    </row>
    <row r="43" spans="1:7" x14ac:dyDescent="0.3">
      <c r="A43" t="s">
        <v>10</v>
      </c>
      <c r="B43" s="1">
        <v>45838</v>
      </c>
      <c r="C43">
        <v>421003</v>
      </c>
      <c r="D43">
        <v>13331.233</v>
      </c>
      <c r="E43" t="s">
        <v>6</v>
      </c>
      <c r="F43" t="s">
        <v>52</v>
      </c>
      <c r="G43" t="s">
        <v>5</v>
      </c>
    </row>
    <row r="44" spans="1:7" x14ac:dyDescent="0.3">
      <c r="A44" t="s">
        <v>10</v>
      </c>
      <c r="B44" s="1">
        <v>45838</v>
      </c>
      <c r="C44">
        <v>421007</v>
      </c>
      <c r="D44">
        <v>-94.278999999999996</v>
      </c>
      <c r="E44" t="s">
        <v>6</v>
      </c>
      <c r="F44" t="s">
        <v>52</v>
      </c>
      <c r="G44" t="s">
        <v>5</v>
      </c>
    </row>
    <row r="45" spans="1:7" x14ac:dyDescent="0.3">
      <c r="A45" t="s">
        <v>10</v>
      </c>
      <c r="B45" s="1">
        <v>45838</v>
      </c>
      <c r="C45">
        <v>510002</v>
      </c>
      <c r="D45">
        <v>3844.759</v>
      </c>
      <c r="E45" t="s">
        <v>6</v>
      </c>
      <c r="F45" t="s">
        <v>53</v>
      </c>
      <c r="G45" t="s">
        <v>5</v>
      </c>
    </row>
    <row r="46" spans="1:7" x14ac:dyDescent="0.3">
      <c r="A46" t="s">
        <v>10</v>
      </c>
      <c r="B46" s="1">
        <v>45838</v>
      </c>
      <c r="C46">
        <v>510005</v>
      </c>
      <c r="D46">
        <v>-131.9</v>
      </c>
      <c r="E46" t="s">
        <v>6</v>
      </c>
      <c r="F46" t="s">
        <v>53</v>
      </c>
      <c r="G46" t="s">
        <v>5</v>
      </c>
    </row>
    <row r="47" spans="1:7" x14ac:dyDescent="0.3">
      <c r="A47" t="s">
        <v>10</v>
      </c>
      <c r="B47" s="1">
        <v>45838</v>
      </c>
      <c r="C47">
        <v>510007</v>
      </c>
      <c r="D47">
        <v>-115.96899999999999</v>
      </c>
      <c r="E47" t="s">
        <v>6</v>
      </c>
      <c r="F47" t="s">
        <v>53</v>
      </c>
      <c r="G47" t="s">
        <v>5</v>
      </c>
    </row>
    <row r="48" spans="1:7" x14ac:dyDescent="0.3">
      <c r="A48" t="s">
        <v>10</v>
      </c>
      <c r="B48" s="1">
        <v>45838</v>
      </c>
      <c r="C48">
        <v>510015</v>
      </c>
      <c r="D48">
        <v>504.72500000000002</v>
      </c>
      <c r="E48" t="s">
        <v>6</v>
      </c>
      <c r="F48" t="s">
        <v>53</v>
      </c>
      <c r="G48" t="s">
        <v>5</v>
      </c>
    </row>
    <row r="49" spans="1:7" x14ac:dyDescent="0.3">
      <c r="A49" t="s">
        <v>10</v>
      </c>
      <c r="B49" s="1">
        <v>45838</v>
      </c>
      <c r="C49">
        <v>510061</v>
      </c>
      <c r="D49">
        <v>0</v>
      </c>
      <c r="E49" t="s">
        <v>6</v>
      </c>
      <c r="F49" t="s">
        <v>53</v>
      </c>
      <c r="G49" t="s">
        <v>5</v>
      </c>
    </row>
    <row r="50" spans="1:7" x14ac:dyDescent="0.3">
      <c r="A50" t="s">
        <v>10</v>
      </c>
      <c r="B50" s="1">
        <v>45838</v>
      </c>
      <c r="C50">
        <v>510066</v>
      </c>
      <c r="D50">
        <v>0</v>
      </c>
      <c r="E50" t="s">
        <v>6</v>
      </c>
      <c r="F50" t="s">
        <v>53</v>
      </c>
      <c r="G50" t="s">
        <v>5</v>
      </c>
    </row>
    <row r="51" spans="1:7" x14ac:dyDescent="0.3">
      <c r="A51" t="s">
        <v>10</v>
      </c>
      <c r="B51" s="1">
        <v>45838</v>
      </c>
      <c r="C51">
        <v>521002</v>
      </c>
      <c r="D51">
        <v>0</v>
      </c>
      <c r="E51" t="s">
        <v>6</v>
      </c>
      <c r="F51" t="s">
        <v>53</v>
      </c>
      <c r="G51" t="s">
        <v>5</v>
      </c>
    </row>
    <row r="52" spans="1:7" x14ac:dyDescent="0.3">
      <c r="A52" t="s">
        <v>10</v>
      </c>
      <c r="B52" s="1">
        <v>45838</v>
      </c>
      <c r="C52">
        <v>521004</v>
      </c>
      <c r="D52">
        <v>0</v>
      </c>
      <c r="E52" t="s">
        <v>6</v>
      </c>
      <c r="F52" t="s">
        <v>53</v>
      </c>
      <c r="G52" t="s">
        <v>5</v>
      </c>
    </row>
    <row r="53" spans="1:7" x14ac:dyDescent="0.3">
      <c r="A53" t="s">
        <v>10</v>
      </c>
      <c r="B53" s="1">
        <v>45838</v>
      </c>
      <c r="C53">
        <v>521006</v>
      </c>
      <c r="D53">
        <v>0</v>
      </c>
      <c r="E53" t="s">
        <v>6</v>
      </c>
      <c r="F53" t="s">
        <v>53</v>
      </c>
      <c r="G53" t="s">
        <v>5</v>
      </c>
    </row>
    <row r="54" spans="1:7" x14ac:dyDescent="0.3">
      <c r="A54" t="s">
        <v>10</v>
      </c>
      <c r="B54" s="1">
        <v>45838</v>
      </c>
      <c r="C54">
        <v>521007</v>
      </c>
      <c r="D54">
        <v>0</v>
      </c>
      <c r="E54" t="s">
        <v>6</v>
      </c>
      <c r="F54" t="s">
        <v>53</v>
      </c>
      <c r="G54" t="s">
        <v>5</v>
      </c>
    </row>
    <row r="55" spans="1:7" x14ac:dyDescent="0.3">
      <c r="A55" t="s">
        <v>10</v>
      </c>
      <c r="B55" s="1">
        <v>45838</v>
      </c>
      <c r="C55">
        <v>546002</v>
      </c>
      <c r="D55">
        <v>8776.7209999999995</v>
      </c>
      <c r="E55" t="s">
        <v>6</v>
      </c>
      <c r="F55" t="s">
        <v>51</v>
      </c>
      <c r="G55" t="s">
        <v>5</v>
      </c>
    </row>
    <row r="56" spans="1:7" x14ac:dyDescent="0.3">
      <c r="A56" t="s">
        <v>10</v>
      </c>
      <c r="B56" s="1">
        <v>45838</v>
      </c>
      <c r="C56">
        <v>547002</v>
      </c>
      <c r="D56">
        <v>2298.0369999999998</v>
      </c>
      <c r="E56" t="s">
        <v>6</v>
      </c>
      <c r="F56" t="s">
        <v>54</v>
      </c>
      <c r="G56" t="s">
        <v>5</v>
      </c>
    </row>
    <row r="57" spans="1:7" x14ac:dyDescent="0.3">
      <c r="A57" t="s">
        <v>10</v>
      </c>
      <c r="B57" s="1">
        <v>45838</v>
      </c>
      <c r="C57">
        <v>547011</v>
      </c>
      <c r="D57">
        <v>150.31899999999999</v>
      </c>
      <c r="E57" t="s">
        <v>6</v>
      </c>
      <c r="F57" t="s">
        <v>54</v>
      </c>
      <c r="G57" t="s">
        <v>5</v>
      </c>
    </row>
    <row r="58" spans="1:7" x14ac:dyDescent="0.3">
      <c r="A58" t="s">
        <v>10</v>
      </c>
      <c r="B58" s="1">
        <v>45838</v>
      </c>
      <c r="C58">
        <v>552502</v>
      </c>
      <c r="D58">
        <v>36.960999999999999</v>
      </c>
      <c r="E58" t="s">
        <v>6</v>
      </c>
      <c r="F58" t="s">
        <v>55</v>
      </c>
      <c r="G58" t="s">
        <v>5</v>
      </c>
    </row>
    <row r="59" spans="1:7" x14ac:dyDescent="0.3">
      <c r="A59" t="s">
        <v>10</v>
      </c>
      <c r="B59" s="1">
        <v>45838</v>
      </c>
      <c r="C59">
        <v>556002</v>
      </c>
      <c r="D59">
        <v>2.9670000000000001</v>
      </c>
      <c r="E59" t="s">
        <v>6</v>
      </c>
      <c r="F59" t="s">
        <v>60</v>
      </c>
      <c r="G59" t="s">
        <v>5</v>
      </c>
    </row>
    <row r="60" spans="1:7" x14ac:dyDescent="0.3">
      <c r="A60" t="s">
        <v>10</v>
      </c>
      <c r="B60" s="1">
        <v>45838</v>
      </c>
      <c r="C60">
        <v>557002</v>
      </c>
      <c r="D60">
        <v>514.91099999999994</v>
      </c>
      <c r="E60" t="s">
        <v>6</v>
      </c>
      <c r="F60" t="s">
        <v>56</v>
      </c>
      <c r="G60" t="s">
        <v>5</v>
      </c>
    </row>
    <row r="61" spans="1:7" x14ac:dyDescent="0.3">
      <c r="A61" t="s">
        <v>10</v>
      </c>
      <c r="B61" s="1">
        <v>45838</v>
      </c>
      <c r="C61">
        <v>564004</v>
      </c>
      <c r="D61">
        <v>3.137</v>
      </c>
      <c r="E61" t="s">
        <v>6</v>
      </c>
      <c r="F61" t="s">
        <v>51</v>
      </c>
      <c r="G61" t="s">
        <v>5</v>
      </c>
    </row>
    <row r="62" spans="1:7" x14ac:dyDescent="0.3">
      <c r="A62" t="s">
        <v>10</v>
      </c>
      <c r="B62" s="1">
        <v>45838</v>
      </c>
      <c r="C62">
        <v>564006</v>
      </c>
      <c r="D62">
        <v>1.2E-2</v>
      </c>
      <c r="E62" t="s">
        <v>6</v>
      </c>
      <c r="F62" t="s">
        <v>57</v>
      </c>
      <c r="G62" t="s">
        <v>5</v>
      </c>
    </row>
    <row r="63" spans="1:7" x14ac:dyDescent="0.3">
      <c r="A63" t="s">
        <v>10</v>
      </c>
      <c r="B63" s="1">
        <v>45838</v>
      </c>
      <c r="C63">
        <v>564021</v>
      </c>
      <c r="D63">
        <v>39.475000000000001</v>
      </c>
      <c r="E63" t="s">
        <v>6</v>
      </c>
      <c r="F63" t="s">
        <v>57</v>
      </c>
      <c r="G63" t="s">
        <v>5</v>
      </c>
    </row>
    <row r="64" spans="1:7" x14ac:dyDescent="0.3">
      <c r="A64" t="s">
        <v>11</v>
      </c>
      <c r="B64" s="1">
        <v>45838</v>
      </c>
      <c r="C64">
        <v>210002</v>
      </c>
      <c r="D64">
        <v>-9.5000000000000001E-2</v>
      </c>
      <c r="E64" t="s">
        <v>4</v>
      </c>
      <c r="F64" t="s">
        <v>42</v>
      </c>
      <c r="G64" t="s">
        <v>7</v>
      </c>
    </row>
    <row r="65" spans="1:7" x14ac:dyDescent="0.3">
      <c r="A65" t="s">
        <v>11</v>
      </c>
      <c r="B65" s="1">
        <v>45838</v>
      </c>
      <c r="C65">
        <v>220006</v>
      </c>
      <c r="D65">
        <v>-1759737.0789999999</v>
      </c>
      <c r="E65" t="s">
        <v>4</v>
      </c>
      <c r="F65" t="s">
        <v>42</v>
      </c>
      <c r="G65" t="s">
        <v>7</v>
      </c>
    </row>
    <row r="66" spans="1:7" x14ac:dyDescent="0.3">
      <c r="A66" t="s">
        <v>11</v>
      </c>
      <c r="B66" s="1">
        <v>45838</v>
      </c>
      <c r="C66">
        <v>240002</v>
      </c>
      <c r="D66">
        <v>234.93700000000001</v>
      </c>
      <c r="E66" t="s">
        <v>4</v>
      </c>
      <c r="F66" t="s">
        <v>43</v>
      </c>
      <c r="G66" t="s">
        <v>7</v>
      </c>
    </row>
    <row r="67" spans="1:7" x14ac:dyDescent="0.3">
      <c r="A67" t="s">
        <v>11</v>
      </c>
      <c r="B67" s="1">
        <v>45838</v>
      </c>
      <c r="C67">
        <v>240003</v>
      </c>
      <c r="D67">
        <v>0.14399999999999999</v>
      </c>
      <c r="E67" t="s">
        <v>4</v>
      </c>
      <c r="F67" t="s">
        <v>43</v>
      </c>
      <c r="G67" t="s">
        <v>7</v>
      </c>
    </row>
    <row r="68" spans="1:7" x14ac:dyDescent="0.3">
      <c r="A68" t="s">
        <v>11</v>
      </c>
      <c r="B68" s="1">
        <v>45838</v>
      </c>
      <c r="C68">
        <v>240009</v>
      </c>
      <c r="D68">
        <v>-951.16899999999998</v>
      </c>
      <c r="E68" t="s">
        <v>4</v>
      </c>
      <c r="F68" t="s">
        <v>43</v>
      </c>
      <c r="G68" t="s">
        <v>7</v>
      </c>
    </row>
    <row r="69" spans="1:7" x14ac:dyDescent="0.3">
      <c r="A69" t="s">
        <v>11</v>
      </c>
      <c r="B69" s="1">
        <v>45838</v>
      </c>
      <c r="C69">
        <v>242003</v>
      </c>
      <c r="D69">
        <v>-111255.277</v>
      </c>
      <c r="E69" t="s">
        <v>4</v>
      </c>
      <c r="F69" t="s">
        <v>43</v>
      </c>
      <c r="G69" t="s">
        <v>7</v>
      </c>
    </row>
    <row r="70" spans="1:7" x14ac:dyDescent="0.3">
      <c r="A70" t="s">
        <v>11</v>
      </c>
      <c r="B70" s="1">
        <v>45838</v>
      </c>
      <c r="C70">
        <v>242011</v>
      </c>
      <c r="D70">
        <v>-33783.154999999999</v>
      </c>
      <c r="E70" t="s">
        <v>4</v>
      </c>
      <c r="F70" t="s">
        <v>43</v>
      </c>
      <c r="G70" t="s">
        <v>7</v>
      </c>
    </row>
    <row r="71" spans="1:7" x14ac:dyDescent="0.3">
      <c r="A71" t="s">
        <v>11</v>
      </c>
      <c r="B71" s="1">
        <v>45838</v>
      </c>
      <c r="C71">
        <v>242012</v>
      </c>
      <c r="D71">
        <v>-53551.760999999999</v>
      </c>
      <c r="E71" t="s">
        <v>4</v>
      </c>
      <c r="F71" t="s">
        <v>43</v>
      </c>
      <c r="G71" t="s">
        <v>7</v>
      </c>
    </row>
    <row r="72" spans="1:7" x14ac:dyDescent="0.3">
      <c r="A72" t="s">
        <v>11</v>
      </c>
      <c r="B72" s="1">
        <v>45838</v>
      </c>
      <c r="C72">
        <v>242013</v>
      </c>
      <c r="D72">
        <v>-11742.159</v>
      </c>
      <c r="E72" t="s">
        <v>4</v>
      </c>
      <c r="F72" t="s">
        <v>43</v>
      </c>
      <c r="G72" t="s">
        <v>7</v>
      </c>
    </row>
    <row r="73" spans="1:7" x14ac:dyDescent="0.3">
      <c r="A73" t="s">
        <v>11</v>
      </c>
      <c r="B73" s="1">
        <v>45838</v>
      </c>
      <c r="C73">
        <v>242018</v>
      </c>
      <c r="D73">
        <v>-8512.2209999999995</v>
      </c>
      <c r="E73" t="s">
        <v>4</v>
      </c>
      <c r="F73" t="s">
        <v>43</v>
      </c>
      <c r="G73" t="s">
        <v>7</v>
      </c>
    </row>
    <row r="74" spans="1:7" x14ac:dyDescent="0.3">
      <c r="A74" t="s">
        <v>11</v>
      </c>
      <c r="B74" s="1">
        <v>45838</v>
      </c>
      <c r="C74">
        <v>242023</v>
      </c>
      <c r="D74">
        <v>-1818.6759999999999</v>
      </c>
      <c r="E74" t="s">
        <v>4</v>
      </c>
      <c r="F74" t="s">
        <v>43</v>
      </c>
      <c r="G74" t="s">
        <v>7</v>
      </c>
    </row>
    <row r="75" spans="1:7" x14ac:dyDescent="0.3">
      <c r="A75" t="s">
        <v>11</v>
      </c>
      <c r="B75" s="1">
        <v>45838</v>
      </c>
      <c r="C75">
        <v>242027</v>
      </c>
      <c r="D75">
        <v>-74123.513000000006</v>
      </c>
      <c r="E75" t="s">
        <v>4</v>
      </c>
      <c r="F75" t="s">
        <v>43</v>
      </c>
      <c r="G75" t="s">
        <v>7</v>
      </c>
    </row>
    <row r="76" spans="1:7" x14ac:dyDescent="0.3">
      <c r="A76" t="s">
        <v>11</v>
      </c>
      <c r="B76" s="1">
        <v>45838</v>
      </c>
      <c r="C76">
        <v>242030</v>
      </c>
      <c r="D76">
        <v>-18202.43</v>
      </c>
      <c r="E76" t="s">
        <v>4</v>
      </c>
      <c r="F76" t="s">
        <v>43</v>
      </c>
      <c r="G76" t="s">
        <v>7</v>
      </c>
    </row>
    <row r="77" spans="1:7" x14ac:dyDescent="0.3">
      <c r="A77" t="s">
        <v>11</v>
      </c>
      <c r="B77" s="1">
        <v>45838</v>
      </c>
      <c r="C77">
        <v>242038</v>
      </c>
      <c r="D77">
        <v>-2.6259999999999999</v>
      </c>
      <c r="E77" t="s">
        <v>4</v>
      </c>
      <c r="F77" t="s">
        <v>43</v>
      </c>
      <c r="G77" t="s">
        <v>7</v>
      </c>
    </row>
    <row r="78" spans="1:7" x14ac:dyDescent="0.3">
      <c r="A78" t="s">
        <v>11</v>
      </c>
      <c r="B78" s="1">
        <v>45838</v>
      </c>
      <c r="C78">
        <v>242041</v>
      </c>
      <c r="D78">
        <v>2297.212</v>
      </c>
      <c r="E78" t="s">
        <v>4</v>
      </c>
      <c r="F78" t="s">
        <v>43</v>
      </c>
      <c r="G78" t="s">
        <v>7</v>
      </c>
    </row>
    <row r="79" spans="1:7" x14ac:dyDescent="0.3">
      <c r="A79" t="s">
        <v>11</v>
      </c>
      <c r="B79" s="1">
        <v>45838</v>
      </c>
      <c r="C79">
        <v>243002</v>
      </c>
      <c r="D79">
        <v>-10562.444</v>
      </c>
      <c r="E79" t="s">
        <v>4</v>
      </c>
      <c r="F79" t="s">
        <v>43</v>
      </c>
      <c r="G79" t="s">
        <v>7</v>
      </c>
    </row>
    <row r="80" spans="1:7" x14ac:dyDescent="0.3">
      <c r="A80" t="s">
        <v>11</v>
      </c>
      <c r="B80" s="1">
        <v>45838</v>
      </c>
      <c r="C80">
        <v>243003</v>
      </c>
      <c r="D80">
        <v>-6595.0219999999999</v>
      </c>
      <c r="E80" t="s">
        <v>4</v>
      </c>
      <c r="F80" t="s">
        <v>43</v>
      </c>
      <c r="G80" t="s">
        <v>7</v>
      </c>
    </row>
    <row r="81" spans="1:7" x14ac:dyDescent="0.3">
      <c r="A81" t="s">
        <v>11</v>
      </c>
      <c r="B81" s="1">
        <v>45838</v>
      </c>
      <c r="C81">
        <v>243010</v>
      </c>
      <c r="D81">
        <v>-626.654</v>
      </c>
      <c r="E81" t="s">
        <v>4</v>
      </c>
      <c r="F81" t="s">
        <v>43</v>
      </c>
      <c r="G81" t="s">
        <v>7</v>
      </c>
    </row>
    <row r="82" spans="1:7" x14ac:dyDescent="0.3">
      <c r="A82" t="s">
        <v>11</v>
      </c>
      <c r="B82" s="1">
        <v>45838</v>
      </c>
      <c r="C82">
        <v>245010</v>
      </c>
      <c r="D82">
        <v>-19757.652999999998</v>
      </c>
      <c r="E82" t="s">
        <v>4</v>
      </c>
      <c r="F82" t="s">
        <v>44</v>
      </c>
      <c r="G82" t="s">
        <v>7</v>
      </c>
    </row>
    <row r="83" spans="1:7" x14ac:dyDescent="0.3">
      <c r="A83" t="s">
        <v>11</v>
      </c>
      <c r="B83" s="1">
        <v>45838</v>
      </c>
      <c r="C83">
        <v>245018</v>
      </c>
      <c r="D83">
        <v>-2822.2370000000001</v>
      </c>
      <c r="E83" t="s">
        <v>4</v>
      </c>
      <c r="F83" t="s">
        <v>43</v>
      </c>
      <c r="G83" t="s">
        <v>7</v>
      </c>
    </row>
    <row r="84" spans="1:7" x14ac:dyDescent="0.3">
      <c r="A84" t="s">
        <v>11</v>
      </c>
      <c r="B84" s="1">
        <v>45838</v>
      </c>
      <c r="C84">
        <v>245055</v>
      </c>
      <c r="D84">
        <v>-2045.623</v>
      </c>
      <c r="E84" t="s">
        <v>4</v>
      </c>
      <c r="F84" t="s">
        <v>43</v>
      </c>
      <c r="G84" t="s">
        <v>7</v>
      </c>
    </row>
    <row r="85" spans="1:7" x14ac:dyDescent="0.3">
      <c r="A85" t="s">
        <v>11</v>
      </c>
      <c r="B85" s="1">
        <v>45838</v>
      </c>
      <c r="C85">
        <v>245056</v>
      </c>
      <c r="D85">
        <v>-469.95600000000002</v>
      </c>
      <c r="E85" t="s">
        <v>4</v>
      </c>
      <c r="F85" t="s">
        <v>49</v>
      </c>
      <c r="G85" t="s">
        <v>7</v>
      </c>
    </row>
    <row r="86" spans="1:7" x14ac:dyDescent="0.3">
      <c r="A86" t="s">
        <v>11</v>
      </c>
      <c r="B86" s="1">
        <v>45838</v>
      </c>
      <c r="C86">
        <v>245058</v>
      </c>
      <c r="D86">
        <v>0</v>
      </c>
      <c r="E86" t="s">
        <v>4</v>
      </c>
      <c r="F86" t="s">
        <v>43</v>
      </c>
      <c r="G86" t="s">
        <v>7</v>
      </c>
    </row>
    <row r="87" spans="1:7" x14ac:dyDescent="0.3">
      <c r="A87" t="s">
        <v>11</v>
      </c>
      <c r="B87" s="1">
        <v>45838</v>
      </c>
      <c r="C87">
        <v>245062</v>
      </c>
      <c r="D87">
        <v>-14259.264999999999</v>
      </c>
      <c r="E87" t="s">
        <v>4</v>
      </c>
      <c r="F87" t="s">
        <v>43</v>
      </c>
      <c r="G87" t="s">
        <v>7</v>
      </c>
    </row>
    <row r="88" spans="1:7" x14ac:dyDescent="0.3">
      <c r="A88" t="s">
        <v>11</v>
      </c>
      <c r="B88" s="1">
        <v>45838</v>
      </c>
      <c r="C88">
        <v>250003</v>
      </c>
      <c r="D88">
        <v>-54.228999999999999</v>
      </c>
      <c r="E88" t="s">
        <v>4</v>
      </c>
      <c r="F88" t="s">
        <v>45</v>
      </c>
      <c r="G88" t="s">
        <v>7</v>
      </c>
    </row>
    <row r="89" spans="1:7" x14ac:dyDescent="0.3">
      <c r="A89" t="s">
        <v>11</v>
      </c>
      <c r="B89" s="1">
        <v>45838</v>
      </c>
      <c r="C89">
        <v>251002</v>
      </c>
      <c r="D89">
        <v>-1210.3520000000001</v>
      </c>
      <c r="E89" t="s">
        <v>4</v>
      </c>
      <c r="F89" t="s">
        <v>45</v>
      </c>
      <c r="G89" t="s">
        <v>7</v>
      </c>
    </row>
    <row r="90" spans="1:7" x14ac:dyDescent="0.3">
      <c r="A90" t="s">
        <v>11</v>
      </c>
      <c r="B90" s="1">
        <v>45838</v>
      </c>
      <c r="C90">
        <v>251003</v>
      </c>
      <c r="D90">
        <v>-2507.7579999999998</v>
      </c>
      <c r="E90" t="s">
        <v>4</v>
      </c>
      <c r="F90" t="s">
        <v>45</v>
      </c>
      <c r="G90" t="s">
        <v>7</v>
      </c>
    </row>
    <row r="91" spans="1:7" x14ac:dyDescent="0.3">
      <c r="A91" t="s">
        <v>11</v>
      </c>
      <c r="B91" s="1">
        <v>45838</v>
      </c>
      <c r="C91">
        <v>251005</v>
      </c>
      <c r="D91">
        <v>0</v>
      </c>
      <c r="E91" t="s">
        <v>4</v>
      </c>
      <c r="F91" t="s">
        <v>46</v>
      </c>
      <c r="G91" t="s">
        <v>7</v>
      </c>
    </row>
    <row r="92" spans="1:7" x14ac:dyDescent="0.3">
      <c r="A92" t="s">
        <v>11</v>
      </c>
      <c r="B92" s="1">
        <v>45838</v>
      </c>
      <c r="C92">
        <v>256010</v>
      </c>
      <c r="D92">
        <v>0</v>
      </c>
      <c r="E92" t="s">
        <v>4</v>
      </c>
      <c r="F92" t="s">
        <v>43</v>
      </c>
      <c r="G92" t="s">
        <v>7</v>
      </c>
    </row>
    <row r="93" spans="1:7" x14ac:dyDescent="0.3">
      <c r="A93" t="s">
        <v>11</v>
      </c>
      <c r="B93" s="1">
        <v>45838</v>
      </c>
      <c r="C93">
        <v>256020</v>
      </c>
      <c r="D93">
        <v>0</v>
      </c>
      <c r="E93" t="s">
        <v>4</v>
      </c>
      <c r="F93" t="s">
        <v>43</v>
      </c>
      <c r="G93" t="s">
        <v>7</v>
      </c>
    </row>
    <row r="94" spans="1:7" x14ac:dyDescent="0.3">
      <c r="A94" t="s">
        <v>11</v>
      </c>
      <c r="B94" s="1">
        <v>45838</v>
      </c>
      <c r="C94">
        <v>256040</v>
      </c>
      <c r="D94">
        <v>1041907.048</v>
      </c>
      <c r="E94" t="s">
        <v>4</v>
      </c>
      <c r="F94" t="s">
        <v>43</v>
      </c>
      <c r="G94" t="s">
        <v>7</v>
      </c>
    </row>
    <row r="95" spans="1:7" x14ac:dyDescent="0.3">
      <c r="A95" t="s">
        <v>11</v>
      </c>
      <c r="B95" s="1">
        <v>45838</v>
      </c>
      <c r="C95">
        <v>256041</v>
      </c>
      <c r="D95">
        <v>7669.5919999999996</v>
      </c>
      <c r="E95" t="s">
        <v>4</v>
      </c>
      <c r="F95" t="s">
        <v>43</v>
      </c>
      <c r="G95" t="s">
        <v>7</v>
      </c>
    </row>
    <row r="96" spans="1:7" x14ac:dyDescent="0.3">
      <c r="A96" t="s">
        <v>11</v>
      </c>
      <c r="B96" s="1">
        <v>45838</v>
      </c>
      <c r="C96">
        <v>257030</v>
      </c>
      <c r="D96">
        <v>0</v>
      </c>
      <c r="E96" t="s">
        <v>4</v>
      </c>
      <c r="F96" t="s">
        <v>45</v>
      </c>
      <c r="G96" t="s">
        <v>7</v>
      </c>
    </row>
    <row r="97" spans="1:7" x14ac:dyDescent="0.3">
      <c r="A97" t="s">
        <v>11</v>
      </c>
      <c r="B97" s="1">
        <v>45838</v>
      </c>
      <c r="C97">
        <v>260004</v>
      </c>
      <c r="D97">
        <v>0</v>
      </c>
      <c r="E97" t="s">
        <v>4</v>
      </c>
      <c r="F97" t="s">
        <v>45</v>
      </c>
      <c r="G97" t="s">
        <v>7</v>
      </c>
    </row>
    <row r="98" spans="1:7" x14ac:dyDescent="0.3">
      <c r="A98" t="s">
        <v>11</v>
      </c>
      <c r="B98" s="1">
        <v>45838</v>
      </c>
      <c r="C98">
        <v>263002</v>
      </c>
      <c r="D98">
        <v>-55274.53</v>
      </c>
      <c r="E98" t="s">
        <v>4</v>
      </c>
      <c r="F98" t="s">
        <v>45</v>
      </c>
      <c r="G98" t="s">
        <v>7</v>
      </c>
    </row>
    <row r="99" spans="1:7" x14ac:dyDescent="0.3">
      <c r="A99" t="s">
        <v>11</v>
      </c>
      <c r="B99" s="1">
        <v>45838</v>
      </c>
      <c r="C99">
        <v>263003</v>
      </c>
      <c r="D99">
        <v>-1E-3</v>
      </c>
      <c r="E99" t="s">
        <v>4</v>
      </c>
      <c r="F99" t="s">
        <v>45</v>
      </c>
      <c r="G99" t="s">
        <v>7</v>
      </c>
    </row>
    <row r="100" spans="1:7" x14ac:dyDescent="0.3">
      <c r="A100" t="s">
        <v>11</v>
      </c>
      <c r="B100" s="1">
        <v>45838</v>
      </c>
      <c r="C100">
        <v>263005</v>
      </c>
      <c r="D100">
        <v>400.63499999999999</v>
      </c>
      <c r="E100" t="s">
        <v>4</v>
      </c>
      <c r="F100" t="s">
        <v>45</v>
      </c>
      <c r="G100" t="s">
        <v>7</v>
      </c>
    </row>
    <row r="101" spans="1:7" x14ac:dyDescent="0.3">
      <c r="A101" t="s">
        <v>11</v>
      </c>
      <c r="B101" s="1">
        <v>45838</v>
      </c>
      <c r="C101">
        <v>270026</v>
      </c>
      <c r="D101">
        <v>-67071.104000000007</v>
      </c>
      <c r="E101" t="s">
        <v>4</v>
      </c>
      <c r="F101" t="s">
        <v>58</v>
      </c>
      <c r="G101" t="s">
        <v>7</v>
      </c>
    </row>
    <row r="102" spans="1:7" x14ac:dyDescent="0.3">
      <c r="A102" t="s">
        <v>11</v>
      </c>
      <c r="B102" s="1">
        <v>45838</v>
      </c>
      <c r="C102">
        <v>320003</v>
      </c>
      <c r="D102">
        <v>187502.842</v>
      </c>
      <c r="E102" t="s">
        <v>4</v>
      </c>
      <c r="F102" t="s">
        <v>46</v>
      </c>
      <c r="G102" t="s">
        <v>7</v>
      </c>
    </row>
    <row r="103" spans="1:7" x14ac:dyDescent="0.3">
      <c r="A103" t="s">
        <v>11</v>
      </c>
      <c r="B103" s="1">
        <v>45838</v>
      </c>
      <c r="C103">
        <v>320004</v>
      </c>
      <c r="D103">
        <v>839.23900000000003</v>
      </c>
      <c r="E103" t="s">
        <v>4</v>
      </c>
      <c r="F103" t="s">
        <v>46</v>
      </c>
      <c r="G103" t="s">
        <v>7</v>
      </c>
    </row>
    <row r="104" spans="1:7" x14ac:dyDescent="0.3">
      <c r="A104" t="s">
        <v>11</v>
      </c>
      <c r="B104" s="1">
        <v>45838</v>
      </c>
      <c r="C104">
        <v>320023</v>
      </c>
      <c r="D104">
        <v>-3861.36</v>
      </c>
      <c r="E104" t="s">
        <v>4</v>
      </c>
      <c r="F104" t="s">
        <v>46</v>
      </c>
      <c r="G104" t="s">
        <v>7</v>
      </c>
    </row>
    <row r="105" spans="1:7" x14ac:dyDescent="0.3">
      <c r="A105" t="s">
        <v>11</v>
      </c>
      <c r="B105" s="1">
        <v>45838</v>
      </c>
      <c r="C105">
        <v>321002</v>
      </c>
      <c r="D105">
        <v>248372.30499999999</v>
      </c>
      <c r="E105" t="s">
        <v>4</v>
      </c>
      <c r="F105" t="s">
        <v>46</v>
      </c>
      <c r="G105" t="s">
        <v>7</v>
      </c>
    </row>
    <row r="106" spans="1:7" x14ac:dyDescent="0.3">
      <c r="A106" t="s">
        <v>11</v>
      </c>
      <c r="B106" s="1">
        <v>45838</v>
      </c>
      <c r="C106">
        <v>321010</v>
      </c>
      <c r="D106">
        <v>11.4</v>
      </c>
      <c r="E106" t="s">
        <v>4</v>
      </c>
      <c r="F106" t="s">
        <v>46</v>
      </c>
      <c r="G106" t="s">
        <v>7</v>
      </c>
    </row>
    <row r="107" spans="1:7" x14ac:dyDescent="0.3">
      <c r="A107" t="s">
        <v>11</v>
      </c>
      <c r="B107" s="1">
        <v>45838</v>
      </c>
      <c r="C107">
        <v>321012</v>
      </c>
      <c r="D107">
        <v>20001.223999999998</v>
      </c>
      <c r="E107" t="s">
        <v>4</v>
      </c>
      <c r="F107" t="s">
        <v>46</v>
      </c>
      <c r="G107" t="s">
        <v>7</v>
      </c>
    </row>
    <row r="108" spans="1:7" x14ac:dyDescent="0.3">
      <c r="A108" t="s">
        <v>11</v>
      </c>
      <c r="B108" s="1">
        <v>45838</v>
      </c>
      <c r="C108">
        <v>321013</v>
      </c>
      <c r="D108">
        <v>22445.124</v>
      </c>
      <c r="E108" t="s">
        <v>4</v>
      </c>
      <c r="F108" t="s">
        <v>46</v>
      </c>
      <c r="G108" t="s">
        <v>7</v>
      </c>
    </row>
    <row r="109" spans="1:7" x14ac:dyDescent="0.3">
      <c r="A109" t="s">
        <v>11</v>
      </c>
      <c r="B109" s="1">
        <v>45838</v>
      </c>
      <c r="C109">
        <v>321021</v>
      </c>
      <c r="D109">
        <v>26109.802</v>
      </c>
      <c r="E109" t="s">
        <v>4</v>
      </c>
      <c r="F109" t="s">
        <v>46</v>
      </c>
      <c r="G109" t="s">
        <v>7</v>
      </c>
    </row>
    <row r="110" spans="1:7" x14ac:dyDescent="0.3">
      <c r="A110" t="s">
        <v>11</v>
      </c>
      <c r="B110" s="1">
        <v>45838</v>
      </c>
      <c r="C110">
        <v>321025</v>
      </c>
      <c r="D110">
        <v>20166.78</v>
      </c>
      <c r="E110" t="s">
        <v>4</v>
      </c>
      <c r="F110" t="s">
        <v>46</v>
      </c>
      <c r="G110" t="s">
        <v>7</v>
      </c>
    </row>
    <row r="111" spans="1:7" x14ac:dyDescent="0.3">
      <c r="A111" t="s">
        <v>11</v>
      </c>
      <c r="B111" s="1">
        <v>45838</v>
      </c>
      <c r="C111">
        <v>321029</v>
      </c>
      <c r="D111">
        <v>125772.21799999999</v>
      </c>
      <c r="E111" t="s">
        <v>4</v>
      </c>
      <c r="F111" t="s">
        <v>46</v>
      </c>
      <c r="G111" t="s">
        <v>7</v>
      </c>
    </row>
    <row r="112" spans="1:7" x14ac:dyDescent="0.3">
      <c r="A112" t="s">
        <v>11</v>
      </c>
      <c r="B112" s="1">
        <v>45838</v>
      </c>
      <c r="C112">
        <v>321031</v>
      </c>
      <c r="D112">
        <v>11.4</v>
      </c>
      <c r="E112" t="s">
        <v>4</v>
      </c>
      <c r="F112" t="s">
        <v>46</v>
      </c>
      <c r="G112" t="s">
        <v>7</v>
      </c>
    </row>
    <row r="113" spans="1:7" x14ac:dyDescent="0.3">
      <c r="A113" t="s">
        <v>11</v>
      </c>
      <c r="B113" s="1">
        <v>45838</v>
      </c>
      <c r="C113">
        <v>321041</v>
      </c>
      <c r="D113">
        <v>4493.8530000000001</v>
      </c>
      <c r="E113" t="s">
        <v>4</v>
      </c>
      <c r="F113" t="s">
        <v>46</v>
      </c>
      <c r="G113" t="s">
        <v>7</v>
      </c>
    </row>
    <row r="114" spans="1:7" x14ac:dyDescent="0.3">
      <c r="A114" t="s">
        <v>11</v>
      </c>
      <c r="B114" s="1">
        <v>45838</v>
      </c>
      <c r="C114">
        <v>321042</v>
      </c>
      <c r="D114">
        <v>413.90699999999998</v>
      </c>
      <c r="E114" t="s">
        <v>4</v>
      </c>
      <c r="F114" t="s">
        <v>46</v>
      </c>
      <c r="G114" t="s">
        <v>7</v>
      </c>
    </row>
    <row r="115" spans="1:7" x14ac:dyDescent="0.3">
      <c r="A115" t="s">
        <v>11</v>
      </c>
      <c r="B115" s="1">
        <v>45838</v>
      </c>
      <c r="C115">
        <v>330033</v>
      </c>
      <c r="D115">
        <v>-32.683999999999997</v>
      </c>
      <c r="E115" t="s">
        <v>4</v>
      </c>
      <c r="F115" t="s">
        <v>43</v>
      </c>
      <c r="G115" t="s">
        <v>7</v>
      </c>
    </row>
    <row r="116" spans="1:7" x14ac:dyDescent="0.3">
      <c r="A116" t="s">
        <v>11</v>
      </c>
      <c r="B116" s="1">
        <v>45838</v>
      </c>
      <c r="C116">
        <v>330054</v>
      </c>
      <c r="D116">
        <v>-940.16499999999996</v>
      </c>
      <c r="E116" t="s">
        <v>4</v>
      </c>
      <c r="F116" t="s">
        <v>43</v>
      </c>
      <c r="G116" t="s">
        <v>7</v>
      </c>
    </row>
    <row r="117" spans="1:7" x14ac:dyDescent="0.3">
      <c r="A117" t="s">
        <v>11</v>
      </c>
      <c r="B117" s="1">
        <v>45838</v>
      </c>
      <c r="C117">
        <v>330061</v>
      </c>
      <c r="D117">
        <v>0</v>
      </c>
      <c r="E117" t="s">
        <v>4</v>
      </c>
      <c r="F117" t="s">
        <v>43</v>
      </c>
      <c r="G117" t="s">
        <v>7</v>
      </c>
    </row>
    <row r="118" spans="1:7" x14ac:dyDescent="0.3">
      <c r="A118" t="s">
        <v>11</v>
      </c>
      <c r="B118" s="1">
        <v>45838</v>
      </c>
      <c r="C118">
        <v>330106</v>
      </c>
      <c r="D118">
        <v>4003.5120000000002</v>
      </c>
      <c r="E118" t="s">
        <v>4</v>
      </c>
      <c r="F118" t="s">
        <v>43</v>
      </c>
      <c r="G118" t="s">
        <v>7</v>
      </c>
    </row>
    <row r="119" spans="1:7" x14ac:dyDescent="0.3">
      <c r="A119" t="s">
        <v>11</v>
      </c>
      <c r="B119" s="1">
        <v>45838</v>
      </c>
      <c r="C119">
        <v>340096</v>
      </c>
      <c r="D119">
        <v>490089.09899999999</v>
      </c>
      <c r="E119" t="s">
        <v>4</v>
      </c>
      <c r="F119" t="s">
        <v>47</v>
      </c>
      <c r="G119" t="s">
        <v>7</v>
      </c>
    </row>
    <row r="120" spans="1:7" x14ac:dyDescent="0.3">
      <c r="A120" t="s">
        <v>11</v>
      </c>
      <c r="B120" s="1">
        <v>45838</v>
      </c>
      <c r="C120">
        <v>340111</v>
      </c>
      <c r="D120">
        <v>155998.06599999999</v>
      </c>
      <c r="E120" t="s">
        <v>4</v>
      </c>
      <c r="F120" t="s">
        <v>47</v>
      </c>
      <c r="G120" t="s">
        <v>7</v>
      </c>
    </row>
    <row r="121" spans="1:7" x14ac:dyDescent="0.3">
      <c r="A121" t="s">
        <v>11</v>
      </c>
      <c r="B121" s="1">
        <v>45838</v>
      </c>
      <c r="C121">
        <v>340126</v>
      </c>
      <c r="D121">
        <v>0</v>
      </c>
      <c r="E121" t="s">
        <v>4</v>
      </c>
      <c r="F121" t="s">
        <v>47</v>
      </c>
      <c r="G121" t="s">
        <v>7</v>
      </c>
    </row>
    <row r="122" spans="1:7" x14ac:dyDescent="0.3">
      <c r="A122" t="s">
        <v>11</v>
      </c>
      <c r="B122" s="1">
        <v>45838</v>
      </c>
      <c r="C122">
        <v>340133</v>
      </c>
      <c r="D122">
        <v>7356009.0379999997</v>
      </c>
      <c r="E122" t="s">
        <v>4</v>
      </c>
      <c r="F122" t="s">
        <v>47</v>
      </c>
      <c r="G122" t="s">
        <v>7</v>
      </c>
    </row>
    <row r="123" spans="1:7" x14ac:dyDescent="0.3">
      <c r="A123" t="s">
        <v>11</v>
      </c>
      <c r="B123" s="1">
        <v>45838</v>
      </c>
      <c r="C123">
        <v>340134</v>
      </c>
      <c r="D123">
        <v>-7631386.5449999999</v>
      </c>
      <c r="E123" t="s">
        <v>4</v>
      </c>
      <c r="F123" t="s">
        <v>47</v>
      </c>
      <c r="G123" t="s">
        <v>7</v>
      </c>
    </row>
    <row r="124" spans="1:7" x14ac:dyDescent="0.3">
      <c r="A124" t="s">
        <v>11</v>
      </c>
      <c r="B124" s="1">
        <v>45838</v>
      </c>
      <c r="C124">
        <v>340143</v>
      </c>
      <c r="D124">
        <v>1161485.415</v>
      </c>
      <c r="E124" t="s">
        <v>4</v>
      </c>
      <c r="F124" t="s">
        <v>47</v>
      </c>
      <c r="G124" t="s">
        <v>7</v>
      </c>
    </row>
    <row r="125" spans="1:7" x14ac:dyDescent="0.3">
      <c r="A125" t="s">
        <v>11</v>
      </c>
      <c r="B125" s="1">
        <v>45838</v>
      </c>
      <c r="C125">
        <v>340144</v>
      </c>
      <c r="D125">
        <v>-1314135.963</v>
      </c>
      <c r="E125" t="s">
        <v>4</v>
      </c>
      <c r="F125" t="s">
        <v>47</v>
      </c>
      <c r="G125" t="s">
        <v>7</v>
      </c>
    </row>
    <row r="126" spans="1:7" x14ac:dyDescent="0.3">
      <c r="A126" t="s">
        <v>11</v>
      </c>
      <c r="B126" s="1">
        <v>45838</v>
      </c>
      <c r="C126">
        <v>340317</v>
      </c>
      <c r="D126">
        <v>1020413.94</v>
      </c>
      <c r="E126" t="s">
        <v>4</v>
      </c>
      <c r="F126" t="s">
        <v>47</v>
      </c>
      <c r="G126" t="s">
        <v>7</v>
      </c>
    </row>
    <row r="127" spans="1:7" x14ac:dyDescent="0.3">
      <c r="A127" t="s">
        <v>11</v>
      </c>
      <c r="B127" s="1">
        <v>45838</v>
      </c>
      <c r="C127">
        <v>340318</v>
      </c>
      <c r="D127">
        <v>-922181.62</v>
      </c>
      <c r="E127" t="s">
        <v>4</v>
      </c>
      <c r="F127" t="s">
        <v>47</v>
      </c>
      <c r="G127" t="s">
        <v>7</v>
      </c>
    </row>
    <row r="128" spans="1:7" x14ac:dyDescent="0.3">
      <c r="A128" t="s">
        <v>11</v>
      </c>
      <c r="B128" s="1">
        <v>45838</v>
      </c>
      <c r="C128">
        <v>340319</v>
      </c>
      <c r="D128">
        <v>1405731.003</v>
      </c>
      <c r="E128" t="s">
        <v>4</v>
      </c>
      <c r="F128" t="s">
        <v>47</v>
      </c>
      <c r="G128" t="s">
        <v>7</v>
      </c>
    </row>
    <row r="129" spans="1:7" x14ac:dyDescent="0.3">
      <c r="A129" t="s">
        <v>11</v>
      </c>
      <c r="B129" s="1">
        <v>45838</v>
      </c>
      <c r="C129">
        <v>340320</v>
      </c>
      <c r="D129">
        <v>-1393552.7779999999</v>
      </c>
      <c r="E129" t="s">
        <v>4</v>
      </c>
      <c r="F129" t="s">
        <v>47</v>
      </c>
      <c r="G129" t="s">
        <v>7</v>
      </c>
    </row>
    <row r="130" spans="1:7" x14ac:dyDescent="0.3">
      <c r="A130" t="s">
        <v>11</v>
      </c>
      <c r="B130" s="1">
        <v>45838</v>
      </c>
      <c r="C130">
        <v>345023</v>
      </c>
      <c r="D130">
        <v>26.645</v>
      </c>
      <c r="E130" t="s">
        <v>4</v>
      </c>
      <c r="F130" t="s">
        <v>47</v>
      </c>
      <c r="G130" t="s">
        <v>7</v>
      </c>
    </row>
    <row r="131" spans="1:7" x14ac:dyDescent="0.3">
      <c r="A131" t="s">
        <v>11</v>
      </c>
      <c r="B131" s="1">
        <v>45838</v>
      </c>
      <c r="C131">
        <v>350002</v>
      </c>
      <c r="D131">
        <v>2497.826</v>
      </c>
      <c r="E131" t="s">
        <v>4</v>
      </c>
      <c r="F131" t="s">
        <v>49</v>
      </c>
      <c r="G131" t="s">
        <v>7</v>
      </c>
    </row>
    <row r="132" spans="1:7" x14ac:dyDescent="0.3">
      <c r="A132" t="s">
        <v>11</v>
      </c>
      <c r="B132" s="1">
        <v>45838</v>
      </c>
      <c r="C132">
        <v>350003</v>
      </c>
      <c r="D132">
        <v>26.146000000000001</v>
      </c>
      <c r="E132" t="s">
        <v>4</v>
      </c>
      <c r="F132" t="s">
        <v>49</v>
      </c>
      <c r="G132" t="s">
        <v>7</v>
      </c>
    </row>
    <row r="133" spans="1:7" x14ac:dyDescent="0.3">
      <c r="A133" t="s">
        <v>11</v>
      </c>
      <c r="B133" s="1">
        <v>45838</v>
      </c>
      <c r="C133">
        <v>350007</v>
      </c>
      <c r="D133">
        <v>-2.3E-2</v>
      </c>
      <c r="E133" t="s">
        <v>4</v>
      </c>
      <c r="F133" t="s">
        <v>49</v>
      </c>
      <c r="G133" t="s">
        <v>7</v>
      </c>
    </row>
    <row r="134" spans="1:7" x14ac:dyDescent="0.3">
      <c r="A134" t="s">
        <v>11</v>
      </c>
      <c r="B134" s="1">
        <v>45838</v>
      </c>
      <c r="C134">
        <v>350031</v>
      </c>
      <c r="D134">
        <v>951.16899999999998</v>
      </c>
      <c r="E134" t="s">
        <v>4</v>
      </c>
      <c r="F134" t="s">
        <v>43</v>
      </c>
      <c r="G134" t="s">
        <v>7</v>
      </c>
    </row>
    <row r="135" spans="1:7" x14ac:dyDescent="0.3">
      <c r="A135" t="s">
        <v>11</v>
      </c>
      <c r="B135" s="1">
        <v>45838</v>
      </c>
      <c r="C135">
        <v>350034</v>
      </c>
      <c r="D135">
        <v>469.95600000000002</v>
      </c>
      <c r="E135" t="s">
        <v>4</v>
      </c>
      <c r="F135" t="s">
        <v>49</v>
      </c>
      <c r="G135" t="s">
        <v>7</v>
      </c>
    </row>
    <row r="136" spans="1:7" x14ac:dyDescent="0.3">
      <c r="A136" t="s">
        <v>11</v>
      </c>
      <c r="B136" s="1">
        <v>45838</v>
      </c>
      <c r="C136">
        <v>352002</v>
      </c>
      <c r="D136">
        <v>116.268</v>
      </c>
      <c r="E136" t="s">
        <v>4</v>
      </c>
      <c r="F136" t="s">
        <v>48</v>
      </c>
      <c r="G136" t="s">
        <v>7</v>
      </c>
    </row>
    <row r="137" spans="1:7" x14ac:dyDescent="0.3">
      <c r="A137" t="s">
        <v>11</v>
      </c>
      <c r="B137" s="1">
        <v>45838</v>
      </c>
      <c r="C137">
        <v>354003</v>
      </c>
      <c r="D137">
        <v>0</v>
      </c>
      <c r="E137" t="s">
        <v>4</v>
      </c>
      <c r="F137" t="s">
        <v>46</v>
      </c>
      <c r="G137" t="s">
        <v>7</v>
      </c>
    </row>
    <row r="138" spans="1:7" x14ac:dyDescent="0.3">
      <c r="A138" t="s">
        <v>11</v>
      </c>
      <c r="B138" s="1">
        <v>45838</v>
      </c>
      <c r="C138">
        <v>354005</v>
      </c>
      <c r="D138">
        <v>0</v>
      </c>
      <c r="E138" t="s">
        <v>4</v>
      </c>
      <c r="F138" t="s">
        <v>46</v>
      </c>
      <c r="G138" t="s">
        <v>7</v>
      </c>
    </row>
    <row r="139" spans="1:7" x14ac:dyDescent="0.3">
      <c r="A139" t="s">
        <v>11</v>
      </c>
      <c r="B139" s="1">
        <v>45838</v>
      </c>
      <c r="C139">
        <v>354012</v>
      </c>
      <c r="D139">
        <v>1488.58</v>
      </c>
      <c r="E139" t="s">
        <v>4</v>
      </c>
      <c r="F139" t="s">
        <v>46</v>
      </c>
      <c r="G139" t="s">
        <v>7</v>
      </c>
    </row>
    <row r="140" spans="1:7" x14ac:dyDescent="0.3">
      <c r="A140" t="s">
        <v>11</v>
      </c>
      <c r="B140" s="1">
        <v>45838</v>
      </c>
      <c r="C140">
        <v>354014</v>
      </c>
      <c r="D140">
        <v>96301.176999999996</v>
      </c>
      <c r="E140" t="s">
        <v>4</v>
      </c>
      <c r="F140" t="s">
        <v>46</v>
      </c>
      <c r="G140" t="s">
        <v>7</v>
      </c>
    </row>
    <row r="141" spans="1:7" x14ac:dyDescent="0.3">
      <c r="A141" t="s">
        <v>11</v>
      </c>
      <c r="B141" s="1">
        <v>45838</v>
      </c>
      <c r="C141">
        <v>355002</v>
      </c>
      <c r="D141">
        <v>108.271</v>
      </c>
      <c r="E141" t="s">
        <v>4</v>
      </c>
      <c r="F141" t="s">
        <v>49</v>
      </c>
      <c r="G141" t="s">
        <v>7</v>
      </c>
    </row>
    <row r="142" spans="1:7" x14ac:dyDescent="0.3">
      <c r="A142" t="s">
        <v>11</v>
      </c>
      <c r="B142" s="1">
        <v>45838</v>
      </c>
      <c r="C142">
        <v>355013</v>
      </c>
      <c r="D142">
        <v>1561.77</v>
      </c>
      <c r="E142" t="s">
        <v>4</v>
      </c>
      <c r="F142" t="s">
        <v>49</v>
      </c>
      <c r="G142" t="s">
        <v>7</v>
      </c>
    </row>
    <row r="143" spans="1:7" x14ac:dyDescent="0.3">
      <c r="A143" t="s">
        <v>11</v>
      </c>
      <c r="B143" s="1">
        <v>45838</v>
      </c>
      <c r="C143">
        <v>355014</v>
      </c>
      <c r="D143">
        <v>389.84300000000002</v>
      </c>
      <c r="E143" t="s">
        <v>4</v>
      </c>
      <c r="F143" t="s">
        <v>49</v>
      </c>
      <c r="G143" t="s">
        <v>7</v>
      </c>
    </row>
    <row r="144" spans="1:7" x14ac:dyDescent="0.3">
      <c r="A144" t="s">
        <v>11</v>
      </c>
      <c r="B144" s="1">
        <v>45838</v>
      </c>
      <c r="C144">
        <v>360022</v>
      </c>
      <c r="D144">
        <v>1.7000000000000001E-2</v>
      </c>
      <c r="E144" t="s">
        <v>4</v>
      </c>
      <c r="F144" t="s">
        <v>58</v>
      </c>
      <c r="G144" t="s">
        <v>7</v>
      </c>
    </row>
    <row r="145" spans="1:7" x14ac:dyDescent="0.3">
      <c r="A145" t="s">
        <v>11</v>
      </c>
      <c r="B145" s="1">
        <v>45838</v>
      </c>
      <c r="C145">
        <v>360026</v>
      </c>
      <c r="D145">
        <v>-105.991</v>
      </c>
      <c r="E145" t="s">
        <v>4</v>
      </c>
      <c r="F145" t="s">
        <v>58</v>
      </c>
      <c r="G145" t="s">
        <v>7</v>
      </c>
    </row>
    <row r="146" spans="1:7" x14ac:dyDescent="0.3">
      <c r="A146" t="s">
        <v>11</v>
      </c>
      <c r="B146" s="1">
        <v>45838</v>
      </c>
      <c r="C146">
        <v>360028</v>
      </c>
      <c r="D146">
        <v>8616.3590000000004</v>
      </c>
      <c r="E146" t="s">
        <v>4</v>
      </c>
      <c r="F146" t="s">
        <v>58</v>
      </c>
      <c r="G146" t="s">
        <v>7</v>
      </c>
    </row>
    <row r="147" spans="1:7" x14ac:dyDescent="0.3">
      <c r="A147" t="s">
        <v>11</v>
      </c>
      <c r="B147" s="1">
        <v>45838</v>
      </c>
      <c r="C147">
        <v>360030</v>
      </c>
      <c r="D147">
        <v>57663.194000000003</v>
      </c>
      <c r="E147" t="s">
        <v>4</v>
      </c>
      <c r="F147" t="s">
        <v>58</v>
      </c>
      <c r="G147" t="s">
        <v>7</v>
      </c>
    </row>
    <row r="148" spans="1:7" x14ac:dyDescent="0.3">
      <c r="A148" t="s">
        <v>11</v>
      </c>
      <c r="B148" s="1">
        <v>45838</v>
      </c>
      <c r="C148">
        <v>360032</v>
      </c>
      <c r="D148">
        <v>16767.728999999999</v>
      </c>
      <c r="E148" t="s">
        <v>4</v>
      </c>
      <c r="F148" t="s">
        <v>58</v>
      </c>
      <c r="G148" t="s">
        <v>7</v>
      </c>
    </row>
    <row r="149" spans="1:7" x14ac:dyDescent="0.3">
      <c r="A149" t="s">
        <v>11</v>
      </c>
      <c r="B149" s="1">
        <v>45838</v>
      </c>
      <c r="C149">
        <v>364502</v>
      </c>
      <c r="D149">
        <v>1292.5060000000001</v>
      </c>
      <c r="E149" t="s">
        <v>4</v>
      </c>
      <c r="F149" t="s">
        <v>58</v>
      </c>
      <c r="G149" t="s">
        <v>7</v>
      </c>
    </row>
    <row r="150" spans="1:7" x14ac:dyDescent="0.3">
      <c r="A150" t="s">
        <v>11</v>
      </c>
      <c r="B150" s="1">
        <v>45838</v>
      </c>
      <c r="C150">
        <v>372004</v>
      </c>
      <c r="D150">
        <v>2785.6959999999999</v>
      </c>
      <c r="E150" t="s">
        <v>4</v>
      </c>
      <c r="F150" t="s">
        <v>45</v>
      </c>
      <c r="G150" t="s">
        <v>7</v>
      </c>
    </row>
    <row r="151" spans="1:7" x14ac:dyDescent="0.3">
      <c r="A151" t="s">
        <v>11</v>
      </c>
      <c r="B151" s="1">
        <v>45838</v>
      </c>
      <c r="C151">
        <v>410002</v>
      </c>
      <c r="D151">
        <v>-66849.948000000004</v>
      </c>
      <c r="E151" t="s">
        <v>6</v>
      </c>
      <c r="F151" t="s">
        <v>51</v>
      </c>
      <c r="G151" t="s">
        <v>7</v>
      </c>
    </row>
    <row r="152" spans="1:7" x14ac:dyDescent="0.3">
      <c r="A152" t="s">
        <v>11</v>
      </c>
      <c r="B152" s="1">
        <v>45838</v>
      </c>
      <c r="C152">
        <v>410006</v>
      </c>
      <c r="D152">
        <v>-1780.819</v>
      </c>
      <c r="E152" t="s">
        <v>6</v>
      </c>
      <c r="F152" t="s">
        <v>51</v>
      </c>
      <c r="G152" t="s">
        <v>7</v>
      </c>
    </row>
    <row r="153" spans="1:7" x14ac:dyDescent="0.3">
      <c r="A153" t="s">
        <v>11</v>
      </c>
      <c r="B153" s="1">
        <v>45838</v>
      </c>
      <c r="C153">
        <v>410015</v>
      </c>
      <c r="D153">
        <v>-6609.5479999999998</v>
      </c>
      <c r="E153" t="s">
        <v>6</v>
      </c>
      <c r="F153" t="s">
        <v>51</v>
      </c>
      <c r="G153" t="s">
        <v>7</v>
      </c>
    </row>
    <row r="154" spans="1:7" x14ac:dyDescent="0.3">
      <c r="A154" t="s">
        <v>11</v>
      </c>
      <c r="B154" s="1">
        <v>45838</v>
      </c>
      <c r="C154">
        <v>410018</v>
      </c>
      <c r="D154">
        <v>-2442.5309999999999</v>
      </c>
      <c r="E154" t="s">
        <v>6</v>
      </c>
      <c r="F154" t="s">
        <v>51</v>
      </c>
      <c r="G154" t="s">
        <v>7</v>
      </c>
    </row>
    <row r="155" spans="1:7" x14ac:dyDescent="0.3">
      <c r="A155" t="s">
        <v>11</v>
      </c>
      <c r="B155" s="1">
        <v>45838</v>
      </c>
      <c r="C155">
        <v>410019</v>
      </c>
      <c r="D155">
        <v>-11.288</v>
      </c>
      <c r="E155" t="s">
        <v>6</v>
      </c>
      <c r="F155" t="s">
        <v>51</v>
      </c>
      <c r="G155" t="s">
        <v>7</v>
      </c>
    </row>
    <row r="156" spans="1:7" x14ac:dyDescent="0.3">
      <c r="A156" t="s">
        <v>11</v>
      </c>
      <c r="B156" s="1">
        <v>45838</v>
      </c>
      <c r="C156">
        <v>410032</v>
      </c>
      <c r="D156">
        <v>-5604.8689999999997</v>
      </c>
      <c r="E156" t="s">
        <v>6</v>
      </c>
      <c r="F156" t="s">
        <v>51</v>
      </c>
      <c r="G156" t="s">
        <v>7</v>
      </c>
    </row>
    <row r="157" spans="1:7" x14ac:dyDescent="0.3">
      <c r="A157" t="s">
        <v>11</v>
      </c>
      <c r="B157" s="1">
        <v>45838</v>
      </c>
      <c r="C157">
        <v>410037</v>
      </c>
      <c r="D157">
        <v>-42590.106</v>
      </c>
      <c r="E157" t="s">
        <v>6</v>
      </c>
      <c r="F157" t="s">
        <v>51</v>
      </c>
      <c r="G157" t="s">
        <v>7</v>
      </c>
    </row>
    <row r="158" spans="1:7" x14ac:dyDescent="0.3">
      <c r="A158" t="s">
        <v>11</v>
      </c>
      <c r="B158" s="1">
        <v>45838</v>
      </c>
      <c r="C158">
        <v>410039</v>
      </c>
      <c r="D158">
        <v>-11.288</v>
      </c>
      <c r="E158" t="s">
        <v>6</v>
      </c>
      <c r="F158" t="s">
        <v>51</v>
      </c>
      <c r="G158" t="s">
        <v>7</v>
      </c>
    </row>
    <row r="159" spans="1:7" x14ac:dyDescent="0.3">
      <c r="A159" t="s">
        <v>11</v>
      </c>
      <c r="B159" s="1">
        <v>45838</v>
      </c>
      <c r="C159">
        <v>410046</v>
      </c>
      <c r="D159">
        <v>-1780.819</v>
      </c>
      <c r="E159" t="s">
        <v>6</v>
      </c>
      <c r="F159" t="s">
        <v>51</v>
      </c>
      <c r="G159" t="s">
        <v>7</v>
      </c>
    </row>
    <row r="160" spans="1:7" x14ac:dyDescent="0.3">
      <c r="A160" t="s">
        <v>11</v>
      </c>
      <c r="B160" s="1">
        <v>45838</v>
      </c>
      <c r="C160">
        <v>415002</v>
      </c>
      <c r="D160">
        <v>-154423.07999999999</v>
      </c>
      <c r="E160" t="s">
        <v>6</v>
      </c>
      <c r="F160" t="s">
        <v>50</v>
      </c>
      <c r="G160" t="s">
        <v>7</v>
      </c>
    </row>
    <row r="161" spans="1:7" x14ac:dyDescent="0.3">
      <c r="A161" t="s">
        <v>11</v>
      </c>
      <c r="B161" s="1">
        <v>45838</v>
      </c>
      <c r="C161">
        <v>415004</v>
      </c>
      <c r="D161">
        <v>-253112.27</v>
      </c>
      <c r="E161" t="s">
        <v>6</v>
      </c>
      <c r="F161" t="s">
        <v>50</v>
      </c>
      <c r="G161" t="s">
        <v>7</v>
      </c>
    </row>
    <row r="162" spans="1:7" x14ac:dyDescent="0.3">
      <c r="A162" t="s">
        <v>11</v>
      </c>
      <c r="B162" s="1">
        <v>45838</v>
      </c>
      <c r="C162">
        <v>418002</v>
      </c>
      <c r="D162">
        <v>0</v>
      </c>
      <c r="E162" t="s">
        <v>6</v>
      </c>
      <c r="F162" t="s">
        <v>50</v>
      </c>
      <c r="G162" t="s">
        <v>7</v>
      </c>
    </row>
    <row r="163" spans="1:7" x14ac:dyDescent="0.3">
      <c r="A163" t="s">
        <v>11</v>
      </c>
      <c r="B163" s="1">
        <v>45838</v>
      </c>
      <c r="C163">
        <v>418003</v>
      </c>
      <c r="D163">
        <v>0</v>
      </c>
      <c r="E163" t="s">
        <v>6</v>
      </c>
      <c r="F163" t="s">
        <v>51</v>
      </c>
      <c r="G163" t="s">
        <v>7</v>
      </c>
    </row>
    <row r="164" spans="1:7" x14ac:dyDescent="0.3">
      <c r="A164" t="s">
        <v>11</v>
      </c>
      <c r="B164" s="1">
        <v>45838</v>
      </c>
      <c r="C164">
        <v>420004</v>
      </c>
      <c r="D164">
        <v>-26.385000000000002</v>
      </c>
      <c r="E164" t="s">
        <v>6</v>
      </c>
      <c r="F164" t="s">
        <v>52</v>
      </c>
      <c r="G164" t="s">
        <v>7</v>
      </c>
    </row>
    <row r="165" spans="1:7" x14ac:dyDescent="0.3">
      <c r="A165" t="s">
        <v>11</v>
      </c>
      <c r="B165" s="1">
        <v>45838</v>
      </c>
      <c r="C165">
        <v>420005</v>
      </c>
      <c r="D165">
        <v>-7753.0860000000002</v>
      </c>
      <c r="E165" t="s">
        <v>6</v>
      </c>
      <c r="F165" t="s">
        <v>59</v>
      </c>
      <c r="G165" t="s">
        <v>7</v>
      </c>
    </row>
    <row r="166" spans="1:7" x14ac:dyDescent="0.3">
      <c r="A166" t="s">
        <v>11</v>
      </c>
      <c r="B166" s="1">
        <v>45838</v>
      </c>
      <c r="C166">
        <v>421002</v>
      </c>
      <c r="D166">
        <v>174.20500000000001</v>
      </c>
      <c r="E166" t="s">
        <v>6</v>
      </c>
      <c r="F166" t="s">
        <v>52</v>
      </c>
      <c r="G166" t="s">
        <v>7</v>
      </c>
    </row>
    <row r="167" spans="1:7" x14ac:dyDescent="0.3">
      <c r="A167" t="s">
        <v>11</v>
      </c>
      <c r="B167" s="1">
        <v>45838</v>
      </c>
      <c r="C167">
        <v>421003</v>
      </c>
      <c r="D167">
        <v>1731.7829999999999</v>
      </c>
      <c r="E167" t="s">
        <v>6</v>
      </c>
      <c r="F167" t="s">
        <v>52</v>
      </c>
      <c r="G167" t="s">
        <v>7</v>
      </c>
    </row>
    <row r="168" spans="1:7" x14ac:dyDescent="0.3">
      <c r="A168" t="s">
        <v>11</v>
      </c>
      <c r="B168" s="1">
        <v>45838</v>
      </c>
      <c r="C168">
        <v>421004</v>
      </c>
      <c r="D168">
        <v>59377.148999999998</v>
      </c>
      <c r="E168" t="s">
        <v>6</v>
      </c>
      <c r="F168" t="s">
        <v>52</v>
      </c>
      <c r="G168" t="s">
        <v>7</v>
      </c>
    </row>
    <row r="169" spans="1:7" x14ac:dyDescent="0.3">
      <c r="A169" t="s">
        <v>11</v>
      </c>
      <c r="B169" s="1">
        <v>45838</v>
      </c>
      <c r="C169">
        <v>421007</v>
      </c>
      <c r="D169">
        <v>-1750.9960000000001</v>
      </c>
      <c r="E169" t="s">
        <v>6</v>
      </c>
      <c r="F169" t="s">
        <v>52</v>
      </c>
      <c r="G169" t="s">
        <v>7</v>
      </c>
    </row>
    <row r="170" spans="1:7" x14ac:dyDescent="0.3">
      <c r="A170" t="s">
        <v>11</v>
      </c>
      <c r="B170" s="1">
        <v>45838</v>
      </c>
      <c r="C170">
        <v>510002</v>
      </c>
      <c r="D170">
        <v>142342.66699999999</v>
      </c>
      <c r="E170" t="s">
        <v>6</v>
      </c>
      <c r="F170" t="s">
        <v>53</v>
      </c>
      <c r="G170" t="s">
        <v>7</v>
      </c>
    </row>
    <row r="171" spans="1:7" x14ac:dyDescent="0.3">
      <c r="A171" t="s">
        <v>11</v>
      </c>
      <c r="B171" s="1">
        <v>45838</v>
      </c>
      <c r="C171">
        <v>510005</v>
      </c>
      <c r="D171">
        <v>7735.6769999999997</v>
      </c>
      <c r="E171" t="s">
        <v>6</v>
      </c>
      <c r="F171" t="s">
        <v>53</v>
      </c>
      <c r="G171" t="s">
        <v>7</v>
      </c>
    </row>
    <row r="172" spans="1:7" x14ac:dyDescent="0.3">
      <c r="A172" t="s">
        <v>11</v>
      </c>
      <c r="B172" s="1">
        <v>45838</v>
      </c>
      <c r="C172">
        <v>510007</v>
      </c>
      <c r="D172">
        <v>13682.741</v>
      </c>
      <c r="E172" t="s">
        <v>6</v>
      </c>
      <c r="F172" t="s">
        <v>53</v>
      </c>
      <c r="G172" t="s">
        <v>7</v>
      </c>
    </row>
    <row r="173" spans="1:7" x14ac:dyDescent="0.3">
      <c r="A173" t="s">
        <v>11</v>
      </c>
      <c r="B173" s="1">
        <v>45838</v>
      </c>
      <c r="C173">
        <v>510012</v>
      </c>
      <c r="D173">
        <v>104.20699999999999</v>
      </c>
      <c r="E173" t="s">
        <v>6</v>
      </c>
      <c r="F173" t="s">
        <v>53</v>
      </c>
      <c r="G173" t="s">
        <v>7</v>
      </c>
    </row>
    <row r="174" spans="1:7" x14ac:dyDescent="0.3">
      <c r="A174" t="s">
        <v>11</v>
      </c>
      <c r="B174" s="1">
        <v>45838</v>
      </c>
      <c r="C174">
        <v>510015</v>
      </c>
      <c r="D174">
        <v>8774.0879999999997</v>
      </c>
      <c r="E174" t="s">
        <v>6</v>
      </c>
      <c r="F174" t="s">
        <v>53</v>
      </c>
      <c r="G174" t="s">
        <v>7</v>
      </c>
    </row>
    <row r="175" spans="1:7" x14ac:dyDescent="0.3">
      <c r="A175" t="s">
        <v>11</v>
      </c>
      <c r="B175" s="1">
        <v>45838</v>
      </c>
      <c r="C175">
        <v>510018</v>
      </c>
      <c r="D175">
        <v>5492.4620000000004</v>
      </c>
      <c r="E175" t="s">
        <v>6</v>
      </c>
      <c r="F175" t="s">
        <v>53</v>
      </c>
      <c r="G175" t="s">
        <v>7</v>
      </c>
    </row>
    <row r="176" spans="1:7" x14ac:dyDescent="0.3">
      <c r="A176" t="s">
        <v>11</v>
      </c>
      <c r="B176" s="1">
        <v>45838</v>
      </c>
      <c r="C176">
        <v>510049</v>
      </c>
      <c r="D176">
        <v>0</v>
      </c>
      <c r="E176" t="s">
        <v>6</v>
      </c>
      <c r="F176" t="s">
        <v>60</v>
      </c>
      <c r="G176" t="s">
        <v>7</v>
      </c>
    </row>
    <row r="177" spans="1:7" x14ac:dyDescent="0.3">
      <c r="A177" t="s">
        <v>11</v>
      </c>
      <c r="B177" s="1">
        <v>45838</v>
      </c>
      <c r="C177">
        <v>510059</v>
      </c>
      <c r="D177">
        <v>265.84800000000001</v>
      </c>
      <c r="E177" t="s">
        <v>6</v>
      </c>
      <c r="F177" t="s">
        <v>53</v>
      </c>
      <c r="G177" t="s">
        <v>7</v>
      </c>
    </row>
    <row r="178" spans="1:7" x14ac:dyDescent="0.3">
      <c r="A178" t="s">
        <v>11</v>
      </c>
      <c r="B178" s="1">
        <v>45838</v>
      </c>
      <c r="C178">
        <v>510061</v>
      </c>
      <c r="D178">
        <v>0</v>
      </c>
      <c r="E178" t="s">
        <v>6</v>
      </c>
      <c r="F178" t="s">
        <v>53</v>
      </c>
      <c r="G178" t="s">
        <v>7</v>
      </c>
    </row>
    <row r="179" spans="1:7" x14ac:dyDescent="0.3">
      <c r="A179" t="s">
        <v>11</v>
      </c>
      <c r="B179" s="1">
        <v>45838</v>
      </c>
      <c r="C179">
        <v>510062</v>
      </c>
      <c r="D179">
        <v>269.74900000000002</v>
      </c>
      <c r="E179" t="s">
        <v>6</v>
      </c>
      <c r="F179" t="s">
        <v>53</v>
      </c>
      <c r="G179" t="s">
        <v>7</v>
      </c>
    </row>
    <row r="180" spans="1:7" x14ac:dyDescent="0.3">
      <c r="A180" t="s">
        <v>11</v>
      </c>
      <c r="B180" s="1">
        <v>45838</v>
      </c>
      <c r="C180">
        <v>510064</v>
      </c>
      <c r="D180">
        <v>100.337</v>
      </c>
      <c r="E180" t="s">
        <v>6</v>
      </c>
      <c r="F180" t="s">
        <v>53</v>
      </c>
      <c r="G180" t="s">
        <v>7</v>
      </c>
    </row>
    <row r="181" spans="1:7" x14ac:dyDescent="0.3">
      <c r="A181" t="s">
        <v>11</v>
      </c>
      <c r="B181" s="1">
        <v>45838</v>
      </c>
      <c r="C181">
        <v>510065</v>
      </c>
      <c r="D181">
        <v>299.60300000000001</v>
      </c>
      <c r="E181" t="s">
        <v>6</v>
      </c>
      <c r="F181" t="s">
        <v>53</v>
      </c>
      <c r="G181" t="s">
        <v>7</v>
      </c>
    </row>
    <row r="182" spans="1:7" x14ac:dyDescent="0.3">
      <c r="A182" t="s">
        <v>11</v>
      </c>
      <c r="B182" s="1">
        <v>45838</v>
      </c>
      <c r="C182">
        <v>510066</v>
      </c>
      <c r="D182">
        <v>0</v>
      </c>
      <c r="E182" t="s">
        <v>6</v>
      </c>
      <c r="F182" t="s">
        <v>53</v>
      </c>
      <c r="G182" t="s">
        <v>7</v>
      </c>
    </row>
    <row r="183" spans="1:7" x14ac:dyDescent="0.3">
      <c r="A183" t="s">
        <v>11</v>
      </c>
      <c r="B183" s="1">
        <v>45838</v>
      </c>
      <c r="C183">
        <v>520021</v>
      </c>
      <c r="D183">
        <v>140.41900000000001</v>
      </c>
      <c r="E183" t="s">
        <v>6</v>
      </c>
      <c r="F183" t="s">
        <v>60</v>
      </c>
      <c r="G183" t="s">
        <v>7</v>
      </c>
    </row>
    <row r="184" spans="1:7" x14ac:dyDescent="0.3">
      <c r="A184" t="s">
        <v>11</v>
      </c>
      <c r="B184" s="1">
        <v>45838</v>
      </c>
      <c r="C184">
        <v>521002</v>
      </c>
      <c r="D184">
        <v>0</v>
      </c>
      <c r="E184" t="s">
        <v>6</v>
      </c>
      <c r="F184" t="s">
        <v>53</v>
      </c>
      <c r="G184" t="s">
        <v>7</v>
      </c>
    </row>
    <row r="185" spans="1:7" x14ac:dyDescent="0.3">
      <c r="A185" t="s">
        <v>11</v>
      </c>
      <c r="B185" s="1">
        <v>45838</v>
      </c>
      <c r="C185">
        <v>521004</v>
      </c>
      <c r="D185">
        <v>0</v>
      </c>
      <c r="E185" t="s">
        <v>6</v>
      </c>
      <c r="F185" t="s">
        <v>53</v>
      </c>
      <c r="G185" t="s">
        <v>7</v>
      </c>
    </row>
    <row r="186" spans="1:7" x14ac:dyDescent="0.3">
      <c r="A186" t="s">
        <v>11</v>
      </c>
      <c r="B186" s="1">
        <v>45838</v>
      </c>
      <c r="C186">
        <v>521006</v>
      </c>
      <c r="D186">
        <v>0</v>
      </c>
      <c r="E186" t="s">
        <v>6</v>
      </c>
      <c r="F186" t="s">
        <v>53</v>
      </c>
      <c r="G186" t="s">
        <v>7</v>
      </c>
    </row>
    <row r="187" spans="1:7" x14ac:dyDescent="0.3">
      <c r="A187" t="s">
        <v>11</v>
      </c>
      <c r="B187" s="1">
        <v>45838</v>
      </c>
      <c r="C187">
        <v>521007</v>
      </c>
      <c r="D187">
        <v>0</v>
      </c>
      <c r="E187" t="s">
        <v>6</v>
      </c>
      <c r="F187" t="s">
        <v>53</v>
      </c>
      <c r="G187" t="s">
        <v>7</v>
      </c>
    </row>
    <row r="188" spans="1:7" x14ac:dyDescent="0.3">
      <c r="A188" t="s">
        <v>11</v>
      </c>
      <c r="B188" s="1">
        <v>45838</v>
      </c>
      <c r="C188">
        <v>521008</v>
      </c>
      <c r="D188">
        <v>0</v>
      </c>
      <c r="E188" t="s">
        <v>6</v>
      </c>
      <c r="F188" t="s">
        <v>53</v>
      </c>
      <c r="G188" t="s">
        <v>7</v>
      </c>
    </row>
    <row r="189" spans="1:7" x14ac:dyDescent="0.3">
      <c r="A189" t="s">
        <v>11</v>
      </c>
      <c r="B189" s="1">
        <v>45838</v>
      </c>
      <c r="C189">
        <v>521014</v>
      </c>
      <c r="D189">
        <v>0</v>
      </c>
      <c r="E189" t="s">
        <v>6</v>
      </c>
      <c r="F189" t="s">
        <v>53</v>
      </c>
      <c r="G189" t="s">
        <v>7</v>
      </c>
    </row>
    <row r="190" spans="1:7" x14ac:dyDescent="0.3">
      <c r="A190" t="s">
        <v>11</v>
      </c>
      <c r="B190" s="1">
        <v>45838</v>
      </c>
      <c r="C190">
        <v>541002</v>
      </c>
      <c r="D190">
        <v>2090.5259999999998</v>
      </c>
      <c r="E190" t="s">
        <v>6</v>
      </c>
      <c r="F190" t="s">
        <v>61</v>
      </c>
      <c r="G190" t="s">
        <v>7</v>
      </c>
    </row>
    <row r="191" spans="1:7" x14ac:dyDescent="0.3">
      <c r="A191" t="s">
        <v>11</v>
      </c>
      <c r="B191" s="1">
        <v>45838</v>
      </c>
      <c r="C191">
        <v>541009</v>
      </c>
      <c r="D191">
        <v>3474.4690000000001</v>
      </c>
      <c r="E191" t="s">
        <v>6</v>
      </c>
      <c r="F191" t="s">
        <v>61</v>
      </c>
      <c r="G191" t="s">
        <v>7</v>
      </c>
    </row>
    <row r="192" spans="1:7" x14ac:dyDescent="0.3">
      <c r="A192" t="s">
        <v>11</v>
      </c>
      <c r="B192" s="1">
        <v>45838</v>
      </c>
      <c r="C192">
        <v>541010</v>
      </c>
      <c r="D192">
        <v>961.33</v>
      </c>
      <c r="E192" t="s">
        <v>6</v>
      </c>
      <c r="F192" t="s">
        <v>61</v>
      </c>
      <c r="G192" t="s">
        <v>7</v>
      </c>
    </row>
    <row r="193" spans="1:7" x14ac:dyDescent="0.3">
      <c r="A193" t="s">
        <v>11</v>
      </c>
      <c r="B193" s="1">
        <v>45838</v>
      </c>
      <c r="C193">
        <v>541013</v>
      </c>
      <c r="D193">
        <v>269.60300000000001</v>
      </c>
      <c r="E193" t="s">
        <v>6</v>
      </c>
      <c r="F193" t="s">
        <v>61</v>
      </c>
      <c r="G193" t="s">
        <v>7</v>
      </c>
    </row>
    <row r="194" spans="1:7" x14ac:dyDescent="0.3">
      <c r="A194" t="s">
        <v>11</v>
      </c>
      <c r="B194" s="1">
        <v>45838</v>
      </c>
      <c r="C194">
        <v>544006</v>
      </c>
      <c r="D194">
        <v>83.299000000000007</v>
      </c>
      <c r="E194" t="s">
        <v>6</v>
      </c>
      <c r="F194" t="s">
        <v>61</v>
      </c>
      <c r="G194" t="s">
        <v>7</v>
      </c>
    </row>
    <row r="195" spans="1:7" x14ac:dyDescent="0.3">
      <c r="A195" t="s">
        <v>11</v>
      </c>
      <c r="B195" s="1">
        <v>45838</v>
      </c>
      <c r="C195">
        <v>546002</v>
      </c>
      <c r="D195">
        <v>240456.67</v>
      </c>
      <c r="E195" t="s">
        <v>6</v>
      </c>
      <c r="F195" t="s">
        <v>51</v>
      </c>
      <c r="G195" t="s">
        <v>7</v>
      </c>
    </row>
    <row r="196" spans="1:7" x14ac:dyDescent="0.3">
      <c r="A196" t="s">
        <v>11</v>
      </c>
      <c r="B196" s="1">
        <v>45838</v>
      </c>
      <c r="C196">
        <v>546013</v>
      </c>
      <c r="D196">
        <v>7228.2809999999999</v>
      </c>
      <c r="E196" t="s">
        <v>6</v>
      </c>
      <c r="F196" t="s">
        <v>51</v>
      </c>
      <c r="G196" t="s">
        <v>7</v>
      </c>
    </row>
    <row r="197" spans="1:7" x14ac:dyDescent="0.3">
      <c r="A197" t="s">
        <v>11</v>
      </c>
      <c r="B197" s="1">
        <v>45838</v>
      </c>
      <c r="C197">
        <v>546015</v>
      </c>
      <c r="D197">
        <v>24345.053</v>
      </c>
      <c r="E197" t="s">
        <v>6</v>
      </c>
      <c r="F197" t="s">
        <v>51</v>
      </c>
      <c r="G197" t="s">
        <v>7</v>
      </c>
    </row>
    <row r="198" spans="1:7" x14ac:dyDescent="0.3">
      <c r="A198" t="s">
        <v>11</v>
      </c>
      <c r="B198" s="1">
        <v>45838</v>
      </c>
      <c r="C198">
        <v>546016</v>
      </c>
      <c r="D198">
        <v>1242.645</v>
      </c>
      <c r="E198" t="s">
        <v>6</v>
      </c>
      <c r="F198" t="s">
        <v>51</v>
      </c>
      <c r="G198" t="s">
        <v>7</v>
      </c>
    </row>
    <row r="199" spans="1:7" x14ac:dyDescent="0.3">
      <c r="A199" t="s">
        <v>11</v>
      </c>
      <c r="B199" s="1">
        <v>45838</v>
      </c>
      <c r="C199">
        <v>546019</v>
      </c>
      <c r="D199">
        <v>2082.06</v>
      </c>
      <c r="E199" t="s">
        <v>6</v>
      </c>
      <c r="F199" t="s">
        <v>51</v>
      </c>
      <c r="G199" t="s">
        <v>7</v>
      </c>
    </row>
    <row r="200" spans="1:7" x14ac:dyDescent="0.3">
      <c r="A200" t="s">
        <v>11</v>
      </c>
      <c r="B200" s="1">
        <v>45838</v>
      </c>
      <c r="C200">
        <v>546024</v>
      </c>
      <c r="D200">
        <v>2856.3690000000001</v>
      </c>
      <c r="E200" t="s">
        <v>6</v>
      </c>
      <c r="F200" t="s">
        <v>51</v>
      </c>
      <c r="G200" t="s">
        <v>7</v>
      </c>
    </row>
    <row r="201" spans="1:7" x14ac:dyDescent="0.3">
      <c r="A201" t="s">
        <v>11</v>
      </c>
      <c r="B201" s="1">
        <v>45838</v>
      </c>
      <c r="C201">
        <v>546035</v>
      </c>
      <c r="D201">
        <v>22632.848000000002</v>
      </c>
      <c r="E201" t="s">
        <v>6</v>
      </c>
      <c r="F201" t="s">
        <v>51</v>
      </c>
      <c r="G201" t="s">
        <v>7</v>
      </c>
    </row>
    <row r="202" spans="1:7" x14ac:dyDescent="0.3">
      <c r="A202" t="s">
        <v>11</v>
      </c>
      <c r="B202" s="1">
        <v>45838</v>
      </c>
      <c r="C202">
        <v>546040</v>
      </c>
      <c r="D202">
        <v>4711.4070000000002</v>
      </c>
      <c r="E202" t="s">
        <v>6</v>
      </c>
      <c r="F202" t="s">
        <v>51</v>
      </c>
      <c r="G202" t="s">
        <v>7</v>
      </c>
    </row>
    <row r="203" spans="1:7" x14ac:dyDescent="0.3">
      <c r="A203" t="s">
        <v>11</v>
      </c>
      <c r="B203" s="1">
        <v>45838</v>
      </c>
      <c r="C203">
        <v>547002</v>
      </c>
      <c r="D203">
        <v>2940.1770000000001</v>
      </c>
      <c r="E203" t="s">
        <v>6</v>
      </c>
      <c r="F203" t="s">
        <v>54</v>
      </c>
      <c r="G203" t="s">
        <v>7</v>
      </c>
    </row>
    <row r="204" spans="1:7" x14ac:dyDescent="0.3">
      <c r="A204" t="s">
        <v>11</v>
      </c>
      <c r="B204" s="1">
        <v>45838</v>
      </c>
      <c r="C204">
        <v>550003</v>
      </c>
      <c r="D204">
        <v>14653.977000000001</v>
      </c>
      <c r="E204" t="s">
        <v>6</v>
      </c>
      <c r="F204" t="s">
        <v>62</v>
      </c>
      <c r="G204" t="s">
        <v>7</v>
      </c>
    </row>
    <row r="205" spans="1:7" x14ac:dyDescent="0.3">
      <c r="A205" t="s">
        <v>11</v>
      </c>
      <c r="B205" s="1">
        <v>45838</v>
      </c>
      <c r="C205">
        <v>551003</v>
      </c>
      <c r="D205">
        <v>1514.1510000000001</v>
      </c>
      <c r="E205" t="s">
        <v>6</v>
      </c>
      <c r="F205" t="s">
        <v>63</v>
      </c>
      <c r="G205" t="s">
        <v>7</v>
      </c>
    </row>
    <row r="206" spans="1:7" x14ac:dyDescent="0.3">
      <c r="A206" t="s">
        <v>11</v>
      </c>
      <c r="B206" s="1">
        <v>45838</v>
      </c>
      <c r="C206">
        <v>552502</v>
      </c>
      <c r="D206">
        <v>321.64</v>
      </c>
      <c r="E206" t="s">
        <v>6</v>
      </c>
      <c r="F206" t="s">
        <v>55</v>
      </c>
      <c r="G206" t="s">
        <v>7</v>
      </c>
    </row>
    <row r="207" spans="1:7" x14ac:dyDescent="0.3">
      <c r="A207" t="s">
        <v>11</v>
      </c>
      <c r="B207" s="1">
        <v>45838</v>
      </c>
      <c r="C207">
        <v>555007</v>
      </c>
      <c r="D207">
        <v>388.13400000000001</v>
      </c>
      <c r="E207" t="s">
        <v>6</v>
      </c>
      <c r="F207" t="s">
        <v>55</v>
      </c>
      <c r="G207" t="s">
        <v>7</v>
      </c>
    </row>
    <row r="208" spans="1:7" x14ac:dyDescent="0.3">
      <c r="A208" t="s">
        <v>11</v>
      </c>
      <c r="B208" s="1">
        <v>45838</v>
      </c>
      <c r="C208">
        <v>556002</v>
      </c>
      <c r="D208">
        <v>93.888000000000005</v>
      </c>
      <c r="E208" t="s">
        <v>6</v>
      </c>
      <c r="F208" t="s">
        <v>60</v>
      </c>
      <c r="G208" t="s">
        <v>7</v>
      </c>
    </row>
    <row r="209" spans="1:7" x14ac:dyDescent="0.3">
      <c r="A209" t="s">
        <v>11</v>
      </c>
      <c r="B209" s="1">
        <v>45838</v>
      </c>
      <c r="C209">
        <v>556004</v>
      </c>
      <c r="D209">
        <v>11.295</v>
      </c>
      <c r="E209" t="s">
        <v>6</v>
      </c>
      <c r="F209" t="s">
        <v>55</v>
      </c>
      <c r="G209" t="s">
        <v>7</v>
      </c>
    </row>
    <row r="210" spans="1:7" x14ac:dyDescent="0.3">
      <c r="A210" t="s">
        <v>11</v>
      </c>
      <c r="B210" s="1">
        <v>45838</v>
      </c>
      <c r="C210">
        <v>557002</v>
      </c>
      <c r="D210">
        <v>2630.424</v>
      </c>
      <c r="E210" t="s">
        <v>6</v>
      </c>
      <c r="F210" t="s">
        <v>56</v>
      </c>
      <c r="G210" t="s">
        <v>7</v>
      </c>
    </row>
    <row r="211" spans="1:7" x14ac:dyDescent="0.3">
      <c r="A211" t="s">
        <v>11</v>
      </c>
      <c r="B211" s="1">
        <v>45838</v>
      </c>
      <c r="C211">
        <v>563002</v>
      </c>
      <c r="D211">
        <v>-9031.9519999999993</v>
      </c>
      <c r="E211" t="s">
        <v>6</v>
      </c>
      <c r="F211" t="s">
        <v>57</v>
      </c>
      <c r="G211" t="s">
        <v>7</v>
      </c>
    </row>
    <row r="212" spans="1:7" x14ac:dyDescent="0.3">
      <c r="A212" t="s">
        <v>11</v>
      </c>
      <c r="B212" s="1">
        <v>45838</v>
      </c>
      <c r="C212">
        <v>564004</v>
      </c>
      <c r="D212">
        <v>7467.5879999999997</v>
      </c>
      <c r="E212" t="s">
        <v>6</v>
      </c>
      <c r="F212" t="s">
        <v>51</v>
      </c>
      <c r="G212" t="s">
        <v>7</v>
      </c>
    </row>
    <row r="213" spans="1:7" x14ac:dyDescent="0.3">
      <c r="A213" t="s">
        <v>11</v>
      </c>
      <c r="B213" s="1">
        <v>45838</v>
      </c>
      <c r="C213">
        <v>564006</v>
      </c>
      <c r="D213">
        <v>1E-3</v>
      </c>
      <c r="E213" t="s">
        <v>6</v>
      </c>
      <c r="F213" t="s">
        <v>57</v>
      </c>
      <c r="G213" t="s">
        <v>7</v>
      </c>
    </row>
    <row r="214" spans="1:7" x14ac:dyDescent="0.3">
      <c r="A214" t="s">
        <v>11</v>
      </c>
      <c r="B214" s="1">
        <v>45838</v>
      </c>
      <c r="C214">
        <v>564007</v>
      </c>
      <c r="D214">
        <v>1E-3</v>
      </c>
      <c r="E214" t="s">
        <v>6</v>
      </c>
      <c r="F214" t="s">
        <v>57</v>
      </c>
      <c r="G214" t="s">
        <v>7</v>
      </c>
    </row>
    <row r="215" spans="1:7" x14ac:dyDescent="0.3">
      <c r="A215" t="s">
        <v>11</v>
      </c>
      <c r="B215" s="1">
        <v>45838</v>
      </c>
      <c r="C215">
        <v>564020</v>
      </c>
      <c r="D215">
        <v>188.059</v>
      </c>
      <c r="E215" t="s">
        <v>6</v>
      </c>
      <c r="F215" t="s">
        <v>57</v>
      </c>
      <c r="G215" t="s">
        <v>7</v>
      </c>
    </row>
    <row r="216" spans="1:7" x14ac:dyDescent="0.3">
      <c r="A216" t="s">
        <v>11</v>
      </c>
      <c r="B216" s="1">
        <v>45838</v>
      </c>
      <c r="C216">
        <v>564021</v>
      </c>
      <c r="D216">
        <v>4.9370000000000003</v>
      </c>
      <c r="E216" t="s">
        <v>6</v>
      </c>
      <c r="F216" t="s">
        <v>57</v>
      </c>
      <c r="G216" t="s">
        <v>7</v>
      </c>
    </row>
    <row r="217" spans="1:7" x14ac:dyDescent="0.3">
      <c r="A217" t="s">
        <v>11</v>
      </c>
      <c r="B217" s="1">
        <v>45838</v>
      </c>
      <c r="C217">
        <v>580005</v>
      </c>
      <c r="D217">
        <v>40.418999999999997</v>
      </c>
      <c r="E217" t="s">
        <v>6</v>
      </c>
      <c r="F217" t="s">
        <v>64</v>
      </c>
      <c r="G217" t="s">
        <v>7</v>
      </c>
    </row>
    <row r="218" spans="1:7" x14ac:dyDescent="0.3">
      <c r="A218" t="s">
        <v>12</v>
      </c>
      <c r="B218" s="1">
        <v>45838</v>
      </c>
      <c r="C218">
        <v>220006</v>
      </c>
      <c r="D218">
        <v>4190.2809999999999</v>
      </c>
      <c r="E218" t="s">
        <v>4</v>
      </c>
      <c r="F218" t="s">
        <v>42</v>
      </c>
      <c r="G218" t="s">
        <v>8</v>
      </c>
    </row>
    <row r="219" spans="1:7" x14ac:dyDescent="0.3">
      <c r="A219" t="s">
        <v>12</v>
      </c>
      <c r="B219" s="1">
        <v>45838</v>
      </c>
      <c r="C219">
        <v>240002</v>
      </c>
      <c r="D219">
        <v>0</v>
      </c>
      <c r="E219" t="s">
        <v>4</v>
      </c>
      <c r="F219" t="s">
        <v>43</v>
      </c>
      <c r="G219" t="s">
        <v>8</v>
      </c>
    </row>
    <row r="220" spans="1:7" x14ac:dyDescent="0.3">
      <c r="A220" t="s">
        <v>12</v>
      </c>
      <c r="B220" s="1">
        <v>45838</v>
      </c>
      <c r="C220">
        <v>243002</v>
      </c>
      <c r="D220">
        <v>-756.19100000000003</v>
      </c>
      <c r="E220" t="s">
        <v>4</v>
      </c>
      <c r="F220" t="s">
        <v>43</v>
      </c>
      <c r="G220" t="s">
        <v>8</v>
      </c>
    </row>
    <row r="221" spans="1:7" x14ac:dyDescent="0.3">
      <c r="A221" t="s">
        <v>12</v>
      </c>
      <c r="B221" s="1">
        <v>45838</v>
      </c>
      <c r="C221">
        <v>330143</v>
      </c>
      <c r="D221">
        <v>-2160.7170000000001</v>
      </c>
      <c r="E221" t="s">
        <v>4</v>
      </c>
      <c r="F221" t="s">
        <v>43</v>
      </c>
      <c r="G221" t="s">
        <v>8</v>
      </c>
    </row>
    <row r="222" spans="1:7" x14ac:dyDescent="0.3">
      <c r="A222" t="s">
        <v>12</v>
      </c>
      <c r="B222" s="1">
        <v>45838</v>
      </c>
      <c r="C222">
        <v>340165</v>
      </c>
      <c r="D222">
        <v>0</v>
      </c>
      <c r="E222" t="s">
        <v>4</v>
      </c>
      <c r="F222" t="s">
        <v>47</v>
      </c>
      <c r="G222" t="s">
        <v>8</v>
      </c>
    </row>
    <row r="223" spans="1:7" x14ac:dyDescent="0.3">
      <c r="A223" t="s">
        <v>12</v>
      </c>
      <c r="B223" s="1">
        <v>45838</v>
      </c>
      <c r="C223">
        <v>372004</v>
      </c>
      <c r="D223">
        <v>364.613</v>
      </c>
      <c r="E223" t="s">
        <v>4</v>
      </c>
      <c r="F223" t="s">
        <v>45</v>
      </c>
      <c r="G223" t="s">
        <v>8</v>
      </c>
    </row>
    <row r="224" spans="1:7" x14ac:dyDescent="0.3">
      <c r="A224" t="s">
        <v>12</v>
      </c>
      <c r="B224" s="1">
        <v>45838</v>
      </c>
      <c r="C224">
        <v>557002</v>
      </c>
      <c r="D224">
        <v>-1627.7850000000001</v>
      </c>
      <c r="E224" t="s">
        <v>6</v>
      </c>
      <c r="F224" t="s">
        <v>56</v>
      </c>
      <c r="G224" t="s">
        <v>8</v>
      </c>
    </row>
    <row r="225" spans="1:7" x14ac:dyDescent="0.3">
      <c r="A225" t="s">
        <v>13</v>
      </c>
      <c r="B225" s="1">
        <v>45838</v>
      </c>
      <c r="C225">
        <v>210002</v>
      </c>
      <c r="D225">
        <v>-12816.795</v>
      </c>
      <c r="E225" t="s">
        <v>4</v>
      </c>
      <c r="F225" t="s">
        <v>42</v>
      </c>
      <c r="G225" t="s">
        <v>8</v>
      </c>
    </row>
    <row r="226" spans="1:7" x14ac:dyDescent="0.3">
      <c r="A226" t="s">
        <v>13</v>
      </c>
      <c r="B226" s="1">
        <v>45838</v>
      </c>
      <c r="C226">
        <v>220004</v>
      </c>
      <c r="D226">
        <v>-1920.894</v>
      </c>
      <c r="E226" t="s">
        <v>4</v>
      </c>
      <c r="F226" t="s">
        <v>42</v>
      </c>
      <c r="G226" t="s">
        <v>8</v>
      </c>
    </row>
    <row r="227" spans="1:7" x14ac:dyDescent="0.3">
      <c r="A227" t="s">
        <v>13</v>
      </c>
      <c r="B227" s="1">
        <v>45838</v>
      </c>
      <c r="C227">
        <v>220006</v>
      </c>
      <c r="D227">
        <v>-675133.27399999998</v>
      </c>
      <c r="E227" t="s">
        <v>4</v>
      </c>
      <c r="F227" t="s">
        <v>42</v>
      </c>
      <c r="G227" t="s">
        <v>8</v>
      </c>
    </row>
    <row r="228" spans="1:7" x14ac:dyDescent="0.3">
      <c r="A228" t="s">
        <v>13</v>
      </c>
      <c r="B228" s="1">
        <v>45838</v>
      </c>
      <c r="C228">
        <v>220011</v>
      </c>
      <c r="D228">
        <v>-6.8170000000000002</v>
      </c>
      <c r="E228" t="s">
        <v>4</v>
      </c>
      <c r="F228" t="s">
        <v>42</v>
      </c>
      <c r="G228" t="s">
        <v>8</v>
      </c>
    </row>
    <row r="229" spans="1:7" x14ac:dyDescent="0.3">
      <c r="A229" t="s">
        <v>13</v>
      </c>
      <c r="B229" s="1">
        <v>45838</v>
      </c>
      <c r="C229">
        <v>240002</v>
      </c>
      <c r="D229">
        <v>-18733.058000000001</v>
      </c>
      <c r="E229" t="s">
        <v>4</v>
      </c>
      <c r="F229" t="s">
        <v>43</v>
      </c>
      <c r="G229" t="s">
        <v>8</v>
      </c>
    </row>
    <row r="230" spans="1:7" x14ac:dyDescent="0.3">
      <c r="A230" t="s">
        <v>13</v>
      </c>
      <c r="B230" s="1">
        <v>45838</v>
      </c>
      <c r="C230">
        <v>240009</v>
      </c>
      <c r="D230">
        <v>-385.35</v>
      </c>
      <c r="E230" t="s">
        <v>4</v>
      </c>
      <c r="F230" t="s">
        <v>43</v>
      </c>
      <c r="G230" t="s">
        <v>8</v>
      </c>
    </row>
    <row r="231" spans="1:7" x14ac:dyDescent="0.3">
      <c r="A231" t="s">
        <v>13</v>
      </c>
      <c r="B231" s="1">
        <v>45838</v>
      </c>
      <c r="C231">
        <v>242003</v>
      </c>
      <c r="D231">
        <v>40227.184000000001</v>
      </c>
      <c r="E231" t="s">
        <v>4</v>
      </c>
      <c r="F231" t="s">
        <v>43</v>
      </c>
      <c r="G231" t="s">
        <v>8</v>
      </c>
    </row>
    <row r="232" spans="1:7" x14ac:dyDescent="0.3">
      <c r="A232" t="s">
        <v>13</v>
      </c>
      <c r="B232" s="1">
        <v>45838</v>
      </c>
      <c r="C232">
        <v>242011</v>
      </c>
      <c r="D232">
        <v>-275.10899999999998</v>
      </c>
      <c r="E232" t="s">
        <v>4</v>
      </c>
      <c r="F232" t="s">
        <v>43</v>
      </c>
      <c r="G232" t="s">
        <v>8</v>
      </c>
    </row>
    <row r="233" spans="1:7" x14ac:dyDescent="0.3">
      <c r="A233" t="s">
        <v>13</v>
      </c>
      <c r="B233" s="1">
        <v>45838</v>
      </c>
      <c r="C233">
        <v>242013</v>
      </c>
      <c r="D233">
        <v>0</v>
      </c>
      <c r="E233" t="s">
        <v>4</v>
      </c>
      <c r="F233" t="s">
        <v>43</v>
      </c>
      <c r="G233" t="s">
        <v>8</v>
      </c>
    </row>
    <row r="234" spans="1:7" x14ac:dyDescent="0.3">
      <c r="A234" t="s">
        <v>13</v>
      </c>
      <c r="B234" s="1">
        <v>45838</v>
      </c>
      <c r="C234">
        <v>242023</v>
      </c>
      <c r="D234">
        <v>-4368.5469999999996</v>
      </c>
      <c r="E234" t="s">
        <v>4</v>
      </c>
      <c r="F234" t="s">
        <v>43</v>
      </c>
      <c r="G234" t="s">
        <v>8</v>
      </c>
    </row>
    <row r="235" spans="1:7" x14ac:dyDescent="0.3">
      <c r="A235" t="s">
        <v>13</v>
      </c>
      <c r="B235" s="1">
        <v>45838</v>
      </c>
      <c r="C235">
        <v>242027</v>
      </c>
      <c r="D235">
        <v>-3883.9659999999999</v>
      </c>
      <c r="E235" t="s">
        <v>4</v>
      </c>
      <c r="F235" t="s">
        <v>43</v>
      </c>
      <c r="G235" t="s">
        <v>8</v>
      </c>
    </row>
    <row r="236" spans="1:7" x14ac:dyDescent="0.3">
      <c r="A236" t="s">
        <v>13</v>
      </c>
      <c r="B236" s="1">
        <v>45838</v>
      </c>
      <c r="C236">
        <v>242030</v>
      </c>
      <c r="D236">
        <v>0</v>
      </c>
      <c r="E236" t="s">
        <v>4</v>
      </c>
      <c r="F236" t="s">
        <v>43</v>
      </c>
      <c r="G236" t="s">
        <v>8</v>
      </c>
    </row>
    <row r="237" spans="1:7" x14ac:dyDescent="0.3">
      <c r="A237" t="s">
        <v>13</v>
      </c>
      <c r="B237" s="1">
        <v>45838</v>
      </c>
      <c r="C237">
        <v>242036</v>
      </c>
      <c r="D237">
        <v>-5559.36</v>
      </c>
      <c r="E237" t="s">
        <v>4</v>
      </c>
      <c r="F237" t="s">
        <v>43</v>
      </c>
      <c r="G237" t="s">
        <v>8</v>
      </c>
    </row>
    <row r="238" spans="1:7" x14ac:dyDescent="0.3">
      <c r="A238" t="s">
        <v>13</v>
      </c>
      <c r="B238" s="1">
        <v>45838</v>
      </c>
      <c r="C238">
        <v>242039</v>
      </c>
      <c r="D238">
        <v>-7268.2749999999996</v>
      </c>
      <c r="E238" t="s">
        <v>4</v>
      </c>
      <c r="F238" t="s">
        <v>43</v>
      </c>
      <c r="G238" t="s">
        <v>8</v>
      </c>
    </row>
    <row r="239" spans="1:7" x14ac:dyDescent="0.3">
      <c r="A239" t="s">
        <v>13</v>
      </c>
      <c r="B239" s="1">
        <v>45838</v>
      </c>
      <c r="C239">
        <v>242040</v>
      </c>
      <c r="D239">
        <v>0</v>
      </c>
      <c r="E239" t="s">
        <v>4</v>
      </c>
      <c r="F239" t="s">
        <v>43</v>
      </c>
      <c r="G239" t="s">
        <v>8</v>
      </c>
    </row>
    <row r="240" spans="1:7" x14ac:dyDescent="0.3">
      <c r="A240" t="s">
        <v>13</v>
      </c>
      <c r="B240" s="1">
        <v>45838</v>
      </c>
      <c r="C240">
        <v>242041</v>
      </c>
      <c r="D240">
        <v>172.05500000000001</v>
      </c>
      <c r="E240" t="s">
        <v>4</v>
      </c>
      <c r="F240" t="s">
        <v>43</v>
      </c>
      <c r="G240" t="s">
        <v>8</v>
      </c>
    </row>
    <row r="241" spans="1:7" x14ac:dyDescent="0.3">
      <c r="A241" t="s">
        <v>13</v>
      </c>
      <c r="B241" s="1">
        <v>45838</v>
      </c>
      <c r="C241">
        <v>243002</v>
      </c>
      <c r="D241">
        <v>-15608.463</v>
      </c>
      <c r="E241" t="s">
        <v>4</v>
      </c>
      <c r="F241" t="s">
        <v>43</v>
      </c>
      <c r="G241" t="s">
        <v>8</v>
      </c>
    </row>
    <row r="242" spans="1:7" x14ac:dyDescent="0.3">
      <c r="A242" t="s">
        <v>13</v>
      </c>
      <c r="B242" s="1">
        <v>45838</v>
      </c>
      <c r="C242">
        <v>243011</v>
      </c>
      <c r="D242">
        <v>-76913.33</v>
      </c>
      <c r="E242" t="s">
        <v>4</v>
      </c>
      <c r="F242" t="s">
        <v>43</v>
      </c>
      <c r="G242" t="s">
        <v>8</v>
      </c>
    </row>
    <row r="243" spans="1:7" x14ac:dyDescent="0.3">
      <c r="A243" t="s">
        <v>13</v>
      </c>
      <c r="B243" s="1">
        <v>45838</v>
      </c>
      <c r="C243">
        <v>245010</v>
      </c>
      <c r="D243">
        <v>-10369.141</v>
      </c>
      <c r="E243" t="s">
        <v>4</v>
      </c>
      <c r="F243" t="s">
        <v>44</v>
      </c>
      <c r="G243" t="s">
        <v>8</v>
      </c>
    </row>
    <row r="244" spans="1:7" x14ac:dyDescent="0.3">
      <c r="A244" t="s">
        <v>13</v>
      </c>
      <c r="B244" s="1">
        <v>45838</v>
      </c>
      <c r="C244">
        <v>245049</v>
      </c>
      <c r="D244">
        <v>-226.85900000000001</v>
      </c>
      <c r="E244" t="s">
        <v>4</v>
      </c>
      <c r="F244" t="s">
        <v>43</v>
      </c>
      <c r="G244" t="s">
        <v>8</v>
      </c>
    </row>
    <row r="245" spans="1:7" x14ac:dyDescent="0.3">
      <c r="A245" t="s">
        <v>13</v>
      </c>
      <c r="B245" s="1">
        <v>45838</v>
      </c>
      <c r="C245">
        <v>245055</v>
      </c>
      <c r="D245">
        <v>0</v>
      </c>
      <c r="E245" t="s">
        <v>4</v>
      </c>
      <c r="F245" t="s">
        <v>43</v>
      </c>
      <c r="G245" t="s">
        <v>8</v>
      </c>
    </row>
    <row r="246" spans="1:7" x14ac:dyDescent="0.3">
      <c r="A246" t="s">
        <v>13</v>
      </c>
      <c r="B246" s="1">
        <v>45838</v>
      </c>
      <c r="C246">
        <v>245056</v>
      </c>
      <c r="D246">
        <v>-358.74</v>
      </c>
      <c r="E246" t="s">
        <v>4</v>
      </c>
      <c r="F246" t="s">
        <v>49</v>
      </c>
      <c r="G246" t="s">
        <v>8</v>
      </c>
    </row>
    <row r="247" spans="1:7" x14ac:dyDescent="0.3">
      <c r="A247" t="s">
        <v>13</v>
      </c>
      <c r="B247" s="1">
        <v>45838</v>
      </c>
      <c r="C247">
        <v>245058</v>
      </c>
      <c r="D247">
        <v>0</v>
      </c>
      <c r="E247" t="s">
        <v>4</v>
      </c>
      <c r="F247" t="s">
        <v>43</v>
      </c>
      <c r="G247" t="s">
        <v>8</v>
      </c>
    </row>
    <row r="248" spans="1:7" x14ac:dyDescent="0.3">
      <c r="A248" t="s">
        <v>13</v>
      </c>
      <c r="B248" s="1">
        <v>45838</v>
      </c>
      <c r="C248">
        <v>245062</v>
      </c>
      <c r="D248">
        <v>-643.40300000000002</v>
      </c>
      <c r="E248" t="s">
        <v>4</v>
      </c>
      <c r="F248" t="s">
        <v>43</v>
      </c>
      <c r="G248" t="s">
        <v>8</v>
      </c>
    </row>
    <row r="249" spans="1:7" x14ac:dyDescent="0.3">
      <c r="A249" t="s">
        <v>13</v>
      </c>
      <c r="B249" s="1">
        <v>45838</v>
      </c>
      <c r="C249">
        <v>250003</v>
      </c>
      <c r="D249">
        <v>-9847.35</v>
      </c>
      <c r="E249" t="s">
        <v>4</v>
      </c>
      <c r="F249" t="s">
        <v>45</v>
      </c>
      <c r="G249" t="s">
        <v>8</v>
      </c>
    </row>
    <row r="250" spans="1:7" x14ac:dyDescent="0.3">
      <c r="A250" t="s">
        <v>13</v>
      </c>
      <c r="B250" s="1">
        <v>45838</v>
      </c>
      <c r="C250">
        <v>251002</v>
      </c>
      <c r="D250">
        <v>-2.1999999999999999E-2</v>
      </c>
      <c r="E250" t="s">
        <v>4</v>
      </c>
      <c r="F250" t="s">
        <v>45</v>
      </c>
      <c r="G250" t="s">
        <v>8</v>
      </c>
    </row>
    <row r="251" spans="1:7" x14ac:dyDescent="0.3">
      <c r="A251" t="s">
        <v>13</v>
      </c>
      <c r="B251" s="1">
        <v>45838</v>
      </c>
      <c r="C251">
        <v>251003</v>
      </c>
      <c r="D251">
        <v>0</v>
      </c>
      <c r="E251" t="s">
        <v>4</v>
      </c>
      <c r="F251" t="s">
        <v>45</v>
      </c>
      <c r="G251" t="s">
        <v>8</v>
      </c>
    </row>
    <row r="252" spans="1:7" x14ac:dyDescent="0.3">
      <c r="A252" t="s">
        <v>13</v>
      </c>
      <c r="B252" s="1">
        <v>45838</v>
      </c>
      <c r="C252">
        <v>257014</v>
      </c>
      <c r="D252">
        <v>2160.9119999999998</v>
      </c>
      <c r="E252" t="s">
        <v>4</v>
      </c>
      <c r="F252" t="s">
        <v>45</v>
      </c>
      <c r="G252" t="s">
        <v>8</v>
      </c>
    </row>
    <row r="253" spans="1:7" x14ac:dyDescent="0.3">
      <c r="A253" t="s">
        <v>13</v>
      </c>
      <c r="B253" s="1">
        <v>45838</v>
      </c>
      <c r="C253">
        <v>257027</v>
      </c>
      <c r="D253">
        <v>-3940.1930000000002</v>
      </c>
      <c r="E253" t="s">
        <v>4</v>
      </c>
      <c r="F253" t="s">
        <v>45</v>
      </c>
      <c r="G253" t="s">
        <v>8</v>
      </c>
    </row>
    <row r="254" spans="1:7" x14ac:dyDescent="0.3">
      <c r="A254" t="s">
        <v>13</v>
      </c>
      <c r="B254" s="1">
        <v>45838</v>
      </c>
      <c r="C254">
        <v>257030</v>
      </c>
      <c r="D254">
        <v>-38794.034</v>
      </c>
      <c r="E254" t="s">
        <v>4</v>
      </c>
      <c r="F254" t="s">
        <v>45</v>
      </c>
      <c r="G254" t="s">
        <v>8</v>
      </c>
    </row>
    <row r="255" spans="1:7" x14ac:dyDescent="0.3">
      <c r="A255" t="s">
        <v>13</v>
      </c>
      <c r="B255" s="1">
        <v>45838</v>
      </c>
      <c r="C255">
        <v>260004</v>
      </c>
      <c r="D255">
        <v>-450567.978</v>
      </c>
      <c r="E255" t="s">
        <v>4</v>
      </c>
      <c r="F255" t="s">
        <v>45</v>
      </c>
      <c r="G255" t="s">
        <v>8</v>
      </c>
    </row>
    <row r="256" spans="1:7" x14ac:dyDescent="0.3">
      <c r="A256" t="s">
        <v>13</v>
      </c>
      <c r="B256" s="1">
        <v>45838</v>
      </c>
      <c r="C256">
        <v>260051</v>
      </c>
      <c r="D256">
        <v>-67970.853000000003</v>
      </c>
      <c r="E256" t="s">
        <v>4</v>
      </c>
      <c r="F256" t="s">
        <v>45</v>
      </c>
      <c r="G256" t="s">
        <v>8</v>
      </c>
    </row>
    <row r="257" spans="1:7" x14ac:dyDescent="0.3">
      <c r="A257" t="s">
        <v>13</v>
      </c>
      <c r="B257" s="1">
        <v>45838</v>
      </c>
      <c r="C257">
        <v>270027</v>
      </c>
      <c r="D257">
        <v>-2556.951</v>
      </c>
      <c r="E257" t="s">
        <v>4</v>
      </c>
      <c r="F257" t="s">
        <v>58</v>
      </c>
      <c r="G257" t="s">
        <v>8</v>
      </c>
    </row>
    <row r="258" spans="1:7" x14ac:dyDescent="0.3">
      <c r="A258" t="s">
        <v>13</v>
      </c>
      <c r="B258" s="1">
        <v>45838</v>
      </c>
      <c r="C258">
        <v>300004</v>
      </c>
      <c r="D258">
        <v>2845.5160000000001</v>
      </c>
      <c r="E258" t="s">
        <v>4</v>
      </c>
      <c r="F258" t="s">
        <v>65</v>
      </c>
      <c r="G258" t="s">
        <v>8</v>
      </c>
    </row>
    <row r="259" spans="1:7" x14ac:dyDescent="0.3">
      <c r="A259" t="s">
        <v>13</v>
      </c>
      <c r="B259" s="1">
        <v>45838</v>
      </c>
      <c r="C259">
        <v>300005</v>
      </c>
      <c r="D259">
        <v>1521.72</v>
      </c>
      <c r="E259" t="s">
        <v>4</v>
      </c>
      <c r="F259" t="s">
        <v>65</v>
      </c>
      <c r="G259" t="s">
        <v>8</v>
      </c>
    </row>
    <row r="260" spans="1:7" x14ac:dyDescent="0.3">
      <c r="A260" t="s">
        <v>13</v>
      </c>
      <c r="B260" s="1">
        <v>45838</v>
      </c>
      <c r="C260">
        <v>300008</v>
      </c>
      <c r="D260">
        <v>1888.702</v>
      </c>
      <c r="E260" t="s">
        <v>4</v>
      </c>
      <c r="F260" t="s">
        <v>65</v>
      </c>
      <c r="G260" t="s">
        <v>8</v>
      </c>
    </row>
    <row r="261" spans="1:7" x14ac:dyDescent="0.3">
      <c r="A261" t="s">
        <v>13</v>
      </c>
      <c r="B261" s="1">
        <v>45838</v>
      </c>
      <c r="C261">
        <v>300011</v>
      </c>
      <c r="D261">
        <v>153.28899999999999</v>
      </c>
      <c r="E261" t="s">
        <v>4</v>
      </c>
      <c r="F261" t="s">
        <v>65</v>
      </c>
      <c r="G261" t="s">
        <v>8</v>
      </c>
    </row>
    <row r="262" spans="1:7" x14ac:dyDescent="0.3">
      <c r="A262" t="s">
        <v>13</v>
      </c>
      <c r="B262" s="1">
        <v>45838</v>
      </c>
      <c r="C262">
        <v>300012</v>
      </c>
      <c r="D262">
        <v>983.21900000000005</v>
      </c>
      <c r="E262" t="s">
        <v>4</v>
      </c>
      <c r="F262" t="s">
        <v>65</v>
      </c>
      <c r="G262" t="s">
        <v>8</v>
      </c>
    </row>
    <row r="263" spans="1:7" x14ac:dyDescent="0.3">
      <c r="A263" t="s">
        <v>13</v>
      </c>
      <c r="B263" s="1">
        <v>45838</v>
      </c>
      <c r="C263">
        <v>300504</v>
      </c>
      <c r="D263">
        <v>-2605.9299999999998</v>
      </c>
      <c r="E263" t="s">
        <v>4</v>
      </c>
      <c r="F263" t="s">
        <v>65</v>
      </c>
      <c r="G263" t="s">
        <v>8</v>
      </c>
    </row>
    <row r="264" spans="1:7" x14ac:dyDescent="0.3">
      <c r="A264" t="s">
        <v>13</v>
      </c>
      <c r="B264" s="1">
        <v>45838</v>
      </c>
      <c r="C264">
        <v>300505</v>
      </c>
      <c r="D264">
        <v>-1314.731</v>
      </c>
      <c r="E264" t="s">
        <v>4</v>
      </c>
      <c r="F264" t="s">
        <v>65</v>
      </c>
      <c r="G264" t="s">
        <v>8</v>
      </c>
    </row>
    <row r="265" spans="1:7" x14ac:dyDescent="0.3">
      <c r="A265" t="s">
        <v>13</v>
      </c>
      <c r="B265" s="1">
        <v>45838</v>
      </c>
      <c r="C265">
        <v>300508</v>
      </c>
      <c r="D265">
        <v>-1823.366</v>
      </c>
      <c r="E265" t="s">
        <v>4</v>
      </c>
      <c r="F265" t="s">
        <v>65</v>
      </c>
      <c r="G265" t="s">
        <v>8</v>
      </c>
    </row>
    <row r="266" spans="1:7" x14ac:dyDescent="0.3">
      <c r="A266" t="s">
        <v>13</v>
      </c>
      <c r="B266" s="1">
        <v>45838</v>
      </c>
      <c r="C266">
        <v>300511</v>
      </c>
      <c r="D266">
        <v>-153.28899999999999</v>
      </c>
      <c r="E266" t="s">
        <v>4</v>
      </c>
      <c r="F266" t="s">
        <v>65</v>
      </c>
      <c r="G266" t="s">
        <v>8</v>
      </c>
    </row>
    <row r="267" spans="1:7" x14ac:dyDescent="0.3">
      <c r="A267" t="s">
        <v>13</v>
      </c>
      <c r="B267" s="1">
        <v>45838</v>
      </c>
      <c r="C267">
        <v>300512</v>
      </c>
      <c r="D267">
        <v>-983.21900000000005</v>
      </c>
      <c r="E267" t="s">
        <v>4</v>
      </c>
      <c r="F267" t="s">
        <v>65</v>
      </c>
      <c r="G267" t="s">
        <v>8</v>
      </c>
    </row>
    <row r="268" spans="1:7" x14ac:dyDescent="0.3">
      <c r="A268" t="s">
        <v>13</v>
      </c>
      <c r="B268" s="1">
        <v>45838</v>
      </c>
      <c r="C268">
        <v>301004</v>
      </c>
      <c r="D268">
        <v>2947.8629999999998</v>
      </c>
      <c r="E268" t="s">
        <v>4</v>
      </c>
      <c r="F268" t="s">
        <v>65</v>
      </c>
      <c r="G268" t="s">
        <v>8</v>
      </c>
    </row>
    <row r="269" spans="1:7" x14ac:dyDescent="0.3">
      <c r="A269" t="s">
        <v>13</v>
      </c>
      <c r="B269" s="1">
        <v>45838</v>
      </c>
      <c r="C269">
        <v>301504</v>
      </c>
      <c r="D269">
        <v>-2947.8629999999998</v>
      </c>
      <c r="E269" t="s">
        <v>4</v>
      </c>
      <c r="F269" t="s">
        <v>65</v>
      </c>
      <c r="G269" t="s">
        <v>8</v>
      </c>
    </row>
    <row r="270" spans="1:7" x14ac:dyDescent="0.3">
      <c r="A270" t="s">
        <v>13</v>
      </c>
      <c r="B270" s="1">
        <v>45838</v>
      </c>
      <c r="C270">
        <v>320002</v>
      </c>
      <c r="D270">
        <v>27425.817999999999</v>
      </c>
      <c r="E270" t="s">
        <v>4</v>
      </c>
      <c r="F270" t="s">
        <v>46</v>
      </c>
      <c r="G270" t="s">
        <v>8</v>
      </c>
    </row>
    <row r="271" spans="1:7" x14ac:dyDescent="0.3">
      <c r="A271" t="s">
        <v>13</v>
      </c>
      <c r="B271" s="1">
        <v>45838</v>
      </c>
      <c r="C271">
        <v>320003</v>
      </c>
      <c r="D271">
        <v>229904.03599999999</v>
      </c>
      <c r="E271" t="s">
        <v>4</v>
      </c>
      <c r="F271" t="s">
        <v>46</v>
      </c>
      <c r="G271" t="s">
        <v>8</v>
      </c>
    </row>
    <row r="272" spans="1:7" x14ac:dyDescent="0.3">
      <c r="A272" t="s">
        <v>13</v>
      </c>
      <c r="B272" s="1">
        <v>45838</v>
      </c>
      <c r="C272">
        <v>320004</v>
      </c>
      <c r="D272">
        <v>2134.2069999999999</v>
      </c>
      <c r="E272" t="s">
        <v>4</v>
      </c>
      <c r="F272" t="s">
        <v>46</v>
      </c>
      <c r="G272" t="s">
        <v>8</v>
      </c>
    </row>
    <row r="273" spans="1:7" x14ac:dyDescent="0.3">
      <c r="A273" t="s">
        <v>13</v>
      </c>
      <c r="B273" s="1">
        <v>45838</v>
      </c>
      <c r="C273">
        <v>320019</v>
      </c>
      <c r="D273">
        <v>22.204999999999998</v>
      </c>
      <c r="E273" t="s">
        <v>4</v>
      </c>
      <c r="F273" t="s">
        <v>46</v>
      </c>
      <c r="G273" t="s">
        <v>8</v>
      </c>
    </row>
    <row r="274" spans="1:7" x14ac:dyDescent="0.3">
      <c r="A274" t="s">
        <v>13</v>
      </c>
      <c r="B274" s="1">
        <v>45838</v>
      </c>
      <c r="C274">
        <v>320023</v>
      </c>
      <c r="D274">
        <v>-26.646000000000001</v>
      </c>
      <c r="E274" t="s">
        <v>4</v>
      </c>
      <c r="F274" t="s">
        <v>46</v>
      </c>
      <c r="G274" t="s">
        <v>8</v>
      </c>
    </row>
    <row r="275" spans="1:7" x14ac:dyDescent="0.3">
      <c r="A275" t="s">
        <v>13</v>
      </c>
      <c r="B275" s="1">
        <v>45838</v>
      </c>
      <c r="C275">
        <v>321002</v>
      </c>
      <c r="D275">
        <v>-8807.2360000000008</v>
      </c>
      <c r="E275" t="s">
        <v>4</v>
      </c>
      <c r="F275" t="s">
        <v>46</v>
      </c>
      <c r="G275" t="s">
        <v>8</v>
      </c>
    </row>
    <row r="276" spans="1:7" x14ac:dyDescent="0.3">
      <c r="A276" t="s">
        <v>13</v>
      </c>
      <c r="B276" s="1">
        <v>45838</v>
      </c>
      <c r="C276">
        <v>321012</v>
      </c>
      <c r="D276">
        <v>-259.89100000000002</v>
      </c>
      <c r="E276" t="s">
        <v>4</v>
      </c>
      <c r="F276" t="s">
        <v>46</v>
      </c>
      <c r="G276" t="s">
        <v>8</v>
      </c>
    </row>
    <row r="277" spans="1:7" x14ac:dyDescent="0.3">
      <c r="A277" t="s">
        <v>13</v>
      </c>
      <c r="B277" s="1">
        <v>45838</v>
      </c>
      <c r="C277">
        <v>321029</v>
      </c>
      <c r="D277">
        <v>13507.698</v>
      </c>
      <c r="E277" t="s">
        <v>4</v>
      </c>
      <c r="F277" t="s">
        <v>46</v>
      </c>
      <c r="G277" t="s">
        <v>8</v>
      </c>
    </row>
    <row r="278" spans="1:7" x14ac:dyDescent="0.3">
      <c r="A278" t="s">
        <v>13</v>
      </c>
      <c r="B278" s="1">
        <v>45838</v>
      </c>
      <c r="C278">
        <v>321042</v>
      </c>
      <c r="D278">
        <v>370.48500000000001</v>
      </c>
      <c r="E278" t="s">
        <v>4</v>
      </c>
      <c r="F278" t="s">
        <v>46</v>
      </c>
      <c r="G278" t="s">
        <v>8</v>
      </c>
    </row>
    <row r="279" spans="1:7" x14ac:dyDescent="0.3">
      <c r="A279" t="s">
        <v>13</v>
      </c>
      <c r="B279" s="1">
        <v>45838</v>
      </c>
      <c r="C279">
        <v>330017</v>
      </c>
      <c r="D279">
        <v>0</v>
      </c>
      <c r="E279" t="s">
        <v>4</v>
      </c>
      <c r="F279" t="s">
        <v>43</v>
      </c>
      <c r="G279" t="s">
        <v>8</v>
      </c>
    </row>
    <row r="280" spans="1:7" x14ac:dyDescent="0.3">
      <c r="A280" t="s">
        <v>13</v>
      </c>
      <c r="B280" s="1">
        <v>45838</v>
      </c>
      <c r="C280">
        <v>330121</v>
      </c>
      <c r="D280">
        <v>0</v>
      </c>
      <c r="E280" t="s">
        <v>4</v>
      </c>
      <c r="F280" t="s">
        <v>43</v>
      </c>
      <c r="G280" t="s">
        <v>8</v>
      </c>
    </row>
    <row r="281" spans="1:7" x14ac:dyDescent="0.3">
      <c r="A281" t="s">
        <v>13</v>
      </c>
      <c r="B281" s="1">
        <v>45838</v>
      </c>
      <c r="C281">
        <v>340112</v>
      </c>
      <c r="D281">
        <v>248186.63699999999</v>
      </c>
      <c r="E281" t="s">
        <v>4</v>
      </c>
      <c r="F281" t="s">
        <v>47</v>
      </c>
      <c r="G281" t="s">
        <v>8</v>
      </c>
    </row>
    <row r="282" spans="1:7" x14ac:dyDescent="0.3">
      <c r="A282" t="s">
        <v>13</v>
      </c>
      <c r="B282" s="1">
        <v>45838</v>
      </c>
      <c r="C282">
        <v>340113</v>
      </c>
      <c r="D282">
        <v>11974249.977</v>
      </c>
      <c r="E282" t="s">
        <v>4</v>
      </c>
      <c r="F282" t="s">
        <v>47</v>
      </c>
      <c r="G282" t="s">
        <v>8</v>
      </c>
    </row>
    <row r="283" spans="1:7" x14ac:dyDescent="0.3">
      <c r="A283" t="s">
        <v>13</v>
      </c>
      <c r="B283" s="1">
        <v>45838</v>
      </c>
      <c r="C283">
        <v>340114</v>
      </c>
      <c r="D283">
        <v>-11693067.823000001</v>
      </c>
      <c r="E283" t="s">
        <v>4</v>
      </c>
      <c r="F283" t="s">
        <v>47</v>
      </c>
      <c r="G283" t="s">
        <v>8</v>
      </c>
    </row>
    <row r="284" spans="1:7" x14ac:dyDescent="0.3">
      <c r="A284" t="s">
        <v>13</v>
      </c>
      <c r="B284" s="1">
        <v>45838</v>
      </c>
      <c r="C284">
        <v>340122</v>
      </c>
      <c r="D284">
        <v>1833.5419999999999</v>
      </c>
      <c r="E284" t="s">
        <v>4</v>
      </c>
      <c r="F284" t="s">
        <v>47</v>
      </c>
      <c r="G284" t="s">
        <v>8</v>
      </c>
    </row>
    <row r="285" spans="1:7" x14ac:dyDescent="0.3">
      <c r="A285" t="s">
        <v>13</v>
      </c>
      <c r="B285" s="1">
        <v>45838</v>
      </c>
      <c r="C285">
        <v>340123</v>
      </c>
      <c r="D285">
        <v>8467.8639999999996</v>
      </c>
      <c r="E285" t="s">
        <v>4</v>
      </c>
      <c r="F285" t="s">
        <v>47</v>
      </c>
      <c r="G285" t="s">
        <v>8</v>
      </c>
    </row>
    <row r="286" spans="1:7" x14ac:dyDescent="0.3">
      <c r="A286" t="s">
        <v>13</v>
      </c>
      <c r="B286" s="1">
        <v>45838</v>
      </c>
      <c r="C286">
        <v>340124</v>
      </c>
      <c r="D286">
        <v>-10301.406999999999</v>
      </c>
      <c r="E286" t="s">
        <v>4</v>
      </c>
      <c r="F286" t="s">
        <v>47</v>
      </c>
      <c r="G286" t="s">
        <v>8</v>
      </c>
    </row>
    <row r="287" spans="1:7" x14ac:dyDescent="0.3">
      <c r="A287" t="s">
        <v>13</v>
      </c>
      <c r="B287" s="1">
        <v>45838</v>
      </c>
      <c r="C287">
        <v>340126</v>
      </c>
      <c r="D287">
        <v>0</v>
      </c>
      <c r="E287" t="s">
        <v>4</v>
      </c>
      <c r="F287" t="s">
        <v>47</v>
      </c>
      <c r="G287" t="s">
        <v>8</v>
      </c>
    </row>
    <row r="288" spans="1:7" x14ac:dyDescent="0.3">
      <c r="A288" t="s">
        <v>13</v>
      </c>
      <c r="B288" s="1">
        <v>45838</v>
      </c>
      <c r="C288">
        <v>350002</v>
      </c>
      <c r="D288">
        <v>555.35199999999998</v>
      </c>
      <c r="E288" t="s">
        <v>4</v>
      </c>
      <c r="F288" t="s">
        <v>49</v>
      </c>
      <c r="G288" t="s">
        <v>8</v>
      </c>
    </row>
    <row r="289" spans="1:7" x14ac:dyDescent="0.3">
      <c r="A289" t="s">
        <v>13</v>
      </c>
      <c r="B289" s="1">
        <v>45838</v>
      </c>
      <c r="C289">
        <v>350003</v>
      </c>
      <c r="D289">
        <v>430.38</v>
      </c>
      <c r="E289" t="s">
        <v>4</v>
      </c>
      <c r="F289" t="s">
        <v>49</v>
      </c>
      <c r="G289" t="s">
        <v>8</v>
      </c>
    </row>
    <row r="290" spans="1:7" x14ac:dyDescent="0.3">
      <c r="A290" t="s">
        <v>13</v>
      </c>
      <c r="B290" s="1">
        <v>45838</v>
      </c>
      <c r="C290">
        <v>350007</v>
      </c>
      <c r="D290">
        <v>3.8959999999999999</v>
      </c>
      <c r="E290" t="s">
        <v>4</v>
      </c>
      <c r="F290" t="s">
        <v>49</v>
      </c>
      <c r="G290" t="s">
        <v>8</v>
      </c>
    </row>
    <row r="291" spans="1:7" x14ac:dyDescent="0.3">
      <c r="A291" t="s">
        <v>13</v>
      </c>
      <c r="B291" s="1">
        <v>45838</v>
      </c>
      <c r="C291">
        <v>350031</v>
      </c>
      <c r="D291">
        <v>385.35</v>
      </c>
      <c r="E291" t="s">
        <v>4</v>
      </c>
      <c r="F291" t="s">
        <v>43</v>
      </c>
      <c r="G291" t="s">
        <v>8</v>
      </c>
    </row>
    <row r="292" spans="1:7" x14ac:dyDescent="0.3">
      <c r="A292" t="s">
        <v>13</v>
      </c>
      <c r="B292" s="1">
        <v>45838</v>
      </c>
      <c r="C292">
        <v>350034</v>
      </c>
      <c r="D292">
        <v>358.74</v>
      </c>
      <c r="E292" t="s">
        <v>4</v>
      </c>
      <c r="F292" t="s">
        <v>49</v>
      </c>
      <c r="G292" t="s">
        <v>8</v>
      </c>
    </row>
    <row r="293" spans="1:7" x14ac:dyDescent="0.3">
      <c r="A293" t="s">
        <v>13</v>
      </c>
      <c r="B293" s="1">
        <v>45838</v>
      </c>
      <c r="C293">
        <v>352002</v>
      </c>
      <c r="D293">
        <v>184.40799999999999</v>
      </c>
      <c r="E293" t="s">
        <v>4</v>
      </c>
      <c r="F293" t="s">
        <v>48</v>
      </c>
      <c r="G293" t="s">
        <v>8</v>
      </c>
    </row>
    <row r="294" spans="1:7" x14ac:dyDescent="0.3">
      <c r="A294" t="s">
        <v>13</v>
      </c>
      <c r="B294" s="1">
        <v>45838</v>
      </c>
      <c r="C294">
        <v>354003</v>
      </c>
      <c r="D294">
        <v>0</v>
      </c>
      <c r="E294" t="s">
        <v>4</v>
      </c>
      <c r="F294" t="s">
        <v>46</v>
      </c>
      <c r="G294" t="s">
        <v>8</v>
      </c>
    </row>
    <row r="295" spans="1:7" x14ac:dyDescent="0.3">
      <c r="A295" t="s">
        <v>13</v>
      </c>
      <c r="B295" s="1">
        <v>45838</v>
      </c>
      <c r="C295">
        <v>354005</v>
      </c>
      <c r="D295">
        <v>0</v>
      </c>
      <c r="E295" t="s">
        <v>4</v>
      </c>
      <c r="F295" t="s">
        <v>46</v>
      </c>
      <c r="G295" t="s">
        <v>8</v>
      </c>
    </row>
    <row r="296" spans="1:7" x14ac:dyDescent="0.3">
      <c r="A296" t="s">
        <v>13</v>
      </c>
      <c r="B296" s="1">
        <v>45838</v>
      </c>
      <c r="C296">
        <v>354006</v>
      </c>
      <c r="D296">
        <v>0</v>
      </c>
      <c r="E296" t="s">
        <v>4</v>
      </c>
      <c r="F296" t="s">
        <v>46</v>
      </c>
      <c r="G296" t="s">
        <v>8</v>
      </c>
    </row>
    <row r="297" spans="1:7" x14ac:dyDescent="0.3">
      <c r="A297" t="s">
        <v>13</v>
      </c>
      <c r="B297" s="1">
        <v>45838</v>
      </c>
      <c r="C297">
        <v>354012</v>
      </c>
      <c r="D297">
        <v>12816.795</v>
      </c>
      <c r="E297" t="s">
        <v>4</v>
      </c>
      <c r="F297" t="s">
        <v>46</v>
      </c>
      <c r="G297" t="s">
        <v>8</v>
      </c>
    </row>
    <row r="298" spans="1:7" x14ac:dyDescent="0.3">
      <c r="A298" t="s">
        <v>13</v>
      </c>
      <c r="B298" s="1">
        <v>45838</v>
      </c>
      <c r="C298">
        <v>354014</v>
      </c>
      <c r="D298">
        <v>1127.8779999999999</v>
      </c>
      <c r="E298" t="s">
        <v>4</v>
      </c>
      <c r="F298" t="s">
        <v>46</v>
      </c>
      <c r="G298" t="s">
        <v>8</v>
      </c>
    </row>
    <row r="299" spans="1:7" x14ac:dyDescent="0.3">
      <c r="A299" t="s">
        <v>13</v>
      </c>
      <c r="B299" s="1">
        <v>45838</v>
      </c>
      <c r="C299">
        <v>354015</v>
      </c>
      <c r="D299">
        <v>1160.9449999999999</v>
      </c>
      <c r="E299" t="s">
        <v>4</v>
      </c>
      <c r="F299" t="s">
        <v>46</v>
      </c>
      <c r="G299" t="s">
        <v>8</v>
      </c>
    </row>
    <row r="300" spans="1:7" x14ac:dyDescent="0.3">
      <c r="A300" t="s">
        <v>13</v>
      </c>
      <c r="B300" s="1">
        <v>45838</v>
      </c>
      <c r="C300">
        <v>355002</v>
      </c>
      <c r="D300">
        <v>-3.3000000000000002E-2</v>
      </c>
      <c r="E300" t="s">
        <v>4</v>
      </c>
      <c r="F300" t="s">
        <v>49</v>
      </c>
      <c r="G300" t="s">
        <v>8</v>
      </c>
    </row>
    <row r="301" spans="1:7" x14ac:dyDescent="0.3">
      <c r="A301" t="s">
        <v>13</v>
      </c>
      <c r="B301" s="1">
        <v>45838</v>
      </c>
      <c r="C301">
        <v>355013</v>
      </c>
      <c r="D301">
        <v>110851.81</v>
      </c>
      <c r="E301" t="s">
        <v>4</v>
      </c>
      <c r="F301" t="s">
        <v>49</v>
      </c>
      <c r="G301" t="s">
        <v>8</v>
      </c>
    </row>
    <row r="302" spans="1:7" x14ac:dyDescent="0.3">
      <c r="A302" t="s">
        <v>13</v>
      </c>
      <c r="B302" s="1">
        <v>45838</v>
      </c>
      <c r="C302">
        <v>360030</v>
      </c>
      <c r="D302">
        <v>0</v>
      </c>
      <c r="E302" t="s">
        <v>4</v>
      </c>
      <c r="F302" t="s">
        <v>58</v>
      </c>
      <c r="G302" t="s">
        <v>8</v>
      </c>
    </row>
    <row r="303" spans="1:7" x14ac:dyDescent="0.3">
      <c r="A303" t="s">
        <v>13</v>
      </c>
      <c r="B303" s="1">
        <v>45838</v>
      </c>
      <c r="C303">
        <v>372004</v>
      </c>
      <c r="D303">
        <v>477472.13900000002</v>
      </c>
      <c r="E303" t="s">
        <v>4</v>
      </c>
      <c r="F303" t="s">
        <v>45</v>
      </c>
      <c r="G303" t="s">
        <v>8</v>
      </c>
    </row>
    <row r="304" spans="1:7" x14ac:dyDescent="0.3">
      <c r="A304" t="s">
        <v>13</v>
      </c>
      <c r="B304" s="1">
        <v>45838</v>
      </c>
      <c r="C304">
        <v>400002</v>
      </c>
      <c r="D304">
        <v>-290.99900000000002</v>
      </c>
      <c r="E304" t="s">
        <v>6</v>
      </c>
      <c r="F304" t="s">
        <v>50</v>
      </c>
      <c r="G304" t="s">
        <v>8</v>
      </c>
    </row>
    <row r="305" spans="1:7" x14ac:dyDescent="0.3">
      <c r="A305" t="s">
        <v>13</v>
      </c>
      <c r="B305" s="1">
        <v>45838</v>
      </c>
      <c r="C305">
        <v>400004</v>
      </c>
      <c r="D305">
        <v>-47296.578000000001</v>
      </c>
      <c r="E305" t="s">
        <v>6</v>
      </c>
      <c r="F305" t="s">
        <v>50</v>
      </c>
      <c r="G305" t="s">
        <v>8</v>
      </c>
    </row>
    <row r="306" spans="1:7" x14ac:dyDescent="0.3">
      <c r="A306" t="s">
        <v>13</v>
      </c>
      <c r="B306" s="1">
        <v>45838</v>
      </c>
      <c r="C306">
        <v>410002</v>
      </c>
      <c r="D306">
        <v>-164049.299</v>
      </c>
      <c r="E306" t="s">
        <v>6</v>
      </c>
      <c r="F306" t="s">
        <v>51</v>
      </c>
      <c r="G306" t="s">
        <v>8</v>
      </c>
    </row>
    <row r="307" spans="1:7" x14ac:dyDescent="0.3">
      <c r="A307" t="s">
        <v>13</v>
      </c>
      <c r="B307" s="1">
        <v>45838</v>
      </c>
      <c r="C307">
        <v>410037</v>
      </c>
      <c r="D307">
        <v>-4542.7240000000002</v>
      </c>
      <c r="E307" t="s">
        <v>6</v>
      </c>
      <c r="F307" t="s">
        <v>51</v>
      </c>
      <c r="G307" t="s">
        <v>8</v>
      </c>
    </row>
    <row r="308" spans="1:7" x14ac:dyDescent="0.3">
      <c r="A308" t="s">
        <v>13</v>
      </c>
      <c r="B308" s="1">
        <v>45838</v>
      </c>
      <c r="C308">
        <v>415002</v>
      </c>
      <c r="D308">
        <v>-61406.186000000002</v>
      </c>
      <c r="E308" t="s">
        <v>6</v>
      </c>
      <c r="F308" t="s">
        <v>50</v>
      </c>
      <c r="G308" t="s">
        <v>8</v>
      </c>
    </row>
    <row r="309" spans="1:7" x14ac:dyDescent="0.3">
      <c r="A309" t="s">
        <v>13</v>
      </c>
      <c r="B309" s="1">
        <v>45838</v>
      </c>
      <c r="C309">
        <v>415004</v>
      </c>
      <c r="D309">
        <v>-76694.277000000002</v>
      </c>
      <c r="E309" t="s">
        <v>6</v>
      </c>
      <c r="F309" t="s">
        <v>50</v>
      </c>
      <c r="G309" t="s">
        <v>8</v>
      </c>
    </row>
    <row r="310" spans="1:7" x14ac:dyDescent="0.3">
      <c r="A310" t="s">
        <v>13</v>
      </c>
      <c r="B310" s="1">
        <v>45838</v>
      </c>
      <c r="C310">
        <v>421002</v>
      </c>
      <c r="D310">
        <v>-1767.2149999999999</v>
      </c>
      <c r="E310" t="s">
        <v>6</v>
      </c>
      <c r="F310" t="s">
        <v>52</v>
      </c>
      <c r="G310" t="s">
        <v>8</v>
      </c>
    </row>
    <row r="311" spans="1:7" x14ac:dyDescent="0.3">
      <c r="A311" t="s">
        <v>13</v>
      </c>
      <c r="B311" s="1">
        <v>45838</v>
      </c>
      <c r="C311">
        <v>421003</v>
      </c>
      <c r="D311">
        <v>5179.9449999999997</v>
      </c>
      <c r="E311" t="s">
        <v>6</v>
      </c>
      <c r="F311" t="s">
        <v>52</v>
      </c>
      <c r="G311" t="s">
        <v>8</v>
      </c>
    </row>
    <row r="312" spans="1:7" x14ac:dyDescent="0.3">
      <c r="A312" t="s">
        <v>13</v>
      </c>
      <c r="B312" s="1">
        <v>45838</v>
      </c>
      <c r="C312">
        <v>421007</v>
      </c>
      <c r="D312">
        <v>-1718.5429999999999</v>
      </c>
      <c r="E312" t="s">
        <v>6</v>
      </c>
      <c r="F312" t="s">
        <v>52</v>
      </c>
      <c r="G312" t="s">
        <v>8</v>
      </c>
    </row>
    <row r="313" spans="1:7" x14ac:dyDescent="0.3">
      <c r="A313" t="s">
        <v>13</v>
      </c>
      <c r="B313" s="1">
        <v>45838</v>
      </c>
      <c r="C313">
        <v>510002</v>
      </c>
      <c r="D313">
        <v>32660.843000000001</v>
      </c>
      <c r="E313" t="s">
        <v>6</v>
      </c>
      <c r="F313" t="s">
        <v>53</v>
      </c>
      <c r="G313" t="s">
        <v>8</v>
      </c>
    </row>
    <row r="314" spans="1:7" x14ac:dyDescent="0.3">
      <c r="A314" t="s">
        <v>13</v>
      </c>
      <c r="B314" s="1">
        <v>45838</v>
      </c>
      <c r="C314">
        <v>510005</v>
      </c>
      <c r="D314">
        <v>406.81200000000001</v>
      </c>
      <c r="E314" t="s">
        <v>6</v>
      </c>
      <c r="F314" t="s">
        <v>53</v>
      </c>
      <c r="G314" t="s">
        <v>8</v>
      </c>
    </row>
    <row r="315" spans="1:7" x14ac:dyDescent="0.3">
      <c r="A315" t="s">
        <v>13</v>
      </c>
      <c r="B315" s="1">
        <v>45838</v>
      </c>
      <c r="C315">
        <v>510007</v>
      </c>
      <c r="D315">
        <v>695.63900000000001</v>
      </c>
      <c r="E315" t="s">
        <v>6</v>
      </c>
      <c r="F315" t="s">
        <v>53</v>
      </c>
      <c r="G315" t="s">
        <v>8</v>
      </c>
    </row>
    <row r="316" spans="1:7" x14ac:dyDescent="0.3">
      <c r="A316" t="s">
        <v>13</v>
      </c>
      <c r="B316" s="1">
        <v>45838</v>
      </c>
      <c r="C316">
        <v>510015</v>
      </c>
      <c r="D316">
        <v>15556.772999999999</v>
      </c>
      <c r="E316" t="s">
        <v>6</v>
      </c>
      <c r="F316" t="s">
        <v>53</v>
      </c>
      <c r="G316" t="s">
        <v>8</v>
      </c>
    </row>
    <row r="317" spans="1:7" x14ac:dyDescent="0.3">
      <c r="A317" t="s">
        <v>13</v>
      </c>
      <c r="B317" s="1">
        <v>45838</v>
      </c>
      <c r="C317">
        <v>510061</v>
      </c>
      <c r="D317">
        <v>0</v>
      </c>
      <c r="E317" t="s">
        <v>6</v>
      </c>
      <c r="F317" t="s">
        <v>53</v>
      </c>
      <c r="G317" t="s">
        <v>8</v>
      </c>
    </row>
    <row r="318" spans="1:7" x14ac:dyDescent="0.3">
      <c r="A318" t="s">
        <v>13</v>
      </c>
      <c r="B318" s="1">
        <v>45838</v>
      </c>
      <c r="C318">
        <v>510062</v>
      </c>
      <c r="D318">
        <v>752.06200000000001</v>
      </c>
      <c r="E318" t="s">
        <v>6</v>
      </c>
      <c r="F318" t="s">
        <v>53</v>
      </c>
      <c r="G318" t="s">
        <v>8</v>
      </c>
    </row>
    <row r="319" spans="1:7" x14ac:dyDescent="0.3">
      <c r="A319" t="s">
        <v>13</v>
      </c>
      <c r="B319" s="1">
        <v>45838</v>
      </c>
      <c r="C319">
        <v>510064</v>
      </c>
      <c r="D319">
        <v>1840.4090000000001</v>
      </c>
      <c r="E319" t="s">
        <v>6</v>
      </c>
      <c r="F319" t="s">
        <v>53</v>
      </c>
      <c r="G319" t="s">
        <v>8</v>
      </c>
    </row>
    <row r="320" spans="1:7" x14ac:dyDescent="0.3">
      <c r="A320" t="s">
        <v>13</v>
      </c>
      <c r="B320" s="1">
        <v>45838</v>
      </c>
      <c r="C320">
        <v>510065</v>
      </c>
      <c r="D320">
        <v>606.95399999999995</v>
      </c>
      <c r="E320" t="s">
        <v>6</v>
      </c>
      <c r="F320" t="s">
        <v>53</v>
      </c>
      <c r="G320" t="s">
        <v>8</v>
      </c>
    </row>
    <row r="321" spans="1:7" x14ac:dyDescent="0.3">
      <c r="A321" t="s">
        <v>13</v>
      </c>
      <c r="B321" s="1">
        <v>45838</v>
      </c>
      <c r="C321">
        <v>510066</v>
      </c>
      <c r="D321">
        <v>0</v>
      </c>
      <c r="E321" t="s">
        <v>6</v>
      </c>
      <c r="F321" t="s">
        <v>53</v>
      </c>
      <c r="G321" t="s">
        <v>8</v>
      </c>
    </row>
    <row r="322" spans="1:7" x14ac:dyDescent="0.3">
      <c r="A322" t="s">
        <v>13</v>
      </c>
      <c r="B322" s="1">
        <v>45838</v>
      </c>
      <c r="C322">
        <v>520020</v>
      </c>
      <c r="D322">
        <v>83.960999999999999</v>
      </c>
      <c r="E322" t="s">
        <v>6</v>
      </c>
      <c r="F322" t="s">
        <v>53</v>
      </c>
      <c r="G322" t="s">
        <v>8</v>
      </c>
    </row>
    <row r="323" spans="1:7" x14ac:dyDescent="0.3">
      <c r="A323" t="s">
        <v>13</v>
      </c>
      <c r="B323" s="1">
        <v>45838</v>
      </c>
      <c r="C323">
        <v>521002</v>
      </c>
      <c r="D323">
        <v>0</v>
      </c>
      <c r="E323" t="s">
        <v>6</v>
      </c>
      <c r="F323" t="s">
        <v>53</v>
      </c>
      <c r="G323" t="s">
        <v>8</v>
      </c>
    </row>
    <row r="324" spans="1:7" x14ac:dyDescent="0.3">
      <c r="A324" t="s">
        <v>13</v>
      </c>
      <c r="B324" s="1">
        <v>45838</v>
      </c>
      <c r="C324">
        <v>521004</v>
      </c>
      <c r="D324">
        <v>0</v>
      </c>
      <c r="E324" t="s">
        <v>6</v>
      </c>
      <c r="F324" t="s">
        <v>53</v>
      </c>
      <c r="G324" t="s">
        <v>8</v>
      </c>
    </row>
    <row r="325" spans="1:7" x14ac:dyDescent="0.3">
      <c r="A325" t="s">
        <v>13</v>
      </c>
      <c r="B325" s="1">
        <v>45838</v>
      </c>
      <c r="C325">
        <v>521006</v>
      </c>
      <c r="D325">
        <v>0</v>
      </c>
      <c r="E325" t="s">
        <v>6</v>
      </c>
      <c r="F325" t="s">
        <v>53</v>
      </c>
      <c r="G325" t="s">
        <v>8</v>
      </c>
    </row>
    <row r="326" spans="1:7" x14ac:dyDescent="0.3">
      <c r="A326" t="s">
        <v>13</v>
      </c>
      <c r="B326" s="1">
        <v>45838</v>
      </c>
      <c r="C326">
        <v>521007</v>
      </c>
      <c r="D326">
        <v>0</v>
      </c>
      <c r="E326" t="s">
        <v>6</v>
      </c>
      <c r="F326" t="s">
        <v>53</v>
      </c>
      <c r="G326" t="s">
        <v>8</v>
      </c>
    </row>
    <row r="327" spans="1:7" x14ac:dyDescent="0.3">
      <c r="A327" t="s">
        <v>13</v>
      </c>
      <c r="B327" s="1">
        <v>45838</v>
      </c>
      <c r="C327">
        <v>521009</v>
      </c>
      <c r="D327">
        <v>0</v>
      </c>
      <c r="E327" t="s">
        <v>6</v>
      </c>
      <c r="F327" t="s">
        <v>53</v>
      </c>
      <c r="G327" t="s">
        <v>8</v>
      </c>
    </row>
    <row r="328" spans="1:7" x14ac:dyDescent="0.3">
      <c r="A328" t="s">
        <v>13</v>
      </c>
      <c r="B328" s="1">
        <v>45838</v>
      </c>
      <c r="C328">
        <v>521014</v>
      </c>
      <c r="D328">
        <v>0</v>
      </c>
      <c r="E328" t="s">
        <v>6</v>
      </c>
      <c r="F328" t="s">
        <v>53</v>
      </c>
      <c r="G328" t="s">
        <v>8</v>
      </c>
    </row>
    <row r="329" spans="1:7" x14ac:dyDescent="0.3">
      <c r="A329" t="s">
        <v>13</v>
      </c>
      <c r="B329" s="1">
        <v>45838</v>
      </c>
      <c r="C329">
        <v>541003</v>
      </c>
      <c r="D329">
        <v>940.05100000000004</v>
      </c>
      <c r="E329" t="s">
        <v>6</v>
      </c>
      <c r="F329" t="s">
        <v>61</v>
      </c>
      <c r="G329" t="s">
        <v>8</v>
      </c>
    </row>
    <row r="330" spans="1:7" x14ac:dyDescent="0.3">
      <c r="A330" t="s">
        <v>13</v>
      </c>
      <c r="B330" s="1">
        <v>45838</v>
      </c>
      <c r="C330">
        <v>541004</v>
      </c>
      <c r="D330">
        <v>172.56</v>
      </c>
      <c r="E330" t="s">
        <v>6</v>
      </c>
      <c r="F330" t="s">
        <v>61</v>
      </c>
      <c r="G330" t="s">
        <v>8</v>
      </c>
    </row>
    <row r="331" spans="1:7" x14ac:dyDescent="0.3">
      <c r="A331" t="s">
        <v>13</v>
      </c>
      <c r="B331" s="1">
        <v>45838</v>
      </c>
      <c r="C331">
        <v>541010</v>
      </c>
      <c r="D331">
        <v>214.29400000000001</v>
      </c>
      <c r="E331" t="s">
        <v>6</v>
      </c>
      <c r="F331" t="s">
        <v>61</v>
      </c>
      <c r="G331" t="s">
        <v>8</v>
      </c>
    </row>
    <row r="332" spans="1:7" x14ac:dyDescent="0.3">
      <c r="A332" t="s">
        <v>13</v>
      </c>
      <c r="B332" s="1">
        <v>45838</v>
      </c>
      <c r="C332">
        <v>544006</v>
      </c>
      <c r="D332">
        <v>542.21400000000006</v>
      </c>
      <c r="E332" t="s">
        <v>6</v>
      </c>
      <c r="F332" t="s">
        <v>61</v>
      </c>
      <c r="G332" t="s">
        <v>8</v>
      </c>
    </row>
    <row r="333" spans="1:7" x14ac:dyDescent="0.3">
      <c r="A333" t="s">
        <v>13</v>
      </c>
      <c r="B333" s="1">
        <v>45838</v>
      </c>
      <c r="C333">
        <v>546002</v>
      </c>
      <c r="D333">
        <v>80594.062999999995</v>
      </c>
      <c r="E333" t="s">
        <v>6</v>
      </c>
      <c r="F333" t="s">
        <v>51</v>
      </c>
      <c r="G333" t="s">
        <v>8</v>
      </c>
    </row>
    <row r="334" spans="1:7" x14ac:dyDescent="0.3">
      <c r="A334" t="s">
        <v>13</v>
      </c>
      <c r="B334" s="1">
        <v>45838</v>
      </c>
      <c r="C334">
        <v>546013</v>
      </c>
      <c r="D334">
        <v>273.39499999999998</v>
      </c>
      <c r="E334" t="s">
        <v>6</v>
      </c>
      <c r="F334" t="s">
        <v>51</v>
      </c>
      <c r="G334" t="s">
        <v>8</v>
      </c>
    </row>
    <row r="335" spans="1:7" x14ac:dyDescent="0.3">
      <c r="A335" t="s">
        <v>13</v>
      </c>
      <c r="B335" s="1">
        <v>45838</v>
      </c>
      <c r="C335">
        <v>546024</v>
      </c>
      <c r="D335">
        <v>4341.3389999999999</v>
      </c>
      <c r="E335" t="s">
        <v>6</v>
      </c>
      <c r="F335" t="s">
        <v>51</v>
      </c>
      <c r="G335" t="s">
        <v>8</v>
      </c>
    </row>
    <row r="336" spans="1:7" x14ac:dyDescent="0.3">
      <c r="A336" t="s">
        <v>13</v>
      </c>
      <c r="B336" s="1">
        <v>45838</v>
      </c>
      <c r="C336">
        <v>546035</v>
      </c>
      <c r="D336">
        <v>3859.7759999999998</v>
      </c>
      <c r="E336" t="s">
        <v>6</v>
      </c>
      <c r="F336" t="s">
        <v>51</v>
      </c>
      <c r="G336" t="s">
        <v>8</v>
      </c>
    </row>
    <row r="337" spans="1:7" x14ac:dyDescent="0.3">
      <c r="A337" t="s">
        <v>13</v>
      </c>
      <c r="B337" s="1">
        <v>45838</v>
      </c>
      <c r="C337">
        <v>546045</v>
      </c>
      <c r="D337">
        <v>1270.8679999999999</v>
      </c>
      <c r="E337" t="s">
        <v>6</v>
      </c>
      <c r="F337" t="s">
        <v>51</v>
      </c>
      <c r="G337" t="s">
        <v>8</v>
      </c>
    </row>
    <row r="338" spans="1:7" x14ac:dyDescent="0.3">
      <c r="A338" t="s">
        <v>13</v>
      </c>
      <c r="B338" s="1">
        <v>45838</v>
      </c>
      <c r="C338">
        <v>546046</v>
      </c>
      <c r="D338">
        <v>5524.7359999999999</v>
      </c>
      <c r="E338" t="s">
        <v>6</v>
      </c>
      <c r="F338" t="s">
        <v>51</v>
      </c>
      <c r="G338" t="s">
        <v>8</v>
      </c>
    </row>
    <row r="339" spans="1:7" x14ac:dyDescent="0.3">
      <c r="A339" t="s">
        <v>13</v>
      </c>
      <c r="B339" s="1">
        <v>45838</v>
      </c>
      <c r="C339">
        <v>547002</v>
      </c>
      <c r="D339">
        <v>152555.43799999999</v>
      </c>
      <c r="E339" t="s">
        <v>6</v>
      </c>
      <c r="F339" t="s">
        <v>54</v>
      </c>
      <c r="G339" t="s">
        <v>8</v>
      </c>
    </row>
    <row r="340" spans="1:7" x14ac:dyDescent="0.3">
      <c r="A340" t="s">
        <v>13</v>
      </c>
      <c r="B340" s="1">
        <v>45838</v>
      </c>
      <c r="C340">
        <v>547011</v>
      </c>
      <c r="D340">
        <v>3553.1260000000002</v>
      </c>
      <c r="E340" t="s">
        <v>6</v>
      </c>
      <c r="F340" t="s">
        <v>54</v>
      </c>
      <c r="G340" t="s">
        <v>8</v>
      </c>
    </row>
    <row r="341" spans="1:7" x14ac:dyDescent="0.3">
      <c r="A341" t="s">
        <v>13</v>
      </c>
      <c r="B341" s="1">
        <v>45838</v>
      </c>
      <c r="C341">
        <v>552502</v>
      </c>
      <c r="D341">
        <v>444.26600000000002</v>
      </c>
      <c r="E341" t="s">
        <v>6</v>
      </c>
      <c r="F341" t="s">
        <v>55</v>
      </c>
      <c r="G341" t="s">
        <v>8</v>
      </c>
    </row>
    <row r="342" spans="1:7" x14ac:dyDescent="0.3">
      <c r="A342" t="s">
        <v>13</v>
      </c>
      <c r="B342" s="1">
        <v>45838</v>
      </c>
      <c r="C342">
        <v>555508</v>
      </c>
      <c r="D342">
        <v>550.36400000000003</v>
      </c>
      <c r="E342" t="s">
        <v>6</v>
      </c>
      <c r="F342" t="s">
        <v>55</v>
      </c>
      <c r="G342" t="s">
        <v>8</v>
      </c>
    </row>
    <row r="343" spans="1:7" x14ac:dyDescent="0.3">
      <c r="A343" t="s">
        <v>13</v>
      </c>
      <c r="B343" s="1">
        <v>45838</v>
      </c>
      <c r="C343">
        <v>556002</v>
      </c>
      <c r="D343">
        <v>54.124000000000002</v>
      </c>
      <c r="E343" t="s">
        <v>6</v>
      </c>
      <c r="F343" t="s">
        <v>60</v>
      </c>
      <c r="G343" t="s">
        <v>8</v>
      </c>
    </row>
    <row r="344" spans="1:7" x14ac:dyDescent="0.3">
      <c r="A344" t="s">
        <v>13</v>
      </c>
      <c r="B344" s="1">
        <v>45838</v>
      </c>
      <c r="C344">
        <v>557002</v>
      </c>
      <c r="D344">
        <v>5049.0860000000002</v>
      </c>
      <c r="E344" t="s">
        <v>6</v>
      </c>
      <c r="F344" t="s">
        <v>56</v>
      </c>
      <c r="G344" t="s">
        <v>8</v>
      </c>
    </row>
    <row r="345" spans="1:7" x14ac:dyDescent="0.3">
      <c r="A345" t="s">
        <v>13</v>
      </c>
      <c r="B345" s="1">
        <v>45838</v>
      </c>
      <c r="C345">
        <v>559002</v>
      </c>
      <c r="D345">
        <v>14.557</v>
      </c>
      <c r="E345" t="s">
        <v>6</v>
      </c>
      <c r="F345" t="s">
        <v>60</v>
      </c>
      <c r="G345" t="s">
        <v>8</v>
      </c>
    </row>
    <row r="346" spans="1:7" x14ac:dyDescent="0.3">
      <c r="A346" t="s">
        <v>13</v>
      </c>
      <c r="B346" s="1">
        <v>45838</v>
      </c>
      <c r="C346">
        <v>560008</v>
      </c>
      <c r="D346">
        <v>485.214</v>
      </c>
      <c r="E346" t="s">
        <v>6</v>
      </c>
      <c r="F346" t="s">
        <v>56</v>
      </c>
      <c r="G346" t="s">
        <v>8</v>
      </c>
    </row>
    <row r="347" spans="1:7" x14ac:dyDescent="0.3">
      <c r="A347" t="s">
        <v>13</v>
      </c>
      <c r="B347" s="1">
        <v>45838</v>
      </c>
      <c r="C347">
        <v>564004</v>
      </c>
      <c r="D347">
        <v>1704.2070000000001</v>
      </c>
      <c r="E347" t="s">
        <v>6</v>
      </c>
      <c r="F347" t="s">
        <v>51</v>
      </c>
      <c r="G347" t="s">
        <v>8</v>
      </c>
    </row>
    <row r="348" spans="1:7" x14ac:dyDescent="0.3">
      <c r="A348" t="s">
        <v>13</v>
      </c>
      <c r="B348" s="1">
        <v>45838</v>
      </c>
      <c r="C348">
        <v>564008</v>
      </c>
      <c r="D348">
        <v>30.071000000000002</v>
      </c>
      <c r="E348" t="s">
        <v>6</v>
      </c>
      <c r="F348" t="s">
        <v>55</v>
      </c>
      <c r="G348" t="s">
        <v>8</v>
      </c>
    </row>
    <row r="349" spans="1:7" x14ac:dyDescent="0.3">
      <c r="A349" t="s">
        <v>13</v>
      </c>
      <c r="B349" s="1">
        <v>45838</v>
      </c>
      <c r="C349">
        <v>564020</v>
      </c>
      <c r="D349">
        <v>1433.615</v>
      </c>
      <c r="E349" t="s">
        <v>6</v>
      </c>
      <c r="F349" t="s">
        <v>57</v>
      </c>
      <c r="G349" t="s">
        <v>8</v>
      </c>
    </row>
    <row r="350" spans="1:7" x14ac:dyDescent="0.3">
      <c r="A350" t="s">
        <v>13</v>
      </c>
      <c r="B350" s="1">
        <v>45838</v>
      </c>
      <c r="C350">
        <v>564021</v>
      </c>
      <c r="D350">
        <v>56.552</v>
      </c>
      <c r="E350" t="s">
        <v>6</v>
      </c>
      <c r="F350" t="s">
        <v>57</v>
      </c>
      <c r="G350" t="s">
        <v>8</v>
      </c>
    </row>
    <row r="351" spans="1:7" x14ac:dyDescent="0.3">
      <c r="A351" t="s">
        <v>13</v>
      </c>
      <c r="B351" s="1">
        <v>45838</v>
      </c>
      <c r="C351">
        <v>570002</v>
      </c>
      <c r="D351">
        <v>78.254999999999995</v>
      </c>
      <c r="E351" t="s">
        <v>6</v>
      </c>
      <c r="F351" t="s">
        <v>66</v>
      </c>
      <c r="G351" t="s">
        <v>8</v>
      </c>
    </row>
    <row r="352" spans="1:7" x14ac:dyDescent="0.3">
      <c r="A352" t="s">
        <v>13</v>
      </c>
      <c r="B352" s="1">
        <v>45838</v>
      </c>
      <c r="C352">
        <v>580002</v>
      </c>
      <c r="D352">
        <v>2541.0259999999998</v>
      </c>
      <c r="E352" t="s">
        <v>6</v>
      </c>
      <c r="F352" t="s">
        <v>64</v>
      </c>
      <c r="G352" t="s">
        <v>8</v>
      </c>
    </row>
    <row r="353" spans="1:7" x14ac:dyDescent="0.3">
      <c r="A353" t="s">
        <v>14</v>
      </c>
      <c r="B353" s="1">
        <v>45838</v>
      </c>
      <c r="C353">
        <v>210002</v>
      </c>
      <c r="D353">
        <v>-3204.1990000000001</v>
      </c>
      <c r="E353" t="s">
        <v>4</v>
      </c>
      <c r="F353" t="s">
        <v>42</v>
      </c>
      <c r="G353" t="s">
        <v>8</v>
      </c>
    </row>
    <row r="354" spans="1:7" x14ac:dyDescent="0.3">
      <c r="A354" t="s">
        <v>14</v>
      </c>
      <c r="B354" s="1">
        <v>45838</v>
      </c>
      <c r="C354">
        <v>220006</v>
      </c>
      <c r="D354">
        <v>68622.001000000004</v>
      </c>
      <c r="E354" t="s">
        <v>4</v>
      </c>
      <c r="F354" t="s">
        <v>42</v>
      </c>
      <c r="G354" t="s">
        <v>8</v>
      </c>
    </row>
    <row r="355" spans="1:7" x14ac:dyDescent="0.3">
      <c r="A355" t="s">
        <v>14</v>
      </c>
      <c r="B355" s="1">
        <v>45838</v>
      </c>
      <c r="C355">
        <v>220011</v>
      </c>
      <c r="D355">
        <v>-28004.825000000001</v>
      </c>
      <c r="E355" t="s">
        <v>4</v>
      </c>
      <c r="F355" t="s">
        <v>42</v>
      </c>
      <c r="G355" t="s">
        <v>8</v>
      </c>
    </row>
    <row r="356" spans="1:7" x14ac:dyDescent="0.3">
      <c r="A356" t="s">
        <v>14</v>
      </c>
      <c r="B356" s="1">
        <v>45838</v>
      </c>
      <c r="C356">
        <v>240002</v>
      </c>
      <c r="D356">
        <v>1380.819</v>
      </c>
      <c r="E356" t="s">
        <v>4</v>
      </c>
      <c r="F356" t="s">
        <v>43</v>
      </c>
      <c r="G356" t="s">
        <v>8</v>
      </c>
    </row>
    <row r="357" spans="1:7" x14ac:dyDescent="0.3">
      <c r="A357" t="s">
        <v>14</v>
      </c>
      <c r="B357" s="1">
        <v>45838</v>
      </c>
      <c r="C357">
        <v>240003</v>
      </c>
      <c r="D357">
        <v>-30.440999999999999</v>
      </c>
      <c r="E357" t="s">
        <v>4</v>
      </c>
      <c r="F357" t="s">
        <v>43</v>
      </c>
      <c r="G357" t="s">
        <v>8</v>
      </c>
    </row>
    <row r="358" spans="1:7" x14ac:dyDescent="0.3">
      <c r="A358" t="s">
        <v>14</v>
      </c>
      <c r="B358" s="1">
        <v>45838</v>
      </c>
      <c r="C358">
        <v>240009</v>
      </c>
      <c r="D358">
        <v>-5337.567</v>
      </c>
      <c r="E358" t="s">
        <v>4</v>
      </c>
      <c r="F358" t="s">
        <v>43</v>
      </c>
      <c r="G358" t="s">
        <v>8</v>
      </c>
    </row>
    <row r="359" spans="1:7" x14ac:dyDescent="0.3">
      <c r="A359" t="s">
        <v>14</v>
      </c>
      <c r="B359" s="1">
        <v>45838</v>
      </c>
      <c r="C359">
        <v>242003</v>
      </c>
      <c r="D359">
        <v>-306106.48100000003</v>
      </c>
      <c r="E359" t="s">
        <v>4</v>
      </c>
      <c r="F359" t="s">
        <v>43</v>
      </c>
      <c r="G359" t="s">
        <v>8</v>
      </c>
    </row>
    <row r="360" spans="1:7" x14ac:dyDescent="0.3">
      <c r="A360" t="s">
        <v>14</v>
      </c>
      <c r="B360" s="1">
        <v>45838</v>
      </c>
      <c r="C360">
        <v>242011</v>
      </c>
      <c r="D360">
        <v>183.083</v>
      </c>
      <c r="E360" t="s">
        <v>4</v>
      </c>
      <c r="F360" t="s">
        <v>43</v>
      </c>
      <c r="G360" t="s">
        <v>8</v>
      </c>
    </row>
    <row r="361" spans="1:7" x14ac:dyDescent="0.3">
      <c r="A361" t="s">
        <v>14</v>
      </c>
      <c r="B361" s="1">
        <v>45838</v>
      </c>
      <c r="C361">
        <v>242012</v>
      </c>
      <c r="D361">
        <v>-12312.581</v>
      </c>
      <c r="E361" t="s">
        <v>4</v>
      </c>
      <c r="F361" t="s">
        <v>43</v>
      </c>
      <c r="G361" t="s">
        <v>8</v>
      </c>
    </row>
    <row r="362" spans="1:7" x14ac:dyDescent="0.3">
      <c r="A362" t="s">
        <v>14</v>
      </c>
      <c r="B362" s="1">
        <v>45838</v>
      </c>
      <c r="C362">
        <v>242013</v>
      </c>
      <c r="D362">
        <v>-9796.143</v>
      </c>
      <c r="E362" t="s">
        <v>4</v>
      </c>
      <c r="F362" t="s">
        <v>43</v>
      </c>
      <c r="G362" t="s">
        <v>8</v>
      </c>
    </row>
    <row r="363" spans="1:7" x14ac:dyDescent="0.3">
      <c r="A363" t="s">
        <v>14</v>
      </c>
      <c r="B363" s="1">
        <v>45838</v>
      </c>
      <c r="C363">
        <v>242014</v>
      </c>
      <c r="D363">
        <v>-24603.873</v>
      </c>
      <c r="E363" t="s">
        <v>4</v>
      </c>
      <c r="F363" t="s">
        <v>43</v>
      </c>
      <c r="G363" t="s">
        <v>8</v>
      </c>
    </row>
    <row r="364" spans="1:7" x14ac:dyDescent="0.3">
      <c r="A364" t="s">
        <v>14</v>
      </c>
      <c r="B364" s="1">
        <v>45838</v>
      </c>
      <c r="C364">
        <v>242027</v>
      </c>
      <c r="D364">
        <v>-15359.422</v>
      </c>
      <c r="E364" t="s">
        <v>4</v>
      </c>
      <c r="F364" t="s">
        <v>43</v>
      </c>
      <c r="G364" t="s">
        <v>8</v>
      </c>
    </row>
    <row r="365" spans="1:7" x14ac:dyDescent="0.3">
      <c r="A365" t="s">
        <v>14</v>
      </c>
      <c r="B365" s="1">
        <v>45838</v>
      </c>
      <c r="C365">
        <v>242041</v>
      </c>
      <c r="D365">
        <v>-3817.9389999999999</v>
      </c>
      <c r="E365" t="s">
        <v>4</v>
      </c>
      <c r="F365" t="s">
        <v>43</v>
      </c>
      <c r="G365" t="s">
        <v>8</v>
      </c>
    </row>
    <row r="366" spans="1:7" x14ac:dyDescent="0.3">
      <c r="A366" t="s">
        <v>14</v>
      </c>
      <c r="B366" s="1">
        <v>45838</v>
      </c>
      <c r="C366">
        <v>243002</v>
      </c>
      <c r="D366">
        <v>-9127.9050000000007</v>
      </c>
      <c r="E366" t="s">
        <v>4</v>
      </c>
      <c r="F366" t="s">
        <v>43</v>
      </c>
      <c r="G366" t="s">
        <v>8</v>
      </c>
    </row>
    <row r="367" spans="1:7" x14ac:dyDescent="0.3">
      <c r="A367" t="s">
        <v>14</v>
      </c>
      <c r="B367" s="1">
        <v>45838</v>
      </c>
      <c r="C367">
        <v>243007</v>
      </c>
      <c r="D367">
        <v>0</v>
      </c>
      <c r="E367" t="s">
        <v>4</v>
      </c>
      <c r="F367" t="s">
        <v>43</v>
      </c>
      <c r="G367" t="s">
        <v>8</v>
      </c>
    </row>
    <row r="368" spans="1:7" x14ac:dyDescent="0.3">
      <c r="A368" t="s">
        <v>14</v>
      </c>
      <c r="B368" s="1">
        <v>45838</v>
      </c>
      <c r="C368">
        <v>243010</v>
      </c>
      <c r="D368">
        <v>-861.28899999999999</v>
      </c>
      <c r="E368" t="s">
        <v>4</v>
      </c>
      <c r="F368" t="s">
        <v>43</v>
      </c>
      <c r="G368" t="s">
        <v>8</v>
      </c>
    </row>
    <row r="369" spans="1:7" x14ac:dyDescent="0.3">
      <c r="A369" t="s">
        <v>14</v>
      </c>
      <c r="B369" s="1">
        <v>45838</v>
      </c>
      <c r="C369">
        <v>245010</v>
      </c>
      <c r="D369">
        <v>-4177.8869999999997</v>
      </c>
      <c r="E369" t="s">
        <v>4</v>
      </c>
      <c r="F369" t="s">
        <v>44</v>
      </c>
      <c r="G369" t="s">
        <v>8</v>
      </c>
    </row>
    <row r="370" spans="1:7" x14ac:dyDescent="0.3">
      <c r="A370" t="s">
        <v>14</v>
      </c>
      <c r="B370" s="1">
        <v>45838</v>
      </c>
      <c r="C370">
        <v>245055</v>
      </c>
      <c r="D370">
        <v>0</v>
      </c>
      <c r="E370" t="s">
        <v>4</v>
      </c>
      <c r="F370" t="s">
        <v>43</v>
      </c>
      <c r="G370" t="s">
        <v>8</v>
      </c>
    </row>
    <row r="371" spans="1:7" x14ac:dyDescent="0.3">
      <c r="A371" t="s">
        <v>14</v>
      </c>
      <c r="B371" s="1">
        <v>45838</v>
      </c>
      <c r="C371">
        <v>245056</v>
      </c>
      <c r="D371">
        <v>-299.084</v>
      </c>
      <c r="E371" t="s">
        <v>4</v>
      </c>
      <c r="F371" t="s">
        <v>49</v>
      </c>
      <c r="G371" t="s">
        <v>8</v>
      </c>
    </row>
    <row r="372" spans="1:7" x14ac:dyDescent="0.3">
      <c r="A372" t="s">
        <v>14</v>
      </c>
      <c r="B372" s="1">
        <v>45838</v>
      </c>
      <c r="C372">
        <v>245058</v>
      </c>
      <c r="D372">
        <v>0</v>
      </c>
      <c r="E372" t="s">
        <v>4</v>
      </c>
      <c r="F372" t="s">
        <v>43</v>
      </c>
      <c r="G372" t="s">
        <v>8</v>
      </c>
    </row>
    <row r="373" spans="1:7" x14ac:dyDescent="0.3">
      <c r="A373" t="s">
        <v>14</v>
      </c>
      <c r="B373" s="1">
        <v>45838</v>
      </c>
      <c r="C373">
        <v>245062</v>
      </c>
      <c r="D373">
        <v>-647.50400000000002</v>
      </c>
      <c r="E373" t="s">
        <v>4</v>
      </c>
      <c r="F373" t="s">
        <v>43</v>
      </c>
      <c r="G373" t="s">
        <v>8</v>
      </c>
    </row>
    <row r="374" spans="1:7" x14ac:dyDescent="0.3">
      <c r="A374" t="s">
        <v>14</v>
      </c>
      <c r="B374" s="1">
        <v>45838</v>
      </c>
      <c r="C374">
        <v>250003</v>
      </c>
      <c r="D374">
        <v>-32000.437000000002</v>
      </c>
      <c r="E374" t="s">
        <v>4</v>
      </c>
      <c r="F374" t="s">
        <v>45</v>
      </c>
      <c r="G374" t="s">
        <v>8</v>
      </c>
    </row>
    <row r="375" spans="1:7" x14ac:dyDescent="0.3">
      <c r="A375" t="s">
        <v>14</v>
      </c>
      <c r="B375" s="1">
        <v>45838</v>
      </c>
      <c r="C375">
        <v>251002</v>
      </c>
      <c r="D375">
        <v>-3362.2840000000001</v>
      </c>
      <c r="E375" t="s">
        <v>4</v>
      </c>
      <c r="F375" t="s">
        <v>45</v>
      </c>
      <c r="G375" t="s">
        <v>8</v>
      </c>
    </row>
    <row r="376" spans="1:7" x14ac:dyDescent="0.3">
      <c r="A376" t="s">
        <v>14</v>
      </c>
      <c r="B376" s="1">
        <v>45838</v>
      </c>
      <c r="C376">
        <v>251003</v>
      </c>
      <c r="D376">
        <v>-1477.655</v>
      </c>
      <c r="E376" t="s">
        <v>4</v>
      </c>
      <c r="F376" t="s">
        <v>45</v>
      </c>
      <c r="G376" t="s">
        <v>8</v>
      </c>
    </row>
    <row r="377" spans="1:7" x14ac:dyDescent="0.3">
      <c r="A377" t="s">
        <v>14</v>
      </c>
      <c r="B377" s="1">
        <v>45838</v>
      </c>
      <c r="C377">
        <v>251004</v>
      </c>
      <c r="D377">
        <v>0</v>
      </c>
      <c r="E377" t="s">
        <v>4</v>
      </c>
      <c r="F377" t="s">
        <v>46</v>
      </c>
      <c r="G377" t="s">
        <v>8</v>
      </c>
    </row>
    <row r="378" spans="1:7" x14ac:dyDescent="0.3">
      <c r="A378" t="s">
        <v>14</v>
      </c>
      <c r="B378" s="1">
        <v>45838</v>
      </c>
      <c r="C378">
        <v>251005</v>
      </c>
      <c r="D378">
        <v>0</v>
      </c>
      <c r="E378" t="s">
        <v>4</v>
      </c>
      <c r="F378" t="s">
        <v>46</v>
      </c>
      <c r="G378" t="s">
        <v>8</v>
      </c>
    </row>
    <row r="379" spans="1:7" x14ac:dyDescent="0.3">
      <c r="A379" t="s">
        <v>14</v>
      </c>
      <c r="B379" s="1">
        <v>45838</v>
      </c>
      <c r="C379">
        <v>257005</v>
      </c>
      <c r="D379">
        <v>12464.786</v>
      </c>
      <c r="E379" t="s">
        <v>4</v>
      </c>
      <c r="F379" t="s">
        <v>45</v>
      </c>
      <c r="G379" t="s">
        <v>8</v>
      </c>
    </row>
    <row r="380" spans="1:7" x14ac:dyDescent="0.3">
      <c r="A380" t="s">
        <v>14</v>
      </c>
      <c r="B380" s="1">
        <v>45838</v>
      </c>
      <c r="C380">
        <v>257008</v>
      </c>
      <c r="D380">
        <v>-964.08299999999997</v>
      </c>
      <c r="E380" t="s">
        <v>4</v>
      </c>
      <c r="F380" t="s">
        <v>45</v>
      </c>
      <c r="G380" t="s">
        <v>8</v>
      </c>
    </row>
    <row r="381" spans="1:7" x14ac:dyDescent="0.3">
      <c r="A381" t="s">
        <v>14</v>
      </c>
      <c r="B381" s="1">
        <v>45838</v>
      </c>
      <c r="C381">
        <v>257014</v>
      </c>
      <c r="D381">
        <v>3320.3229999999999</v>
      </c>
      <c r="E381" t="s">
        <v>4</v>
      </c>
      <c r="F381" t="s">
        <v>45</v>
      </c>
      <c r="G381" t="s">
        <v>8</v>
      </c>
    </row>
    <row r="382" spans="1:7" x14ac:dyDescent="0.3">
      <c r="A382" t="s">
        <v>14</v>
      </c>
      <c r="B382" s="1">
        <v>45838</v>
      </c>
      <c r="C382">
        <v>257030</v>
      </c>
      <c r="D382">
        <v>-22912.737000000001</v>
      </c>
      <c r="E382" t="s">
        <v>4</v>
      </c>
      <c r="F382" t="s">
        <v>45</v>
      </c>
      <c r="G382" t="s">
        <v>8</v>
      </c>
    </row>
    <row r="383" spans="1:7" x14ac:dyDescent="0.3">
      <c r="A383" t="s">
        <v>14</v>
      </c>
      <c r="B383" s="1">
        <v>45838</v>
      </c>
      <c r="C383">
        <v>260004</v>
      </c>
      <c r="D383">
        <v>-4975.9809999999998</v>
      </c>
      <c r="E383" t="s">
        <v>4</v>
      </c>
      <c r="F383" t="s">
        <v>45</v>
      </c>
      <c r="G383" t="s">
        <v>8</v>
      </c>
    </row>
    <row r="384" spans="1:7" x14ac:dyDescent="0.3">
      <c r="A384" t="s">
        <v>14</v>
      </c>
      <c r="B384" s="1">
        <v>45838</v>
      </c>
      <c r="C384">
        <v>270026</v>
      </c>
      <c r="D384">
        <v>0</v>
      </c>
      <c r="E384" t="s">
        <v>4</v>
      </c>
      <c r="F384" t="s">
        <v>58</v>
      </c>
      <c r="G384" t="s">
        <v>8</v>
      </c>
    </row>
    <row r="385" spans="1:7" x14ac:dyDescent="0.3">
      <c r="A385" t="s">
        <v>14</v>
      </c>
      <c r="B385" s="1">
        <v>45838</v>
      </c>
      <c r="C385">
        <v>300004</v>
      </c>
      <c r="D385">
        <v>2084.1529999999998</v>
      </c>
      <c r="E385" t="s">
        <v>4</v>
      </c>
      <c r="F385" t="s">
        <v>65</v>
      </c>
      <c r="G385" t="s">
        <v>8</v>
      </c>
    </row>
    <row r="386" spans="1:7" x14ac:dyDescent="0.3">
      <c r="A386" t="s">
        <v>14</v>
      </c>
      <c r="B386" s="1">
        <v>45838</v>
      </c>
      <c r="C386">
        <v>300013</v>
      </c>
      <c r="D386">
        <v>8344.6949999999997</v>
      </c>
      <c r="E386" t="s">
        <v>4</v>
      </c>
      <c r="F386" t="s">
        <v>65</v>
      </c>
      <c r="G386" t="s">
        <v>8</v>
      </c>
    </row>
    <row r="387" spans="1:7" x14ac:dyDescent="0.3">
      <c r="A387" t="s">
        <v>14</v>
      </c>
      <c r="B387" s="1">
        <v>45838</v>
      </c>
      <c r="C387">
        <v>300014</v>
      </c>
      <c r="D387">
        <v>945.35400000000004</v>
      </c>
      <c r="E387" t="s">
        <v>4</v>
      </c>
      <c r="F387" t="s">
        <v>65</v>
      </c>
      <c r="G387" t="s">
        <v>8</v>
      </c>
    </row>
    <row r="388" spans="1:7" x14ac:dyDescent="0.3">
      <c r="A388" t="s">
        <v>14</v>
      </c>
      <c r="B388" s="1">
        <v>45838</v>
      </c>
      <c r="C388">
        <v>300504</v>
      </c>
      <c r="D388">
        <v>-2084.1529999999998</v>
      </c>
      <c r="E388" t="s">
        <v>4</v>
      </c>
      <c r="F388" t="s">
        <v>65</v>
      </c>
      <c r="G388" t="s">
        <v>8</v>
      </c>
    </row>
    <row r="389" spans="1:7" x14ac:dyDescent="0.3">
      <c r="A389" t="s">
        <v>14</v>
      </c>
      <c r="B389" s="1">
        <v>45838</v>
      </c>
      <c r="C389">
        <v>300513</v>
      </c>
      <c r="D389">
        <v>-8216.9449999999997</v>
      </c>
      <c r="E389" t="s">
        <v>4</v>
      </c>
      <c r="F389" t="s">
        <v>65</v>
      </c>
      <c r="G389" t="s">
        <v>8</v>
      </c>
    </row>
    <row r="390" spans="1:7" x14ac:dyDescent="0.3">
      <c r="A390" t="s">
        <v>14</v>
      </c>
      <c r="B390" s="1">
        <v>45838</v>
      </c>
      <c r="C390">
        <v>300514</v>
      </c>
      <c r="D390">
        <v>-793.99099999999999</v>
      </c>
      <c r="E390" t="s">
        <v>4</v>
      </c>
      <c r="F390" t="s">
        <v>65</v>
      </c>
      <c r="G390" t="s">
        <v>8</v>
      </c>
    </row>
    <row r="391" spans="1:7" x14ac:dyDescent="0.3">
      <c r="A391" t="s">
        <v>14</v>
      </c>
      <c r="B391" s="1">
        <v>45838</v>
      </c>
      <c r="C391">
        <v>301004</v>
      </c>
      <c r="D391">
        <v>4175.9849999999997</v>
      </c>
      <c r="E391" t="s">
        <v>4</v>
      </c>
      <c r="F391" t="s">
        <v>65</v>
      </c>
      <c r="G391" t="s">
        <v>8</v>
      </c>
    </row>
    <row r="392" spans="1:7" x14ac:dyDescent="0.3">
      <c r="A392" t="s">
        <v>14</v>
      </c>
      <c r="B392" s="1">
        <v>45838</v>
      </c>
      <c r="C392">
        <v>301504</v>
      </c>
      <c r="D392">
        <v>-4078.9810000000002</v>
      </c>
      <c r="E392" t="s">
        <v>4</v>
      </c>
      <c r="F392" t="s">
        <v>65</v>
      </c>
      <c r="G392" t="s">
        <v>8</v>
      </c>
    </row>
    <row r="393" spans="1:7" x14ac:dyDescent="0.3">
      <c r="A393" t="s">
        <v>14</v>
      </c>
      <c r="B393" s="1">
        <v>45838</v>
      </c>
      <c r="C393">
        <v>320002</v>
      </c>
      <c r="D393">
        <v>92539.282000000007</v>
      </c>
      <c r="E393" t="s">
        <v>4</v>
      </c>
      <c r="F393" t="s">
        <v>46</v>
      </c>
      <c r="G393" t="s">
        <v>8</v>
      </c>
    </row>
    <row r="394" spans="1:7" x14ac:dyDescent="0.3">
      <c r="A394" t="s">
        <v>14</v>
      </c>
      <c r="B394" s="1">
        <v>45838</v>
      </c>
      <c r="C394">
        <v>320003</v>
      </c>
      <c r="D394">
        <v>118921.337</v>
      </c>
      <c r="E394" t="s">
        <v>4</v>
      </c>
      <c r="F394" t="s">
        <v>46</v>
      </c>
      <c r="G394" t="s">
        <v>8</v>
      </c>
    </row>
    <row r="395" spans="1:7" x14ac:dyDescent="0.3">
      <c r="A395" t="s">
        <v>14</v>
      </c>
      <c r="B395" s="1">
        <v>45838</v>
      </c>
      <c r="C395">
        <v>320004</v>
      </c>
      <c r="D395">
        <v>735.24300000000005</v>
      </c>
      <c r="E395" t="s">
        <v>4</v>
      </c>
      <c r="F395" t="s">
        <v>46</v>
      </c>
      <c r="G395" t="s">
        <v>8</v>
      </c>
    </row>
    <row r="396" spans="1:7" x14ac:dyDescent="0.3">
      <c r="A396" t="s">
        <v>14</v>
      </c>
      <c r="B396" s="1">
        <v>45838</v>
      </c>
      <c r="C396">
        <v>320023</v>
      </c>
      <c r="D396">
        <v>-59494.663</v>
      </c>
      <c r="E396" t="s">
        <v>4</v>
      </c>
      <c r="F396" t="s">
        <v>46</v>
      </c>
      <c r="G396" t="s">
        <v>8</v>
      </c>
    </row>
    <row r="397" spans="1:7" x14ac:dyDescent="0.3">
      <c r="A397" t="s">
        <v>14</v>
      </c>
      <c r="B397" s="1">
        <v>45838</v>
      </c>
      <c r="C397">
        <v>320025</v>
      </c>
      <c r="D397">
        <v>18729.848000000002</v>
      </c>
      <c r="E397" t="s">
        <v>4</v>
      </c>
      <c r="F397" t="s">
        <v>46</v>
      </c>
      <c r="G397" t="s">
        <v>8</v>
      </c>
    </row>
    <row r="398" spans="1:7" x14ac:dyDescent="0.3">
      <c r="A398" t="s">
        <v>14</v>
      </c>
      <c r="B398" s="1">
        <v>45838</v>
      </c>
      <c r="C398">
        <v>321002</v>
      </c>
      <c r="D398">
        <v>3576.3910000000001</v>
      </c>
      <c r="E398" t="s">
        <v>4</v>
      </c>
      <c r="F398" t="s">
        <v>46</v>
      </c>
      <c r="G398" t="s">
        <v>8</v>
      </c>
    </row>
    <row r="399" spans="1:7" x14ac:dyDescent="0.3">
      <c r="A399" t="s">
        <v>14</v>
      </c>
      <c r="B399" s="1">
        <v>45838</v>
      </c>
      <c r="C399">
        <v>321004</v>
      </c>
      <c r="D399">
        <v>4368.5469999999996</v>
      </c>
      <c r="E399" t="s">
        <v>4</v>
      </c>
      <c r="F399" t="s">
        <v>46</v>
      </c>
      <c r="G399" t="s">
        <v>8</v>
      </c>
    </row>
    <row r="400" spans="1:7" x14ac:dyDescent="0.3">
      <c r="A400" t="s">
        <v>14</v>
      </c>
      <c r="B400" s="1">
        <v>45838</v>
      </c>
      <c r="C400">
        <v>321012</v>
      </c>
      <c r="D400">
        <v>6232.2190000000001</v>
      </c>
      <c r="E400" t="s">
        <v>4</v>
      </c>
      <c r="F400" t="s">
        <v>46</v>
      </c>
      <c r="G400" t="s">
        <v>8</v>
      </c>
    </row>
    <row r="401" spans="1:7" x14ac:dyDescent="0.3">
      <c r="A401" t="s">
        <v>14</v>
      </c>
      <c r="B401" s="1">
        <v>45838</v>
      </c>
      <c r="C401">
        <v>321014</v>
      </c>
      <c r="D401">
        <v>5467.7550000000001</v>
      </c>
      <c r="E401" t="s">
        <v>4</v>
      </c>
      <c r="F401" t="s">
        <v>46</v>
      </c>
      <c r="G401" t="s">
        <v>8</v>
      </c>
    </row>
    <row r="402" spans="1:7" x14ac:dyDescent="0.3">
      <c r="A402" t="s">
        <v>14</v>
      </c>
      <c r="B402" s="1">
        <v>45838</v>
      </c>
      <c r="C402">
        <v>321025</v>
      </c>
      <c r="D402">
        <v>3000.2730000000001</v>
      </c>
      <c r="E402" t="s">
        <v>4</v>
      </c>
      <c r="F402" t="s">
        <v>46</v>
      </c>
      <c r="G402" t="s">
        <v>8</v>
      </c>
    </row>
    <row r="403" spans="1:7" x14ac:dyDescent="0.3">
      <c r="A403" t="s">
        <v>14</v>
      </c>
      <c r="B403" s="1">
        <v>45838</v>
      </c>
      <c r="C403">
        <v>321028</v>
      </c>
      <c r="D403">
        <v>8590.5820000000003</v>
      </c>
      <c r="E403" t="s">
        <v>4</v>
      </c>
      <c r="F403" t="s">
        <v>46</v>
      </c>
      <c r="G403" t="s">
        <v>8</v>
      </c>
    </row>
    <row r="404" spans="1:7" x14ac:dyDescent="0.3">
      <c r="A404" t="s">
        <v>14</v>
      </c>
      <c r="B404" s="1">
        <v>45838</v>
      </c>
      <c r="C404">
        <v>321029</v>
      </c>
      <c r="D404">
        <v>6436.37</v>
      </c>
      <c r="E404" t="s">
        <v>4</v>
      </c>
      <c r="F404" t="s">
        <v>46</v>
      </c>
      <c r="G404" t="s">
        <v>8</v>
      </c>
    </row>
    <row r="405" spans="1:7" x14ac:dyDescent="0.3">
      <c r="A405" t="s">
        <v>14</v>
      </c>
      <c r="B405" s="1">
        <v>45838</v>
      </c>
      <c r="C405">
        <v>330097</v>
      </c>
      <c r="D405">
        <v>0</v>
      </c>
      <c r="E405" t="s">
        <v>4</v>
      </c>
      <c r="F405" t="s">
        <v>43</v>
      </c>
      <c r="G405" t="s">
        <v>8</v>
      </c>
    </row>
    <row r="406" spans="1:7" x14ac:dyDescent="0.3">
      <c r="A406" t="s">
        <v>14</v>
      </c>
      <c r="B406" s="1">
        <v>45838</v>
      </c>
      <c r="C406">
        <v>330140</v>
      </c>
      <c r="D406">
        <v>0</v>
      </c>
      <c r="E406" t="s">
        <v>4</v>
      </c>
      <c r="F406" t="s">
        <v>43</v>
      </c>
      <c r="G406" t="s">
        <v>8</v>
      </c>
    </row>
    <row r="407" spans="1:7" x14ac:dyDescent="0.3">
      <c r="A407" t="s">
        <v>14</v>
      </c>
      <c r="B407" s="1">
        <v>45838</v>
      </c>
      <c r="C407">
        <v>330149</v>
      </c>
      <c r="D407">
        <v>1277.4870000000001</v>
      </c>
      <c r="E407" t="s">
        <v>4</v>
      </c>
      <c r="F407" t="s">
        <v>43</v>
      </c>
      <c r="G407" t="s">
        <v>8</v>
      </c>
    </row>
    <row r="408" spans="1:7" x14ac:dyDescent="0.3">
      <c r="A408" t="s">
        <v>14</v>
      </c>
      <c r="B408" s="1">
        <v>45838</v>
      </c>
      <c r="C408">
        <v>340057</v>
      </c>
      <c r="D408">
        <v>197856.55600000001</v>
      </c>
      <c r="E408" t="s">
        <v>4</v>
      </c>
      <c r="F408" t="s">
        <v>47</v>
      </c>
      <c r="G408" t="s">
        <v>8</v>
      </c>
    </row>
    <row r="409" spans="1:7" x14ac:dyDescent="0.3">
      <c r="A409" t="s">
        <v>14</v>
      </c>
      <c r="B409" s="1">
        <v>45838</v>
      </c>
      <c r="C409">
        <v>340126</v>
      </c>
      <c r="D409">
        <v>0</v>
      </c>
      <c r="E409" t="s">
        <v>4</v>
      </c>
      <c r="F409" t="s">
        <v>47</v>
      </c>
      <c r="G409" t="s">
        <v>8</v>
      </c>
    </row>
    <row r="410" spans="1:7" x14ac:dyDescent="0.3">
      <c r="A410" t="s">
        <v>14</v>
      </c>
      <c r="B410" s="1">
        <v>45838</v>
      </c>
      <c r="C410">
        <v>350003</v>
      </c>
      <c r="D410">
        <v>346.02800000000002</v>
      </c>
      <c r="E410" t="s">
        <v>4</v>
      </c>
      <c r="F410" t="s">
        <v>49</v>
      </c>
      <c r="G410" t="s">
        <v>8</v>
      </c>
    </row>
    <row r="411" spans="1:7" x14ac:dyDescent="0.3">
      <c r="A411" t="s">
        <v>14</v>
      </c>
      <c r="B411" s="1">
        <v>45838</v>
      </c>
      <c r="C411">
        <v>350031</v>
      </c>
      <c r="D411">
        <v>5337.567</v>
      </c>
      <c r="E411" t="s">
        <v>4</v>
      </c>
      <c r="F411" t="s">
        <v>43</v>
      </c>
      <c r="G411" t="s">
        <v>8</v>
      </c>
    </row>
    <row r="412" spans="1:7" x14ac:dyDescent="0.3">
      <c r="A412" t="s">
        <v>14</v>
      </c>
      <c r="B412" s="1">
        <v>45838</v>
      </c>
      <c r="C412">
        <v>350034</v>
      </c>
      <c r="D412">
        <v>299.084</v>
      </c>
      <c r="E412" t="s">
        <v>4</v>
      </c>
      <c r="F412" t="s">
        <v>49</v>
      </c>
      <c r="G412" t="s">
        <v>8</v>
      </c>
    </row>
    <row r="413" spans="1:7" x14ac:dyDescent="0.3">
      <c r="A413" t="s">
        <v>14</v>
      </c>
      <c r="B413" s="1">
        <v>45838</v>
      </c>
      <c r="C413">
        <v>352002</v>
      </c>
      <c r="D413">
        <v>1348.3579999999999</v>
      </c>
      <c r="E413" t="s">
        <v>4</v>
      </c>
      <c r="F413" t="s">
        <v>48</v>
      </c>
      <c r="G413" t="s">
        <v>8</v>
      </c>
    </row>
    <row r="414" spans="1:7" x14ac:dyDescent="0.3">
      <c r="A414" t="s">
        <v>14</v>
      </c>
      <c r="B414" s="1">
        <v>45838</v>
      </c>
      <c r="C414">
        <v>354003</v>
      </c>
      <c r="D414">
        <v>0</v>
      </c>
      <c r="E414" t="s">
        <v>4</v>
      </c>
      <c r="F414" t="s">
        <v>46</v>
      </c>
      <c r="G414" t="s">
        <v>8</v>
      </c>
    </row>
    <row r="415" spans="1:7" x14ac:dyDescent="0.3">
      <c r="A415" t="s">
        <v>14</v>
      </c>
      <c r="B415" s="1">
        <v>45838</v>
      </c>
      <c r="C415">
        <v>354005</v>
      </c>
      <c r="D415">
        <v>0</v>
      </c>
      <c r="E415" t="s">
        <v>4</v>
      </c>
      <c r="F415" t="s">
        <v>46</v>
      </c>
      <c r="G415" t="s">
        <v>8</v>
      </c>
    </row>
    <row r="416" spans="1:7" x14ac:dyDescent="0.3">
      <c r="A416" t="s">
        <v>14</v>
      </c>
      <c r="B416" s="1">
        <v>45838</v>
      </c>
      <c r="C416">
        <v>354006</v>
      </c>
      <c r="D416">
        <v>0</v>
      </c>
      <c r="E416" t="s">
        <v>4</v>
      </c>
      <c r="F416" t="s">
        <v>46</v>
      </c>
      <c r="G416" t="s">
        <v>8</v>
      </c>
    </row>
    <row r="417" spans="1:7" x14ac:dyDescent="0.3">
      <c r="A417" t="s">
        <v>14</v>
      </c>
      <c r="B417" s="1">
        <v>45838</v>
      </c>
      <c r="C417">
        <v>354012</v>
      </c>
      <c r="D417">
        <v>0</v>
      </c>
      <c r="E417" t="s">
        <v>4</v>
      </c>
      <c r="F417" t="s">
        <v>46</v>
      </c>
      <c r="G417" t="s">
        <v>8</v>
      </c>
    </row>
    <row r="418" spans="1:7" x14ac:dyDescent="0.3">
      <c r="A418" t="s">
        <v>14</v>
      </c>
      <c r="B418" s="1">
        <v>45838</v>
      </c>
      <c r="C418">
        <v>354013</v>
      </c>
      <c r="D418">
        <v>0</v>
      </c>
      <c r="E418" t="s">
        <v>4</v>
      </c>
      <c r="F418" t="s">
        <v>46</v>
      </c>
      <c r="G418" t="s">
        <v>8</v>
      </c>
    </row>
    <row r="419" spans="1:7" x14ac:dyDescent="0.3">
      <c r="A419" t="s">
        <v>14</v>
      </c>
      <c r="B419" s="1">
        <v>45838</v>
      </c>
      <c r="C419">
        <v>354014</v>
      </c>
      <c r="D419">
        <v>19494.217000000001</v>
      </c>
      <c r="E419" t="s">
        <v>4</v>
      </c>
      <c r="F419" t="s">
        <v>46</v>
      </c>
      <c r="G419" t="s">
        <v>8</v>
      </c>
    </row>
    <row r="420" spans="1:7" x14ac:dyDescent="0.3">
      <c r="A420" t="s">
        <v>14</v>
      </c>
      <c r="B420" s="1">
        <v>45838</v>
      </c>
      <c r="C420">
        <v>354015</v>
      </c>
      <c r="D420">
        <v>9115.0969999999998</v>
      </c>
      <c r="E420" t="s">
        <v>4</v>
      </c>
      <c r="F420" t="s">
        <v>46</v>
      </c>
      <c r="G420" t="s">
        <v>8</v>
      </c>
    </row>
    <row r="421" spans="1:7" x14ac:dyDescent="0.3">
      <c r="A421" t="s">
        <v>14</v>
      </c>
      <c r="B421" s="1">
        <v>45838</v>
      </c>
      <c r="C421">
        <v>355002</v>
      </c>
      <c r="D421">
        <v>105.18899999999999</v>
      </c>
      <c r="E421" t="s">
        <v>4</v>
      </c>
      <c r="F421" t="s">
        <v>49</v>
      </c>
      <c r="G421" t="s">
        <v>8</v>
      </c>
    </row>
    <row r="422" spans="1:7" x14ac:dyDescent="0.3">
      <c r="A422" t="s">
        <v>14</v>
      </c>
      <c r="B422" s="1">
        <v>45838</v>
      </c>
      <c r="C422">
        <v>355014</v>
      </c>
      <c r="D422">
        <v>2636.415</v>
      </c>
      <c r="E422" t="s">
        <v>4</v>
      </c>
      <c r="F422" t="s">
        <v>49</v>
      </c>
      <c r="G422" t="s">
        <v>8</v>
      </c>
    </row>
    <row r="423" spans="1:7" x14ac:dyDescent="0.3">
      <c r="A423" t="s">
        <v>14</v>
      </c>
      <c r="B423" s="1">
        <v>45838</v>
      </c>
      <c r="C423">
        <v>360022</v>
      </c>
      <c r="D423">
        <v>3740.453</v>
      </c>
      <c r="E423" t="s">
        <v>4</v>
      </c>
      <c r="F423" t="s">
        <v>58</v>
      </c>
      <c r="G423" t="s">
        <v>8</v>
      </c>
    </row>
    <row r="424" spans="1:7" x14ac:dyDescent="0.3">
      <c r="A424" t="s">
        <v>14</v>
      </c>
      <c r="B424" s="1">
        <v>45838</v>
      </c>
      <c r="C424">
        <v>360026</v>
      </c>
      <c r="D424">
        <v>3740.453</v>
      </c>
      <c r="E424" t="s">
        <v>4</v>
      </c>
      <c r="F424" t="s">
        <v>58</v>
      </c>
      <c r="G424" t="s">
        <v>8</v>
      </c>
    </row>
    <row r="425" spans="1:7" x14ac:dyDescent="0.3">
      <c r="A425" t="s">
        <v>14</v>
      </c>
      <c r="B425" s="1">
        <v>45838</v>
      </c>
      <c r="C425">
        <v>360028</v>
      </c>
      <c r="D425">
        <v>2805.154</v>
      </c>
      <c r="E425" t="s">
        <v>4</v>
      </c>
      <c r="F425" t="s">
        <v>58</v>
      </c>
      <c r="G425" t="s">
        <v>8</v>
      </c>
    </row>
    <row r="426" spans="1:7" x14ac:dyDescent="0.3">
      <c r="A426" t="s">
        <v>14</v>
      </c>
      <c r="B426" s="1">
        <v>45838</v>
      </c>
      <c r="C426">
        <v>372004</v>
      </c>
      <c r="D426">
        <v>699.01300000000003</v>
      </c>
      <c r="E426" t="s">
        <v>4</v>
      </c>
      <c r="F426" t="s">
        <v>45</v>
      </c>
      <c r="G426" t="s">
        <v>8</v>
      </c>
    </row>
    <row r="427" spans="1:7" x14ac:dyDescent="0.3">
      <c r="A427" t="s">
        <v>14</v>
      </c>
      <c r="B427" s="1">
        <v>45838</v>
      </c>
      <c r="C427">
        <v>400002</v>
      </c>
      <c r="D427">
        <v>-4544.0569999999998</v>
      </c>
      <c r="E427" t="s">
        <v>6</v>
      </c>
      <c r="F427" t="s">
        <v>50</v>
      </c>
      <c r="G427" t="s">
        <v>8</v>
      </c>
    </row>
    <row r="428" spans="1:7" x14ac:dyDescent="0.3">
      <c r="A428" t="s">
        <v>14</v>
      </c>
      <c r="B428" s="1">
        <v>45838</v>
      </c>
      <c r="C428">
        <v>400003</v>
      </c>
      <c r="D428">
        <v>0</v>
      </c>
      <c r="E428" t="s">
        <v>6</v>
      </c>
      <c r="F428" t="s">
        <v>50</v>
      </c>
      <c r="G428" t="s">
        <v>8</v>
      </c>
    </row>
    <row r="429" spans="1:7" x14ac:dyDescent="0.3">
      <c r="A429" t="s">
        <v>14</v>
      </c>
      <c r="B429" s="1">
        <v>45838</v>
      </c>
      <c r="C429">
        <v>400004</v>
      </c>
      <c r="D429">
        <v>-70009.032000000007</v>
      </c>
      <c r="E429" t="s">
        <v>6</v>
      </c>
      <c r="F429" t="s">
        <v>50</v>
      </c>
      <c r="G429" t="s">
        <v>8</v>
      </c>
    </row>
    <row r="430" spans="1:7" x14ac:dyDescent="0.3">
      <c r="A430" t="s">
        <v>14</v>
      </c>
      <c r="B430" s="1">
        <v>45838</v>
      </c>
      <c r="C430">
        <v>400008</v>
      </c>
      <c r="D430">
        <v>-56.042999999999999</v>
      </c>
      <c r="E430" t="s">
        <v>6</v>
      </c>
      <c r="F430" t="s">
        <v>50</v>
      </c>
      <c r="G430" t="s">
        <v>8</v>
      </c>
    </row>
    <row r="431" spans="1:7" x14ac:dyDescent="0.3">
      <c r="A431" t="s">
        <v>14</v>
      </c>
      <c r="B431" s="1">
        <v>45838</v>
      </c>
      <c r="C431">
        <v>410002</v>
      </c>
      <c r="D431">
        <v>-3542.6469999999999</v>
      </c>
      <c r="E431" t="s">
        <v>6</v>
      </c>
      <c r="F431" t="s">
        <v>51</v>
      </c>
      <c r="G431" t="s">
        <v>8</v>
      </c>
    </row>
    <row r="432" spans="1:7" x14ac:dyDescent="0.3">
      <c r="A432" t="s">
        <v>14</v>
      </c>
      <c r="B432" s="1">
        <v>45838</v>
      </c>
      <c r="C432">
        <v>410005</v>
      </c>
      <c r="D432">
        <v>-4341.3389999999999</v>
      </c>
      <c r="E432" t="s">
        <v>6</v>
      </c>
      <c r="F432" t="s">
        <v>51</v>
      </c>
      <c r="G432" t="s">
        <v>8</v>
      </c>
    </row>
    <row r="433" spans="1:7" x14ac:dyDescent="0.3">
      <c r="A433" t="s">
        <v>14</v>
      </c>
      <c r="B433" s="1">
        <v>45838</v>
      </c>
      <c r="C433">
        <v>410009</v>
      </c>
      <c r="D433">
        <v>-2848.65</v>
      </c>
      <c r="E433" t="s">
        <v>6</v>
      </c>
      <c r="F433" t="s">
        <v>51</v>
      </c>
      <c r="G433" t="s">
        <v>8</v>
      </c>
    </row>
    <row r="434" spans="1:7" x14ac:dyDescent="0.3">
      <c r="A434" t="s">
        <v>14</v>
      </c>
      <c r="B434" s="1">
        <v>45838</v>
      </c>
      <c r="C434">
        <v>410032</v>
      </c>
      <c r="D434">
        <v>-1557.058</v>
      </c>
      <c r="E434" t="s">
        <v>6</v>
      </c>
      <c r="F434" t="s">
        <v>51</v>
      </c>
      <c r="G434" t="s">
        <v>8</v>
      </c>
    </row>
    <row r="435" spans="1:7" x14ac:dyDescent="0.3">
      <c r="A435" t="s">
        <v>14</v>
      </c>
      <c r="B435" s="1">
        <v>45838</v>
      </c>
      <c r="C435">
        <v>410036</v>
      </c>
      <c r="D435">
        <v>-3201.2710000000002</v>
      </c>
      <c r="E435" t="s">
        <v>6</v>
      </c>
      <c r="F435" t="s">
        <v>51</v>
      </c>
      <c r="G435" t="s">
        <v>8</v>
      </c>
    </row>
    <row r="436" spans="1:7" x14ac:dyDescent="0.3">
      <c r="A436" t="s">
        <v>14</v>
      </c>
      <c r="B436" s="1">
        <v>45838</v>
      </c>
      <c r="C436">
        <v>410037</v>
      </c>
      <c r="D436">
        <v>-2168.7139999999999</v>
      </c>
      <c r="E436" t="s">
        <v>6</v>
      </c>
      <c r="F436" t="s">
        <v>51</v>
      </c>
      <c r="G436" t="s">
        <v>8</v>
      </c>
    </row>
    <row r="437" spans="1:7" x14ac:dyDescent="0.3">
      <c r="A437" t="s">
        <v>14</v>
      </c>
      <c r="B437" s="1">
        <v>45838</v>
      </c>
      <c r="C437">
        <v>415002</v>
      </c>
      <c r="D437">
        <v>-12213.512000000001</v>
      </c>
      <c r="E437" t="s">
        <v>6</v>
      </c>
      <c r="F437" t="s">
        <v>50</v>
      </c>
      <c r="G437" t="s">
        <v>8</v>
      </c>
    </row>
    <row r="438" spans="1:7" x14ac:dyDescent="0.3">
      <c r="A438" t="s">
        <v>14</v>
      </c>
      <c r="B438" s="1">
        <v>45838</v>
      </c>
      <c r="C438">
        <v>415004</v>
      </c>
      <c r="D438">
        <v>-67126.982000000004</v>
      </c>
      <c r="E438" t="s">
        <v>6</v>
      </c>
      <c r="F438" t="s">
        <v>50</v>
      </c>
      <c r="G438" t="s">
        <v>8</v>
      </c>
    </row>
    <row r="439" spans="1:7" x14ac:dyDescent="0.3">
      <c r="A439" t="s">
        <v>14</v>
      </c>
      <c r="B439" s="1">
        <v>45838</v>
      </c>
      <c r="C439">
        <v>418003</v>
      </c>
      <c r="D439">
        <v>0</v>
      </c>
      <c r="E439" t="s">
        <v>6</v>
      </c>
      <c r="F439" t="s">
        <v>51</v>
      </c>
      <c r="G439" t="s">
        <v>8</v>
      </c>
    </row>
    <row r="440" spans="1:7" x14ac:dyDescent="0.3">
      <c r="A440" t="s">
        <v>14</v>
      </c>
      <c r="B440" s="1">
        <v>45838</v>
      </c>
      <c r="C440">
        <v>421002</v>
      </c>
      <c r="D440">
        <v>-947.97799999999995</v>
      </c>
      <c r="E440" t="s">
        <v>6</v>
      </c>
      <c r="F440" t="s">
        <v>52</v>
      </c>
      <c r="G440" t="s">
        <v>8</v>
      </c>
    </row>
    <row r="441" spans="1:7" x14ac:dyDescent="0.3">
      <c r="A441" t="s">
        <v>14</v>
      </c>
      <c r="B441" s="1">
        <v>45838</v>
      </c>
      <c r="C441">
        <v>421003</v>
      </c>
      <c r="D441">
        <v>-11147.653</v>
      </c>
      <c r="E441" t="s">
        <v>6</v>
      </c>
      <c r="F441" t="s">
        <v>52</v>
      </c>
      <c r="G441" t="s">
        <v>8</v>
      </c>
    </row>
    <row r="442" spans="1:7" x14ac:dyDescent="0.3">
      <c r="A442" t="s">
        <v>14</v>
      </c>
      <c r="B442" s="1">
        <v>45838</v>
      </c>
      <c r="C442">
        <v>421007</v>
      </c>
      <c r="D442">
        <v>-1140.338</v>
      </c>
      <c r="E442" t="s">
        <v>6</v>
      </c>
      <c r="F442" t="s">
        <v>52</v>
      </c>
      <c r="G442" t="s">
        <v>8</v>
      </c>
    </row>
    <row r="443" spans="1:7" x14ac:dyDescent="0.3">
      <c r="A443" t="s">
        <v>14</v>
      </c>
      <c r="B443" s="1">
        <v>45838</v>
      </c>
      <c r="C443">
        <v>510002</v>
      </c>
      <c r="D443">
        <v>23130.624</v>
      </c>
      <c r="E443" t="s">
        <v>6</v>
      </c>
      <c r="F443" t="s">
        <v>53</v>
      </c>
      <c r="G443" t="s">
        <v>8</v>
      </c>
    </row>
    <row r="444" spans="1:7" x14ac:dyDescent="0.3">
      <c r="A444" t="s">
        <v>14</v>
      </c>
      <c r="B444" s="1">
        <v>45838</v>
      </c>
      <c r="C444">
        <v>510007</v>
      </c>
      <c r="D444">
        <v>-1368.566</v>
      </c>
      <c r="E444" t="s">
        <v>6</v>
      </c>
      <c r="F444" t="s">
        <v>53</v>
      </c>
      <c r="G444" t="s">
        <v>8</v>
      </c>
    </row>
    <row r="445" spans="1:7" x14ac:dyDescent="0.3">
      <c r="A445" t="s">
        <v>14</v>
      </c>
      <c r="B445" s="1">
        <v>45838</v>
      </c>
      <c r="C445">
        <v>510015</v>
      </c>
      <c r="D445">
        <v>4642.4269999999997</v>
      </c>
      <c r="E445" t="s">
        <v>6</v>
      </c>
      <c r="F445" t="s">
        <v>53</v>
      </c>
      <c r="G445" t="s">
        <v>8</v>
      </c>
    </row>
    <row r="446" spans="1:7" x14ac:dyDescent="0.3">
      <c r="A446" t="s">
        <v>14</v>
      </c>
      <c r="B446" s="1">
        <v>45838</v>
      </c>
      <c r="C446">
        <v>510061</v>
      </c>
      <c r="D446">
        <v>0</v>
      </c>
      <c r="E446" t="s">
        <v>6</v>
      </c>
      <c r="F446" t="s">
        <v>53</v>
      </c>
      <c r="G446" t="s">
        <v>8</v>
      </c>
    </row>
    <row r="447" spans="1:7" x14ac:dyDescent="0.3">
      <c r="A447" t="s">
        <v>14</v>
      </c>
      <c r="B447" s="1">
        <v>45838</v>
      </c>
      <c r="C447">
        <v>510062</v>
      </c>
      <c r="D447">
        <v>1580.6579999999999</v>
      </c>
      <c r="E447" t="s">
        <v>6</v>
      </c>
      <c r="F447" t="s">
        <v>53</v>
      </c>
      <c r="G447" t="s">
        <v>8</v>
      </c>
    </row>
    <row r="448" spans="1:7" x14ac:dyDescent="0.3">
      <c r="A448" t="s">
        <v>14</v>
      </c>
      <c r="B448" s="1">
        <v>45838</v>
      </c>
      <c r="C448">
        <v>510066</v>
      </c>
      <c r="D448">
        <v>0</v>
      </c>
      <c r="E448" t="s">
        <v>6</v>
      </c>
      <c r="F448" t="s">
        <v>53</v>
      </c>
      <c r="G448" t="s">
        <v>8</v>
      </c>
    </row>
    <row r="449" spans="1:7" x14ac:dyDescent="0.3">
      <c r="A449" t="s">
        <v>14</v>
      </c>
      <c r="B449" s="1">
        <v>45838</v>
      </c>
      <c r="C449">
        <v>520020</v>
      </c>
      <c r="D449">
        <v>4.7089999999999996</v>
      </c>
      <c r="E449" t="s">
        <v>6</v>
      </c>
      <c r="F449" t="s">
        <v>53</v>
      </c>
      <c r="G449" t="s">
        <v>8</v>
      </c>
    </row>
    <row r="450" spans="1:7" x14ac:dyDescent="0.3">
      <c r="A450" t="s">
        <v>14</v>
      </c>
      <c r="B450" s="1">
        <v>45838</v>
      </c>
      <c r="C450">
        <v>521002</v>
      </c>
      <c r="D450">
        <v>0</v>
      </c>
      <c r="E450" t="s">
        <v>6</v>
      </c>
      <c r="F450" t="s">
        <v>53</v>
      </c>
      <c r="G450" t="s">
        <v>8</v>
      </c>
    </row>
    <row r="451" spans="1:7" x14ac:dyDescent="0.3">
      <c r="A451" t="s">
        <v>14</v>
      </c>
      <c r="B451" s="1">
        <v>45838</v>
      </c>
      <c r="C451">
        <v>521006</v>
      </c>
      <c r="D451">
        <v>0</v>
      </c>
      <c r="E451" t="s">
        <v>6</v>
      </c>
      <c r="F451" t="s">
        <v>53</v>
      </c>
      <c r="G451" t="s">
        <v>8</v>
      </c>
    </row>
    <row r="452" spans="1:7" x14ac:dyDescent="0.3">
      <c r="A452" t="s">
        <v>14</v>
      </c>
      <c r="B452" s="1">
        <v>45838</v>
      </c>
      <c r="C452">
        <v>521007</v>
      </c>
      <c r="D452">
        <v>0</v>
      </c>
      <c r="E452" t="s">
        <v>6</v>
      </c>
      <c r="F452" t="s">
        <v>53</v>
      </c>
      <c r="G452" t="s">
        <v>8</v>
      </c>
    </row>
    <row r="453" spans="1:7" x14ac:dyDescent="0.3">
      <c r="A453" t="s">
        <v>14</v>
      </c>
      <c r="B453" s="1">
        <v>45838</v>
      </c>
      <c r="C453">
        <v>521010</v>
      </c>
      <c r="D453">
        <v>0</v>
      </c>
      <c r="E453" t="s">
        <v>6</v>
      </c>
      <c r="F453" t="s">
        <v>53</v>
      </c>
      <c r="G453" t="s">
        <v>8</v>
      </c>
    </row>
    <row r="454" spans="1:7" x14ac:dyDescent="0.3">
      <c r="A454" t="s">
        <v>14</v>
      </c>
      <c r="B454" s="1">
        <v>45838</v>
      </c>
      <c r="C454">
        <v>521014</v>
      </c>
      <c r="D454">
        <v>0</v>
      </c>
      <c r="E454" t="s">
        <v>6</v>
      </c>
      <c r="F454" t="s">
        <v>53</v>
      </c>
      <c r="G454" t="s">
        <v>8</v>
      </c>
    </row>
    <row r="455" spans="1:7" x14ac:dyDescent="0.3">
      <c r="A455" t="s">
        <v>14</v>
      </c>
      <c r="B455" s="1">
        <v>45838</v>
      </c>
      <c r="C455">
        <v>521015</v>
      </c>
      <c r="D455">
        <v>0</v>
      </c>
      <c r="E455" t="s">
        <v>6</v>
      </c>
      <c r="F455" t="s">
        <v>53</v>
      </c>
      <c r="G455" t="s">
        <v>8</v>
      </c>
    </row>
    <row r="456" spans="1:7" x14ac:dyDescent="0.3">
      <c r="A456" t="s">
        <v>14</v>
      </c>
      <c r="B456" s="1">
        <v>45838</v>
      </c>
      <c r="C456">
        <v>530012</v>
      </c>
      <c r="D456">
        <v>-10051.552</v>
      </c>
      <c r="E456" t="s">
        <v>6</v>
      </c>
      <c r="F456" t="s">
        <v>53</v>
      </c>
      <c r="G456" t="s">
        <v>8</v>
      </c>
    </row>
    <row r="457" spans="1:7" x14ac:dyDescent="0.3">
      <c r="A457" t="s">
        <v>14</v>
      </c>
      <c r="B457" s="1">
        <v>45838</v>
      </c>
      <c r="C457">
        <v>541010</v>
      </c>
      <c r="D457">
        <v>670.95</v>
      </c>
      <c r="E457" t="s">
        <v>6</v>
      </c>
      <c r="F457" t="s">
        <v>61</v>
      </c>
      <c r="G457" t="s">
        <v>8</v>
      </c>
    </row>
    <row r="458" spans="1:7" x14ac:dyDescent="0.3">
      <c r="A458" t="s">
        <v>14</v>
      </c>
      <c r="B458" s="1">
        <v>45838</v>
      </c>
      <c r="C458">
        <v>544006</v>
      </c>
      <c r="D458">
        <v>-5590.39</v>
      </c>
      <c r="E458" t="s">
        <v>6</v>
      </c>
      <c r="F458" t="s">
        <v>61</v>
      </c>
      <c r="G458" t="s">
        <v>8</v>
      </c>
    </row>
    <row r="459" spans="1:7" x14ac:dyDescent="0.3">
      <c r="A459" t="s">
        <v>14</v>
      </c>
      <c r="B459" s="1">
        <v>45838</v>
      </c>
      <c r="C459">
        <v>546002</v>
      </c>
      <c r="D459">
        <v>120679.68399999999</v>
      </c>
      <c r="E459" t="s">
        <v>6</v>
      </c>
      <c r="F459" t="s">
        <v>51</v>
      </c>
      <c r="G459" t="s">
        <v>8</v>
      </c>
    </row>
    <row r="460" spans="1:7" x14ac:dyDescent="0.3">
      <c r="A460" t="s">
        <v>14</v>
      </c>
      <c r="B460" s="1">
        <v>45838</v>
      </c>
      <c r="C460">
        <v>546008</v>
      </c>
      <c r="D460">
        <v>2434.4499999999998</v>
      </c>
      <c r="E460" t="s">
        <v>6</v>
      </c>
      <c r="F460" t="s">
        <v>51</v>
      </c>
      <c r="G460" t="s">
        <v>8</v>
      </c>
    </row>
    <row r="461" spans="1:7" x14ac:dyDescent="0.3">
      <c r="A461" t="s">
        <v>14</v>
      </c>
      <c r="B461" s="1">
        <v>45838</v>
      </c>
      <c r="C461">
        <v>546013</v>
      </c>
      <c r="D461">
        <v>12.803000000000001</v>
      </c>
      <c r="E461" t="s">
        <v>6</v>
      </c>
      <c r="F461" t="s">
        <v>51</v>
      </c>
      <c r="G461" t="s">
        <v>8</v>
      </c>
    </row>
    <row r="462" spans="1:7" x14ac:dyDescent="0.3">
      <c r="A462" t="s">
        <v>14</v>
      </c>
      <c r="B462" s="1">
        <v>45838</v>
      </c>
      <c r="C462">
        <v>546035</v>
      </c>
      <c r="D462">
        <v>3227.19</v>
      </c>
      <c r="E462" t="s">
        <v>6</v>
      </c>
      <c r="F462" t="s">
        <v>51</v>
      </c>
      <c r="G462" t="s">
        <v>8</v>
      </c>
    </row>
    <row r="463" spans="1:7" x14ac:dyDescent="0.3">
      <c r="A463" t="s">
        <v>14</v>
      </c>
      <c r="B463" s="1">
        <v>45838</v>
      </c>
      <c r="C463">
        <v>547002</v>
      </c>
      <c r="D463">
        <v>-2550.48</v>
      </c>
      <c r="E463" t="s">
        <v>6</v>
      </c>
      <c r="F463" t="s">
        <v>54</v>
      </c>
      <c r="G463" t="s">
        <v>8</v>
      </c>
    </row>
    <row r="464" spans="1:7" x14ac:dyDescent="0.3">
      <c r="A464" t="s">
        <v>14</v>
      </c>
      <c r="B464" s="1">
        <v>45838</v>
      </c>
      <c r="C464">
        <v>550003</v>
      </c>
      <c r="D464">
        <v>-2387.6210000000001</v>
      </c>
      <c r="E464" t="s">
        <v>6</v>
      </c>
      <c r="F464" t="s">
        <v>62</v>
      </c>
      <c r="G464" t="s">
        <v>8</v>
      </c>
    </row>
    <row r="465" spans="1:7" x14ac:dyDescent="0.3">
      <c r="A465" t="s">
        <v>14</v>
      </c>
      <c r="B465" s="1">
        <v>45838</v>
      </c>
      <c r="C465">
        <v>551003</v>
      </c>
      <c r="D465">
        <v>1490.2249999999999</v>
      </c>
      <c r="E465" t="s">
        <v>6</v>
      </c>
      <c r="F465" t="s">
        <v>63</v>
      </c>
      <c r="G465" t="s">
        <v>8</v>
      </c>
    </row>
    <row r="466" spans="1:7" x14ac:dyDescent="0.3">
      <c r="A466" t="s">
        <v>14</v>
      </c>
      <c r="B466" s="1">
        <v>45838</v>
      </c>
      <c r="C466">
        <v>552502</v>
      </c>
      <c r="D466">
        <v>172.09399999999999</v>
      </c>
      <c r="E466" t="s">
        <v>6</v>
      </c>
      <c r="F466" t="s">
        <v>55</v>
      </c>
      <c r="G466" t="s">
        <v>8</v>
      </c>
    </row>
    <row r="467" spans="1:7" x14ac:dyDescent="0.3">
      <c r="A467" t="s">
        <v>14</v>
      </c>
      <c r="B467" s="1">
        <v>45838</v>
      </c>
      <c r="C467">
        <v>554005</v>
      </c>
      <c r="D467">
        <v>400.97300000000001</v>
      </c>
      <c r="E467" t="s">
        <v>6</v>
      </c>
      <c r="F467" t="s">
        <v>55</v>
      </c>
      <c r="G467" t="s">
        <v>8</v>
      </c>
    </row>
    <row r="468" spans="1:7" x14ac:dyDescent="0.3">
      <c r="A468" t="s">
        <v>14</v>
      </c>
      <c r="B468" s="1">
        <v>45838</v>
      </c>
      <c r="C468">
        <v>554008</v>
      </c>
      <c r="D468">
        <v>42.781999999999996</v>
      </c>
      <c r="E468" t="s">
        <v>6</v>
      </c>
      <c r="F468" t="s">
        <v>55</v>
      </c>
      <c r="G468" t="s">
        <v>8</v>
      </c>
    </row>
    <row r="469" spans="1:7" x14ac:dyDescent="0.3">
      <c r="A469" t="s">
        <v>14</v>
      </c>
      <c r="B469" s="1">
        <v>45838</v>
      </c>
      <c r="C469">
        <v>555004</v>
      </c>
      <c r="D469">
        <v>67.844999999999999</v>
      </c>
      <c r="E469" t="s">
        <v>6</v>
      </c>
      <c r="F469" t="s">
        <v>55</v>
      </c>
      <c r="G469" t="s">
        <v>8</v>
      </c>
    </row>
    <row r="470" spans="1:7" x14ac:dyDescent="0.3">
      <c r="A470" t="s">
        <v>14</v>
      </c>
      <c r="B470" s="1">
        <v>45838</v>
      </c>
      <c r="C470">
        <v>555007</v>
      </c>
      <c r="D470">
        <v>232.36199999999999</v>
      </c>
      <c r="E470" t="s">
        <v>6</v>
      </c>
      <c r="F470" t="s">
        <v>55</v>
      </c>
      <c r="G470" t="s">
        <v>8</v>
      </c>
    </row>
    <row r="471" spans="1:7" x14ac:dyDescent="0.3">
      <c r="A471" t="s">
        <v>14</v>
      </c>
      <c r="B471" s="1">
        <v>45838</v>
      </c>
      <c r="C471">
        <v>555508</v>
      </c>
      <c r="D471">
        <v>8.0340000000000007</v>
      </c>
      <c r="E471" t="s">
        <v>6</v>
      </c>
      <c r="F471" t="s">
        <v>55</v>
      </c>
      <c r="G471" t="s">
        <v>8</v>
      </c>
    </row>
    <row r="472" spans="1:7" x14ac:dyDescent="0.3">
      <c r="A472" t="s">
        <v>14</v>
      </c>
      <c r="B472" s="1">
        <v>45838</v>
      </c>
      <c r="C472">
        <v>556002</v>
      </c>
      <c r="D472">
        <v>351.34800000000001</v>
      </c>
      <c r="E472" t="s">
        <v>6</v>
      </c>
      <c r="F472" t="s">
        <v>60</v>
      </c>
      <c r="G472" t="s">
        <v>8</v>
      </c>
    </row>
    <row r="473" spans="1:7" x14ac:dyDescent="0.3">
      <c r="A473" t="s">
        <v>14</v>
      </c>
      <c r="B473" s="1">
        <v>45838</v>
      </c>
      <c r="C473">
        <v>556004</v>
      </c>
      <c r="D473">
        <v>11.336</v>
      </c>
      <c r="E473" t="s">
        <v>6</v>
      </c>
      <c r="F473" t="s">
        <v>55</v>
      </c>
      <c r="G473" t="s">
        <v>8</v>
      </c>
    </row>
    <row r="474" spans="1:7" x14ac:dyDescent="0.3">
      <c r="A474" t="s">
        <v>14</v>
      </c>
      <c r="B474" s="1">
        <v>45838</v>
      </c>
      <c r="C474">
        <v>557002</v>
      </c>
      <c r="D474">
        <v>1910.432</v>
      </c>
      <c r="E474" t="s">
        <v>6</v>
      </c>
      <c r="F474" t="s">
        <v>56</v>
      </c>
      <c r="G474" t="s">
        <v>8</v>
      </c>
    </row>
    <row r="475" spans="1:7" x14ac:dyDescent="0.3">
      <c r="A475" t="s">
        <v>14</v>
      </c>
      <c r="B475" s="1">
        <v>45838</v>
      </c>
      <c r="C475">
        <v>557003</v>
      </c>
      <c r="D475">
        <v>534.22</v>
      </c>
      <c r="E475" t="s">
        <v>6</v>
      </c>
      <c r="F475" t="s">
        <v>56</v>
      </c>
      <c r="G475" t="s">
        <v>8</v>
      </c>
    </row>
    <row r="476" spans="1:7" x14ac:dyDescent="0.3">
      <c r="A476" t="s">
        <v>14</v>
      </c>
      <c r="B476" s="1">
        <v>45838</v>
      </c>
      <c r="C476">
        <v>563002</v>
      </c>
      <c r="D476">
        <v>-250.518</v>
      </c>
      <c r="E476" t="s">
        <v>6</v>
      </c>
      <c r="F476" t="s">
        <v>57</v>
      </c>
      <c r="G476" t="s">
        <v>8</v>
      </c>
    </row>
    <row r="477" spans="1:7" x14ac:dyDescent="0.3">
      <c r="A477" t="s">
        <v>14</v>
      </c>
      <c r="B477" s="1">
        <v>45838</v>
      </c>
      <c r="C477">
        <v>564004</v>
      </c>
      <c r="D477">
        <v>1860.2339999999999</v>
      </c>
      <c r="E477" t="s">
        <v>6</v>
      </c>
      <c r="F477" t="s">
        <v>51</v>
      </c>
      <c r="G477" t="s">
        <v>8</v>
      </c>
    </row>
    <row r="478" spans="1:7" x14ac:dyDescent="0.3">
      <c r="A478" t="s">
        <v>14</v>
      </c>
      <c r="B478" s="1">
        <v>45838</v>
      </c>
      <c r="C478">
        <v>564008</v>
      </c>
      <c r="D478">
        <v>89.385999999999996</v>
      </c>
      <c r="E478" t="s">
        <v>6</v>
      </c>
      <c r="F478" t="s">
        <v>55</v>
      </c>
      <c r="G478" t="s">
        <v>8</v>
      </c>
    </row>
    <row r="479" spans="1:7" x14ac:dyDescent="0.3">
      <c r="A479" t="s">
        <v>14</v>
      </c>
      <c r="B479" s="1">
        <v>45838</v>
      </c>
      <c r="C479">
        <v>564020</v>
      </c>
      <c r="D479">
        <v>346.988</v>
      </c>
      <c r="E479" t="s">
        <v>6</v>
      </c>
      <c r="F479" t="s">
        <v>57</v>
      </c>
      <c r="G479" t="s">
        <v>8</v>
      </c>
    </row>
    <row r="480" spans="1:7" x14ac:dyDescent="0.3">
      <c r="A480" t="s">
        <v>14</v>
      </c>
      <c r="B480" s="1">
        <v>45838</v>
      </c>
      <c r="C480">
        <v>564023</v>
      </c>
      <c r="D480">
        <v>69.203999999999994</v>
      </c>
      <c r="E480" t="s">
        <v>6</v>
      </c>
      <c r="F480" t="s">
        <v>67</v>
      </c>
      <c r="G480" t="s">
        <v>8</v>
      </c>
    </row>
    <row r="481" spans="1:7" x14ac:dyDescent="0.3">
      <c r="A481" t="s">
        <v>14</v>
      </c>
      <c r="B481" s="1">
        <v>45838</v>
      </c>
      <c r="C481">
        <v>570002</v>
      </c>
      <c r="D481">
        <v>95.346000000000004</v>
      </c>
      <c r="E481" t="s">
        <v>6</v>
      </c>
      <c r="F481" t="s">
        <v>66</v>
      </c>
      <c r="G481" t="s">
        <v>8</v>
      </c>
    </row>
    <row r="482" spans="1:7" x14ac:dyDescent="0.3">
      <c r="A482" t="s">
        <v>14</v>
      </c>
      <c r="B482" s="1">
        <v>45838</v>
      </c>
      <c r="C482">
        <v>580005</v>
      </c>
      <c r="D482">
        <v>-11551.413</v>
      </c>
      <c r="E482" t="s">
        <v>6</v>
      </c>
      <c r="F482" t="s">
        <v>64</v>
      </c>
      <c r="G482" t="s">
        <v>8</v>
      </c>
    </row>
    <row r="483" spans="1:7" x14ac:dyDescent="0.3">
      <c r="A483" t="s">
        <v>15</v>
      </c>
      <c r="B483" s="1">
        <v>45838</v>
      </c>
      <c r="C483">
        <v>210002</v>
      </c>
      <c r="D483">
        <v>-868016.80799999996</v>
      </c>
      <c r="E483" t="s">
        <v>4</v>
      </c>
      <c r="F483" t="s">
        <v>42</v>
      </c>
      <c r="G483" t="s">
        <v>5</v>
      </c>
    </row>
    <row r="484" spans="1:7" x14ac:dyDescent="0.3">
      <c r="A484" t="s">
        <v>15</v>
      </c>
      <c r="B484" s="1">
        <v>45838</v>
      </c>
      <c r="C484">
        <v>220002</v>
      </c>
      <c r="D484">
        <v>0</v>
      </c>
      <c r="E484" t="s">
        <v>4</v>
      </c>
      <c r="F484" t="s">
        <v>42</v>
      </c>
      <c r="G484" t="s">
        <v>5</v>
      </c>
    </row>
    <row r="485" spans="1:7" x14ac:dyDescent="0.3">
      <c r="A485" t="s">
        <v>15</v>
      </c>
      <c r="B485" s="1">
        <v>45838</v>
      </c>
      <c r="C485">
        <v>220003</v>
      </c>
      <c r="D485">
        <v>0</v>
      </c>
      <c r="E485" t="s">
        <v>4</v>
      </c>
      <c r="F485" t="s">
        <v>42</v>
      </c>
      <c r="G485" t="s">
        <v>5</v>
      </c>
    </row>
    <row r="486" spans="1:7" x14ac:dyDescent="0.3">
      <c r="A486" t="s">
        <v>15</v>
      </c>
      <c r="B486" s="1">
        <v>45838</v>
      </c>
      <c r="C486">
        <v>220004</v>
      </c>
      <c r="D486">
        <v>0</v>
      </c>
      <c r="E486" t="s">
        <v>4</v>
      </c>
      <c r="F486" t="s">
        <v>42</v>
      </c>
      <c r="G486" t="s">
        <v>5</v>
      </c>
    </row>
    <row r="487" spans="1:7" x14ac:dyDescent="0.3">
      <c r="A487" t="s">
        <v>15</v>
      </c>
      <c r="B487" s="1">
        <v>45838</v>
      </c>
      <c r="C487">
        <v>220005</v>
      </c>
      <c r="D487">
        <v>-6971447.5930000003</v>
      </c>
      <c r="E487" t="s">
        <v>4</v>
      </c>
      <c r="F487" t="s">
        <v>42</v>
      </c>
      <c r="G487" t="s">
        <v>5</v>
      </c>
    </row>
    <row r="488" spans="1:7" x14ac:dyDescent="0.3">
      <c r="A488" t="s">
        <v>15</v>
      </c>
      <c r="B488" s="1">
        <v>45838</v>
      </c>
      <c r="C488">
        <v>220006</v>
      </c>
      <c r="D488">
        <v>-15323196.128</v>
      </c>
      <c r="E488" t="s">
        <v>4</v>
      </c>
      <c r="F488" t="s">
        <v>42</v>
      </c>
      <c r="G488" t="s">
        <v>5</v>
      </c>
    </row>
    <row r="489" spans="1:7" x14ac:dyDescent="0.3">
      <c r="A489" t="s">
        <v>15</v>
      </c>
      <c r="B489" s="1">
        <v>45838</v>
      </c>
      <c r="C489">
        <v>220008</v>
      </c>
      <c r="D489">
        <v>-79666.899999999994</v>
      </c>
      <c r="E489" t="s">
        <v>4</v>
      </c>
      <c r="F489" t="s">
        <v>42</v>
      </c>
      <c r="G489" t="s">
        <v>5</v>
      </c>
    </row>
    <row r="490" spans="1:7" x14ac:dyDescent="0.3">
      <c r="A490" t="s">
        <v>15</v>
      </c>
      <c r="B490" s="1">
        <v>45838</v>
      </c>
      <c r="C490">
        <v>220010</v>
      </c>
      <c r="D490">
        <v>160887.25700000001</v>
      </c>
      <c r="E490" t="s">
        <v>4</v>
      </c>
      <c r="F490" t="s">
        <v>42</v>
      </c>
      <c r="G490" t="s">
        <v>5</v>
      </c>
    </row>
    <row r="491" spans="1:7" x14ac:dyDescent="0.3">
      <c r="A491" t="s">
        <v>15</v>
      </c>
      <c r="B491" s="1">
        <v>45838</v>
      </c>
      <c r="C491">
        <v>220012</v>
      </c>
      <c r="D491">
        <v>-62000</v>
      </c>
      <c r="E491" t="s">
        <v>4</v>
      </c>
      <c r="F491" t="s">
        <v>42</v>
      </c>
      <c r="G491" t="s">
        <v>5</v>
      </c>
    </row>
    <row r="492" spans="1:7" x14ac:dyDescent="0.3">
      <c r="A492" t="s">
        <v>15</v>
      </c>
      <c r="B492" s="1">
        <v>45838</v>
      </c>
      <c r="C492">
        <v>220013</v>
      </c>
      <c r="D492">
        <v>-404571.63299999997</v>
      </c>
      <c r="E492" t="s">
        <v>4</v>
      </c>
      <c r="F492" t="s">
        <v>42</v>
      </c>
      <c r="G492" t="s">
        <v>5</v>
      </c>
    </row>
    <row r="493" spans="1:7" x14ac:dyDescent="0.3">
      <c r="A493" t="s">
        <v>15</v>
      </c>
      <c r="B493" s="1">
        <v>45838</v>
      </c>
      <c r="C493">
        <v>220014</v>
      </c>
      <c r="D493">
        <v>231659.84</v>
      </c>
      <c r="E493" t="s">
        <v>4</v>
      </c>
      <c r="F493" t="s">
        <v>42</v>
      </c>
      <c r="G493" t="s">
        <v>5</v>
      </c>
    </row>
    <row r="494" spans="1:7" x14ac:dyDescent="0.3">
      <c r="A494" t="s">
        <v>15</v>
      </c>
      <c r="B494" s="1">
        <v>45838</v>
      </c>
      <c r="C494">
        <v>220015</v>
      </c>
      <c r="D494">
        <v>-67819.441999999995</v>
      </c>
      <c r="E494" t="s">
        <v>4</v>
      </c>
      <c r="F494" t="s">
        <v>42</v>
      </c>
      <c r="G494" t="s">
        <v>5</v>
      </c>
    </row>
    <row r="495" spans="1:7" x14ac:dyDescent="0.3">
      <c r="A495" t="s">
        <v>15</v>
      </c>
      <c r="B495" s="1">
        <v>45838</v>
      </c>
      <c r="C495">
        <v>234003</v>
      </c>
      <c r="D495">
        <v>-1558467.392</v>
      </c>
      <c r="E495" t="s">
        <v>4</v>
      </c>
      <c r="F495" t="s">
        <v>43</v>
      </c>
      <c r="G495" t="s">
        <v>5</v>
      </c>
    </row>
    <row r="496" spans="1:7" x14ac:dyDescent="0.3">
      <c r="A496" t="s">
        <v>15</v>
      </c>
      <c r="B496" s="1">
        <v>45838</v>
      </c>
      <c r="C496">
        <v>234004</v>
      </c>
      <c r="D496">
        <v>-6186.0609999999997</v>
      </c>
      <c r="E496" t="s">
        <v>4</v>
      </c>
      <c r="F496" t="s">
        <v>43</v>
      </c>
      <c r="G496" t="s">
        <v>5</v>
      </c>
    </row>
    <row r="497" spans="1:7" x14ac:dyDescent="0.3">
      <c r="A497" t="s">
        <v>15</v>
      </c>
      <c r="B497" s="1">
        <v>45838</v>
      </c>
      <c r="C497">
        <v>240002</v>
      </c>
      <c r="D497">
        <v>-47169.457000000002</v>
      </c>
      <c r="E497" t="s">
        <v>4</v>
      </c>
      <c r="F497" t="s">
        <v>43</v>
      </c>
      <c r="G497" t="s">
        <v>5</v>
      </c>
    </row>
    <row r="498" spans="1:7" x14ac:dyDescent="0.3">
      <c r="A498" t="s">
        <v>15</v>
      </c>
      <c r="B498" s="1">
        <v>45838</v>
      </c>
      <c r="C498">
        <v>240003</v>
      </c>
      <c r="D498">
        <v>1608.6569999999999</v>
      </c>
      <c r="E498" t="s">
        <v>4</v>
      </c>
      <c r="F498" t="s">
        <v>43</v>
      </c>
      <c r="G498" t="s">
        <v>5</v>
      </c>
    </row>
    <row r="499" spans="1:7" x14ac:dyDescent="0.3">
      <c r="A499" t="s">
        <v>15</v>
      </c>
      <c r="B499" s="1">
        <v>45838</v>
      </c>
      <c r="C499">
        <v>240004</v>
      </c>
      <c r="D499">
        <v>0</v>
      </c>
      <c r="E499" t="s">
        <v>4</v>
      </c>
      <c r="F499" t="s">
        <v>43</v>
      </c>
      <c r="G499" t="s">
        <v>5</v>
      </c>
    </row>
    <row r="500" spans="1:7" x14ac:dyDescent="0.3">
      <c r="A500" t="s">
        <v>15</v>
      </c>
      <c r="B500" s="1">
        <v>45838</v>
      </c>
      <c r="C500">
        <v>240005</v>
      </c>
      <c r="D500">
        <v>-8474.5020000000004</v>
      </c>
      <c r="E500" t="s">
        <v>4</v>
      </c>
      <c r="F500" t="s">
        <v>49</v>
      </c>
      <c r="G500" t="s">
        <v>5</v>
      </c>
    </row>
    <row r="501" spans="1:7" x14ac:dyDescent="0.3">
      <c r="A501" t="s">
        <v>15</v>
      </c>
      <c r="B501" s="1">
        <v>45838</v>
      </c>
      <c r="C501">
        <v>240007</v>
      </c>
      <c r="D501">
        <v>0</v>
      </c>
      <c r="E501" t="s">
        <v>4</v>
      </c>
      <c r="F501" t="s">
        <v>65</v>
      </c>
      <c r="G501" t="s">
        <v>5</v>
      </c>
    </row>
    <row r="502" spans="1:7" x14ac:dyDescent="0.3">
      <c r="A502" t="s">
        <v>15</v>
      </c>
      <c r="B502" s="1">
        <v>45838</v>
      </c>
      <c r="C502">
        <v>240009</v>
      </c>
      <c r="D502">
        <v>3690.7159999999999</v>
      </c>
      <c r="E502" t="s">
        <v>4</v>
      </c>
      <c r="F502" t="s">
        <v>43</v>
      </c>
      <c r="G502" t="s">
        <v>5</v>
      </c>
    </row>
    <row r="503" spans="1:7" x14ac:dyDescent="0.3">
      <c r="A503" t="s">
        <v>15</v>
      </c>
      <c r="B503" s="1">
        <v>45838</v>
      </c>
      <c r="C503">
        <v>240010</v>
      </c>
      <c r="D503">
        <v>-27366.645</v>
      </c>
      <c r="E503" t="s">
        <v>4</v>
      </c>
      <c r="F503" t="s">
        <v>43</v>
      </c>
      <c r="G503" t="s">
        <v>5</v>
      </c>
    </row>
    <row r="504" spans="1:7" x14ac:dyDescent="0.3">
      <c r="A504" t="s">
        <v>15</v>
      </c>
      <c r="B504" s="1">
        <v>45838</v>
      </c>
      <c r="C504">
        <v>240011</v>
      </c>
      <c r="D504">
        <v>0</v>
      </c>
      <c r="E504" t="s">
        <v>4</v>
      </c>
      <c r="F504" t="s">
        <v>43</v>
      </c>
      <c r="G504" t="s">
        <v>5</v>
      </c>
    </row>
    <row r="505" spans="1:7" x14ac:dyDescent="0.3">
      <c r="A505" t="s">
        <v>15</v>
      </c>
      <c r="B505" s="1">
        <v>45838</v>
      </c>
      <c r="C505">
        <v>242018</v>
      </c>
      <c r="D505">
        <v>-20503.05</v>
      </c>
      <c r="E505" t="s">
        <v>4</v>
      </c>
      <c r="F505" t="s">
        <v>43</v>
      </c>
      <c r="G505" t="s">
        <v>5</v>
      </c>
    </row>
    <row r="506" spans="1:7" x14ac:dyDescent="0.3">
      <c r="A506" t="s">
        <v>15</v>
      </c>
      <c r="B506" s="1">
        <v>45838</v>
      </c>
      <c r="C506">
        <v>242021</v>
      </c>
      <c r="D506">
        <v>0</v>
      </c>
      <c r="E506" t="s">
        <v>4</v>
      </c>
      <c r="F506" t="s">
        <v>43</v>
      </c>
      <c r="G506" t="s">
        <v>5</v>
      </c>
    </row>
    <row r="507" spans="1:7" x14ac:dyDescent="0.3">
      <c r="A507" t="s">
        <v>15</v>
      </c>
      <c r="B507" s="1">
        <v>45838</v>
      </c>
      <c r="C507">
        <v>242041</v>
      </c>
      <c r="D507">
        <v>-910.72699999999998</v>
      </c>
      <c r="E507" t="s">
        <v>4</v>
      </c>
      <c r="F507" t="s">
        <v>43</v>
      </c>
      <c r="G507" t="s">
        <v>5</v>
      </c>
    </row>
    <row r="508" spans="1:7" x14ac:dyDescent="0.3">
      <c r="A508" t="s">
        <v>15</v>
      </c>
      <c r="B508" s="1">
        <v>45838</v>
      </c>
      <c r="C508">
        <v>243002</v>
      </c>
      <c r="D508">
        <v>-843326.84499999997</v>
      </c>
      <c r="E508" t="s">
        <v>4</v>
      </c>
      <c r="F508" t="s">
        <v>43</v>
      </c>
      <c r="G508" t="s">
        <v>5</v>
      </c>
    </row>
    <row r="509" spans="1:7" x14ac:dyDescent="0.3">
      <c r="A509" t="s">
        <v>15</v>
      </c>
      <c r="B509" s="1">
        <v>45838</v>
      </c>
      <c r="C509">
        <v>243003</v>
      </c>
      <c r="D509">
        <v>-58467.214999999997</v>
      </c>
      <c r="E509" t="s">
        <v>4</v>
      </c>
      <c r="F509" t="s">
        <v>43</v>
      </c>
      <c r="G509" t="s">
        <v>5</v>
      </c>
    </row>
    <row r="510" spans="1:7" x14ac:dyDescent="0.3">
      <c r="A510" t="s">
        <v>15</v>
      </c>
      <c r="B510" s="1">
        <v>45838</v>
      </c>
      <c r="C510">
        <v>243004</v>
      </c>
      <c r="D510">
        <v>-88447.721999999994</v>
      </c>
      <c r="E510" t="s">
        <v>4</v>
      </c>
      <c r="F510" t="s">
        <v>43</v>
      </c>
      <c r="G510" t="s">
        <v>5</v>
      </c>
    </row>
    <row r="511" spans="1:7" x14ac:dyDescent="0.3">
      <c r="A511" t="s">
        <v>15</v>
      </c>
      <c r="B511" s="1">
        <v>45838</v>
      </c>
      <c r="C511">
        <v>243005</v>
      </c>
      <c r="D511">
        <v>-6393.7550000000001</v>
      </c>
      <c r="E511" t="s">
        <v>4</v>
      </c>
      <c r="F511" t="s">
        <v>43</v>
      </c>
      <c r="G511" t="s">
        <v>5</v>
      </c>
    </row>
    <row r="512" spans="1:7" x14ac:dyDescent="0.3">
      <c r="A512" t="s">
        <v>15</v>
      </c>
      <c r="B512" s="1">
        <v>45838</v>
      </c>
      <c r="C512">
        <v>243006</v>
      </c>
      <c r="D512">
        <v>0</v>
      </c>
      <c r="E512" t="s">
        <v>4</v>
      </c>
      <c r="F512" t="s">
        <v>44</v>
      </c>
      <c r="G512" t="s">
        <v>5</v>
      </c>
    </row>
    <row r="513" spans="1:7" x14ac:dyDescent="0.3">
      <c r="A513" t="s">
        <v>15</v>
      </c>
      <c r="B513" s="1">
        <v>45838</v>
      </c>
      <c r="C513">
        <v>243009</v>
      </c>
      <c r="D513">
        <v>-22215.107</v>
      </c>
      <c r="E513" t="s">
        <v>4</v>
      </c>
      <c r="F513" t="s">
        <v>43</v>
      </c>
      <c r="G513" t="s">
        <v>5</v>
      </c>
    </row>
    <row r="514" spans="1:7" x14ac:dyDescent="0.3">
      <c r="A514" t="s">
        <v>15</v>
      </c>
      <c r="B514" s="1">
        <v>45838</v>
      </c>
      <c r="C514">
        <v>243010</v>
      </c>
      <c r="D514">
        <v>-62192.142999999996</v>
      </c>
      <c r="E514" t="s">
        <v>4</v>
      </c>
      <c r="F514" t="s">
        <v>43</v>
      </c>
      <c r="G514" t="s">
        <v>5</v>
      </c>
    </row>
    <row r="515" spans="1:7" x14ac:dyDescent="0.3">
      <c r="A515" t="s">
        <v>15</v>
      </c>
      <c r="B515" s="1">
        <v>45838</v>
      </c>
      <c r="C515">
        <v>245002</v>
      </c>
      <c r="D515">
        <v>-1571.087</v>
      </c>
      <c r="E515" t="s">
        <v>4</v>
      </c>
      <c r="F515" t="s">
        <v>43</v>
      </c>
      <c r="G515" t="s">
        <v>5</v>
      </c>
    </row>
    <row r="516" spans="1:7" x14ac:dyDescent="0.3">
      <c r="A516" t="s">
        <v>15</v>
      </c>
      <c r="B516" s="1">
        <v>45838</v>
      </c>
      <c r="C516">
        <v>245004</v>
      </c>
      <c r="D516">
        <v>-186.45699999999999</v>
      </c>
      <c r="E516" t="s">
        <v>4</v>
      </c>
      <c r="F516" t="s">
        <v>43</v>
      </c>
      <c r="G516" t="s">
        <v>5</v>
      </c>
    </row>
    <row r="517" spans="1:7" x14ac:dyDescent="0.3">
      <c r="A517" t="s">
        <v>15</v>
      </c>
      <c r="B517" s="1">
        <v>45838</v>
      </c>
      <c r="C517">
        <v>245006</v>
      </c>
      <c r="D517">
        <v>67.298000000000002</v>
      </c>
      <c r="E517" t="s">
        <v>4</v>
      </c>
      <c r="F517" t="s">
        <v>43</v>
      </c>
      <c r="G517" t="s">
        <v>5</v>
      </c>
    </row>
    <row r="518" spans="1:7" x14ac:dyDescent="0.3">
      <c r="A518" t="s">
        <v>15</v>
      </c>
      <c r="B518" s="1">
        <v>45838</v>
      </c>
      <c r="C518">
        <v>245010</v>
      </c>
      <c r="D518">
        <v>-346308.05300000001</v>
      </c>
      <c r="E518" t="s">
        <v>4</v>
      </c>
      <c r="F518" t="s">
        <v>44</v>
      </c>
      <c r="G518" t="s">
        <v>5</v>
      </c>
    </row>
    <row r="519" spans="1:7" x14ac:dyDescent="0.3">
      <c r="A519" t="s">
        <v>15</v>
      </c>
      <c r="B519" s="1">
        <v>45838</v>
      </c>
      <c r="C519">
        <v>245015</v>
      </c>
      <c r="D519">
        <v>-18760.244999999999</v>
      </c>
      <c r="E519" t="s">
        <v>4</v>
      </c>
      <c r="F519" t="s">
        <v>43</v>
      </c>
      <c r="G519" t="s">
        <v>5</v>
      </c>
    </row>
    <row r="520" spans="1:7" x14ac:dyDescent="0.3">
      <c r="A520" t="s">
        <v>15</v>
      </c>
      <c r="B520" s="1">
        <v>45838</v>
      </c>
      <c r="C520">
        <v>245017</v>
      </c>
      <c r="D520">
        <v>-4169.4520000000002</v>
      </c>
      <c r="E520" t="s">
        <v>4</v>
      </c>
      <c r="F520" t="s">
        <v>43</v>
      </c>
      <c r="G520" t="s">
        <v>5</v>
      </c>
    </row>
    <row r="521" spans="1:7" x14ac:dyDescent="0.3">
      <c r="A521" t="s">
        <v>15</v>
      </c>
      <c r="B521" s="1">
        <v>45838</v>
      </c>
      <c r="C521">
        <v>245018</v>
      </c>
      <c r="D521">
        <v>-90915.771999999997</v>
      </c>
      <c r="E521" t="s">
        <v>4</v>
      </c>
      <c r="F521" t="s">
        <v>43</v>
      </c>
      <c r="G521" t="s">
        <v>5</v>
      </c>
    </row>
    <row r="522" spans="1:7" x14ac:dyDescent="0.3">
      <c r="A522" t="s">
        <v>15</v>
      </c>
      <c r="B522" s="1">
        <v>45838</v>
      </c>
      <c r="C522">
        <v>245020</v>
      </c>
      <c r="D522">
        <v>-5030.3469999999998</v>
      </c>
      <c r="E522" t="s">
        <v>4</v>
      </c>
      <c r="F522" t="s">
        <v>44</v>
      </c>
      <c r="G522" t="s">
        <v>5</v>
      </c>
    </row>
    <row r="523" spans="1:7" x14ac:dyDescent="0.3">
      <c r="A523" t="s">
        <v>15</v>
      </c>
      <c r="B523" s="1">
        <v>45838</v>
      </c>
      <c r="C523">
        <v>245038</v>
      </c>
      <c r="D523">
        <v>-7584.6540000000005</v>
      </c>
      <c r="E523" t="s">
        <v>4</v>
      </c>
      <c r="F523" t="s">
        <v>45</v>
      </c>
      <c r="G523" t="s">
        <v>5</v>
      </c>
    </row>
    <row r="524" spans="1:7" x14ac:dyDescent="0.3">
      <c r="A524" t="s">
        <v>15</v>
      </c>
      <c r="B524" s="1">
        <v>45838</v>
      </c>
      <c r="C524">
        <v>245041</v>
      </c>
      <c r="D524">
        <v>-30710.365000000002</v>
      </c>
      <c r="E524" t="s">
        <v>4</v>
      </c>
      <c r="F524" t="s">
        <v>43</v>
      </c>
      <c r="G524" t="s">
        <v>5</v>
      </c>
    </row>
    <row r="525" spans="1:7" x14ac:dyDescent="0.3">
      <c r="A525" t="s">
        <v>15</v>
      </c>
      <c r="B525" s="1">
        <v>45838</v>
      </c>
      <c r="C525">
        <v>245042</v>
      </c>
      <c r="D525">
        <v>0</v>
      </c>
      <c r="E525" t="s">
        <v>4</v>
      </c>
      <c r="F525" t="s">
        <v>43</v>
      </c>
      <c r="G525" t="s">
        <v>5</v>
      </c>
    </row>
    <row r="526" spans="1:7" x14ac:dyDescent="0.3">
      <c r="A526" t="s">
        <v>15</v>
      </c>
      <c r="B526" s="1">
        <v>45838</v>
      </c>
      <c r="C526">
        <v>245044</v>
      </c>
      <c r="D526">
        <v>-9449.2739999999994</v>
      </c>
      <c r="E526" t="s">
        <v>4</v>
      </c>
      <c r="F526" t="s">
        <v>43</v>
      </c>
      <c r="G526" t="s">
        <v>5</v>
      </c>
    </row>
    <row r="527" spans="1:7" x14ac:dyDescent="0.3">
      <c r="A527" t="s">
        <v>15</v>
      </c>
      <c r="B527" s="1">
        <v>45838</v>
      </c>
      <c r="C527">
        <v>245046</v>
      </c>
      <c r="D527">
        <v>-2019.9169999999999</v>
      </c>
      <c r="E527" t="s">
        <v>4</v>
      </c>
      <c r="F527" t="s">
        <v>43</v>
      </c>
      <c r="G527" t="s">
        <v>5</v>
      </c>
    </row>
    <row r="528" spans="1:7" x14ac:dyDescent="0.3">
      <c r="A528" t="s">
        <v>15</v>
      </c>
      <c r="B528" s="1">
        <v>45838</v>
      </c>
      <c r="C528">
        <v>245048</v>
      </c>
      <c r="D528">
        <v>-21295.652999999998</v>
      </c>
      <c r="E528" t="s">
        <v>4</v>
      </c>
      <c r="F528" t="s">
        <v>43</v>
      </c>
      <c r="G528" t="s">
        <v>5</v>
      </c>
    </row>
    <row r="529" spans="1:7" x14ac:dyDescent="0.3">
      <c r="A529" t="s">
        <v>15</v>
      </c>
      <c r="B529" s="1">
        <v>45838</v>
      </c>
      <c r="C529">
        <v>245049</v>
      </c>
      <c r="D529">
        <v>0</v>
      </c>
      <c r="E529" t="s">
        <v>4</v>
      </c>
      <c r="F529" t="s">
        <v>43</v>
      </c>
      <c r="G529" t="s">
        <v>5</v>
      </c>
    </row>
    <row r="530" spans="1:7" x14ac:dyDescent="0.3">
      <c r="A530" t="s">
        <v>15</v>
      </c>
      <c r="B530" s="1">
        <v>45838</v>
      </c>
      <c r="C530">
        <v>245050</v>
      </c>
      <c r="D530">
        <v>-21720.483</v>
      </c>
      <c r="E530" t="s">
        <v>4</v>
      </c>
      <c r="F530" t="s">
        <v>43</v>
      </c>
      <c r="G530" t="s">
        <v>5</v>
      </c>
    </row>
    <row r="531" spans="1:7" x14ac:dyDescent="0.3">
      <c r="A531" t="s">
        <v>15</v>
      </c>
      <c r="B531" s="1">
        <v>45838</v>
      </c>
      <c r="C531">
        <v>245055</v>
      </c>
      <c r="D531">
        <v>-27036.656999999999</v>
      </c>
      <c r="E531" t="s">
        <v>4</v>
      </c>
      <c r="F531" t="s">
        <v>43</v>
      </c>
      <c r="G531" t="s">
        <v>5</v>
      </c>
    </row>
    <row r="532" spans="1:7" x14ac:dyDescent="0.3">
      <c r="A532" t="s">
        <v>15</v>
      </c>
      <c r="B532" s="1">
        <v>45838</v>
      </c>
      <c r="C532">
        <v>245056</v>
      </c>
      <c r="D532">
        <v>-10773.816999999999</v>
      </c>
      <c r="E532" t="s">
        <v>4</v>
      </c>
      <c r="F532" t="s">
        <v>49</v>
      </c>
      <c r="G532" t="s">
        <v>5</v>
      </c>
    </row>
    <row r="533" spans="1:7" x14ac:dyDescent="0.3">
      <c r="A533" t="s">
        <v>15</v>
      </c>
      <c r="B533" s="1">
        <v>45838</v>
      </c>
      <c r="C533">
        <v>245057</v>
      </c>
      <c r="D533">
        <v>-57632.341</v>
      </c>
      <c r="E533" t="s">
        <v>4</v>
      </c>
      <c r="F533" t="s">
        <v>43</v>
      </c>
      <c r="G533" t="s">
        <v>5</v>
      </c>
    </row>
    <row r="534" spans="1:7" x14ac:dyDescent="0.3">
      <c r="A534" t="s">
        <v>15</v>
      </c>
      <c r="B534" s="1">
        <v>45838</v>
      </c>
      <c r="C534">
        <v>245058</v>
      </c>
      <c r="D534">
        <v>0</v>
      </c>
      <c r="E534" t="s">
        <v>4</v>
      </c>
      <c r="F534" t="s">
        <v>43</v>
      </c>
      <c r="G534" t="s">
        <v>5</v>
      </c>
    </row>
    <row r="535" spans="1:7" x14ac:dyDescent="0.3">
      <c r="A535" t="s">
        <v>15</v>
      </c>
      <c r="B535" s="1">
        <v>45838</v>
      </c>
      <c r="C535">
        <v>245059</v>
      </c>
      <c r="D535">
        <v>-160.66999999999999</v>
      </c>
      <c r="E535" t="s">
        <v>4</v>
      </c>
      <c r="F535" t="s">
        <v>43</v>
      </c>
      <c r="G535" t="s">
        <v>5</v>
      </c>
    </row>
    <row r="536" spans="1:7" x14ac:dyDescent="0.3">
      <c r="A536" t="s">
        <v>15</v>
      </c>
      <c r="B536" s="1">
        <v>45838</v>
      </c>
      <c r="C536">
        <v>245062</v>
      </c>
      <c r="D536">
        <v>-255129.86199999999</v>
      </c>
      <c r="E536" t="s">
        <v>4</v>
      </c>
      <c r="F536" t="s">
        <v>43</v>
      </c>
      <c r="G536" t="s">
        <v>5</v>
      </c>
    </row>
    <row r="537" spans="1:7" x14ac:dyDescent="0.3">
      <c r="A537" t="s">
        <v>15</v>
      </c>
      <c r="B537" s="1">
        <v>45838</v>
      </c>
      <c r="C537">
        <v>249002</v>
      </c>
      <c r="D537">
        <v>-981410.07499999995</v>
      </c>
      <c r="E537" t="s">
        <v>4</v>
      </c>
      <c r="F537" t="s">
        <v>44</v>
      </c>
      <c r="G537" t="s">
        <v>5</v>
      </c>
    </row>
    <row r="538" spans="1:7" x14ac:dyDescent="0.3">
      <c r="A538" t="s">
        <v>15</v>
      </c>
      <c r="B538" s="1">
        <v>45838</v>
      </c>
      <c r="C538">
        <v>249003</v>
      </c>
      <c r="D538">
        <v>-58782.203999999998</v>
      </c>
      <c r="E538" t="s">
        <v>4</v>
      </c>
      <c r="F538" t="s">
        <v>44</v>
      </c>
      <c r="G538" t="s">
        <v>5</v>
      </c>
    </row>
    <row r="539" spans="1:7" x14ac:dyDescent="0.3">
      <c r="A539" t="s">
        <v>15</v>
      </c>
      <c r="B539" s="1">
        <v>45838</v>
      </c>
      <c r="C539">
        <v>249004</v>
      </c>
      <c r="D539">
        <v>24103.706999999999</v>
      </c>
      <c r="E539" t="s">
        <v>4</v>
      </c>
      <c r="F539" t="s">
        <v>44</v>
      </c>
      <c r="G539" t="s">
        <v>5</v>
      </c>
    </row>
    <row r="540" spans="1:7" x14ac:dyDescent="0.3">
      <c r="A540" t="s">
        <v>15</v>
      </c>
      <c r="B540" s="1">
        <v>45838</v>
      </c>
      <c r="C540">
        <v>250003</v>
      </c>
      <c r="D540">
        <v>-43683.637000000002</v>
      </c>
      <c r="E540" t="s">
        <v>4</v>
      </c>
      <c r="F540" t="s">
        <v>45</v>
      </c>
      <c r="G540" t="s">
        <v>5</v>
      </c>
    </row>
    <row r="541" spans="1:7" x14ac:dyDescent="0.3">
      <c r="A541" t="s">
        <v>15</v>
      </c>
      <c r="B541" s="1">
        <v>45838</v>
      </c>
      <c r="C541">
        <v>250009</v>
      </c>
      <c r="D541">
        <v>-669.6</v>
      </c>
      <c r="E541" t="s">
        <v>4</v>
      </c>
      <c r="F541" t="s">
        <v>43</v>
      </c>
      <c r="G541" t="s">
        <v>5</v>
      </c>
    </row>
    <row r="542" spans="1:7" x14ac:dyDescent="0.3">
      <c r="A542" t="s">
        <v>15</v>
      </c>
      <c r="B542" s="1">
        <v>45838</v>
      </c>
      <c r="C542">
        <v>250011</v>
      </c>
      <c r="D542">
        <v>0</v>
      </c>
      <c r="E542" t="s">
        <v>4</v>
      </c>
      <c r="F542" t="s">
        <v>44</v>
      </c>
      <c r="G542" t="s">
        <v>5</v>
      </c>
    </row>
    <row r="543" spans="1:7" x14ac:dyDescent="0.3">
      <c r="A543" t="s">
        <v>15</v>
      </c>
      <c r="B543" s="1">
        <v>45838</v>
      </c>
      <c r="C543">
        <v>250013</v>
      </c>
      <c r="D543">
        <v>0</v>
      </c>
      <c r="E543" t="s">
        <v>4</v>
      </c>
      <c r="F543" t="s">
        <v>44</v>
      </c>
      <c r="G543" t="s">
        <v>5</v>
      </c>
    </row>
    <row r="544" spans="1:7" x14ac:dyDescent="0.3">
      <c r="A544" t="s">
        <v>15</v>
      </c>
      <c r="B544" s="1">
        <v>45838</v>
      </c>
      <c r="C544">
        <v>250015</v>
      </c>
      <c r="D544">
        <v>0</v>
      </c>
      <c r="E544" t="s">
        <v>4</v>
      </c>
      <c r="F544" t="s">
        <v>43</v>
      </c>
      <c r="G544" t="s">
        <v>5</v>
      </c>
    </row>
    <row r="545" spans="1:7" x14ac:dyDescent="0.3">
      <c r="A545" t="s">
        <v>15</v>
      </c>
      <c r="B545" s="1">
        <v>45838</v>
      </c>
      <c r="C545">
        <v>250017</v>
      </c>
      <c r="D545">
        <v>397638.66</v>
      </c>
      <c r="E545" t="s">
        <v>4</v>
      </c>
      <c r="F545" t="s">
        <v>44</v>
      </c>
      <c r="G545" t="s">
        <v>5</v>
      </c>
    </row>
    <row r="546" spans="1:7" x14ac:dyDescent="0.3">
      <c r="A546" t="s">
        <v>15</v>
      </c>
      <c r="B546" s="1">
        <v>45838</v>
      </c>
      <c r="C546">
        <v>250019</v>
      </c>
      <c r="D546">
        <v>-3100</v>
      </c>
      <c r="E546" t="s">
        <v>4</v>
      </c>
      <c r="F546" t="s">
        <v>45</v>
      </c>
      <c r="G546" t="s">
        <v>5</v>
      </c>
    </row>
    <row r="547" spans="1:7" x14ac:dyDescent="0.3">
      <c r="A547" t="s">
        <v>15</v>
      </c>
      <c r="B547" s="1">
        <v>45838</v>
      </c>
      <c r="C547">
        <v>250020</v>
      </c>
      <c r="D547">
        <v>-4783.3410000000003</v>
      </c>
      <c r="E547" t="s">
        <v>4</v>
      </c>
      <c r="F547" t="s">
        <v>45</v>
      </c>
      <c r="G547" t="s">
        <v>5</v>
      </c>
    </row>
    <row r="548" spans="1:7" x14ac:dyDescent="0.3">
      <c r="A548" t="s">
        <v>15</v>
      </c>
      <c r="B548" s="1">
        <v>45838</v>
      </c>
      <c r="C548">
        <v>250021</v>
      </c>
      <c r="D548">
        <v>-25876.642</v>
      </c>
      <c r="E548" t="s">
        <v>4</v>
      </c>
      <c r="F548" t="s">
        <v>45</v>
      </c>
      <c r="G548" t="s">
        <v>5</v>
      </c>
    </row>
    <row r="549" spans="1:7" x14ac:dyDescent="0.3">
      <c r="A549" t="s">
        <v>15</v>
      </c>
      <c r="B549" s="1">
        <v>45838</v>
      </c>
      <c r="C549">
        <v>250022</v>
      </c>
      <c r="D549">
        <v>21352.037</v>
      </c>
      <c r="E549" t="s">
        <v>4</v>
      </c>
      <c r="F549" t="s">
        <v>45</v>
      </c>
      <c r="G549" t="s">
        <v>5</v>
      </c>
    </row>
    <row r="550" spans="1:7" x14ac:dyDescent="0.3">
      <c r="A550" t="s">
        <v>15</v>
      </c>
      <c r="B550" s="1">
        <v>45838</v>
      </c>
      <c r="C550">
        <v>251002</v>
      </c>
      <c r="D550">
        <v>-699.53099999999995</v>
      </c>
      <c r="E550" t="s">
        <v>4</v>
      </c>
      <c r="F550" t="s">
        <v>45</v>
      </c>
      <c r="G550" t="s">
        <v>5</v>
      </c>
    </row>
    <row r="551" spans="1:7" x14ac:dyDescent="0.3">
      <c r="A551" t="s">
        <v>15</v>
      </c>
      <c r="B551" s="1">
        <v>45838</v>
      </c>
      <c r="C551">
        <v>251003</v>
      </c>
      <c r="D551">
        <v>-6385.6880000000001</v>
      </c>
      <c r="E551" t="s">
        <v>4</v>
      </c>
      <c r="F551" t="s">
        <v>45</v>
      </c>
      <c r="G551" t="s">
        <v>5</v>
      </c>
    </row>
    <row r="552" spans="1:7" x14ac:dyDescent="0.3">
      <c r="A552" t="s">
        <v>15</v>
      </c>
      <c r="B552" s="1">
        <v>45838</v>
      </c>
      <c r="C552">
        <v>251005</v>
      </c>
      <c r="D552">
        <v>0</v>
      </c>
      <c r="E552" t="s">
        <v>4</v>
      </c>
      <c r="F552" t="s">
        <v>46</v>
      </c>
      <c r="G552" t="s">
        <v>5</v>
      </c>
    </row>
    <row r="553" spans="1:7" x14ac:dyDescent="0.3">
      <c r="A553" t="s">
        <v>15</v>
      </c>
      <c r="B553" s="1">
        <v>45838</v>
      </c>
      <c r="C553">
        <v>255008</v>
      </c>
      <c r="D553">
        <v>-2747.308</v>
      </c>
      <c r="E553" t="s">
        <v>4</v>
      </c>
      <c r="F553" t="s">
        <v>43</v>
      </c>
      <c r="G553" t="s">
        <v>5</v>
      </c>
    </row>
    <row r="554" spans="1:7" x14ac:dyDescent="0.3">
      <c r="A554" t="s">
        <v>15</v>
      </c>
      <c r="B554" s="1">
        <v>45838</v>
      </c>
      <c r="C554">
        <v>255009</v>
      </c>
      <c r="D554">
        <v>-1052.415</v>
      </c>
      <c r="E554" t="s">
        <v>4</v>
      </c>
      <c r="F554" t="s">
        <v>43</v>
      </c>
      <c r="G554" t="s">
        <v>5</v>
      </c>
    </row>
    <row r="555" spans="1:7" x14ac:dyDescent="0.3">
      <c r="A555" t="s">
        <v>15</v>
      </c>
      <c r="B555" s="1">
        <v>45838</v>
      </c>
      <c r="C555">
        <v>255010</v>
      </c>
      <c r="D555">
        <v>-960.99099999999999</v>
      </c>
      <c r="E555" t="s">
        <v>4</v>
      </c>
      <c r="F555" t="s">
        <v>43</v>
      </c>
      <c r="G555" t="s">
        <v>5</v>
      </c>
    </row>
    <row r="556" spans="1:7" x14ac:dyDescent="0.3">
      <c r="A556" t="s">
        <v>15</v>
      </c>
      <c r="B556" s="1">
        <v>45838</v>
      </c>
      <c r="C556">
        <v>255011</v>
      </c>
      <c r="D556">
        <v>-1831.722</v>
      </c>
      <c r="E556" t="s">
        <v>4</v>
      </c>
      <c r="F556" t="s">
        <v>43</v>
      </c>
      <c r="G556" t="s">
        <v>5</v>
      </c>
    </row>
    <row r="557" spans="1:7" x14ac:dyDescent="0.3">
      <c r="A557" t="s">
        <v>15</v>
      </c>
      <c r="B557" s="1">
        <v>45838</v>
      </c>
      <c r="C557">
        <v>255012</v>
      </c>
      <c r="D557">
        <v>-1143.0150000000001</v>
      </c>
      <c r="E557" t="s">
        <v>4</v>
      </c>
      <c r="F557" t="s">
        <v>43</v>
      </c>
      <c r="G557" t="s">
        <v>5</v>
      </c>
    </row>
    <row r="558" spans="1:7" x14ac:dyDescent="0.3">
      <c r="A558" t="s">
        <v>15</v>
      </c>
      <c r="B558" s="1">
        <v>45838</v>
      </c>
      <c r="C558">
        <v>255015</v>
      </c>
      <c r="D558">
        <v>-1016.847</v>
      </c>
      <c r="E558" t="s">
        <v>4</v>
      </c>
      <c r="F558" t="s">
        <v>43</v>
      </c>
      <c r="G558" t="s">
        <v>5</v>
      </c>
    </row>
    <row r="559" spans="1:7" x14ac:dyDescent="0.3">
      <c r="A559" t="s">
        <v>15</v>
      </c>
      <c r="B559" s="1">
        <v>45838</v>
      </c>
      <c r="C559">
        <v>255016</v>
      </c>
      <c r="D559">
        <v>-612.62800000000004</v>
      </c>
      <c r="E559" t="s">
        <v>4</v>
      </c>
      <c r="F559" t="s">
        <v>43</v>
      </c>
      <c r="G559" t="s">
        <v>5</v>
      </c>
    </row>
    <row r="560" spans="1:7" x14ac:dyDescent="0.3">
      <c r="A560" t="s">
        <v>15</v>
      </c>
      <c r="B560" s="1">
        <v>45838</v>
      </c>
      <c r="C560">
        <v>255017</v>
      </c>
      <c r="D560">
        <v>-583.01099999999997</v>
      </c>
      <c r="E560" t="s">
        <v>4</v>
      </c>
      <c r="F560" t="s">
        <v>43</v>
      </c>
      <c r="G560" t="s">
        <v>5</v>
      </c>
    </row>
    <row r="561" spans="1:7" x14ac:dyDescent="0.3">
      <c r="A561" t="s">
        <v>15</v>
      </c>
      <c r="B561" s="1">
        <v>45838</v>
      </c>
      <c r="C561">
        <v>255018</v>
      </c>
      <c r="D561">
        <v>-582.48500000000001</v>
      </c>
      <c r="E561" t="s">
        <v>4</v>
      </c>
      <c r="F561" t="s">
        <v>43</v>
      </c>
      <c r="G561" t="s">
        <v>5</v>
      </c>
    </row>
    <row r="562" spans="1:7" x14ac:dyDescent="0.3">
      <c r="A562" t="s">
        <v>15</v>
      </c>
      <c r="B562" s="1">
        <v>45838</v>
      </c>
      <c r="C562">
        <v>255019</v>
      </c>
      <c r="D562">
        <v>-1218.345</v>
      </c>
      <c r="E562" t="s">
        <v>4</v>
      </c>
      <c r="F562" t="s">
        <v>43</v>
      </c>
      <c r="G562" t="s">
        <v>5</v>
      </c>
    </row>
    <row r="563" spans="1:7" x14ac:dyDescent="0.3">
      <c r="A563" t="s">
        <v>15</v>
      </c>
      <c r="B563" s="1">
        <v>45838</v>
      </c>
      <c r="C563">
        <v>255020</v>
      </c>
      <c r="D563">
        <v>-867.76400000000001</v>
      </c>
      <c r="E563" t="s">
        <v>4</v>
      </c>
      <c r="F563" t="s">
        <v>43</v>
      </c>
      <c r="G563" t="s">
        <v>5</v>
      </c>
    </row>
    <row r="564" spans="1:7" x14ac:dyDescent="0.3">
      <c r="A564" t="s">
        <v>15</v>
      </c>
      <c r="B564" s="1">
        <v>45838</v>
      </c>
      <c r="C564">
        <v>256022</v>
      </c>
      <c r="D564">
        <v>0</v>
      </c>
      <c r="E564" t="s">
        <v>4</v>
      </c>
      <c r="F564" t="s">
        <v>43</v>
      </c>
      <c r="G564" t="s">
        <v>5</v>
      </c>
    </row>
    <row r="565" spans="1:7" x14ac:dyDescent="0.3">
      <c r="A565" t="s">
        <v>15</v>
      </c>
      <c r="B565" s="1">
        <v>45838</v>
      </c>
      <c r="C565">
        <v>256024</v>
      </c>
      <c r="D565">
        <v>0</v>
      </c>
      <c r="E565" t="s">
        <v>4</v>
      </c>
      <c r="F565" t="s">
        <v>43</v>
      </c>
      <c r="G565" t="s">
        <v>5</v>
      </c>
    </row>
    <row r="566" spans="1:7" x14ac:dyDescent="0.3">
      <c r="A566" t="s">
        <v>15</v>
      </c>
      <c r="B566" s="1">
        <v>45838</v>
      </c>
      <c r="C566">
        <v>257002</v>
      </c>
      <c r="D566">
        <v>-107.251</v>
      </c>
      <c r="E566" t="s">
        <v>4</v>
      </c>
      <c r="F566" t="s">
        <v>45</v>
      </c>
      <c r="G566" t="s">
        <v>5</v>
      </c>
    </row>
    <row r="567" spans="1:7" x14ac:dyDescent="0.3">
      <c r="A567" t="s">
        <v>15</v>
      </c>
      <c r="B567" s="1">
        <v>45838</v>
      </c>
      <c r="C567">
        <v>257003</v>
      </c>
      <c r="D567">
        <v>-2976.3180000000002</v>
      </c>
      <c r="E567" t="s">
        <v>4</v>
      </c>
      <c r="F567" t="s">
        <v>45</v>
      </c>
      <c r="G567" t="s">
        <v>5</v>
      </c>
    </row>
    <row r="568" spans="1:7" x14ac:dyDescent="0.3">
      <c r="A568" t="s">
        <v>15</v>
      </c>
      <c r="B568" s="1">
        <v>45838</v>
      </c>
      <c r="C568">
        <v>257004</v>
      </c>
      <c r="D568">
        <v>-329.22</v>
      </c>
      <c r="E568" t="s">
        <v>4</v>
      </c>
      <c r="F568" t="s">
        <v>45</v>
      </c>
      <c r="G568" t="s">
        <v>5</v>
      </c>
    </row>
    <row r="569" spans="1:7" x14ac:dyDescent="0.3">
      <c r="A569" t="s">
        <v>15</v>
      </c>
      <c r="B569" s="1">
        <v>45838</v>
      </c>
      <c r="C569">
        <v>257005</v>
      </c>
      <c r="D569">
        <v>-157607.59099999999</v>
      </c>
      <c r="E569" t="s">
        <v>4</v>
      </c>
      <c r="F569" t="s">
        <v>45</v>
      </c>
      <c r="G569" t="s">
        <v>5</v>
      </c>
    </row>
    <row r="570" spans="1:7" x14ac:dyDescent="0.3">
      <c r="A570" t="s">
        <v>15</v>
      </c>
      <c r="B570" s="1">
        <v>45838</v>
      </c>
      <c r="C570">
        <v>257014</v>
      </c>
      <c r="D570">
        <v>-273704.44099999999</v>
      </c>
      <c r="E570" t="s">
        <v>4</v>
      </c>
      <c r="F570" t="s">
        <v>45</v>
      </c>
      <c r="G570" t="s">
        <v>5</v>
      </c>
    </row>
    <row r="571" spans="1:7" x14ac:dyDescent="0.3">
      <c r="A571" t="s">
        <v>15</v>
      </c>
      <c r="B571" s="1">
        <v>45838</v>
      </c>
      <c r="C571">
        <v>257015</v>
      </c>
      <c r="D571">
        <v>-18878.733</v>
      </c>
      <c r="E571" t="s">
        <v>4</v>
      </c>
      <c r="F571" t="s">
        <v>45</v>
      </c>
      <c r="G571" t="s">
        <v>5</v>
      </c>
    </row>
    <row r="572" spans="1:7" x14ac:dyDescent="0.3">
      <c r="A572" t="s">
        <v>15</v>
      </c>
      <c r="B572" s="1">
        <v>45838</v>
      </c>
      <c r="C572">
        <v>257016</v>
      </c>
      <c r="D572">
        <v>-736.28700000000003</v>
      </c>
      <c r="E572" t="s">
        <v>4</v>
      </c>
      <c r="F572" t="s">
        <v>45</v>
      </c>
      <c r="G572" t="s">
        <v>5</v>
      </c>
    </row>
    <row r="573" spans="1:7" x14ac:dyDescent="0.3">
      <c r="A573" t="s">
        <v>15</v>
      </c>
      <c r="B573" s="1">
        <v>45838</v>
      </c>
      <c r="C573">
        <v>257018</v>
      </c>
      <c r="D573">
        <v>-4486.6040000000003</v>
      </c>
      <c r="E573" t="s">
        <v>4</v>
      </c>
      <c r="F573" t="s">
        <v>45</v>
      </c>
      <c r="G573" t="s">
        <v>5</v>
      </c>
    </row>
    <row r="574" spans="1:7" x14ac:dyDescent="0.3">
      <c r="A574" t="s">
        <v>15</v>
      </c>
      <c r="B574" s="1">
        <v>45838</v>
      </c>
      <c r="C574">
        <v>257020</v>
      </c>
      <c r="D574">
        <v>-0.28399999999999997</v>
      </c>
      <c r="E574" t="s">
        <v>4</v>
      </c>
      <c r="F574" t="s">
        <v>45</v>
      </c>
      <c r="G574" t="s">
        <v>5</v>
      </c>
    </row>
    <row r="575" spans="1:7" x14ac:dyDescent="0.3">
      <c r="A575" t="s">
        <v>15</v>
      </c>
      <c r="B575" s="1">
        <v>45838</v>
      </c>
      <c r="C575">
        <v>257024</v>
      </c>
      <c r="D575">
        <v>0</v>
      </c>
      <c r="E575" t="s">
        <v>4</v>
      </c>
      <c r="F575" t="s">
        <v>45</v>
      </c>
      <c r="G575" t="s">
        <v>5</v>
      </c>
    </row>
    <row r="576" spans="1:7" x14ac:dyDescent="0.3">
      <c r="A576" t="s">
        <v>15</v>
      </c>
      <c r="B576" s="1">
        <v>45838</v>
      </c>
      <c r="C576">
        <v>257028</v>
      </c>
      <c r="D576">
        <v>-105.277</v>
      </c>
      <c r="E576" t="s">
        <v>4</v>
      </c>
      <c r="F576" t="s">
        <v>45</v>
      </c>
      <c r="G576" t="s">
        <v>5</v>
      </c>
    </row>
    <row r="577" spans="1:7" x14ac:dyDescent="0.3">
      <c r="A577" t="s">
        <v>15</v>
      </c>
      <c r="B577" s="1">
        <v>45838</v>
      </c>
      <c r="C577">
        <v>257029</v>
      </c>
      <c r="D577">
        <v>-2579.2930000000001</v>
      </c>
      <c r="E577" t="s">
        <v>4</v>
      </c>
      <c r="F577" t="s">
        <v>45</v>
      </c>
      <c r="G577" t="s">
        <v>5</v>
      </c>
    </row>
    <row r="578" spans="1:7" x14ac:dyDescent="0.3">
      <c r="A578" t="s">
        <v>15</v>
      </c>
      <c r="B578" s="1">
        <v>45838</v>
      </c>
      <c r="C578">
        <v>257030</v>
      </c>
      <c r="D578">
        <v>-918.60299999999995</v>
      </c>
      <c r="E578" t="s">
        <v>4</v>
      </c>
      <c r="F578" t="s">
        <v>45</v>
      </c>
      <c r="G578" t="s">
        <v>5</v>
      </c>
    </row>
    <row r="579" spans="1:7" x14ac:dyDescent="0.3">
      <c r="A579" t="s">
        <v>15</v>
      </c>
      <c r="B579" s="1">
        <v>45838</v>
      </c>
      <c r="C579">
        <v>257035</v>
      </c>
      <c r="D579">
        <v>0</v>
      </c>
      <c r="E579" t="s">
        <v>4</v>
      </c>
      <c r="F579" t="s">
        <v>45</v>
      </c>
      <c r="G579" t="s">
        <v>5</v>
      </c>
    </row>
    <row r="580" spans="1:7" x14ac:dyDescent="0.3">
      <c r="A580" t="s">
        <v>15</v>
      </c>
      <c r="B580" s="1">
        <v>45838</v>
      </c>
      <c r="C580">
        <v>257036</v>
      </c>
      <c r="D580">
        <v>0</v>
      </c>
      <c r="E580" t="s">
        <v>4</v>
      </c>
      <c r="F580" t="s">
        <v>45</v>
      </c>
      <c r="G580" t="s">
        <v>5</v>
      </c>
    </row>
    <row r="581" spans="1:7" x14ac:dyDescent="0.3">
      <c r="A581" t="s">
        <v>15</v>
      </c>
      <c r="B581" s="1">
        <v>45838</v>
      </c>
      <c r="C581">
        <v>257038</v>
      </c>
      <c r="D581">
        <v>-163.36099999999999</v>
      </c>
      <c r="E581" t="s">
        <v>4</v>
      </c>
      <c r="F581" t="s">
        <v>45</v>
      </c>
      <c r="G581" t="s">
        <v>5</v>
      </c>
    </row>
    <row r="582" spans="1:7" x14ac:dyDescent="0.3">
      <c r="A582" t="s">
        <v>15</v>
      </c>
      <c r="B582" s="1">
        <v>45838</v>
      </c>
      <c r="C582">
        <v>260004</v>
      </c>
      <c r="D582">
        <v>0</v>
      </c>
      <c r="E582" t="s">
        <v>4</v>
      </c>
      <c r="F582" t="s">
        <v>45</v>
      </c>
      <c r="G582" t="s">
        <v>5</v>
      </c>
    </row>
    <row r="583" spans="1:7" x14ac:dyDescent="0.3">
      <c r="A583" t="s">
        <v>15</v>
      </c>
      <c r="B583" s="1">
        <v>45838</v>
      </c>
      <c r="C583">
        <v>260007</v>
      </c>
      <c r="D583">
        <v>0</v>
      </c>
      <c r="E583" t="s">
        <v>4</v>
      </c>
      <c r="F583" t="s">
        <v>45</v>
      </c>
      <c r="G583" t="s">
        <v>5</v>
      </c>
    </row>
    <row r="584" spans="1:7" x14ac:dyDescent="0.3">
      <c r="A584" t="s">
        <v>15</v>
      </c>
      <c r="B584" s="1">
        <v>45838</v>
      </c>
      <c r="C584">
        <v>261006</v>
      </c>
      <c r="D584">
        <v>0</v>
      </c>
      <c r="E584" t="s">
        <v>4</v>
      </c>
      <c r="F584" t="s">
        <v>45</v>
      </c>
      <c r="G584" t="s">
        <v>5</v>
      </c>
    </row>
    <row r="585" spans="1:7" x14ac:dyDescent="0.3">
      <c r="A585" t="s">
        <v>15</v>
      </c>
      <c r="B585" s="1">
        <v>45838</v>
      </c>
      <c r="C585">
        <v>261014</v>
      </c>
      <c r="D585">
        <v>3165.6129999999998</v>
      </c>
      <c r="E585" t="s">
        <v>4</v>
      </c>
      <c r="F585" t="s">
        <v>45</v>
      </c>
      <c r="G585" t="s">
        <v>5</v>
      </c>
    </row>
    <row r="586" spans="1:7" x14ac:dyDescent="0.3">
      <c r="A586" t="s">
        <v>15</v>
      </c>
      <c r="B586" s="1">
        <v>45838</v>
      </c>
      <c r="C586">
        <v>261015</v>
      </c>
      <c r="D586">
        <v>0.70099999999999996</v>
      </c>
      <c r="E586" t="s">
        <v>4</v>
      </c>
      <c r="F586" t="s">
        <v>45</v>
      </c>
      <c r="G586" t="s">
        <v>5</v>
      </c>
    </row>
    <row r="587" spans="1:7" x14ac:dyDescent="0.3">
      <c r="A587" t="s">
        <v>15</v>
      </c>
      <c r="B587" s="1">
        <v>45838</v>
      </c>
      <c r="C587">
        <v>261016</v>
      </c>
      <c r="D587">
        <v>0.35</v>
      </c>
      <c r="E587" t="s">
        <v>4</v>
      </c>
      <c r="F587" t="s">
        <v>45</v>
      </c>
      <c r="G587" t="s">
        <v>5</v>
      </c>
    </row>
    <row r="588" spans="1:7" x14ac:dyDescent="0.3">
      <c r="A588" t="s">
        <v>15</v>
      </c>
      <c r="B588" s="1">
        <v>45838</v>
      </c>
      <c r="C588">
        <v>261017</v>
      </c>
      <c r="D588">
        <v>2.3809999999999998</v>
      </c>
      <c r="E588" t="s">
        <v>4</v>
      </c>
      <c r="F588" t="s">
        <v>45</v>
      </c>
      <c r="G588" t="s">
        <v>5</v>
      </c>
    </row>
    <row r="589" spans="1:7" x14ac:dyDescent="0.3">
      <c r="A589" t="s">
        <v>15</v>
      </c>
      <c r="B589" s="1">
        <v>45838</v>
      </c>
      <c r="C589">
        <v>261019</v>
      </c>
      <c r="D589">
        <v>628.71199999999999</v>
      </c>
      <c r="E589" t="s">
        <v>4</v>
      </c>
      <c r="F589" t="s">
        <v>45</v>
      </c>
      <c r="G589" t="s">
        <v>5</v>
      </c>
    </row>
    <row r="590" spans="1:7" x14ac:dyDescent="0.3">
      <c r="A590" t="s">
        <v>15</v>
      </c>
      <c r="B590" s="1">
        <v>45838</v>
      </c>
      <c r="C590">
        <v>261023</v>
      </c>
      <c r="D590">
        <v>17603.915000000001</v>
      </c>
      <c r="E590" t="s">
        <v>4</v>
      </c>
      <c r="F590" t="s">
        <v>45</v>
      </c>
      <c r="G590" t="s">
        <v>5</v>
      </c>
    </row>
    <row r="591" spans="1:7" x14ac:dyDescent="0.3">
      <c r="A591" t="s">
        <v>15</v>
      </c>
      <c r="B591" s="1">
        <v>45838</v>
      </c>
      <c r="C591">
        <v>261024</v>
      </c>
      <c r="D591">
        <v>628.71199999999999</v>
      </c>
      <c r="E591" t="s">
        <v>4</v>
      </c>
      <c r="F591" t="s">
        <v>45</v>
      </c>
      <c r="G591" t="s">
        <v>5</v>
      </c>
    </row>
    <row r="592" spans="1:7" x14ac:dyDescent="0.3">
      <c r="A592" t="s">
        <v>15</v>
      </c>
      <c r="B592" s="1">
        <v>45838</v>
      </c>
      <c r="C592">
        <v>262015</v>
      </c>
      <c r="D592">
        <v>0</v>
      </c>
      <c r="E592" t="s">
        <v>4</v>
      </c>
      <c r="F592" t="s">
        <v>45</v>
      </c>
      <c r="G592" t="s">
        <v>5</v>
      </c>
    </row>
    <row r="593" spans="1:7" x14ac:dyDescent="0.3">
      <c r="A593" t="s">
        <v>15</v>
      </c>
      <c r="B593" s="1">
        <v>45838</v>
      </c>
      <c r="C593">
        <v>263006</v>
      </c>
      <c r="D593">
        <v>-102082.005</v>
      </c>
      <c r="E593" t="s">
        <v>4</v>
      </c>
      <c r="F593" t="s">
        <v>45</v>
      </c>
      <c r="G593" t="s">
        <v>5</v>
      </c>
    </row>
    <row r="594" spans="1:7" x14ac:dyDescent="0.3">
      <c r="A594" t="s">
        <v>15</v>
      </c>
      <c r="B594" s="1">
        <v>45838</v>
      </c>
      <c r="C594">
        <v>263007</v>
      </c>
      <c r="D594">
        <v>-85739.297999999995</v>
      </c>
      <c r="E594" t="s">
        <v>4</v>
      </c>
      <c r="F594" t="s">
        <v>45</v>
      </c>
      <c r="G594" t="s">
        <v>5</v>
      </c>
    </row>
    <row r="595" spans="1:7" x14ac:dyDescent="0.3">
      <c r="A595" t="s">
        <v>15</v>
      </c>
      <c r="B595" s="1">
        <v>45838</v>
      </c>
      <c r="C595">
        <v>263008</v>
      </c>
      <c r="D595">
        <v>-150616.272</v>
      </c>
      <c r="E595" t="s">
        <v>4</v>
      </c>
      <c r="F595" t="s">
        <v>45</v>
      </c>
      <c r="G595" t="s">
        <v>5</v>
      </c>
    </row>
    <row r="596" spans="1:7" x14ac:dyDescent="0.3">
      <c r="A596" t="s">
        <v>15</v>
      </c>
      <c r="B596" s="1">
        <v>45838</v>
      </c>
      <c r="C596">
        <v>263010</v>
      </c>
      <c r="D596">
        <v>-1022.831</v>
      </c>
      <c r="E596" t="s">
        <v>4</v>
      </c>
      <c r="F596" t="s">
        <v>45</v>
      </c>
      <c r="G596" t="s">
        <v>5</v>
      </c>
    </row>
    <row r="597" spans="1:7" x14ac:dyDescent="0.3">
      <c r="A597" t="s">
        <v>15</v>
      </c>
      <c r="B597" s="1">
        <v>45838</v>
      </c>
      <c r="C597">
        <v>263012</v>
      </c>
      <c r="D597">
        <v>-422.66399999999999</v>
      </c>
      <c r="E597" t="s">
        <v>4</v>
      </c>
      <c r="F597" t="s">
        <v>45</v>
      </c>
      <c r="G597" t="s">
        <v>5</v>
      </c>
    </row>
    <row r="598" spans="1:7" x14ac:dyDescent="0.3">
      <c r="A598" t="s">
        <v>15</v>
      </c>
      <c r="B598" s="1">
        <v>45838</v>
      </c>
      <c r="C598">
        <v>263013</v>
      </c>
      <c r="D598">
        <v>-422.66399999999999</v>
      </c>
      <c r="E598" t="s">
        <v>4</v>
      </c>
      <c r="F598" t="s">
        <v>45</v>
      </c>
      <c r="G598" t="s">
        <v>5</v>
      </c>
    </row>
    <row r="599" spans="1:7" x14ac:dyDescent="0.3">
      <c r="A599" t="s">
        <v>15</v>
      </c>
      <c r="B599" s="1">
        <v>45838</v>
      </c>
      <c r="C599">
        <v>263014</v>
      </c>
      <c r="D599">
        <v>-7801.2269999999999</v>
      </c>
      <c r="E599" t="s">
        <v>4</v>
      </c>
      <c r="F599" t="s">
        <v>45</v>
      </c>
      <c r="G599" t="s">
        <v>5</v>
      </c>
    </row>
    <row r="600" spans="1:7" x14ac:dyDescent="0.3">
      <c r="A600" t="s">
        <v>15</v>
      </c>
      <c r="B600" s="1">
        <v>45838</v>
      </c>
      <c r="C600">
        <v>270002</v>
      </c>
      <c r="D600">
        <v>0</v>
      </c>
      <c r="E600" t="s">
        <v>4</v>
      </c>
      <c r="F600" t="s">
        <v>58</v>
      </c>
      <c r="G600" t="s">
        <v>5</v>
      </c>
    </row>
    <row r="601" spans="1:7" x14ac:dyDescent="0.3">
      <c r="A601" t="s">
        <v>15</v>
      </c>
      <c r="B601" s="1">
        <v>45838</v>
      </c>
      <c r="C601">
        <v>270003</v>
      </c>
      <c r="D601">
        <v>-6238.777</v>
      </c>
      <c r="E601" t="s">
        <v>4</v>
      </c>
      <c r="F601" t="s">
        <v>58</v>
      </c>
      <c r="G601" t="s">
        <v>5</v>
      </c>
    </row>
    <row r="602" spans="1:7" x14ac:dyDescent="0.3">
      <c r="A602" t="s">
        <v>15</v>
      </c>
      <c r="B602" s="1">
        <v>45838</v>
      </c>
      <c r="C602">
        <v>270005</v>
      </c>
      <c r="D602">
        <v>-44268.635999999999</v>
      </c>
      <c r="E602" t="s">
        <v>4</v>
      </c>
      <c r="F602" t="s">
        <v>58</v>
      </c>
      <c r="G602" t="s">
        <v>5</v>
      </c>
    </row>
    <row r="603" spans="1:7" x14ac:dyDescent="0.3">
      <c r="A603" t="s">
        <v>15</v>
      </c>
      <c r="B603" s="1">
        <v>45838</v>
      </c>
      <c r="C603">
        <v>270007</v>
      </c>
      <c r="D603">
        <v>-32285.670999999998</v>
      </c>
      <c r="E603" t="s">
        <v>4</v>
      </c>
      <c r="F603" t="s">
        <v>58</v>
      </c>
      <c r="G603" t="s">
        <v>5</v>
      </c>
    </row>
    <row r="604" spans="1:7" x14ac:dyDescent="0.3">
      <c r="A604" t="s">
        <v>15</v>
      </c>
      <c r="B604" s="1">
        <v>45838</v>
      </c>
      <c r="C604">
        <v>270009</v>
      </c>
      <c r="D604">
        <v>-2088.143</v>
      </c>
      <c r="E604" t="s">
        <v>4</v>
      </c>
      <c r="F604" t="s">
        <v>58</v>
      </c>
      <c r="G604" t="s">
        <v>5</v>
      </c>
    </row>
    <row r="605" spans="1:7" x14ac:dyDescent="0.3">
      <c r="A605" t="s">
        <v>15</v>
      </c>
      <c r="B605" s="1">
        <v>45838</v>
      </c>
      <c r="C605">
        <v>270011</v>
      </c>
      <c r="D605">
        <v>-994.77</v>
      </c>
      <c r="E605" t="s">
        <v>4</v>
      </c>
      <c r="F605" t="s">
        <v>58</v>
      </c>
      <c r="G605" t="s">
        <v>5</v>
      </c>
    </row>
    <row r="606" spans="1:7" x14ac:dyDescent="0.3">
      <c r="A606" t="s">
        <v>15</v>
      </c>
      <c r="B606" s="1">
        <v>45838</v>
      </c>
      <c r="C606">
        <v>270012</v>
      </c>
      <c r="D606">
        <v>-666.05399999999997</v>
      </c>
      <c r="E606" t="s">
        <v>4</v>
      </c>
      <c r="F606" t="s">
        <v>58</v>
      </c>
      <c r="G606" t="s">
        <v>5</v>
      </c>
    </row>
    <row r="607" spans="1:7" x14ac:dyDescent="0.3">
      <c r="A607" t="s">
        <v>15</v>
      </c>
      <c r="B607" s="1">
        <v>45838</v>
      </c>
      <c r="C607">
        <v>270013</v>
      </c>
      <c r="D607">
        <v>0</v>
      </c>
      <c r="E607" t="s">
        <v>4</v>
      </c>
      <c r="F607" t="s">
        <v>58</v>
      </c>
      <c r="G607" t="s">
        <v>5</v>
      </c>
    </row>
    <row r="608" spans="1:7" x14ac:dyDescent="0.3">
      <c r="A608" t="s">
        <v>15</v>
      </c>
      <c r="B608" s="1">
        <v>45838</v>
      </c>
      <c r="C608">
        <v>270014</v>
      </c>
      <c r="D608">
        <v>-2417.2849999999999</v>
      </c>
      <c r="E608" t="s">
        <v>4</v>
      </c>
      <c r="F608" t="s">
        <v>58</v>
      </c>
      <c r="G608" t="s">
        <v>5</v>
      </c>
    </row>
    <row r="609" spans="1:7" x14ac:dyDescent="0.3">
      <c r="A609" t="s">
        <v>15</v>
      </c>
      <c r="B609" s="1">
        <v>45838</v>
      </c>
      <c r="C609">
        <v>270015</v>
      </c>
      <c r="D609">
        <v>-1244.0550000000001</v>
      </c>
      <c r="E609" t="s">
        <v>4</v>
      </c>
      <c r="F609" t="s">
        <v>58</v>
      </c>
      <c r="G609" t="s">
        <v>5</v>
      </c>
    </row>
    <row r="610" spans="1:7" x14ac:dyDescent="0.3">
      <c r="A610" t="s">
        <v>15</v>
      </c>
      <c r="B610" s="1">
        <v>45838</v>
      </c>
      <c r="C610">
        <v>270016</v>
      </c>
      <c r="D610">
        <v>-556.70000000000005</v>
      </c>
      <c r="E610" t="s">
        <v>4</v>
      </c>
      <c r="F610" t="s">
        <v>58</v>
      </c>
      <c r="G610" t="s">
        <v>5</v>
      </c>
    </row>
    <row r="611" spans="1:7" x14ac:dyDescent="0.3">
      <c r="A611" t="s">
        <v>15</v>
      </c>
      <c r="B611" s="1">
        <v>45838</v>
      </c>
      <c r="C611">
        <v>270017</v>
      </c>
      <c r="D611">
        <v>0</v>
      </c>
      <c r="E611" t="s">
        <v>4</v>
      </c>
      <c r="F611" t="s">
        <v>58</v>
      </c>
      <c r="G611" t="s">
        <v>5</v>
      </c>
    </row>
    <row r="612" spans="1:7" x14ac:dyDescent="0.3">
      <c r="A612" t="s">
        <v>15</v>
      </c>
      <c r="B612" s="1">
        <v>45838</v>
      </c>
      <c r="C612">
        <v>270018</v>
      </c>
      <c r="D612">
        <v>-5731.09</v>
      </c>
      <c r="E612" t="s">
        <v>4</v>
      </c>
      <c r="F612" t="s">
        <v>58</v>
      </c>
      <c r="G612" t="s">
        <v>5</v>
      </c>
    </row>
    <row r="613" spans="1:7" x14ac:dyDescent="0.3">
      <c r="A613" t="s">
        <v>15</v>
      </c>
      <c r="B613" s="1">
        <v>45838</v>
      </c>
      <c r="C613">
        <v>270020</v>
      </c>
      <c r="D613">
        <v>-619848.52300000004</v>
      </c>
      <c r="E613" t="s">
        <v>4</v>
      </c>
      <c r="F613" t="s">
        <v>58</v>
      </c>
      <c r="G613" t="s">
        <v>5</v>
      </c>
    </row>
    <row r="614" spans="1:7" x14ac:dyDescent="0.3">
      <c r="A614" t="s">
        <v>15</v>
      </c>
      <c r="B614" s="1">
        <v>45838</v>
      </c>
      <c r="C614">
        <v>270021</v>
      </c>
      <c r="D614">
        <v>-4424.2290000000003</v>
      </c>
      <c r="E614" t="s">
        <v>4</v>
      </c>
      <c r="F614" t="s">
        <v>58</v>
      </c>
      <c r="G614" t="s">
        <v>5</v>
      </c>
    </row>
    <row r="615" spans="1:7" x14ac:dyDescent="0.3">
      <c r="A615" t="s">
        <v>15</v>
      </c>
      <c r="B615" s="1">
        <v>45838</v>
      </c>
      <c r="C615">
        <v>270022</v>
      </c>
      <c r="D615">
        <v>0</v>
      </c>
      <c r="E615" t="s">
        <v>4</v>
      </c>
      <c r="F615" t="s">
        <v>58</v>
      </c>
      <c r="G615" t="s">
        <v>5</v>
      </c>
    </row>
    <row r="616" spans="1:7" x14ac:dyDescent="0.3">
      <c r="A616" t="s">
        <v>15</v>
      </c>
      <c r="B616" s="1">
        <v>45838</v>
      </c>
      <c r="C616">
        <v>270023</v>
      </c>
      <c r="D616">
        <v>0</v>
      </c>
      <c r="E616" t="s">
        <v>4</v>
      </c>
      <c r="F616" t="s">
        <v>58</v>
      </c>
      <c r="G616" t="s">
        <v>5</v>
      </c>
    </row>
    <row r="617" spans="1:7" x14ac:dyDescent="0.3">
      <c r="A617" t="s">
        <v>15</v>
      </c>
      <c r="B617" s="1">
        <v>45838</v>
      </c>
      <c r="C617">
        <v>270024</v>
      </c>
      <c r="D617">
        <v>-378953.07500000001</v>
      </c>
      <c r="E617" t="s">
        <v>4</v>
      </c>
      <c r="F617" t="s">
        <v>58</v>
      </c>
      <c r="G617" t="s">
        <v>5</v>
      </c>
    </row>
    <row r="618" spans="1:7" x14ac:dyDescent="0.3">
      <c r="A618" t="s">
        <v>15</v>
      </c>
      <c r="B618" s="1">
        <v>45838</v>
      </c>
      <c r="C618">
        <v>270025</v>
      </c>
      <c r="D618">
        <v>-319374.87599999999</v>
      </c>
      <c r="E618" t="s">
        <v>4</v>
      </c>
      <c r="F618" t="s">
        <v>58</v>
      </c>
      <c r="G618" t="s">
        <v>5</v>
      </c>
    </row>
    <row r="619" spans="1:7" x14ac:dyDescent="0.3">
      <c r="A619" t="s">
        <v>15</v>
      </c>
      <c r="B619" s="1">
        <v>45838</v>
      </c>
      <c r="C619">
        <v>270026</v>
      </c>
      <c r="D619">
        <v>-1445042.3529999999</v>
      </c>
      <c r="E619" t="s">
        <v>4</v>
      </c>
      <c r="F619" t="s">
        <v>58</v>
      </c>
      <c r="G619" t="s">
        <v>5</v>
      </c>
    </row>
    <row r="620" spans="1:7" x14ac:dyDescent="0.3">
      <c r="A620" t="s">
        <v>15</v>
      </c>
      <c r="B620" s="1">
        <v>45838</v>
      </c>
      <c r="C620">
        <v>270027</v>
      </c>
      <c r="D620">
        <v>-395682.99599999998</v>
      </c>
      <c r="E620" t="s">
        <v>4</v>
      </c>
      <c r="F620" t="s">
        <v>58</v>
      </c>
      <c r="G620" t="s">
        <v>5</v>
      </c>
    </row>
    <row r="621" spans="1:7" x14ac:dyDescent="0.3">
      <c r="A621" t="s">
        <v>15</v>
      </c>
      <c r="B621" s="1">
        <v>45838</v>
      </c>
      <c r="C621">
        <v>275002</v>
      </c>
      <c r="D621">
        <v>54117.902999999998</v>
      </c>
      <c r="E621" t="s">
        <v>4</v>
      </c>
      <c r="F621" t="s">
        <v>58</v>
      </c>
      <c r="G621" t="s">
        <v>5</v>
      </c>
    </row>
    <row r="622" spans="1:7" x14ac:dyDescent="0.3">
      <c r="A622" t="s">
        <v>15</v>
      </c>
      <c r="B622" s="1">
        <v>45838</v>
      </c>
      <c r="C622">
        <v>300002</v>
      </c>
      <c r="D622">
        <v>123858.61500000001</v>
      </c>
      <c r="E622" t="s">
        <v>4</v>
      </c>
      <c r="F622" t="s">
        <v>65</v>
      </c>
      <c r="G622" t="s">
        <v>5</v>
      </c>
    </row>
    <row r="623" spans="1:7" x14ac:dyDescent="0.3">
      <c r="A623" t="s">
        <v>15</v>
      </c>
      <c r="B623" s="1">
        <v>45838</v>
      </c>
      <c r="C623">
        <v>300003</v>
      </c>
      <c r="D623">
        <v>1124519.148</v>
      </c>
      <c r="E623" t="s">
        <v>4</v>
      </c>
      <c r="F623" t="s">
        <v>65</v>
      </c>
      <c r="G623" t="s">
        <v>5</v>
      </c>
    </row>
    <row r="624" spans="1:7" x14ac:dyDescent="0.3">
      <c r="A624" t="s">
        <v>15</v>
      </c>
      <c r="B624" s="1">
        <v>45838</v>
      </c>
      <c r="C624">
        <v>300004</v>
      </c>
      <c r="D624">
        <v>1041324.939</v>
      </c>
      <c r="E624" t="s">
        <v>4</v>
      </c>
      <c r="F624" t="s">
        <v>65</v>
      </c>
      <c r="G624" t="s">
        <v>5</v>
      </c>
    </row>
    <row r="625" spans="1:7" x14ac:dyDescent="0.3">
      <c r="A625" t="s">
        <v>15</v>
      </c>
      <c r="B625" s="1">
        <v>45838</v>
      </c>
      <c r="C625">
        <v>300005</v>
      </c>
      <c r="D625">
        <v>465579.28700000001</v>
      </c>
      <c r="E625" t="s">
        <v>4</v>
      </c>
      <c r="F625" t="s">
        <v>65</v>
      </c>
      <c r="G625" t="s">
        <v>5</v>
      </c>
    </row>
    <row r="626" spans="1:7" x14ac:dyDescent="0.3">
      <c r="A626" t="s">
        <v>15</v>
      </c>
      <c r="B626" s="1">
        <v>45838</v>
      </c>
      <c r="C626">
        <v>300006</v>
      </c>
      <c r="D626">
        <v>5661.5780000000004</v>
      </c>
      <c r="E626" t="s">
        <v>4</v>
      </c>
      <c r="F626" t="s">
        <v>65</v>
      </c>
      <c r="G626" t="s">
        <v>5</v>
      </c>
    </row>
    <row r="627" spans="1:7" x14ac:dyDescent="0.3">
      <c r="A627" t="s">
        <v>15</v>
      </c>
      <c r="B627" s="1">
        <v>45838</v>
      </c>
      <c r="C627">
        <v>300008</v>
      </c>
      <c r="D627">
        <v>1361259.6189999999</v>
      </c>
      <c r="E627" t="s">
        <v>4</v>
      </c>
      <c r="F627" t="s">
        <v>65</v>
      </c>
      <c r="G627" t="s">
        <v>5</v>
      </c>
    </row>
    <row r="628" spans="1:7" x14ac:dyDescent="0.3">
      <c r="A628" t="s">
        <v>15</v>
      </c>
      <c r="B628" s="1">
        <v>45838</v>
      </c>
      <c r="C628">
        <v>300009</v>
      </c>
      <c r="D628">
        <v>277794.86599999998</v>
      </c>
      <c r="E628" t="s">
        <v>4</v>
      </c>
      <c r="F628" t="s">
        <v>65</v>
      </c>
      <c r="G628" t="s">
        <v>5</v>
      </c>
    </row>
    <row r="629" spans="1:7" x14ac:dyDescent="0.3">
      <c r="A629" t="s">
        <v>15</v>
      </c>
      <c r="B629" s="1">
        <v>45838</v>
      </c>
      <c r="C629">
        <v>300010</v>
      </c>
      <c r="D629">
        <v>17407.902999999998</v>
      </c>
      <c r="E629" t="s">
        <v>4</v>
      </c>
      <c r="F629" t="s">
        <v>65</v>
      </c>
      <c r="G629" t="s">
        <v>5</v>
      </c>
    </row>
    <row r="630" spans="1:7" x14ac:dyDescent="0.3">
      <c r="A630" t="s">
        <v>15</v>
      </c>
      <c r="B630" s="1">
        <v>45838</v>
      </c>
      <c r="C630">
        <v>300011</v>
      </c>
      <c r="D630">
        <v>22888.400000000001</v>
      </c>
      <c r="E630" t="s">
        <v>4</v>
      </c>
      <c r="F630" t="s">
        <v>65</v>
      </c>
      <c r="G630" t="s">
        <v>5</v>
      </c>
    </row>
    <row r="631" spans="1:7" x14ac:dyDescent="0.3">
      <c r="A631" t="s">
        <v>15</v>
      </c>
      <c r="B631" s="1">
        <v>45838</v>
      </c>
      <c r="C631">
        <v>300012</v>
      </c>
      <c r="D631">
        <v>1776174.969</v>
      </c>
      <c r="E631" t="s">
        <v>4</v>
      </c>
      <c r="F631" t="s">
        <v>65</v>
      </c>
      <c r="G631" t="s">
        <v>5</v>
      </c>
    </row>
    <row r="632" spans="1:7" x14ac:dyDescent="0.3">
      <c r="A632" t="s">
        <v>15</v>
      </c>
      <c r="B632" s="1">
        <v>45838</v>
      </c>
      <c r="C632">
        <v>300014</v>
      </c>
      <c r="D632">
        <v>1482029.45</v>
      </c>
      <c r="E632" t="s">
        <v>4</v>
      </c>
      <c r="F632" t="s">
        <v>65</v>
      </c>
      <c r="G632" t="s">
        <v>5</v>
      </c>
    </row>
    <row r="633" spans="1:7" x14ac:dyDescent="0.3">
      <c r="A633" t="s">
        <v>15</v>
      </c>
      <c r="B633" s="1">
        <v>45838</v>
      </c>
      <c r="C633">
        <v>300502</v>
      </c>
      <c r="D633">
        <v>-34407.487000000001</v>
      </c>
      <c r="E633" t="s">
        <v>4</v>
      </c>
      <c r="F633" t="s">
        <v>65</v>
      </c>
      <c r="G633" t="s">
        <v>5</v>
      </c>
    </row>
    <row r="634" spans="1:7" x14ac:dyDescent="0.3">
      <c r="A634" t="s">
        <v>15</v>
      </c>
      <c r="B634" s="1">
        <v>45838</v>
      </c>
      <c r="C634">
        <v>300503</v>
      </c>
      <c r="D634">
        <v>-759144.72</v>
      </c>
      <c r="E634" t="s">
        <v>4</v>
      </c>
      <c r="F634" t="s">
        <v>65</v>
      </c>
      <c r="G634" t="s">
        <v>5</v>
      </c>
    </row>
    <row r="635" spans="1:7" x14ac:dyDescent="0.3">
      <c r="A635" t="s">
        <v>15</v>
      </c>
      <c r="B635" s="1">
        <v>45838</v>
      </c>
      <c r="C635">
        <v>300504</v>
      </c>
      <c r="D635">
        <v>-785866.03899999999</v>
      </c>
      <c r="E635" t="s">
        <v>4</v>
      </c>
      <c r="F635" t="s">
        <v>65</v>
      </c>
      <c r="G635" t="s">
        <v>5</v>
      </c>
    </row>
    <row r="636" spans="1:7" x14ac:dyDescent="0.3">
      <c r="A636" t="s">
        <v>15</v>
      </c>
      <c r="B636" s="1">
        <v>45838</v>
      </c>
      <c r="C636">
        <v>300505</v>
      </c>
      <c r="D636">
        <v>-435791.81300000002</v>
      </c>
      <c r="E636" t="s">
        <v>4</v>
      </c>
      <c r="F636" t="s">
        <v>65</v>
      </c>
      <c r="G636" t="s">
        <v>5</v>
      </c>
    </row>
    <row r="637" spans="1:7" x14ac:dyDescent="0.3">
      <c r="A637" t="s">
        <v>15</v>
      </c>
      <c r="B637" s="1">
        <v>45838</v>
      </c>
      <c r="C637">
        <v>300506</v>
      </c>
      <c r="D637">
        <v>-1825.135</v>
      </c>
      <c r="E637" t="s">
        <v>4</v>
      </c>
      <c r="F637" t="s">
        <v>65</v>
      </c>
      <c r="G637" t="s">
        <v>5</v>
      </c>
    </row>
    <row r="638" spans="1:7" x14ac:dyDescent="0.3">
      <c r="A638" t="s">
        <v>15</v>
      </c>
      <c r="B638" s="1">
        <v>45838</v>
      </c>
      <c r="C638">
        <v>300508</v>
      </c>
      <c r="D638">
        <v>-685037.70600000001</v>
      </c>
      <c r="E638" t="s">
        <v>4</v>
      </c>
      <c r="F638" t="s">
        <v>65</v>
      </c>
      <c r="G638" t="s">
        <v>5</v>
      </c>
    </row>
    <row r="639" spans="1:7" x14ac:dyDescent="0.3">
      <c r="A639" t="s">
        <v>15</v>
      </c>
      <c r="B639" s="1">
        <v>45838</v>
      </c>
      <c r="C639">
        <v>300509</v>
      </c>
      <c r="D639">
        <v>-251798.70300000001</v>
      </c>
      <c r="E639" t="s">
        <v>4</v>
      </c>
      <c r="F639" t="s">
        <v>65</v>
      </c>
      <c r="G639" t="s">
        <v>5</v>
      </c>
    </row>
    <row r="640" spans="1:7" x14ac:dyDescent="0.3">
      <c r="A640" t="s">
        <v>15</v>
      </c>
      <c r="B640" s="1">
        <v>45838</v>
      </c>
      <c r="C640">
        <v>300510</v>
      </c>
      <c r="D640">
        <v>-17131.030999999999</v>
      </c>
      <c r="E640" t="s">
        <v>4</v>
      </c>
      <c r="F640" t="s">
        <v>65</v>
      </c>
      <c r="G640" t="s">
        <v>5</v>
      </c>
    </row>
    <row r="641" spans="1:7" x14ac:dyDescent="0.3">
      <c r="A641" t="s">
        <v>15</v>
      </c>
      <c r="B641" s="1">
        <v>45838</v>
      </c>
      <c r="C641">
        <v>300511</v>
      </c>
      <c r="D641">
        <v>-22134.185000000001</v>
      </c>
      <c r="E641" t="s">
        <v>4</v>
      </c>
      <c r="F641" t="s">
        <v>65</v>
      </c>
      <c r="G641" t="s">
        <v>5</v>
      </c>
    </row>
    <row r="642" spans="1:7" x14ac:dyDescent="0.3">
      <c r="A642" t="s">
        <v>15</v>
      </c>
      <c r="B642" s="1">
        <v>45838</v>
      </c>
      <c r="C642">
        <v>300512</v>
      </c>
      <c r="D642">
        <v>-1550301.3629999999</v>
      </c>
      <c r="E642" t="s">
        <v>4</v>
      </c>
      <c r="F642" t="s">
        <v>65</v>
      </c>
      <c r="G642" t="s">
        <v>5</v>
      </c>
    </row>
    <row r="643" spans="1:7" x14ac:dyDescent="0.3">
      <c r="A643" t="s">
        <v>15</v>
      </c>
      <c r="B643" s="1">
        <v>45838</v>
      </c>
      <c r="C643">
        <v>300514</v>
      </c>
      <c r="D643">
        <v>-974227.02</v>
      </c>
      <c r="E643" t="s">
        <v>4</v>
      </c>
      <c r="F643" t="s">
        <v>65</v>
      </c>
      <c r="G643" t="s">
        <v>5</v>
      </c>
    </row>
    <row r="644" spans="1:7" x14ac:dyDescent="0.3">
      <c r="A644" t="s">
        <v>15</v>
      </c>
      <c r="B644" s="1">
        <v>45838</v>
      </c>
      <c r="C644">
        <v>301002</v>
      </c>
      <c r="D644">
        <v>126927.077</v>
      </c>
      <c r="E644" t="s">
        <v>4</v>
      </c>
      <c r="F644" t="s">
        <v>68</v>
      </c>
      <c r="G644" t="s">
        <v>5</v>
      </c>
    </row>
    <row r="645" spans="1:7" x14ac:dyDescent="0.3">
      <c r="A645" t="s">
        <v>15</v>
      </c>
      <c r="B645" s="1">
        <v>45838</v>
      </c>
      <c r="C645">
        <v>301004</v>
      </c>
      <c r="D645">
        <v>1967526.5</v>
      </c>
      <c r="E645" t="s">
        <v>4</v>
      </c>
      <c r="F645" t="s">
        <v>65</v>
      </c>
      <c r="G645" t="s">
        <v>5</v>
      </c>
    </row>
    <row r="646" spans="1:7" x14ac:dyDescent="0.3">
      <c r="A646" t="s">
        <v>15</v>
      </c>
      <c r="B646" s="1">
        <v>45838</v>
      </c>
      <c r="C646">
        <v>301005</v>
      </c>
      <c r="D646">
        <v>292417.38400000002</v>
      </c>
      <c r="E646" t="s">
        <v>4</v>
      </c>
      <c r="F646" t="s">
        <v>65</v>
      </c>
      <c r="G646" t="s">
        <v>5</v>
      </c>
    </row>
    <row r="647" spans="1:7" x14ac:dyDescent="0.3">
      <c r="A647" t="s">
        <v>15</v>
      </c>
      <c r="B647" s="1">
        <v>45838</v>
      </c>
      <c r="C647">
        <v>301502</v>
      </c>
      <c r="D647">
        <v>-126927.07399999999</v>
      </c>
      <c r="E647" t="s">
        <v>4</v>
      </c>
      <c r="F647" t="s">
        <v>68</v>
      </c>
      <c r="G647" t="s">
        <v>5</v>
      </c>
    </row>
    <row r="648" spans="1:7" x14ac:dyDescent="0.3">
      <c r="A648" t="s">
        <v>15</v>
      </c>
      <c r="B648" s="1">
        <v>45838</v>
      </c>
      <c r="C648">
        <v>301504</v>
      </c>
      <c r="D648">
        <v>-1835646.673</v>
      </c>
      <c r="E648" t="s">
        <v>4</v>
      </c>
      <c r="F648" t="s">
        <v>65</v>
      </c>
      <c r="G648" t="s">
        <v>5</v>
      </c>
    </row>
    <row r="649" spans="1:7" x14ac:dyDescent="0.3">
      <c r="A649" t="s">
        <v>15</v>
      </c>
      <c r="B649" s="1">
        <v>45838</v>
      </c>
      <c r="C649">
        <v>301505</v>
      </c>
      <c r="D649">
        <v>-292417.37800000003</v>
      </c>
      <c r="E649" t="s">
        <v>4</v>
      </c>
      <c r="F649" t="s">
        <v>65</v>
      </c>
      <c r="G649" t="s">
        <v>5</v>
      </c>
    </row>
    <row r="650" spans="1:7" x14ac:dyDescent="0.3">
      <c r="A650" t="s">
        <v>15</v>
      </c>
      <c r="B650" s="1">
        <v>45838</v>
      </c>
      <c r="C650">
        <v>303002</v>
      </c>
      <c r="D650">
        <v>211602.90700000001</v>
      </c>
      <c r="E650" t="s">
        <v>4</v>
      </c>
      <c r="F650" t="s">
        <v>65</v>
      </c>
      <c r="G650" t="s">
        <v>5</v>
      </c>
    </row>
    <row r="651" spans="1:7" x14ac:dyDescent="0.3">
      <c r="A651" t="s">
        <v>15</v>
      </c>
      <c r="B651" s="1">
        <v>45838</v>
      </c>
      <c r="C651">
        <v>303003</v>
      </c>
      <c r="D651">
        <v>19790.762999999999</v>
      </c>
      <c r="E651" t="s">
        <v>4</v>
      </c>
      <c r="F651" t="s">
        <v>65</v>
      </c>
      <c r="G651" t="s">
        <v>5</v>
      </c>
    </row>
    <row r="652" spans="1:7" x14ac:dyDescent="0.3">
      <c r="A652" t="s">
        <v>15</v>
      </c>
      <c r="B652" s="1">
        <v>45838</v>
      </c>
      <c r="C652">
        <v>304002</v>
      </c>
      <c r="D652">
        <v>2397246.04</v>
      </c>
      <c r="E652" t="s">
        <v>4</v>
      </c>
      <c r="F652" t="s">
        <v>65</v>
      </c>
      <c r="G652" t="s">
        <v>5</v>
      </c>
    </row>
    <row r="653" spans="1:7" x14ac:dyDescent="0.3">
      <c r="A653" t="s">
        <v>15</v>
      </c>
      <c r="B653" s="1">
        <v>45838</v>
      </c>
      <c r="C653">
        <v>304502</v>
      </c>
      <c r="D653">
        <v>-1079823.25</v>
      </c>
      <c r="E653" t="s">
        <v>4</v>
      </c>
      <c r="F653" t="s">
        <v>65</v>
      </c>
      <c r="G653" t="s">
        <v>5</v>
      </c>
    </row>
    <row r="654" spans="1:7" x14ac:dyDescent="0.3">
      <c r="A654" t="s">
        <v>15</v>
      </c>
      <c r="B654" s="1">
        <v>45838</v>
      </c>
      <c r="C654">
        <v>310002</v>
      </c>
      <c r="D654">
        <v>4196708.7220000001</v>
      </c>
      <c r="E654" t="s">
        <v>4</v>
      </c>
      <c r="F654" t="s">
        <v>42</v>
      </c>
      <c r="G654" t="s">
        <v>5</v>
      </c>
    </row>
    <row r="655" spans="1:7" x14ac:dyDescent="0.3">
      <c r="A655" t="s">
        <v>15</v>
      </c>
      <c r="B655" s="1">
        <v>45838</v>
      </c>
      <c r="C655">
        <v>310004</v>
      </c>
      <c r="D655">
        <v>127099.955</v>
      </c>
      <c r="E655" t="s">
        <v>4</v>
      </c>
      <c r="F655" t="s">
        <v>42</v>
      </c>
      <c r="G655" t="s">
        <v>5</v>
      </c>
    </row>
    <row r="656" spans="1:7" x14ac:dyDescent="0.3">
      <c r="A656" t="s">
        <v>15</v>
      </c>
      <c r="B656" s="1">
        <v>45838</v>
      </c>
      <c r="C656">
        <v>310005</v>
      </c>
      <c r="D656">
        <v>138903.25</v>
      </c>
      <c r="E656" t="s">
        <v>4</v>
      </c>
      <c r="F656" t="s">
        <v>42</v>
      </c>
      <c r="G656" t="s">
        <v>5</v>
      </c>
    </row>
    <row r="657" spans="1:7" x14ac:dyDescent="0.3">
      <c r="A657" t="s">
        <v>15</v>
      </c>
      <c r="B657" s="1">
        <v>45838</v>
      </c>
      <c r="C657">
        <v>310007</v>
      </c>
      <c r="D657">
        <v>334751.18699999998</v>
      </c>
      <c r="E657" t="s">
        <v>4</v>
      </c>
      <c r="F657" t="s">
        <v>42</v>
      </c>
      <c r="G657" t="s">
        <v>5</v>
      </c>
    </row>
    <row r="658" spans="1:7" x14ac:dyDescent="0.3">
      <c r="A658" t="s">
        <v>15</v>
      </c>
      <c r="B658" s="1">
        <v>45838</v>
      </c>
      <c r="C658">
        <v>310016</v>
      </c>
      <c r="D658">
        <v>727512.65</v>
      </c>
      <c r="E658" t="s">
        <v>4</v>
      </c>
      <c r="F658" t="s">
        <v>42</v>
      </c>
      <c r="G658" t="s">
        <v>5</v>
      </c>
    </row>
    <row r="659" spans="1:7" x14ac:dyDescent="0.3">
      <c r="A659" t="s">
        <v>15</v>
      </c>
      <c r="B659" s="1">
        <v>45838</v>
      </c>
      <c r="C659">
        <v>310017</v>
      </c>
      <c r="D659">
        <v>39387.707000000002</v>
      </c>
      <c r="E659" t="s">
        <v>4</v>
      </c>
      <c r="F659" t="s">
        <v>42</v>
      </c>
      <c r="G659" t="s">
        <v>5</v>
      </c>
    </row>
    <row r="660" spans="1:7" x14ac:dyDescent="0.3">
      <c r="A660" t="s">
        <v>15</v>
      </c>
      <c r="B660" s="1">
        <v>45838</v>
      </c>
      <c r="C660">
        <v>310021</v>
      </c>
      <c r="D660">
        <v>63.031999999999996</v>
      </c>
      <c r="E660" t="s">
        <v>4</v>
      </c>
      <c r="F660" t="s">
        <v>42</v>
      </c>
      <c r="G660" t="s">
        <v>5</v>
      </c>
    </row>
    <row r="661" spans="1:7" x14ac:dyDescent="0.3">
      <c r="A661" t="s">
        <v>15</v>
      </c>
      <c r="B661" s="1">
        <v>45838</v>
      </c>
      <c r="C661">
        <v>310027</v>
      </c>
      <c r="D661">
        <v>0</v>
      </c>
      <c r="E661" t="s">
        <v>4</v>
      </c>
      <c r="F661" t="s">
        <v>42</v>
      </c>
      <c r="G661" t="s">
        <v>5</v>
      </c>
    </row>
    <row r="662" spans="1:7" x14ac:dyDescent="0.3">
      <c r="A662" t="s">
        <v>15</v>
      </c>
      <c r="B662" s="1">
        <v>45838</v>
      </c>
      <c r="C662">
        <v>310031</v>
      </c>
      <c r="D662">
        <v>73609.5</v>
      </c>
      <c r="E662" t="s">
        <v>4</v>
      </c>
      <c r="F662" t="s">
        <v>42</v>
      </c>
      <c r="G662" t="s">
        <v>5</v>
      </c>
    </row>
    <row r="663" spans="1:7" x14ac:dyDescent="0.3">
      <c r="A663" t="s">
        <v>15</v>
      </c>
      <c r="B663" s="1">
        <v>45838</v>
      </c>
      <c r="C663">
        <v>310034</v>
      </c>
      <c r="D663">
        <v>3.9E-2</v>
      </c>
      <c r="E663" t="s">
        <v>4</v>
      </c>
      <c r="F663" t="s">
        <v>42</v>
      </c>
      <c r="G663" t="s">
        <v>5</v>
      </c>
    </row>
    <row r="664" spans="1:7" x14ac:dyDescent="0.3">
      <c r="A664" t="s">
        <v>15</v>
      </c>
      <c r="B664" s="1">
        <v>45838</v>
      </c>
      <c r="C664">
        <v>310036</v>
      </c>
      <c r="D664">
        <v>40145.775000000001</v>
      </c>
      <c r="E664" t="s">
        <v>4</v>
      </c>
      <c r="F664" t="s">
        <v>42</v>
      </c>
      <c r="G664" t="s">
        <v>5</v>
      </c>
    </row>
    <row r="665" spans="1:7" x14ac:dyDescent="0.3">
      <c r="A665" t="s">
        <v>15</v>
      </c>
      <c r="B665" s="1">
        <v>45838</v>
      </c>
      <c r="C665">
        <v>315002</v>
      </c>
      <c r="D665">
        <v>0</v>
      </c>
      <c r="E665" t="s">
        <v>4</v>
      </c>
      <c r="F665" t="s">
        <v>47</v>
      </c>
      <c r="G665" t="s">
        <v>5</v>
      </c>
    </row>
    <row r="666" spans="1:7" x14ac:dyDescent="0.3">
      <c r="A666" t="s">
        <v>15</v>
      </c>
      <c r="B666" s="1">
        <v>45838</v>
      </c>
      <c r="C666">
        <v>315003</v>
      </c>
      <c r="D666">
        <v>713693.24699999997</v>
      </c>
      <c r="E666" t="s">
        <v>4</v>
      </c>
      <c r="F666" t="s">
        <v>47</v>
      </c>
      <c r="G666" t="s">
        <v>5</v>
      </c>
    </row>
    <row r="667" spans="1:7" x14ac:dyDescent="0.3">
      <c r="A667" t="s">
        <v>15</v>
      </c>
      <c r="B667" s="1">
        <v>45838</v>
      </c>
      <c r="C667">
        <v>315004</v>
      </c>
      <c r="D667">
        <v>675532.228</v>
      </c>
      <c r="E667" t="s">
        <v>4</v>
      </c>
      <c r="F667" t="s">
        <v>47</v>
      </c>
      <c r="G667" t="s">
        <v>5</v>
      </c>
    </row>
    <row r="668" spans="1:7" x14ac:dyDescent="0.3">
      <c r="A668" t="s">
        <v>15</v>
      </c>
      <c r="B668" s="1">
        <v>45838</v>
      </c>
      <c r="C668">
        <v>315006</v>
      </c>
      <c r="D668">
        <v>0</v>
      </c>
      <c r="E668" t="s">
        <v>4</v>
      </c>
      <c r="F668" t="s">
        <v>47</v>
      </c>
      <c r="G668" t="s">
        <v>5</v>
      </c>
    </row>
    <row r="669" spans="1:7" x14ac:dyDescent="0.3">
      <c r="A669" t="s">
        <v>15</v>
      </c>
      <c r="B669" s="1">
        <v>45838</v>
      </c>
      <c r="C669">
        <v>315007</v>
      </c>
      <c r="D669">
        <v>0</v>
      </c>
      <c r="E669" t="s">
        <v>4</v>
      </c>
      <c r="F669" t="s">
        <v>47</v>
      </c>
      <c r="G669" t="s">
        <v>5</v>
      </c>
    </row>
    <row r="670" spans="1:7" x14ac:dyDescent="0.3">
      <c r="A670" t="s">
        <v>15</v>
      </c>
      <c r="B670" s="1">
        <v>45838</v>
      </c>
      <c r="C670">
        <v>315008</v>
      </c>
      <c r="D670">
        <v>0</v>
      </c>
      <c r="E670" t="s">
        <v>4</v>
      </c>
      <c r="F670" t="s">
        <v>47</v>
      </c>
      <c r="G670" t="s">
        <v>5</v>
      </c>
    </row>
    <row r="671" spans="1:7" x14ac:dyDescent="0.3">
      <c r="A671" t="s">
        <v>15</v>
      </c>
      <c r="B671" s="1">
        <v>45838</v>
      </c>
      <c r="C671">
        <v>315009</v>
      </c>
      <c r="D671">
        <v>0</v>
      </c>
      <c r="E671" t="s">
        <v>4</v>
      </c>
      <c r="F671" t="s">
        <v>47</v>
      </c>
      <c r="G671" t="s">
        <v>5</v>
      </c>
    </row>
    <row r="672" spans="1:7" x14ac:dyDescent="0.3">
      <c r="A672" t="s">
        <v>15</v>
      </c>
      <c r="B672" s="1">
        <v>45838</v>
      </c>
      <c r="C672">
        <v>315010</v>
      </c>
      <c r="D672">
        <v>16025.962</v>
      </c>
      <c r="E672" t="s">
        <v>4</v>
      </c>
      <c r="F672" t="s">
        <v>47</v>
      </c>
      <c r="G672" t="s">
        <v>5</v>
      </c>
    </row>
    <row r="673" spans="1:7" x14ac:dyDescent="0.3">
      <c r="A673" t="s">
        <v>15</v>
      </c>
      <c r="B673" s="1">
        <v>45838</v>
      </c>
      <c r="C673">
        <v>315011</v>
      </c>
      <c r="D673">
        <v>-2E-3</v>
      </c>
      <c r="E673" t="s">
        <v>4</v>
      </c>
      <c r="F673" t="s">
        <v>47</v>
      </c>
      <c r="G673" t="s">
        <v>5</v>
      </c>
    </row>
    <row r="674" spans="1:7" x14ac:dyDescent="0.3">
      <c r="A674" t="s">
        <v>15</v>
      </c>
      <c r="B674" s="1">
        <v>45838</v>
      </c>
      <c r="C674">
        <v>315012</v>
      </c>
      <c r="D674">
        <v>512276.64</v>
      </c>
      <c r="E674" t="s">
        <v>4</v>
      </c>
      <c r="F674" t="s">
        <v>47</v>
      </c>
      <c r="G674" t="s">
        <v>5</v>
      </c>
    </row>
    <row r="675" spans="1:7" x14ac:dyDescent="0.3">
      <c r="A675" t="s">
        <v>15</v>
      </c>
      <c r="B675" s="1">
        <v>45838</v>
      </c>
      <c r="C675">
        <v>315013</v>
      </c>
      <c r="D675">
        <v>855045.88300000003</v>
      </c>
      <c r="E675" t="s">
        <v>4</v>
      </c>
      <c r="F675" t="s">
        <v>47</v>
      </c>
      <c r="G675" t="s">
        <v>5</v>
      </c>
    </row>
    <row r="676" spans="1:7" x14ac:dyDescent="0.3">
      <c r="A676" t="s">
        <v>15</v>
      </c>
      <c r="B676" s="1">
        <v>45838</v>
      </c>
      <c r="C676">
        <v>315014</v>
      </c>
      <c r="D676">
        <v>0</v>
      </c>
      <c r="E676" t="s">
        <v>4</v>
      </c>
      <c r="F676" t="s">
        <v>47</v>
      </c>
      <c r="G676" t="s">
        <v>5</v>
      </c>
    </row>
    <row r="677" spans="1:7" x14ac:dyDescent="0.3">
      <c r="A677" t="s">
        <v>15</v>
      </c>
      <c r="B677" s="1">
        <v>45838</v>
      </c>
      <c r="C677">
        <v>315016</v>
      </c>
      <c r="D677">
        <v>0</v>
      </c>
      <c r="E677" t="s">
        <v>4</v>
      </c>
      <c r="F677" t="s">
        <v>47</v>
      </c>
      <c r="G677" t="s">
        <v>5</v>
      </c>
    </row>
    <row r="678" spans="1:7" x14ac:dyDescent="0.3">
      <c r="A678" t="s">
        <v>15</v>
      </c>
      <c r="B678" s="1">
        <v>45838</v>
      </c>
      <c r="C678">
        <v>315017</v>
      </c>
      <c r="D678">
        <v>61996.9</v>
      </c>
      <c r="E678" t="s">
        <v>4</v>
      </c>
      <c r="F678" t="s">
        <v>47</v>
      </c>
      <c r="G678" t="s">
        <v>5</v>
      </c>
    </row>
    <row r="679" spans="1:7" x14ac:dyDescent="0.3">
      <c r="A679" t="s">
        <v>15</v>
      </c>
      <c r="B679" s="1">
        <v>45838</v>
      </c>
      <c r="C679">
        <v>316002</v>
      </c>
      <c r="D679">
        <v>155259.005</v>
      </c>
      <c r="E679" t="s">
        <v>4</v>
      </c>
      <c r="F679" t="s">
        <v>47</v>
      </c>
      <c r="G679" t="s">
        <v>5</v>
      </c>
    </row>
    <row r="680" spans="1:7" x14ac:dyDescent="0.3">
      <c r="A680" t="s">
        <v>15</v>
      </c>
      <c r="B680" s="1">
        <v>45838</v>
      </c>
      <c r="C680">
        <v>316003</v>
      </c>
      <c r="D680">
        <v>308953.74800000002</v>
      </c>
      <c r="E680" t="s">
        <v>4</v>
      </c>
      <c r="F680" t="s">
        <v>47</v>
      </c>
      <c r="G680" t="s">
        <v>5</v>
      </c>
    </row>
    <row r="681" spans="1:7" x14ac:dyDescent="0.3">
      <c r="A681" t="s">
        <v>15</v>
      </c>
      <c r="B681" s="1">
        <v>45838</v>
      </c>
      <c r="C681">
        <v>316004</v>
      </c>
      <c r="D681">
        <v>155000.155</v>
      </c>
      <c r="E681" t="s">
        <v>4</v>
      </c>
      <c r="F681" t="s">
        <v>47</v>
      </c>
      <c r="G681" t="s">
        <v>5</v>
      </c>
    </row>
    <row r="682" spans="1:7" x14ac:dyDescent="0.3">
      <c r="A682" t="s">
        <v>15</v>
      </c>
      <c r="B682" s="1">
        <v>45838</v>
      </c>
      <c r="C682">
        <v>316005</v>
      </c>
      <c r="D682">
        <v>312774.511</v>
      </c>
      <c r="E682" t="s">
        <v>4</v>
      </c>
      <c r="F682" t="s">
        <v>47</v>
      </c>
      <c r="G682" t="s">
        <v>5</v>
      </c>
    </row>
    <row r="683" spans="1:7" x14ac:dyDescent="0.3">
      <c r="A683" t="s">
        <v>15</v>
      </c>
      <c r="B683" s="1">
        <v>45838</v>
      </c>
      <c r="C683">
        <v>320002</v>
      </c>
      <c r="D683">
        <v>129815.573</v>
      </c>
      <c r="E683" t="s">
        <v>4</v>
      </c>
      <c r="F683" t="s">
        <v>46</v>
      </c>
      <c r="G683" t="s">
        <v>5</v>
      </c>
    </row>
    <row r="684" spans="1:7" x14ac:dyDescent="0.3">
      <c r="A684" t="s">
        <v>15</v>
      </c>
      <c r="B684" s="1">
        <v>45838</v>
      </c>
      <c r="C684">
        <v>320003</v>
      </c>
      <c r="D684">
        <v>1322807.2849999999</v>
      </c>
      <c r="E684" t="s">
        <v>4</v>
      </c>
      <c r="F684" t="s">
        <v>46</v>
      </c>
      <c r="G684" t="s">
        <v>5</v>
      </c>
    </row>
    <row r="685" spans="1:7" x14ac:dyDescent="0.3">
      <c r="A685" t="s">
        <v>15</v>
      </c>
      <c r="B685" s="1">
        <v>45838</v>
      </c>
      <c r="C685">
        <v>320004</v>
      </c>
      <c r="D685">
        <v>3826.4540000000002</v>
      </c>
      <c r="E685" t="s">
        <v>4</v>
      </c>
      <c r="F685" t="s">
        <v>46</v>
      </c>
      <c r="G685" t="s">
        <v>5</v>
      </c>
    </row>
    <row r="686" spans="1:7" x14ac:dyDescent="0.3">
      <c r="A686" t="s">
        <v>15</v>
      </c>
      <c r="B686" s="1">
        <v>45838</v>
      </c>
      <c r="C686">
        <v>320006</v>
      </c>
      <c r="D686">
        <v>-317.34800000000001</v>
      </c>
      <c r="E686" t="s">
        <v>4</v>
      </c>
      <c r="F686" t="s">
        <v>46</v>
      </c>
      <c r="G686" t="s">
        <v>5</v>
      </c>
    </row>
    <row r="687" spans="1:7" x14ac:dyDescent="0.3">
      <c r="A687" t="s">
        <v>15</v>
      </c>
      <c r="B687" s="1">
        <v>45838</v>
      </c>
      <c r="C687">
        <v>320008</v>
      </c>
      <c r="D687">
        <v>-367.58600000000001</v>
      </c>
      <c r="E687" t="s">
        <v>4</v>
      </c>
      <c r="F687" t="s">
        <v>46</v>
      </c>
      <c r="G687" t="s">
        <v>5</v>
      </c>
    </row>
    <row r="688" spans="1:7" x14ac:dyDescent="0.3">
      <c r="A688" t="s">
        <v>15</v>
      </c>
      <c r="B688" s="1">
        <v>45838</v>
      </c>
      <c r="C688">
        <v>320010</v>
      </c>
      <c r="D688">
        <v>-82831.978000000003</v>
      </c>
      <c r="E688" t="s">
        <v>4</v>
      </c>
      <c r="F688" t="s">
        <v>46</v>
      </c>
      <c r="G688" t="s">
        <v>5</v>
      </c>
    </row>
    <row r="689" spans="1:7" x14ac:dyDescent="0.3">
      <c r="A689" t="s">
        <v>15</v>
      </c>
      <c r="B689" s="1">
        <v>45838</v>
      </c>
      <c r="C689">
        <v>320013</v>
      </c>
      <c r="D689">
        <v>-36483.872000000003</v>
      </c>
      <c r="E689" t="s">
        <v>4</v>
      </c>
      <c r="F689" t="s">
        <v>46</v>
      </c>
      <c r="G689" t="s">
        <v>5</v>
      </c>
    </row>
    <row r="690" spans="1:7" x14ac:dyDescent="0.3">
      <c r="A690" t="s">
        <v>15</v>
      </c>
      <c r="B690" s="1">
        <v>45838</v>
      </c>
      <c r="C690">
        <v>320016</v>
      </c>
      <c r="D690">
        <v>-25040.827000000001</v>
      </c>
      <c r="E690" t="s">
        <v>4</v>
      </c>
      <c r="F690" t="s">
        <v>46</v>
      </c>
      <c r="G690" t="s">
        <v>5</v>
      </c>
    </row>
    <row r="691" spans="1:7" x14ac:dyDescent="0.3">
      <c r="A691" t="s">
        <v>15</v>
      </c>
      <c r="B691" s="1">
        <v>45838</v>
      </c>
      <c r="C691">
        <v>320017</v>
      </c>
      <c r="D691">
        <v>1581.374</v>
      </c>
      <c r="E691" t="s">
        <v>4</v>
      </c>
      <c r="F691" t="s">
        <v>46</v>
      </c>
      <c r="G691" t="s">
        <v>5</v>
      </c>
    </row>
    <row r="692" spans="1:7" x14ac:dyDescent="0.3">
      <c r="A692" t="s">
        <v>15</v>
      </c>
      <c r="B692" s="1">
        <v>45838</v>
      </c>
      <c r="C692">
        <v>320018</v>
      </c>
      <c r="D692">
        <v>-1244.9939999999999</v>
      </c>
      <c r="E692" t="s">
        <v>4</v>
      </c>
      <c r="F692" t="s">
        <v>46</v>
      </c>
      <c r="G692" t="s">
        <v>5</v>
      </c>
    </row>
    <row r="693" spans="1:7" x14ac:dyDescent="0.3">
      <c r="A693" t="s">
        <v>15</v>
      </c>
      <c r="B693" s="1">
        <v>45838</v>
      </c>
      <c r="C693">
        <v>320019</v>
      </c>
      <c r="D693">
        <v>-22.204999999999998</v>
      </c>
      <c r="E693" t="s">
        <v>4</v>
      </c>
      <c r="F693" t="s">
        <v>46</v>
      </c>
      <c r="G693" t="s">
        <v>5</v>
      </c>
    </row>
    <row r="694" spans="1:7" x14ac:dyDescent="0.3">
      <c r="A694" t="s">
        <v>15</v>
      </c>
      <c r="B694" s="1">
        <v>45838</v>
      </c>
      <c r="C694">
        <v>320020</v>
      </c>
      <c r="D694">
        <v>-2385.3719999999998</v>
      </c>
      <c r="E694" t="s">
        <v>4</v>
      </c>
      <c r="F694" t="s">
        <v>46</v>
      </c>
      <c r="G694" t="s">
        <v>5</v>
      </c>
    </row>
    <row r="695" spans="1:7" x14ac:dyDescent="0.3">
      <c r="A695" t="s">
        <v>15</v>
      </c>
      <c r="B695" s="1">
        <v>45838</v>
      </c>
      <c r="C695">
        <v>320023</v>
      </c>
      <c r="D695">
        <v>-164990.63099999999</v>
      </c>
      <c r="E695" t="s">
        <v>4</v>
      </c>
      <c r="F695" t="s">
        <v>46</v>
      </c>
      <c r="G695" t="s">
        <v>5</v>
      </c>
    </row>
    <row r="696" spans="1:7" x14ac:dyDescent="0.3">
      <c r="A696" t="s">
        <v>15</v>
      </c>
      <c r="B696" s="1">
        <v>45838</v>
      </c>
      <c r="C696">
        <v>320024</v>
      </c>
      <c r="D696">
        <v>25939.076000000001</v>
      </c>
      <c r="E696" t="s">
        <v>4</v>
      </c>
      <c r="F696" t="s">
        <v>46</v>
      </c>
      <c r="G696" t="s">
        <v>5</v>
      </c>
    </row>
    <row r="697" spans="1:7" x14ac:dyDescent="0.3">
      <c r="A697" t="s">
        <v>15</v>
      </c>
      <c r="B697" s="1">
        <v>45838</v>
      </c>
      <c r="C697">
        <v>320025</v>
      </c>
      <c r="D697">
        <v>-18743.703000000001</v>
      </c>
      <c r="E697" t="s">
        <v>4</v>
      </c>
      <c r="F697" t="s">
        <v>46</v>
      </c>
      <c r="G697" t="s">
        <v>5</v>
      </c>
    </row>
    <row r="698" spans="1:7" x14ac:dyDescent="0.3">
      <c r="A698" t="s">
        <v>15</v>
      </c>
      <c r="B698" s="1">
        <v>45838</v>
      </c>
      <c r="C698">
        <v>321002</v>
      </c>
      <c r="D698">
        <v>1938455.294</v>
      </c>
      <c r="E698" t="s">
        <v>4</v>
      </c>
      <c r="F698" t="s">
        <v>46</v>
      </c>
      <c r="G698" t="s">
        <v>5</v>
      </c>
    </row>
    <row r="699" spans="1:7" x14ac:dyDescent="0.3">
      <c r="A699" t="s">
        <v>15</v>
      </c>
      <c r="B699" s="1">
        <v>45838</v>
      </c>
      <c r="C699">
        <v>321004</v>
      </c>
      <c r="D699">
        <v>-38162.909</v>
      </c>
      <c r="E699" t="s">
        <v>4</v>
      </c>
      <c r="F699" t="s">
        <v>46</v>
      </c>
      <c r="G699" t="s">
        <v>5</v>
      </c>
    </row>
    <row r="700" spans="1:7" x14ac:dyDescent="0.3">
      <c r="A700" t="s">
        <v>15</v>
      </c>
      <c r="B700" s="1">
        <v>45838</v>
      </c>
      <c r="C700">
        <v>321010</v>
      </c>
      <c r="D700">
        <v>-147167.503</v>
      </c>
      <c r="E700" t="s">
        <v>4</v>
      </c>
      <c r="F700" t="s">
        <v>46</v>
      </c>
      <c r="G700" t="s">
        <v>5</v>
      </c>
    </row>
    <row r="701" spans="1:7" x14ac:dyDescent="0.3">
      <c r="A701" t="s">
        <v>15</v>
      </c>
      <c r="B701" s="1">
        <v>45838</v>
      </c>
      <c r="C701">
        <v>321012</v>
      </c>
      <c r="D701">
        <v>351730.80800000002</v>
      </c>
      <c r="E701" t="s">
        <v>4</v>
      </c>
      <c r="F701" t="s">
        <v>46</v>
      </c>
      <c r="G701" t="s">
        <v>5</v>
      </c>
    </row>
    <row r="702" spans="1:7" x14ac:dyDescent="0.3">
      <c r="A702" t="s">
        <v>15</v>
      </c>
      <c r="B702" s="1">
        <v>45838</v>
      </c>
      <c r="C702">
        <v>321013</v>
      </c>
      <c r="D702">
        <v>592082.94700000004</v>
      </c>
      <c r="E702" t="s">
        <v>4</v>
      </c>
      <c r="F702" t="s">
        <v>46</v>
      </c>
      <c r="G702" t="s">
        <v>5</v>
      </c>
    </row>
    <row r="703" spans="1:7" x14ac:dyDescent="0.3">
      <c r="A703" t="s">
        <v>15</v>
      </c>
      <c r="B703" s="1">
        <v>45838</v>
      </c>
      <c r="C703">
        <v>321014</v>
      </c>
      <c r="D703">
        <v>107343.008</v>
      </c>
      <c r="E703" t="s">
        <v>4</v>
      </c>
      <c r="F703" t="s">
        <v>46</v>
      </c>
      <c r="G703" t="s">
        <v>5</v>
      </c>
    </row>
    <row r="704" spans="1:7" x14ac:dyDescent="0.3">
      <c r="A704" t="s">
        <v>15</v>
      </c>
      <c r="B704" s="1">
        <v>45838</v>
      </c>
      <c r="C704">
        <v>321017</v>
      </c>
      <c r="D704">
        <v>-11529.339</v>
      </c>
      <c r="E704" t="s">
        <v>4</v>
      </c>
      <c r="F704" t="s">
        <v>46</v>
      </c>
      <c r="G704" t="s">
        <v>5</v>
      </c>
    </row>
    <row r="705" spans="1:7" x14ac:dyDescent="0.3">
      <c r="A705" t="s">
        <v>15</v>
      </c>
      <c r="B705" s="1">
        <v>45838</v>
      </c>
      <c r="C705">
        <v>321018</v>
      </c>
      <c r="D705">
        <v>6504.3040000000001</v>
      </c>
      <c r="E705" t="s">
        <v>4</v>
      </c>
      <c r="F705" t="s">
        <v>46</v>
      </c>
      <c r="G705" t="s">
        <v>5</v>
      </c>
    </row>
    <row r="706" spans="1:7" x14ac:dyDescent="0.3">
      <c r="A706" t="s">
        <v>15</v>
      </c>
      <c r="B706" s="1">
        <v>45838</v>
      </c>
      <c r="C706">
        <v>321021</v>
      </c>
      <c r="D706">
        <v>310387.05099999998</v>
      </c>
      <c r="E706" t="s">
        <v>4</v>
      </c>
      <c r="F706" t="s">
        <v>46</v>
      </c>
      <c r="G706" t="s">
        <v>5</v>
      </c>
    </row>
    <row r="707" spans="1:7" x14ac:dyDescent="0.3">
      <c r="A707" t="s">
        <v>15</v>
      </c>
      <c r="B707" s="1">
        <v>45838</v>
      </c>
      <c r="C707">
        <v>321025</v>
      </c>
      <c r="D707">
        <v>853973.98</v>
      </c>
      <c r="E707" t="s">
        <v>4</v>
      </c>
      <c r="F707" t="s">
        <v>46</v>
      </c>
      <c r="G707" t="s">
        <v>5</v>
      </c>
    </row>
    <row r="708" spans="1:7" x14ac:dyDescent="0.3">
      <c r="A708" t="s">
        <v>15</v>
      </c>
      <c r="B708" s="1">
        <v>45838</v>
      </c>
      <c r="C708">
        <v>321027</v>
      </c>
      <c r="D708">
        <v>24277.633999999998</v>
      </c>
      <c r="E708" t="s">
        <v>4</v>
      </c>
      <c r="F708" t="s">
        <v>46</v>
      </c>
      <c r="G708" t="s">
        <v>5</v>
      </c>
    </row>
    <row r="709" spans="1:7" x14ac:dyDescent="0.3">
      <c r="A709" t="s">
        <v>15</v>
      </c>
      <c r="B709" s="1">
        <v>45838</v>
      </c>
      <c r="C709">
        <v>321028</v>
      </c>
      <c r="D709">
        <v>30467.547999999999</v>
      </c>
      <c r="E709" t="s">
        <v>4</v>
      </c>
      <c r="F709" t="s">
        <v>46</v>
      </c>
      <c r="G709" t="s">
        <v>5</v>
      </c>
    </row>
    <row r="710" spans="1:7" x14ac:dyDescent="0.3">
      <c r="A710" t="s">
        <v>15</v>
      </c>
      <c r="B710" s="1">
        <v>45838</v>
      </c>
      <c r="C710">
        <v>321029</v>
      </c>
      <c r="D710">
        <v>-704820.8</v>
      </c>
      <c r="E710" t="s">
        <v>4</v>
      </c>
      <c r="F710" t="s">
        <v>46</v>
      </c>
      <c r="G710" t="s">
        <v>5</v>
      </c>
    </row>
    <row r="711" spans="1:7" x14ac:dyDescent="0.3">
      <c r="A711" t="s">
        <v>15</v>
      </c>
      <c r="B711" s="1">
        <v>45838</v>
      </c>
      <c r="C711">
        <v>321030</v>
      </c>
      <c r="D711">
        <v>123523.848</v>
      </c>
      <c r="E711" t="s">
        <v>4</v>
      </c>
      <c r="F711" t="s">
        <v>46</v>
      </c>
      <c r="G711" t="s">
        <v>5</v>
      </c>
    </row>
    <row r="712" spans="1:7" x14ac:dyDescent="0.3">
      <c r="A712" t="s">
        <v>15</v>
      </c>
      <c r="B712" s="1">
        <v>45838</v>
      </c>
      <c r="C712">
        <v>321031</v>
      </c>
      <c r="D712">
        <v>259810.48</v>
      </c>
      <c r="E712" t="s">
        <v>4</v>
      </c>
      <c r="F712" t="s">
        <v>46</v>
      </c>
      <c r="G712" t="s">
        <v>5</v>
      </c>
    </row>
    <row r="713" spans="1:7" x14ac:dyDescent="0.3">
      <c r="A713" t="s">
        <v>15</v>
      </c>
      <c r="B713" s="1">
        <v>45838</v>
      </c>
      <c r="C713">
        <v>321038</v>
      </c>
      <c r="D713">
        <v>634.053</v>
      </c>
      <c r="E713" t="s">
        <v>4</v>
      </c>
      <c r="F713" t="s">
        <v>46</v>
      </c>
      <c r="G713" t="s">
        <v>5</v>
      </c>
    </row>
    <row r="714" spans="1:7" x14ac:dyDescent="0.3">
      <c r="A714" t="s">
        <v>15</v>
      </c>
      <c r="B714" s="1">
        <v>45838</v>
      </c>
      <c r="C714">
        <v>321041</v>
      </c>
      <c r="D714">
        <v>20141.659</v>
      </c>
      <c r="E714" t="s">
        <v>4</v>
      </c>
      <c r="F714" t="s">
        <v>46</v>
      </c>
      <c r="G714" t="s">
        <v>5</v>
      </c>
    </row>
    <row r="715" spans="1:7" x14ac:dyDescent="0.3">
      <c r="A715" t="s">
        <v>15</v>
      </c>
      <c r="B715" s="1">
        <v>45838</v>
      </c>
      <c r="C715">
        <v>321042</v>
      </c>
      <c r="D715">
        <v>24824.521000000001</v>
      </c>
      <c r="E715" t="s">
        <v>4</v>
      </c>
      <c r="F715" t="s">
        <v>46</v>
      </c>
      <c r="G715" t="s">
        <v>5</v>
      </c>
    </row>
    <row r="716" spans="1:7" x14ac:dyDescent="0.3">
      <c r="A716" t="s">
        <v>15</v>
      </c>
      <c r="B716" s="1">
        <v>45838</v>
      </c>
      <c r="C716">
        <v>321045</v>
      </c>
      <c r="D716">
        <v>19960.36</v>
      </c>
      <c r="E716" t="s">
        <v>4</v>
      </c>
      <c r="F716" t="s">
        <v>46</v>
      </c>
      <c r="G716" t="s">
        <v>5</v>
      </c>
    </row>
    <row r="717" spans="1:7" x14ac:dyDescent="0.3">
      <c r="A717" t="s">
        <v>15</v>
      </c>
      <c r="B717" s="1">
        <v>45838</v>
      </c>
      <c r="C717">
        <v>330002</v>
      </c>
      <c r="D717">
        <v>12801.583000000001</v>
      </c>
      <c r="E717" t="s">
        <v>4</v>
      </c>
      <c r="F717" t="s">
        <v>43</v>
      </c>
      <c r="G717" t="s">
        <v>5</v>
      </c>
    </row>
    <row r="718" spans="1:7" x14ac:dyDescent="0.3">
      <c r="A718" t="s">
        <v>15</v>
      </c>
      <c r="B718" s="1">
        <v>45838</v>
      </c>
      <c r="C718">
        <v>330017</v>
      </c>
      <c r="D718">
        <v>0</v>
      </c>
      <c r="E718" t="s">
        <v>4</v>
      </c>
      <c r="F718" t="s">
        <v>43</v>
      </c>
      <c r="G718" t="s">
        <v>5</v>
      </c>
    </row>
    <row r="719" spans="1:7" x14ac:dyDescent="0.3">
      <c r="A719" t="s">
        <v>15</v>
      </c>
      <c r="B719" s="1">
        <v>45838</v>
      </c>
      <c r="C719">
        <v>330019</v>
      </c>
      <c r="D719">
        <v>-22239.883999999998</v>
      </c>
      <c r="E719" t="s">
        <v>4</v>
      </c>
      <c r="F719" t="s">
        <v>43</v>
      </c>
      <c r="G719" t="s">
        <v>5</v>
      </c>
    </row>
    <row r="720" spans="1:7" x14ac:dyDescent="0.3">
      <c r="A720" t="s">
        <v>15</v>
      </c>
      <c r="B720" s="1">
        <v>45838</v>
      </c>
      <c r="C720">
        <v>330020</v>
      </c>
      <c r="D720">
        <v>1251.6110000000001</v>
      </c>
      <c r="E720" t="s">
        <v>4</v>
      </c>
      <c r="F720" t="s">
        <v>43</v>
      </c>
      <c r="G720" t="s">
        <v>5</v>
      </c>
    </row>
    <row r="721" spans="1:7" x14ac:dyDescent="0.3">
      <c r="A721" t="s">
        <v>15</v>
      </c>
      <c r="B721" s="1">
        <v>45838</v>
      </c>
      <c r="C721">
        <v>330033</v>
      </c>
      <c r="D721">
        <v>32.683999999999997</v>
      </c>
      <c r="E721" t="s">
        <v>4</v>
      </c>
      <c r="F721" t="s">
        <v>43</v>
      </c>
      <c r="G721" t="s">
        <v>5</v>
      </c>
    </row>
    <row r="722" spans="1:7" x14ac:dyDescent="0.3">
      <c r="A722" t="s">
        <v>15</v>
      </c>
      <c r="B722" s="1">
        <v>45838</v>
      </c>
      <c r="C722">
        <v>330042</v>
      </c>
      <c r="D722">
        <v>0</v>
      </c>
      <c r="E722" t="s">
        <v>4</v>
      </c>
      <c r="F722" t="s">
        <v>43</v>
      </c>
      <c r="G722" t="s">
        <v>5</v>
      </c>
    </row>
    <row r="723" spans="1:7" x14ac:dyDescent="0.3">
      <c r="A723" t="s">
        <v>15</v>
      </c>
      <c r="B723" s="1">
        <v>45838</v>
      </c>
      <c r="C723">
        <v>330044</v>
      </c>
      <c r="D723">
        <v>-2051.1509999999998</v>
      </c>
      <c r="E723" t="s">
        <v>4</v>
      </c>
      <c r="F723" t="s">
        <v>43</v>
      </c>
      <c r="G723" t="s">
        <v>5</v>
      </c>
    </row>
    <row r="724" spans="1:7" x14ac:dyDescent="0.3">
      <c r="A724" t="s">
        <v>15</v>
      </c>
      <c r="B724" s="1">
        <v>45838</v>
      </c>
      <c r="C724">
        <v>330050</v>
      </c>
      <c r="D724">
        <v>0</v>
      </c>
      <c r="E724" t="s">
        <v>4</v>
      </c>
      <c r="F724" t="s">
        <v>43</v>
      </c>
      <c r="G724" t="s">
        <v>5</v>
      </c>
    </row>
    <row r="725" spans="1:7" x14ac:dyDescent="0.3">
      <c r="A725" t="s">
        <v>15</v>
      </c>
      <c r="B725" s="1">
        <v>45838</v>
      </c>
      <c r="C725">
        <v>330051</v>
      </c>
      <c r="D725">
        <v>3239.8049999999998</v>
      </c>
      <c r="E725" t="s">
        <v>4</v>
      </c>
      <c r="F725" t="s">
        <v>43</v>
      </c>
      <c r="G725" t="s">
        <v>5</v>
      </c>
    </row>
    <row r="726" spans="1:7" x14ac:dyDescent="0.3">
      <c r="A726" t="s">
        <v>15</v>
      </c>
      <c r="B726" s="1">
        <v>45838</v>
      </c>
      <c r="C726">
        <v>330052</v>
      </c>
      <c r="D726">
        <v>664.88900000000001</v>
      </c>
      <c r="E726" t="s">
        <v>4</v>
      </c>
      <c r="F726" t="s">
        <v>43</v>
      </c>
      <c r="G726" t="s">
        <v>5</v>
      </c>
    </row>
    <row r="727" spans="1:7" x14ac:dyDescent="0.3">
      <c r="A727" t="s">
        <v>15</v>
      </c>
      <c r="B727" s="1">
        <v>45838</v>
      </c>
      <c r="C727">
        <v>330054</v>
      </c>
      <c r="D727">
        <v>984.14700000000005</v>
      </c>
      <c r="E727" t="s">
        <v>4</v>
      </c>
      <c r="F727" t="s">
        <v>43</v>
      </c>
      <c r="G727" t="s">
        <v>5</v>
      </c>
    </row>
    <row r="728" spans="1:7" x14ac:dyDescent="0.3">
      <c r="A728" t="s">
        <v>15</v>
      </c>
      <c r="B728" s="1">
        <v>45838</v>
      </c>
      <c r="C728">
        <v>330055</v>
      </c>
      <c r="D728">
        <v>-134.07900000000001</v>
      </c>
      <c r="E728" t="s">
        <v>4</v>
      </c>
      <c r="F728" t="s">
        <v>43</v>
      </c>
      <c r="G728" t="s">
        <v>5</v>
      </c>
    </row>
    <row r="729" spans="1:7" x14ac:dyDescent="0.3">
      <c r="A729" t="s">
        <v>15</v>
      </c>
      <c r="B729" s="1">
        <v>45838</v>
      </c>
      <c r="C729">
        <v>330056</v>
      </c>
      <c r="D729">
        <v>0</v>
      </c>
      <c r="E729" t="s">
        <v>4</v>
      </c>
      <c r="F729" t="s">
        <v>43</v>
      </c>
      <c r="G729" t="s">
        <v>5</v>
      </c>
    </row>
    <row r="730" spans="1:7" x14ac:dyDescent="0.3">
      <c r="A730" t="s">
        <v>15</v>
      </c>
      <c r="B730" s="1">
        <v>45838</v>
      </c>
      <c r="C730">
        <v>330079</v>
      </c>
      <c r="D730">
        <v>0</v>
      </c>
      <c r="E730" t="s">
        <v>4</v>
      </c>
      <c r="F730" t="s">
        <v>43</v>
      </c>
      <c r="G730" t="s">
        <v>5</v>
      </c>
    </row>
    <row r="731" spans="1:7" x14ac:dyDescent="0.3">
      <c r="A731" t="s">
        <v>15</v>
      </c>
      <c r="B731" s="1">
        <v>45838</v>
      </c>
      <c r="C731">
        <v>330081</v>
      </c>
      <c r="D731">
        <v>0</v>
      </c>
      <c r="E731" t="s">
        <v>4</v>
      </c>
      <c r="F731" t="s">
        <v>43</v>
      </c>
      <c r="G731" t="s">
        <v>5</v>
      </c>
    </row>
    <row r="732" spans="1:7" x14ac:dyDescent="0.3">
      <c r="A732" t="s">
        <v>15</v>
      </c>
      <c r="B732" s="1">
        <v>45838</v>
      </c>
      <c r="C732">
        <v>330091</v>
      </c>
      <c r="D732">
        <v>6123.9859999999999</v>
      </c>
      <c r="E732" t="s">
        <v>4</v>
      </c>
      <c r="F732" t="s">
        <v>43</v>
      </c>
      <c r="G732" t="s">
        <v>5</v>
      </c>
    </row>
    <row r="733" spans="1:7" x14ac:dyDescent="0.3">
      <c r="A733" t="s">
        <v>15</v>
      </c>
      <c r="B733" s="1">
        <v>45838</v>
      </c>
      <c r="C733">
        <v>330097</v>
      </c>
      <c r="D733">
        <v>0</v>
      </c>
      <c r="E733" t="s">
        <v>4</v>
      </c>
      <c r="F733" t="s">
        <v>43</v>
      </c>
      <c r="G733" t="s">
        <v>5</v>
      </c>
    </row>
    <row r="734" spans="1:7" x14ac:dyDescent="0.3">
      <c r="A734" t="s">
        <v>15</v>
      </c>
      <c r="B734" s="1">
        <v>45838</v>
      </c>
      <c r="C734">
        <v>330107</v>
      </c>
      <c r="D734">
        <v>1036.6600000000001</v>
      </c>
      <c r="E734" t="s">
        <v>4</v>
      </c>
      <c r="F734" t="s">
        <v>43</v>
      </c>
      <c r="G734" t="s">
        <v>5</v>
      </c>
    </row>
    <row r="735" spans="1:7" x14ac:dyDescent="0.3">
      <c r="A735" t="s">
        <v>15</v>
      </c>
      <c r="B735" s="1">
        <v>45838</v>
      </c>
      <c r="C735">
        <v>330126</v>
      </c>
      <c r="D735">
        <v>1979.3230000000001</v>
      </c>
      <c r="E735" t="s">
        <v>4</v>
      </c>
      <c r="F735" t="s">
        <v>43</v>
      </c>
      <c r="G735" t="s">
        <v>5</v>
      </c>
    </row>
    <row r="736" spans="1:7" x14ac:dyDescent="0.3">
      <c r="A736" t="s">
        <v>15</v>
      </c>
      <c r="B736" s="1">
        <v>45838</v>
      </c>
      <c r="C736">
        <v>330129</v>
      </c>
      <c r="D736">
        <v>15293.86</v>
      </c>
      <c r="E736" t="s">
        <v>4</v>
      </c>
      <c r="F736" t="s">
        <v>43</v>
      </c>
      <c r="G736" t="s">
        <v>5</v>
      </c>
    </row>
    <row r="737" spans="1:7" x14ac:dyDescent="0.3">
      <c r="A737" t="s">
        <v>15</v>
      </c>
      <c r="B737" s="1">
        <v>45838</v>
      </c>
      <c r="C737">
        <v>330130</v>
      </c>
      <c r="D737">
        <v>39785.582000000002</v>
      </c>
      <c r="E737" t="s">
        <v>4</v>
      </c>
      <c r="F737" t="s">
        <v>43</v>
      </c>
      <c r="G737" t="s">
        <v>5</v>
      </c>
    </row>
    <row r="738" spans="1:7" x14ac:dyDescent="0.3">
      <c r="A738" t="s">
        <v>15</v>
      </c>
      <c r="B738" s="1">
        <v>45838</v>
      </c>
      <c r="C738">
        <v>330131</v>
      </c>
      <c r="D738">
        <v>-45619.324999999997</v>
      </c>
      <c r="E738" t="s">
        <v>4</v>
      </c>
      <c r="F738" t="s">
        <v>43</v>
      </c>
      <c r="G738" t="s">
        <v>5</v>
      </c>
    </row>
    <row r="739" spans="1:7" x14ac:dyDescent="0.3">
      <c r="A739" t="s">
        <v>15</v>
      </c>
      <c r="B739" s="1">
        <v>45838</v>
      </c>
      <c r="C739">
        <v>330132</v>
      </c>
      <c r="D739">
        <v>9484.8449999999993</v>
      </c>
      <c r="E739" t="s">
        <v>4</v>
      </c>
      <c r="F739" t="s">
        <v>43</v>
      </c>
      <c r="G739" t="s">
        <v>5</v>
      </c>
    </row>
    <row r="740" spans="1:7" x14ac:dyDescent="0.3">
      <c r="A740" t="s">
        <v>15</v>
      </c>
      <c r="B740" s="1">
        <v>45838</v>
      </c>
      <c r="C740">
        <v>330133</v>
      </c>
      <c r="D740">
        <v>0</v>
      </c>
      <c r="E740" t="s">
        <v>4</v>
      </c>
      <c r="F740" t="s">
        <v>43</v>
      </c>
      <c r="G740" t="s">
        <v>5</v>
      </c>
    </row>
    <row r="741" spans="1:7" x14ac:dyDescent="0.3">
      <c r="A741" t="s">
        <v>15</v>
      </c>
      <c r="B741" s="1">
        <v>45838</v>
      </c>
      <c r="C741">
        <v>330137</v>
      </c>
      <c r="D741">
        <v>4244.7939999999999</v>
      </c>
      <c r="E741" t="s">
        <v>4</v>
      </c>
      <c r="F741" t="s">
        <v>43</v>
      </c>
      <c r="G741" t="s">
        <v>5</v>
      </c>
    </row>
    <row r="742" spans="1:7" x14ac:dyDescent="0.3">
      <c r="A742" t="s">
        <v>15</v>
      </c>
      <c r="B742" s="1">
        <v>45838</v>
      </c>
      <c r="C742">
        <v>330146</v>
      </c>
      <c r="D742">
        <v>51.220999999999997</v>
      </c>
      <c r="E742" t="s">
        <v>4</v>
      </c>
      <c r="F742" t="s">
        <v>43</v>
      </c>
      <c r="G742" t="s">
        <v>5</v>
      </c>
    </row>
    <row r="743" spans="1:7" x14ac:dyDescent="0.3">
      <c r="A743" t="s">
        <v>15</v>
      </c>
      <c r="B743" s="1">
        <v>45838</v>
      </c>
      <c r="C743">
        <v>340002</v>
      </c>
      <c r="D743">
        <v>0</v>
      </c>
      <c r="E743" t="s">
        <v>4</v>
      </c>
      <c r="F743" t="s">
        <v>47</v>
      </c>
      <c r="G743" t="s">
        <v>5</v>
      </c>
    </row>
    <row r="744" spans="1:7" x14ac:dyDescent="0.3">
      <c r="A744" t="s">
        <v>15</v>
      </c>
      <c r="B744" s="1">
        <v>45838</v>
      </c>
      <c r="C744">
        <v>340003</v>
      </c>
      <c r="D744">
        <v>27.684000000000001</v>
      </c>
      <c r="E744" t="s">
        <v>4</v>
      </c>
      <c r="F744" t="s">
        <v>47</v>
      </c>
      <c r="G744" t="s">
        <v>5</v>
      </c>
    </row>
    <row r="745" spans="1:7" x14ac:dyDescent="0.3">
      <c r="A745" t="s">
        <v>15</v>
      </c>
      <c r="B745" s="1">
        <v>45838</v>
      </c>
      <c r="C745">
        <v>340004</v>
      </c>
      <c r="D745">
        <v>3905.19</v>
      </c>
      <c r="E745" t="s">
        <v>4</v>
      </c>
      <c r="F745" t="s">
        <v>47</v>
      </c>
      <c r="G745" t="s">
        <v>5</v>
      </c>
    </row>
    <row r="746" spans="1:7" x14ac:dyDescent="0.3">
      <c r="A746" t="s">
        <v>15</v>
      </c>
      <c r="B746" s="1">
        <v>45838</v>
      </c>
      <c r="C746">
        <v>340006</v>
      </c>
      <c r="D746">
        <v>4271936.5829999996</v>
      </c>
      <c r="E746" t="s">
        <v>4</v>
      </c>
      <c r="F746" t="s">
        <v>47</v>
      </c>
      <c r="G746" t="s">
        <v>5</v>
      </c>
    </row>
    <row r="747" spans="1:7" x14ac:dyDescent="0.3">
      <c r="A747" t="s">
        <v>15</v>
      </c>
      <c r="B747" s="1">
        <v>45838</v>
      </c>
      <c r="C747">
        <v>340007</v>
      </c>
      <c r="D747">
        <v>0</v>
      </c>
      <c r="E747" t="s">
        <v>4</v>
      </c>
      <c r="F747" t="s">
        <v>47</v>
      </c>
      <c r="G747" t="s">
        <v>5</v>
      </c>
    </row>
    <row r="748" spans="1:7" x14ac:dyDescent="0.3">
      <c r="A748" t="s">
        <v>15</v>
      </c>
      <c r="B748" s="1">
        <v>45838</v>
      </c>
      <c r="C748">
        <v>340012</v>
      </c>
      <c r="D748">
        <v>909155.58700000006</v>
      </c>
      <c r="E748" t="s">
        <v>4</v>
      </c>
      <c r="F748" t="s">
        <v>47</v>
      </c>
      <c r="G748" t="s">
        <v>5</v>
      </c>
    </row>
    <row r="749" spans="1:7" x14ac:dyDescent="0.3">
      <c r="A749" t="s">
        <v>15</v>
      </c>
      <c r="B749" s="1">
        <v>45838</v>
      </c>
      <c r="C749">
        <v>340013</v>
      </c>
      <c r="D749">
        <v>97329306.385000005</v>
      </c>
      <c r="E749" t="s">
        <v>4</v>
      </c>
      <c r="F749" t="s">
        <v>47</v>
      </c>
      <c r="G749" t="s">
        <v>5</v>
      </c>
    </row>
    <row r="750" spans="1:7" x14ac:dyDescent="0.3">
      <c r="A750" t="s">
        <v>15</v>
      </c>
      <c r="B750" s="1">
        <v>45838</v>
      </c>
      <c r="C750">
        <v>340014</v>
      </c>
      <c r="D750">
        <v>-98165859.636999995</v>
      </c>
      <c r="E750" t="s">
        <v>4</v>
      </c>
      <c r="F750" t="s">
        <v>47</v>
      </c>
      <c r="G750" t="s">
        <v>5</v>
      </c>
    </row>
    <row r="751" spans="1:7" x14ac:dyDescent="0.3">
      <c r="A751" t="s">
        <v>15</v>
      </c>
      <c r="B751" s="1">
        <v>45838</v>
      </c>
      <c r="C751">
        <v>340022</v>
      </c>
      <c r="D751">
        <v>817727.701</v>
      </c>
      <c r="E751" t="s">
        <v>4</v>
      </c>
      <c r="F751" t="s">
        <v>47</v>
      </c>
      <c r="G751" t="s">
        <v>5</v>
      </c>
    </row>
    <row r="752" spans="1:7" x14ac:dyDescent="0.3">
      <c r="A752" t="s">
        <v>15</v>
      </c>
      <c r="B752" s="1">
        <v>45838</v>
      </c>
      <c r="C752">
        <v>340023</v>
      </c>
      <c r="D752">
        <v>33452.457000000002</v>
      </c>
      <c r="E752" t="s">
        <v>4</v>
      </c>
      <c r="F752" t="s">
        <v>47</v>
      </c>
      <c r="G752" t="s">
        <v>5</v>
      </c>
    </row>
    <row r="753" spans="1:7" x14ac:dyDescent="0.3">
      <c r="A753" t="s">
        <v>15</v>
      </c>
      <c r="B753" s="1">
        <v>45838</v>
      </c>
      <c r="C753">
        <v>340024</v>
      </c>
      <c r="D753">
        <v>-851180.15800000005</v>
      </c>
      <c r="E753" t="s">
        <v>4</v>
      </c>
      <c r="F753" t="s">
        <v>47</v>
      </c>
      <c r="G753" t="s">
        <v>5</v>
      </c>
    </row>
    <row r="754" spans="1:7" x14ac:dyDescent="0.3">
      <c r="A754" t="s">
        <v>15</v>
      </c>
      <c r="B754" s="1">
        <v>45838</v>
      </c>
      <c r="C754">
        <v>340029</v>
      </c>
      <c r="D754">
        <v>187.33699999999999</v>
      </c>
      <c r="E754" t="s">
        <v>4</v>
      </c>
      <c r="F754" t="s">
        <v>47</v>
      </c>
      <c r="G754" t="s">
        <v>5</v>
      </c>
    </row>
    <row r="755" spans="1:7" x14ac:dyDescent="0.3">
      <c r="A755" t="s">
        <v>15</v>
      </c>
      <c r="B755" s="1">
        <v>45838</v>
      </c>
      <c r="C755">
        <v>340033</v>
      </c>
      <c r="D755">
        <v>164.06</v>
      </c>
      <c r="E755" t="s">
        <v>4</v>
      </c>
      <c r="F755" t="s">
        <v>47</v>
      </c>
      <c r="G755" t="s">
        <v>5</v>
      </c>
    </row>
    <row r="756" spans="1:7" x14ac:dyDescent="0.3">
      <c r="A756" t="s">
        <v>15</v>
      </c>
      <c r="B756" s="1">
        <v>45838</v>
      </c>
      <c r="C756">
        <v>340036</v>
      </c>
      <c r="D756">
        <v>0</v>
      </c>
      <c r="E756" t="s">
        <v>4</v>
      </c>
      <c r="F756" t="s">
        <v>47</v>
      </c>
      <c r="G756" t="s">
        <v>5</v>
      </c>
    </row>
    <row r="757" spans="1:7" x14ac:dyDescent="0.3">
      <c r="A757" t="s">
        <v>15</v>
      </c>
      <c r="B757" s="1">
        <v>45838</v>
      </c>
      <c r="C757">
        <v>340038</v>
      </c>
      <c r="D757">
        <v>1757.0360000000001</v>
      </c>
      <c r="E757" t="s">
        <v>4</v>
      </c>
      <c r="F757" t="s">
        <v>47</v>
      </c>
      <c r="G757" t="s">
        <v>5</v>
      </c>
    </row>
    <row r="758" spans="1:7" x14ac:dyDescent="0.3">
      <c r="A758" t="s">
        <v>15</v>
      </c>
      <c r="B758" s="1">
        <v>45838</v>
      </c>
      <c r="C758">
        <v>340039</v>
      </c>
      <c r="D758">
        <v>0</v>
      </c>
      <c r="E758" t="s">
        <v>4</v>
      </c>
      <c r="F758" t="s">
        <v>47</v>
      </c>
      <c r="G758" t="s">
        <v>5</v>
      </c>
    </row>
    <row r="759" spans="1:7" x14ac:dyDescent="0.3">
      <c r="A759" t="s">
        <v>15</v>
      </c>
      <c r="B759" s="1">
        <v>45838</v>
      </c>
      <c r="C759">
        <v>340049</v>
      </c>
      <c r="D759">
        <v>0</v>
      </c>
      <c r="E759" t="s">
        <v>4</v>
      </c>
      <c r="F759" t="s">
        <v>47</v>
      </c>
      <c r="G759" t="s">
        <v>5</v>
      </c>
    </row>
    <row r="760" spans="1:7" x14ac:dyDescent="0.3">
      <c r="A760" t="s">
        <v>15</v>
      </c>
      <c r="B760" s="1">
        <v>45838</v>
      </c>
      <c r="C760">
        <v>340055</v>
      </c>
      <c r="D760">
        <v>63.481999999999999</v>
      </c>
      <c r="E760" t="s">
        <v>4</v>
      </c>
      <c r="F760" t="s">
        <v>47</v>
      </c>
      <c r="G760" t="s">
        <v>5</v>
      </c>
    </row>
    <row r="761" spans="1:7" x14ac:dyDescent="0.3">
      <c r="A761" t="s">
        <v>15</v>
      </c>
      <c r="B761" s="1">
        <v>45838</v>
      </c>
      <c r="C761">
        <v>340056</v>
      </c>
      <c r="D761">
        <v>1200.933</v>
      </c>
      <c r="E761" t="s">
        <v>4</v>
      </c>
      <c r="F761" t="s">
        <v>47</v>
      </c>
      <c r="G761" t="s">
        <v>5</v>
      </c>
    </row>
    <row r="762" spans="1:7" x14ac:dyDescent="0.3">
      <c r="A762" t="s">
        <v>15</v>
      </c>
      <c r="B762" s="1">
        <v>45838</v>
      </c>
      <c r="C762">
        <v>340058</v>
      </c>
      <c r="D762">
        <v>114170.952</v>
      </c>
      <c r="E762" t="s">
        <v>4</v>
      </c>
      <c r="F762" t="s">
        <v>47</v>
      </c>
      <c r="G762" t="s">
        <v>5</v>
      </c>
    </row>
    <row r="763" spans="1:7" x14ac:dyDescent="0.3">
      <c r="A763" t="s">
        <v>15</v>
      </c>
      <c r="B763" s="1">
        <v>45838</v>
      </c>
      <c r="C763">
        <v>340060</v>
      </c>
      <c r="D763">
        <v>1603.6379999999999</v>
      </c>
      <c r="E763" t="s">
        <v>4</v>
      </c>
      <c r="F763" t="s">
        <v>47</v>
      </c>
      <c r="G763" t="s">
        <v>5</v>
      </c>
    </row>
    <row r="764" spans="1:7" x14ac:dyDescent="0.3">
      <c r="A764" t="s">
        <v>15</v>
      </c>
      <c r="B764" s="1">
        <v>45838</v>
      </c>
      <c r="C764">
        <v>340061</v>
      </c>
      <c r="D764">
        <v>0</v>
      </c>
      <c r="E764" t="s">
        <v>4</v>
      </c>
      <c r="F764" t="s">
        <v>47</v>
      </c>
      <c r="G764" t="s">
        <v>5</v>
      </c>
    </row>
    <row r="765" spans="1:7" x14ac:dyDescent="0.3">
      <c r="A765" t="s">
        <v>15</v>
      </c>
      <c r="B765" s="1">
        <v>45838</v>
      </c>
      <c r="C765">
        <v>340066</v>
      </c>
      <c r="D765">
        <v>0</v>
      </c>
      <c r="E765" t="s">
        <v>4</v>
      </c>
      <c r="F765" t="s">
        <v>47</v>
      </c>
      <c r="G765" t="s">
        <v>5</v>
      </c>
    </row>
    <row r="766" spans="1:7" x14ac:dyDescent="0.3">
      <c r="A766" t="s">
        <v>15</v>
      </c>
      <c r="B766" s="1">
        <v>45838</v>
      </c>
      <c r="C766">
        <v>340070</v>
      </c>
      <c r="D766">
        <v>12567.616</v>
      </c>
      <c r="E766" t="s">
        <v>4</v>
      </c>
      <c r="F766" t="s">
        <v>47</v>
      </c>
      <c r="G766" t="s">
        <v>5</v>
      </c>
    </row>
    <row r="767" spans="1:7" x14ac:dyDescent="0.3">
      <c r="A767" t="s">
        <v>15</v>
      </c>
      <c r="B767" s="1">
        <v>45838</v>
      </c>
      <c r="C767">
        <v>340071</v>
      </c>
      <c r="D767">
        <v>0</v>
      </c>
      <c r="E767" t="s">
        <v>4</v>
      </c>
      <c r="F767" t="s">
        <v>47</v>
      </c>
      <c r="G767" t="s">
        <v>5</v>
      </c>
    </row>
    <row r="768" spans="1:7" x14ac:dyDescent="0.3">
      <c r="A768" t="s">
        <v>15</v>
      </c>
      <c r="B768" s="1">
        <v>45838</v>
      </c>
      <c r="C768">
        <v>340076</v>
      </c>
      <c r="D768">
        <v>6120.1710000000003</v>
      </c>
      <c r="E768" t="s">
        <v>4</v>
      </c>
      <c r="F768" t="s">
        <v>47</v>
      </c>
      <c r="G768" t="s">
        <v>5</v>
      </c>
    </row>
    <row r="769" spans="1:7" x14ac:dyDescent="0.3">
      <c r="A769" t="s">
        <v>15</v>
      </c>
      <c r="B769" s="1">
        <v>45838</v>
      </c>
      <c r="C769">
        <v>340077</v>
      </c>
      <c r="D769">
        <v>0</v>
      </c>
      <c r="E769" t="s">
        <v>4</v>
      </c>
      <c r="F769" t="s">
        <v>47</v>
      </c>
      <c r="G769" t="s">
        <v>5</v>
      </c>
    </row>
    <row r="770" spans="1:7" x14ac:dyDescent="0.3">
      <c r="A770" t="s">
        <v>15</v>
      </c>
      <c r="B770" s="1">
        <v>45838</v>
      </c>
      <c r="C770">
        <v>340079</v>
      </c>
      <c r="D770">
        <v>0</v>
      </c>
      <c r="E770" t="s">
        <v>4</v>
      </c>
      <c r="F770" t="s">
        <v>47</v>
      </c>
      <c r="G770" t="s">
        <v>5</v>
      </c>
    </row>
    <row r="771" spans="1:7" x14ac:dyDescent="0.3">
      <c r="A771" t="s">
        <v>15</v>
      </c>
      <c r="B771" s="1">
        <v>45838</v>
      </c>
      <c r="C771">
        <v>340081</v>
      </c>
      <c r="D771">
        <v>0</v>
      </c>
      <c r="E771" t="s">
        <v>4</v>
      </c>
      <c r="F771" t="s">
        <v>47</v>
      </c>
      <c r="G771" t="s">
        <v>5</v>
      </c>
    </row>
    <row r="772" spans="1:7" x14ac:dyDescent="0.3">
      <c r="A772" t="s">
        <v>15</v>
      </c>
      <c r="B772" s="1">
        <v>45838</v>
      </c>
      <c r="C772">
        <v>340085</v>
      </c>
      <c r="D772">
        <v>0</v>
      </c>
      <c r="E772" t="s">
        <v>4</v>
      </c>
      <c r="F772" t="s">
        <v>49</v>
      </c>
      <c r="G772" t="s">
        <v>5</v>
      </c>
    </row>
    <row r="773" spans="1:7" x14ac:dyDescent="0.3">
      <c r="A773" t="s">
        <v>15</v>
      </c>
      <c r="B773" s="1">
        <v>45838</v>
      </c>
      <c r="C773">
        <v>340089</v>
      </c>
      <c r="D773">
        <v>2.7919999999999998</v>
      </c>
      <c r="E773" t="s">
        <v>4</v>
      </c>
      <c r="F773" t="s">
        <v>47</v>
      </c>
      <c r="G773" t="s">
        <v>5</v>
      </c>
    </row>
    <row r="774" spans="1:7" x14ac:dyDescent="0.3">
      <c r="A774" t="s">
        <v>15</v>
      </c>
      <c r="B774" s="1">
        <v>45838</v>
      </c>
      <c r="C774">
        <v>340116</v>
      </c>
      <c r="D774">
        <v>0</v>
      </c>
      <c r="E774" t="s">
        <v>4</v>
      </c>
      <c r="F774" t="s">
        <v>47</v>
      </c>
      <c r="G774" t="s">
        <v>5</v>
      </c>
    </row>
    <row r="775" spans="1:7" x14ac:dyDescent="0.3">
      <c r="A775" t="s">
        <v>15</v>
      </c>
      <c r="B775" s="1">
        <v>45838</v>
      </c>
      <c r="C775">
        <v>340126</v>
      </c>
      <c r="D775">
        <v>-22163.643</v>
      </c>
      <c r="E775" t="s">
        <v>4</v>
      </c>
      <c r="F775" t="s">
        <v>47</v>
      </c>
      <c r="G775" t="s">
        <v>5</v>
      </c>
    </row>
    <row r="776" spans="1:7" x14ac:dyDescent="0.3">
      <c r="A776" t="s">
        <v>15</v>
      </c>
      <c r="B776" s="1">
        <v>45838</v>
      </c>
      <c r="C776">
        <v>340135</v>
      </c>
      <c r="D776">
        <v>7418142.7419999996</v>
      </c>
      <c r="E776" t="s">
        <v>4</v>
      </c>
      <c r="F776" t="s">
        <v>47</v>
      </c>
      <c r="G776" t="s">
        <v>5</v>
      </c>
    </row>
    <row r="777" spans="1:7" x14ac:dyDescent="0.3">
      <c r="A777" t="s">
        <v>15</v>
      </c>
      <c r="B777" s="1">
        <v>45838</v>
      </c>
      <c r="C777">
        <v>340136</v>
      </c>
      <c r="D777">
        <v>-7371976.0140000004</v>
      </c>
      <c r="E777" t="s">
        <v>4</v>
      </c>
      <c r="F777" t="s">
        <v>47</v>
      </c>
      <c r="G777" t="s">
        <v>5</v>
      </c>
    </row>
    <row r="778" spans="1:7" x14ac:dyDescent="0.3">
      <c r="A778" t="s">
        <v>15</v>
      </c>
      <c r="B778" s="1">
        <v>45838</v>
      </c>
      <c r="C778">
        <v>340138</v>
      </c>
      <c r="D778">
        <v>-4838052.1069999998</v>
      </c>
      <c r="E778" t="s">
        <v>4</v>
      </c>
      <c r="F778" t="s">
        <v>47</v>
      </c>
      <c r="G778" t="s">
        <v>5</v>
      </c>
    </row>
    <row r="779" spans="1:7" x14ac:dyDescent="0.3">
      <c r="A779" t="s">
        <v>15</v>
      </c>
      <c r="B779" s="1">
        <v>45838</v>
      </c>
      <c r="C779">
        <v>340152</v>
      </c>
      <c r="D779">
        <v>0</v>
      </c>
      <c r="E779" t="s">
        <v>4</v>
      </c>
      <c r="F779" t="s">
        <v>47</v>
      </c>
      <c r="G779" t="s">
        <v>5</v>
      </c>
    </row>
    <row r="780" spans="1:7" x14ac:dyDescent="0.3">
      <c r="A780" t="s">
        <v>15</v>
      </c>
      <c r="B780" s="1">
        <v>45838</v>
      </c>
      <c r="C780">
        <v>340171</v>
      </c>
      <c r="D780">
        <v>0</v>
      </c>
      <c r="E780" t="s">
        <v>4</v>
      </c>
      <c r="F780" t="s">
        <v>47</v>
      </c>
      <c r="G780" t="s">
        <v>5</v>
      </c>
    </row>
    <row r="781" spans="1:7" x14ac:dyDescent="0.3">
      <c r="A781" t="s">
        <v>15</v>
      </c>
      <c r="B781" s="1">
        <v>45838</v>
      </c>
      <c r="C781">
        <v>340172</v>
      </c>
      <c r="D781">
        <v>0</v>
      </c>
      <c r="E781" t="s">
        <v>4</v>
      </c>
      <c r="F781" t="s">
        <v>47</v>
      </c>
      <c r="G781" t="s">
        <v>5</v>
      </c>
    </row>
    <row r="782" spans="1:7" x14ac:dyDescent="0.3">
      <c r="A782" t="s">
        <v>15</v>
      </c>
      <c r="B782" s="1">
        <v>45838</v>
      </c>
      <c r="C782">
        <v>340268</v>
      </c>
      <c r="D782">
        <v>798371.59100000001</v>
      </c>
      <c r="E782" t="s">
        <v>4</v>
      </c>
      <c r="F782" t="s">
        <v>47</v>
      </c>
      <c r="G782" t="s">
        <v>5</v>
      </c>
    </row>
    <row r="783" spans="1:7" x14ac:dyDescent="0.3">
      <c r="A783" t="s">
        <v>15</v>
      </c>
      <c r="B783" s="1">
        <v>45838</v>
      </c>
      <c r="C783">
        <v>340269</v>
      </c>
      <c r="D783">
        <v>3225557.3420000002</v>
      </c>
      <c r="E783" t="s">
        <v>4</v>
      </c>
      <c r="F783" t="s">
        <v>47</v>
      </c>
      <c r="G783" t="s">
        <v>5</v>
      </c>
    </row>
    <row r="784" spans="1:7" x14ac:dyDescent="0.3">
      <c r="A784" t="s">
        <v>15</v>
      </c>
      <c r="B784" s="1">
        <v>45838</v>
      </c>
      <c r="C784">
        <v>340270</v>
      </c>
      <c r="D784">
        <v>-4019926.3810000001</v>
      </c>
      <c r="E784" t="s">
        <v>4</v>
      </c>
      <c r="F784" t="s">
        <v>47</v>
      </c>
      <c r="G784" t="s">
        <v>5</v>
      </c>
    </row>
    <row r="785" spans="1:7" x14ac:dyDescent="0.3">
      <c r="A785" t="s">
        <v>15</v>
      </c>
      <c r="B785" s="1">
        <v>45838</v>
      </c>
      <c r="C785">
        <v>340271</v>
      </c>
      <c r="D785">
        <v>0</v>
      </c>
      <c r="E785" t="s">
        <v>4</v>
      </c>
      <c r="F785" t="s">
        <v>47</v>
      </c>
      <c r="G785" t="s">
        <v>5</v>
      </c>
    </row>
    <row r="786" spans="1:7" x14ac:dyDescent="0.3">
      <c r="A786" t="s">
        <v>15</v>
      </c>
      <c r="B786" s="1">
        <v>45838</v>
      </c>
      <c r="C786">
        <v>340274</v>
      </c>
      <c r="D786">
        <v>304949.625</v>
      </c>
      <c r="E786" t="s">
        <v>4</v>
      </c>
      <c r="F786" t="s">
        <v>47</v>
      </c>
      <c r="G786" t="s">
        <v>5</v>
      </c>
    </row>
    <row r="787" spans="1:7" x14ac:dyDescent="0.3">
      <c r="A787" t="s">
        <v>15</v>
      </c>
      <c r="B787" s="1">
        <v>45838</v>
      </c>
      <c r="C787">
        <v>340275</v>
      </c>
      <c r="D787">
        <v>37093654.082000002</v>
      </c>
      <c r="E787" t="s">
        <v>4</v>
      </c>
      <c r="F787" t="s">
        <v>47</v>
      </c>
      <c r="G787" t="s">
        <v>5</v>
      </c>
    </row>
    <row r="788" spans="1:7" x14ac:dyDescent="0.3">
      <c r="A788" t="s">
        <v>15</v>
      </c>
      <c r="B788" s="1">
        <v>45838</v>
      </c>
      <c r="C788">
        <v>340276</v>
      </c>
      <c r="D788">
        <v>-37389353.634000003</v>
      </c>
      <c r="E788" t="s">
        <v>4</v>
      </c>
      <c r="F788" t="s">
        <v>47</v>
      </c>
      <c r="G788" t="s">
        <v>5</v>
      </c>
    </row>
    <row r="789" spans="1:7" x14ac:dyDescent="0.3">
      <c r="A789" t="s">
        <v>15</v>
      </c>
      <c r="B789" s="1">
        <v>45838</v>
      </c>
      <c r="C789">
        <v>340277</v>
      </c>
      <c r="D789">
        <v>0</v>
      </c>
      <c r="E789" t="s">
        <v>4</v>
      </c>
      <c r="F789" t="s">
        <v>47</v>
      </c>
      <c r="G789" t="s">
        <v>5</v>
      </c>
    </row>
    <row r="790" spans="1:7" x14ac:dyDescent="0.3">
      <c r="A790" t="s">
        <v>15</v>
      </c>
      <c r="B790" s="1">
        <v>45838</v>
      </c>
      <c r="C790">
        <v>340283</v>
      </c>
      <c r="D790">
        <v>0</v>
      </c>
      <c r="E790" t="s">
        <v>4</v>
      </c>
      <c r="F790" t="s">
        <v>47</v>
      </c>
      <c r="G790" t="s">
        <v>5</v>
      </c>
    </row>
    <row r="791" spans="1:7" x14ac:dyDescent="0.3">
      <c r="A791" t="s">
        <v>15</v>
      </c>
      <c r="B791" s="1">
        <v>45838</v>
      </c>
      <c r="C791">
        <v>340286</v>
      </c>
      <c r="D791">
        <v>1075.415</v>
      </c>
      <c r="E791" t="s">
        <v>4</v>
      </c>
      <c r="F791" t="s">
        <v>47</v>
      </c>
      <c r="G791" t="s">
        <v>5</v>
      </c>
    </row>
    <row r="792" spans="1:7" x14ac:dyDescent="0.3">
      <c r="A792" t="s">
        <v>15</v>
      </c>
      <c r="B792" s="1">
        <v>45838</v>
      </c>
      <c r="C792">
        <v>340289</v>
      </c>
      <c r="D792">
        <v>1763.367</v>
      </c>
      <c r="E792" t="s">
        <v>4</v>
      </c>
      <c r="F792" t="s">
        <v>47</v>
      </c>
      <c r="G792" t="s">
        <v>5</v>
      </c>
    </row>
    <row r="793" spans="1:7" x14ac:dyDescent="0.3">
      <c r="A793" t="s">
        <v>15</v>
      </c>
      <c r="B793" s="1">
        <v>45838</v>
      </c>
      <c r="C793">
        <v>340292</v>
      </c>
      <c r="D793">
        <v>0</v>
      </c>
      <c r="E793" t="s">
        <v>4</v>
      </c>
      <c r="F793" t="s">
        <v>47</v>
      </c>
      <c r="G793" t="s">
        <v>5</v>
      </c>
    </row>
    <row r="794" spans="1:7" x14ac:dyDescent="0.3">
      <c r="A794" t="s">
        <v>15</v>
      </c>
      <c r="B794" s="1">
        <v>45838</v>
      </c>
      <c r="C794">
        <v>340295</v>
      </c>
      <c r="D794">
        <v>0</v>
      </c>
      <c r="E794" t="s">
        <v>4</v>
      </c>
      <c r="F794" t="s">
        <v>47</v>
      </c>
      <c r="G794" t="s">
        <v>5</v>
      </c>
    </row>
    <row r="795" spans="1:7" x14ac:dyDescent="0.3">
      <c r="A795" t="s">
        <v>15</v>
      </c>
      <c r="B795" s="1">
        <v>45838</v>
      </c>
      <c r="C795">
        <v>340299</v>
      </c>
      <c r="D795">
        <v>7146585.358</v>
      </c>
      <c r="E795" t="s">
        <v>4</v>
      </c>
      <c r="F795" t="s">
        <v>47</v>
      </c>
      <c r="G795" t="s">
        <v>5</v>
      </c>
    </row>
    <row r="796" spans="1:7" x14ac:dyDescent="0.3">
      <c r="A796" t="s">
        <v>15</v>
      </c>
      <c r="B796" s="1">
        <v>45838</v>
      </c>
      <c r="C796">
        <v>340300</v>
      </c>
      <c r="D796">
        <v>-6564319.75</v>
      </c>
      <c r="E796" t="s">
        <v>4</v>
      </c>
      <c r="F796" t="s">
        <v>47</v>
      </c>
      <c r="G796" t="s">
        <v>5</v>
      </c>
    </row>
    <row r="797" spans="1:7" x14ac:dyDescent="0.3">
      <c r="A797" t="s">
        <v>15</v>
      </c>
      <c r="B797" s="1">
        <v>45838</v>
      </c>
      <c r="C797">
        <v>340301</v>
      </c>
      <c r="D797">
        <v>144185.45000000001</v>
      </c>
      <c r="E797" t="s">
        <v>4</v>
      </c>
      <c r="F797" t="s">
        <v>47</v>
      </c>
      <c r="G797" t="s">
        <v>5</v>
      </c>
    </row>
    <row r="798" spans="1:7" x14ac:dyDescent="0.3">
      <c r="A798" t="s">
        <v>15</v>
      </c>
      <c r="B798" s="1">
        <v>45838</v>
      </c>
      <c r="C798">
        <v>340302</v>
      </c>
      <c r="D798">
        <v>-148358.614</v>
      </c>
      <c r="E798" t="s">
        <v>4</v>
      </c>
      <c r="F798" t="s">
        <v>47</v>
      </c>
      <c r="G798" t="s">
        <v>5</v>
      </c>
    </row>
    <row r="799" spans="1:7" x14ac:dyDescent="0.3">
      <c r="A799" t="s">
        <v>15</v>
      </c>
      <c r="B799" s="1">
        <v>45838</v>
      </c>
      <c r="C799">
        <v>340303</v>
      </c>
      <c r="D799">
        <v>169500.20300000001</v>
      </c>
      <c r="E799" t="s">
        <v>4</v>
      </c>
      <c r="F799" t="s">
        <v>47</v>
      </c>
      <c r="G799" t="s">
        <v>5</v>
      </c>
    </row>
    <row r="800" spans="1:7" x14ac:dyDescent="0.3">
      <c r="A800" t="s">
        <v>15</v>
      </c>
      <c r="B800" s="1">
        <v>45838</v>
      </c>
      <c r="C800">
        <v>340304</v>
      </c>
      <c r="D800">
        <v>-167967.519</v>
      </c>
      <c r="E800" t="s">
        <v>4</v>
      </c>
      <c r="F800" t="s">
        <v>47</v>
      </c>
      <c r="G800" t="s">
        <v>5</v>
      </c>
    </row>
    <row r="801" spans="1:7" x14ac:dyDescent="0.3">
      <c r="A801" t="s">
        <v>15</v>
      </c>
      <c r="B801" s="1">
        <v>45838</v>
      </c>
      <c r="C801">
        <v>340305</v>
      </c>
      <c r="D801">
        <v>45903.296000000002</v>
      </c>
      <c r="E801" t="s">
        <v>4</v>
      </c>
      <c r="F801" t="s">
        <v>47</v>
      </c>
      <c r="G801" t="s">
        <v>5</v>
      </c>
    </row>
    <row r="802" spans="1:7" x14ac:dyDescent="0.3">
      <c r="A802" t="s">
        <v>15</v>
      </c>
      <c r="B802" s="1">
        <v>45838</v>
      </c>
      <c r="C802">
        <v>340306</v>
      </c>
      <c r="D802">
        <v>-36790.68</v>
      </c>
      <c r="E802" t="s">
        <v>4</v>
      </c>
      <c r="F802" t="s">
        <v>47</v>
      </c>
      <c r="G802" t="s">
        <v>5</v>
      </c>
    </row>
    <row r="803" spans="1:7" x14ac:dyDescent="0.3">
      <c r="A803" t="s">
        <v>15</v>
      </c>
      <c r="B803" s="1">
        <v>45838</v>
      </c>
      <c r="C803">
        <v>340307</v>
      </c>
      <c r="D803">
        <v>1410759.5889999999</v>
      </c>
      <c r="E803" t="s">
        <v>4</v>
      </c>
      <c r="F803" t="s">
        <v>47</v>
      </c>
      <c r="G803" t="s">
        <v>5</v>
      </c>
    </row>
    <row r="804" spans="1:7" x14ac:dyDescent="0.3">
      <c r="A804" t="s">
        <v>15</v>
      </c>
      <c r="B804" s="1">
        <v>45838</v>
      </c>
      <c r="C804">
        <v>340308</v>
      </c>
      <c r="D804">
        <v>-1484268.368</v>
      </c>
      <c r="E804" t="s">
        <v>4</v>
      </c>
      <c r="F804" t="s">
        <v>47</v>
      </c>
      <c r="G804" t="s">
        <v>5</v>
      </c>
    </row>
    <row r="805" spans="1:7" x14ac:dyDescent="0.3">
      <c r="A805" t="s">
        <v>15</v>
      </c>
      <c r="B805" s="1">
        <v>45838</v>
      </c>
      <c r="C805">
        <v>340309</v>
      </c>
      <c r="D805">
        <v>1.141</v>
      </c>
      <c r="E805" t="s">
        <v>4</v>
      </c>
      <c r="F805" t="s">
        <v>47</v>
      </c>
      <c r="G805" t="s">
        <v>5</v>
      </c>
    </row>
    <row r="806" spans="1:7" x14ac:dyDescent="0.3">
      <c r="A806" t="s">
        <v>15</v>
      </c>
      <c r="B806" s="1">
        <v>45838</v>
      </c>
      <c r="C806">
        <v>340310</v>
      </c>
      <c r="D806">
        <v>-16.108000000000001</v>
      </c>
      <c r="E806" t="s">
        <v>4</v>
      </c>
      <c r="F806" t="s">
        <v>47</v>
      </c>
      <c r="G806" t="s">
        <v>5</v>
      </c>
    </row>
    <row r="807" spans="1:7" x14ac:dyDescent="0.3">
      <c r="A807" t="s">
        <v>15</v>
      </c>
      <c r="B807" s="1">
        <v>45838</v>
      </c>
      <c r="C807">
        <v>340311</v>
      </c>
      <c r="D807">
        <v>1320672.4380000001</v>
      </c>
      <c r="E807" t="s">
        <v>4</v>
      </c>
      <c r="F807" t="s">
        <v>47</v>
      </c>
      <c r="G807" t="s">
        <v>5</v>
      </c>
    </row>
    <row r="808" spans="1:7" x14ac:dyDescent="0.3">
      <c r="A808" t="s">
        <v>15</v>
      </c>
      <c r="B808" s="1">
        <v>45838</v>
      </c>
      <c r="C808">
        <v>340312</v>
      </c>
      <c r="D808">
        <v>-1315328.6580000001</v>
      </c>
      <c r="E808" t="s">
        <v>4</v>
      </c>
      <c r="F808" t="s">
        <v>47</v>
      </c>
      <c r="G808" t="s">
        <v>5</v>
      </c>
    </row>
    <row r="809" spans="1:7" x14ac:dyDescent="0.3">
      <c r="A809" t="s">
        <v>15</v>
      </c>
      <c r="B809" s="1">
        <v>45838</v>
      </c>
      <c r="C809">
        <v>340321</v>
      </c>
      <c r="D809">
        <v>155</v>
      </c>
      <c r="E809" t="s">
        <v>4</v>
      </c>
      <c r="F809" t="s">
        <v>47</v>
      </c>
      <c r="G809" t="s">
        <v>5</v>
      </c>
    </row>
    <row r="810" spans="1:7" x14ac:dyDescent="0.3">
      <c r="A810" t="s">
        <v>15</v>
      </c>
      <c r="B810" s="1">
        <v>45838</v>
      </c>
      <c r="C810">
        <v>345002</v>
      </c>
      <c r="D810">
        <v>0</v>
      </c>
      <c r="E810" t="s">
        <v>4</v>
      </c>
      <c r="F810" t="s">
        <v>47</v>
      </c>
      <c r="G810" t="s">
        <v>5</v>
      </c>
    </row>
    <row r="811" spans="1:7" x14ac:dyDescent="0.3">
      <c r="A811" t="s">
        <v>15</v>
      </c>
      <c r="B811" s="1">
        <v>45838</v>
      </c>
      <c r="C811">
        <v>345004</v>
      </c>
      <c r="D811">
        <v>3420.7170000000001</v>
      </c>
      <c r="E811" t="s">
        <v>4</v>
      </c>
      <c r="F811" t="s">
        <v>47</v>
      </c>
      <c r="G811" t="s">
        <v>5</v>
      </c>
    </row>
    <row r="812" spans="1:7" x14ac:dyDescent="0.3">
      <c r="A812" t="s">
        <v>15</v>
      </c>
      <c r="B812" s="1">
        <v>45838</v>
      </c>
      <c r="C812">
        <v>345005</v>
      </c>
      <c r="D812">
        <v>131973.49299999999</v>
      </c>
      <c r="E812" t="s">
        <v>4</v>
      </c>
      <c r="F812" t="s">
        <v>47</v>
      </c>
      <c r="G812" t="s">
        <v>5</v>
      </c>
    </row>
    <row r="813" spans="1:7" x14ac:dyDescent="0.3">
      <c r="A813" t="s">
        <v>15</v>
      </c>
      <c r="B813" s="1">
        <v>45838</v>
      </c>
      <c r="C813">
        <v>345006</v>
      </c>
      <c r="D813">
        <v>700526.37899999996</v>
      </c>
      <c r="E813" t="s">
        <v>4</v>
      </c>
      <c r="F813" t="s">
        <v>47</v>
      </c>
      <c r="G813" t="s">
        <v>5</v>
      </c>
    </row>
    <row r="814" spans="1:7" x14ac:dyDescent="0.3">
      <c r="A814" t="s">
        <v>15</v>
      </c>
      <c r="B814" s="1">
        <v>45838</v>
      </c>
      <c r="C814">
        <v>345008</v>
      </c>
      <c r="D814">
        <v>0</v>
      </c>
      <c r="E814" t="s">
        <v>4</v>
      </c>
      <c r="F814" t="s">
        <v>47</v>
      </c>
      <c r="G814" t="s">
        <v>5</v>
      </c>
    </row>
    <row r="815" spans="1:7" x14ac:dyDescent="0.3">
      <c r="A815" t="s">
        <v>15</v>
      </c>
      <c r="B815" s="1">
        <v>45838</v>
      </c>
      <c r="C815">
        <v>345010</v>
      </c>
      <c r="D815">
        <v>0</v>
      </c>
      <c r="E815" t="s">
        <v>4</v>
      </c>
      <c r="F815" t="s">
        <v>47</v>
      </c>
      <c r="G815" t="s">
        <v>5</v>
      </c>
    </row>
    <row r="816" spans="1:7" x14ac:dyDescent="0.3">
      <c r="A816" t="s">
        <v>15</v>
      </c>
      <c r="B816" s="1">
        <v>45838</v>
      </c>
      <c r="C816">
        <v>345011</v>
      </c>
      <c r="D816">
        <v>566406.31200000003</v>
      </c>
      <c r="E816" t="s">
        <v>4</v>
      </c>
      <c r="F816" t="s">
        <v>47</v>
      </c>
      <c r="G816" t="s">
        <v>5</v>
      </c>
    </row>
    <row r="817" spans="1:7" x14ac:dyDescent="0.3">
      <c r="A817" t="s">
        <v>15</v>
      </c>
      <c r="B817" s="1">
        <v>45838</v>
      </c>
      <c r="C817">
        <v>345012</v>
      </c>
      <c r="D817">
        <v>0</v>
      </c>
      <c r="E817" t="s">
        <v>4</v>
      </c>
      <c r="F817" t="s">
        <v>47</v>
      </c>
      <c r="G817" t="s">
        <v>5</v>
      </c>
    </row>
    <row r="818" spans="1:7" x14ac:dyDescent="0.3">
      <c r="A818" t="s">
        <v>15</v>
      </c>
      <c r="B818" s="1">
        <v>45838</v>
      </c>
      <c r="C818">
        <v>345014</v>
      </c>
      <c r="D818">
        <v>0</v>
      </c>
      <c r="E818" t="s">
        <v>4</v>
      </c>
      <c r="F818" t="s">
        <v>47</v>
      </c>
      <c r="G818" t="s">
        <v>5</v>
      </c>
    </row>
    <row r="819" spans="1:7" x14ac:dyDescent="0.3">
      <c r="A819" t="s">
        <v>15</v>
      </c>
      <c r="B819" s="1">
        <v>45838</v>
      </c>
      <c r="C819">
        <v>345015</v>
      </c>
      <c r="D819">
        <v>4036046.355</v>
      </c>
      <c r="E819" t="s">
        <v>4</v>
      </c>
      <c r="F819" t="s">
        <v>47</v>
      </c>
      <c r="G819" t="s">
        <v>5</v>
      </c>
    </row>
    <row r="820" spans="1:7" x14ac:dyDescent="0.3">
      <c r="A820" t="s">
        <v>15</v>
      </c>
      <c r="B820" s="1">
        <v>45838</v>
      </c>
      <c r="C820">
        <v>345016</v>
      </c>
      <c r="D820">
        <v>1860000</v>
      </c>
      <c r="E820" t="s">
        <v>4</v>
      </c>
      <c r="F820" t="s">
        <v>47</v>
      </c>
      <c r="G820" t="s">
        <v>5</v>
      </c>
    </row>
    <row r="821" spans="1:7" x14ac:dyDescent="0.3">
      <c r="A821" t="s">
        <v>15</v>
      </c>
      <c r="B821" s="1">
        <v>45838</v>
      </c>
      <c r="C821">
        <v>345017</v>
      </c>
      <c r="D821">
        <v>1007500</v>
      </c>
      <c r="E821" t="s">
        <v>4</v>
      </c>
      <c r="F821" t="s">
        <v>47</v>
      </c>
      <c r="G821" t="s">
        <v>5</v>
      </c>
    </row>
    <row r="822" spans="1:7" x14ac:dyDescent="0.3">
      <c r="A822" t="s">
        <v>15</v>
      </c>
      <c r="B822" s="1">
        <v>45838</v>
      </c>
      <c r="C822">
        <v>345018</v>
      </c>
      <c r="D822">
        <v>232500</v>
      </c>
      <c r="E822" t="s">
        <v>4</v>
      </c>
      <c r="F822" t="s">
        <v>47</v>
      </c>
      <c r="G822" t="s">
        <v>5</v>
      </c>
    </row>
    <row r="823" spans="1:7" x14ac:dyDescent="0.3">
      <c r="A823" t="s">
        <v>15</v>
      </c>
      <c r="B823" s="1">
        <v>45838</v>
      </c>
      <c r="C823">
        <v>348007</v>
      </c>
      <c r="D823">
        <v>2747.308</v>
      </c>
      <c r="E823" t="s">
        <v>4</v>
      </c>
      <c r="F823" t="s">
        <v>47</v>
      </c>
      <c r="G823" t="s">
        <v>5</v>
      </c>
    </row>
    <row r="824" spans="1:7" x14ac:dyDescent="0.3">
      <c r="A824" t="s">
        <v>15</v>
      </c>
      <c r="B824" s="1">
        <v>45838</v>
      </c>
      <c r="C824">
        <v>348008</v>
      </c>
      <c r="D824">
        <v>1052.415</v>
      </c>
      <c r="E824" t="s">
        <v>4</v>
      </c>
      <c r="F824" t="s">
        <v>47</v>
      </c>
      <c r="G824" t="s">
        <v>5</v>
      </c>
    </row>
    <row r="825" spans="1:7" x14ac:dyDescent="0.3">
      <c r="A825" t="s">
        <v>15</v>
      </c>
      <c r="B825" s="1">
        <v>45838</v>
      </c>
      <c r="C825">
        <v>348009</v>
      </c>
      <c r="D825">
        <v>960.99099999999999</v>
      </c>
      <c r="E825" t="s">
        <v>4</v>
      </c>
      <c r="F825" t="s">
        <v>47</v>
      </c>
      <c r="G825" t="s">
        <v>5</v>
      </c>
    </row>
    <row r="826" spans="1:7" x14ac:dyDescent="0.3">
      <c r="A826" t="s">
        <v>15</v>
      </c>
      <c r="B826" s="1">
        <v>45838</v>
      </c>
      <c r="C826">
        <v>348010</v>
      </c>
      <c r="D826">
        <v>1831.722</v>
      </c>
      <c r="E826" t="s">
        <v>4</v>
      </c>
      <c r="F826" t="s">
        <v>47</v>
      </c>
      <c r="G826" t="s">
        <v>5</v>
      </c>
    </row>
    <row r="827" spans="1:7" x14ac:dyDescent="0.3">
      <c r="A827" t="s">
        <v>15</v>
      </c>
      <c r="B827" s="1">
        <v>45838</v>
      </c>
      <c r="C827">
        <v>348011</v>
      </c>
      <c r="D827">
        <v>1143.0150000000001</v>
      </c>
      <c r="E827" t="s">
        <v>4</v>
      </c>
      <c r="F827" t="s">
        <v>47</v>
      </c>
      <c r="G827" t="s">
        <v>5</v>
      </c>
    </row>
    <row r="828" spans="1:7" x14ac:dyDescent="0.3">
      <c r="A828" t="s">
        <v>15</v>
      </c>
      <c r="B828" s="1">
        <v>45838</v>
      </c>
      <c r="C828">
        <v>348014</v>
      </c>
      <c r="D828">
        <v>1016.847</v>
      </c>
      <c r="E828" t="s">
        <v>4</v>
      </c>
      <c r="F828" t="s">
        <v>47</v>
      </c>
      <c r="G828" t="s">
        <v>5</v>
      </c>
    </row>
    <row r="829" spans="1:7" x14ac:dyDescent="0.3">
      <c r="A829" t="s">
        <v>15</v>
      </c>
      <c r="B829" s="1">
        <v>45838</v>
      </c>
      <c r="C829">
        <v>348015</v>
      </c>
      <c r="D829">
        <v>612.62800000000004</v>
      </c>
      <c r="E829" t="s">
        <v>4</v>
      </c>
      <c r="F829" t="s">
        <v>47</v>
      </c>
      <c r="G829" t="s">
        <v>5</v>
      </c>
    </row>
    <row r="830" spans="1:7" x14ac:dyDescent="0.3">
      <c r="A830" t="s">
        <v>15</v>
      </c>
      <c r="B830" s="1">
        <v>45838</v>
      </c>
      <c r="C830">
        <v>348016</v>
      </c>
      <c r="D830">
        <v>583.01099999999997</v>
      </c>
      <c r="E830" t="s">
        <v>4</v>
      </c>
      <c r="F830" t="s">
        <v>47</v>
      </c>
      <c r="G830" t="s">
        <v>5</v>
      </c>
    </row>
    <row r="831" spans="1:7" x14ac:dyDescent="0.3">
      <c r="A831" t="s">
        <v>15</v>
      </c>
      <c r="B831" s="1">
        <v>45838</v>
      </c>
      <c r="C831">
        <v>348017</v>
      </c>
      <c r="D831">
        <v>582.48500000000001</v>
      </c>
      <c r="E831" t="s">
        <v>4</v>
      </c>
      <c r="F831" t="s">
        <v>47</v>
      </c>
      <c r="G831" t="s">
        <v>5</v>
      </c>
    </row>
    <row r="832" spans="1:7" x14ac:dyDescent="0.3">
      <c r="A832" t="s">
        <v>15</v>
      </c>
      <c r="B832" s="1">
        <v>45838</v>
      </c>
      <c r="C832">
        <v>348018</v>
      </c>
      <c r="D832">
        <v>1218.345</v>
      </c>
      <c r="E832" t="s">
        <v>4</v>
      </c>
      <c r="F832" t="s">
        <v>47</v>
      </c>
      <c r="G832" t="s">
        <v>5</v>
      </c>
    </row>
    <row r="833" spans="1:7" x14ac:dyDescent="0.3">
      <c r="A833" t="s">
        <v>15</v>
      </c>
      <c r="B833" s="1">
        <v>45838</v>
      </c>
      <c r="C833">
        <v>348019</v>
      </c>
      <c r="D833">
        <v>867.76499999999999</v>
      </c>
      <c r="E833" t="s">
        <v>4</v>
      </c>
      <c r="F833" t="s">
        <v>47</v>
      </c>
      <c r="G833" t="s">
        <v>5</v>
      </c>
    </row>
    <row r="834" spans="1:7" x14ac:dyDescent="0.3">
      <c r="A834" t="s">
        <v>15</v>
      </c>
      <c r="B834" s="1">
        <v>45838</v>
      </c>
      <c r="C834">
        <v>348020</v>
      </c>
      <c r="D834">
        <v>23250</v>
      </c>
      <c r="E834" t="s">
        <v>4</v>
      </c>
      <c r="F834" t="s">
        <v>47</v>
      </c>
      <c r="G834" t="s">
        <v>5</v>
      </c>
    </row>
    <row r="835" spans="1:7" x14ac:dyDescent="0.3">
      <c r="A835" t="s">
        <v>15</v>
      </c>
      <c r="B835" s="1">
        <v>45838</v>
      </c>
      <c r="C835">
        <v>350002</v>
      </c>
      <c r="D835">
        <v>8965.0869999999995</v>
      </c>
      <c r="E835" t="s">
        <v>4</v>
      </c>
      <c r="F835" t="s">
        <v>49</v>
      </c>
      <c r="G835" t="s">
        <v>5</v>
      </c>
    </row>
    <row r="836" spans="1:7" x14ac:dyDescent="0.3">
      <c r="A836" t="s">
        <v>15</v>
      </c>
      <c r="B836" s="1">
        <v>45838</v>
      </c>
      <c r="C836">
        <v>350003</v>
      </c>
      <c r="D836">
        <v>45286.087</v>
      </c>
      <c r="E836" t="s">
        <v>4</v>
      </c>
      <c r="F836" t="s">
        <v>49</v>
      </c>
      <c r="G836" t="s">
        <v>5</v>
      </c>
    </row>
    <row r="837" spans="1:7" x14ac:dyDescent="0.3">
      <c r="A837" t="s">
        <v>15</v>
      </c>
      <c r="B837" s="1">
        <v>45838</v>
      </c>
      <c r="C837">
        <v>350004</v>
      </c>
      <c r="D837">
        <v>0</v>
      </c>
      <c r="E837" t="s">
        <v>4</v>
      </c>
      <c r="F837" t="s">
        <v>49</v>
      </c>
      <c r="G837" t="s">
        <v>5</v>
      </c>
    </row>
    <row r="838" spans="1:7" x14ac:dyDescent="0.3">
      <c r="A838" t="s">
        <v>15</v>
      </c>
      <c r="B838" s="1">
        <v>45838</v>
      </c>
      <c r="C838">
        <v>350006</v>
      </c>
      <c r="D838">
        <v>22006.663</v>
      </c>
      <c r="E838" t="s">
        <v>4</v>
      </c>
      <c r="F838" t="s">
        <v>43</v>
      </c>
      <c r="G838" t="s">
        <v>5</v>
      </c>
    </row>
    <row r="839" spans="1:7" x14ac:dyDescent="0.3">
      <c r="A839" t="s">
        <v>15</v>
      </c>
      <c r="B839" s="1">
        <v>45838</v>
      </c>
      <c r="C839">
        <v>350007</v>
      </c>
      <c r="D839">
        <v>1362.2380000000001</v>
      </c>
      <c r="E839" t="s">
        <v>4</v>
      </c>
      <c r="F839" t="s">
        <v>49</v>
      </c>
      <c r="G839" t="s">
        <v>5</v>
      </c>
    </row>
    <row r="840" spans="1:7" x14ac:dyDescent="0.3">
      <c r="A840" t="s">
        <v>15</v>
      </c>
      <c r="B840" s="1">
        <v>45838</v>
      </c>
      <c r="C840">
        <v>350011</v>
      </c>
      <c r="D840">
        <v>0</v>
      </c>
      <c r="E840" t="s">
        <v>4</v>
      </c>
      <c r="F840" t="s">
        <v>49</v>
      </c>
      <c r="G840" t="s">
        <v>5</v>
      </c>
    </row>
    <row r="841" spans="1:7" x14ac:dyDescent="0.3">
      <c r="A841" t="s">
        <v>15</v>
      </c>
      <c r="B841" s="1">
        <v>45838</v>
      </c>
      <c r="C841">
        <v>350012</v>
      </c>
      <c r="D841">
        <v>-59804.125</v>
      </c>
      <c r="E841" t="s">
        <v>4</v>
      </c>
      <c r="F841" t="s">
        <v>49</v>
      </c>
      <c r="G841" t="s">
        <v>5</v>
      </c>
    </row>
    <row r="842" spans="1:7" x14ac:dyDescent="0.3">
      <c r="A842" t="s">
        <v>15</v>
      </c>
      <c r="B842" s="1">
        <v>45838</v>
      </c>
      <c r="C842">
        <v>350031</v>
      </c>
      <c r="D842">
        <v>9862.6890000000003</v>
      </c>
      <c r="E842" t="s">
        <v>4</v>
      </c>
      <c r="F842" t="s">
        <v>43</v>
      </c>
      <c r="G842" t="s">
        <v>5</v>
      </c>
    </row>
    <row r="843" spans="1:7" x14ac:dyDescent="0.3">
      <c r="A843" t="s">
        <v>15</v>
      </c>
      <c r="B843" s="1">
        <v>45838</v>
      </c>
      <c r="C843">
        <v>350034</v>
      </c>
      <c r="D843">
        <v>10773.816999999999</v>
      </c>
      <c r="E843" t="s">
        <v>4</v>
      </c>
      <c r="F843" t="s">
        <v>49</v>
      </c>
      <c r="G843" t="s">
        <v>5</v>
      </c>
    </row>
    <row r="844" spans="1:7" x14ac:dyDescent="0.3">
      <c r="A844" t="s">
        <v>15</v>
      </c>
      <c r="B844" s="1">
        <v>45838</v>
      </c>
      <c r="C844">
        <v>350035</v>
      </c>
      <c r="D844">
        <v>59184.531999999999</v>
      </c>
      <c r="E844" t="s">
        <v>4</v>
      </c>
      <c r="F844" t="s">
        <v>49</v>
      </c>
      <c r="G844" t="s">
        <v>5</v>
      </c>
    </row>
    <row r="845" spans="1:7" x14ac:dyDescent="0.3">
      <c r="A845" t="s">
        <v>15</v>
      </c>
      <c r="B845" s="1">
        <v>45838</v>
      </c>
      <c r="C845">
        <v>351002</v>
      </c>
      <c r="D845">
        <v>0</v>
      </c>
      <c r="E845" t="s">
        <v>4</v>
      </c>
      <c r="F845" t="s">
        <v>48</v>
      </c>
      <c r="G845" t="s">
        <v>5</v>
      </c>
    </row>
    <row r="846" spans="1:7" x14ac:dyDescent="0.3">
      <c r="A846" t="s">
        <v>15</v>
      </c>
      <c r="B846" s="1">
        <v>45838</v>
      </c>
      <c r="C846">
        <v>352002</v>
      </c>
      <c r="D846">
        <v>275358.91899999999</v>
      </c>
      <c r="E846" t="s">
        <v>4</v>
      </c>
      <c r="F846" t="s">
        <v>48</v>
      </c>
      <c r="G846" t="s">
        <v>5</v>
      </c>
    </row>
    <row r="847" spans="1:7" x14ac:dyDescent="0.3">
      <c r="A847" t="s">
        <v>15</v>
      </c>
      <c r="B847" s="1">
        <v>45838</v>
      </c>
      <c r="C847">
        <v>352003</v>
      </c>
      <c r="D847">
        <v>14719.718999999999</v>
      </c>
      <c r="E847" t="s">
        <v>4</v>
      </c>
      <c r="F847" t="s">
        <v>48</v>
      </c>
      <c r="G847" t="s">
        <v>5</v>
      </c>
    </row>
    <row r="848" spans="1:7" x14ac:dyDescent="0.3">
      <c r="A848" t="s">
        <v>15</v>
      </c>
      <c r="B848" s="1">
        <v>45838</v>
      </c>
      <c r="C848">
        <v>352004</v>
      </c>
      <c r="D848">
        <v>0</v>
      </c>
      <c r="E848" t="s">
        <v>4</v>
      </c>
      <c r="F848" t="s">
        <v>48</v>
      </c>
      <c r="G848" t="s">
        <v>5</v>
      </c>
    </row>
    <row r="849" spans="1:7" x14ac:dyDescent="0.3">
      <c r="A849" t="s">
        <v>15</v>
      </c>
      <c r="B849" s="1">
        <v>45838</v>
      </c>
      <c r="C849">
        <v>352005</v>
      </c>
      <c r="D849">
        <v>-14228.74</v>
      </c>
      <c r="E849" t="s">
        <v>4</v>
      </c>
      <c r="F849" t="s">
        <v>48</v>
      </c>
      <c r="G849" t="s">
        <v>5</v>
      </c>
    </row>
    <row r="850" spans="1:7" x14ac:dyDescent="0.3">
      <c r="A850" t="s">
        <v>15</v>
      </c>
      <c r="B850" s="1">
        <v>45838</v>
      </c>
      <c r="C850">
        <v>352006</v>
      </c>
      <c r="D850">
        <v>-46017.097999999998</v>
      </c>
      <c r="E850" t="s">
        <v>4</v>
      </c>
      <c r="F850" t="s">
        <v>48</v>
      </c>
      <c r="G850" t="s">
        <v>5</v>
      </c>
    </row>
    <row r="851" spans="1:7" x14ac:dyDescent="0.3">
      <c r="A851" t="s">
        <v>15</v>
      </c>
      <c r="B851" s="1">
        <v>45838</v>
      </c>
      <c r="C851">
        <v>354003</v>
      </c>
      <c r="D851">
        <v>0</v>
      </c>
      <c r="E851" t="s">
        <v>4</v>
      </c>
      <c r="F851" t="s">
        <v>46</v>
      </c>
      <c r="G851" t="s">
        <v>5</v>
      </c>
    </row>
    <row r="852" spans="1:7" x14ac:dyDescent="0.3">
      <c r="A852" t="s">
        <v>15</v>
      </c>
      <c r="B852" s="1">
        <v>45838</v>
      </c>
      <c r="C852">
        <v>354004</v>
      </c>
      <c r="D852">
        <v>0</v>
      </c>
      <c r="E852" t="s">
        <v>4</v>
      </c>
      <c r="F852" t="s">
        <v>46</v>
      </c>
      <c r="G852" t="s">
        <v>5</v>
      </c>
    </row>
    <row r="853" spans="1:7" x14ac:dyDescent="0.3">
      <c r="A853" t="s">
        <v>15</v>
      </c>
      <c r="B853" s="1">
        <v>45838</v>
      </c>
      <c r="C853">
        <v>354005</v>
      </c>
      <c r="D853">
        <v>0</v>
      </c>
      <c r="E853" t="s">
        <v>4</v>
      </c>
      <c r="F853" t="s">
        <v>46</v>
      </c>
      <c r="G853" t="s">
        <v>5</v>
      </c>
    </row>
    <row r="854" spans="1:7" x14ac:dyDescent="0.3">
      <c r="A854" t="s">
        <v>15</v>
      </c>
      <c r="B854" s="1">
        <v>45838</v>
      </c>
      <c r="C854">
        <v>354006</v>
      </c>
      <c r="D854">
        <v>0</v>
      </c>
      <c r="E854" t="s">
        <v>4</v>
      </c>
      <c r="F854" t="s">
        <v>46</v>
      </c>
      <c r="G854" t="s">
        <v>5</v>
      </c>
    </row>
    <row r="855" spans="1:7" x14ac:dyDescent="0.3">
      <c r="A855" t="s">
        <v>15</v>
      </c>
      <c r="B855" s="1">
        <v>45838</v>
      </c>
      <c r="C855">
        <v>354007</v>
      </c>
      <c r="D855">
        <v>0</v>
      </c>
      <c r="E855" t="s">
        <v>4</v>
      </c>
      <c r="F855" t="s">
        <v>46</v>
      </c>
      <c r="G855" t="s">
        <v>5</v>
      </c>
    </row>
    <row r="856" spans="1:7" x14ac:dyDescent="0.3">
      <c r="A856" t="s">
        <v>15</v>
      </c>
      <c r="B856" s="1">
        <v>45838</v>
      </c>
      <c r="C856">
        <v>354008</v>
      </c>
      <c r="D856">
        <v>-8950.0830000000005</v>
      </c>
      <c r="E856" t="s">
        <v>4</v>
      </c>
      <c r="F856" t="s">
        <v>46</v>
      </c>
      <c r="G856" t="s">
        <v>5</v>
      </c>
    </row>
    <row r="857" spans="1:7" x14ac:dyDescent="0.3">
      <c r="A857" t="s">
        <v>15</v>
      </c>
      <c r="B857" s="1">
        <v>45838</v>
      </c>
      <c r="C857">
        <v>354010</v>
      </c>
      <c r="D857">
        <v>0</v>
      </c>
      <c r="E857" t="s">
        <v>4</v>
      </c>
      <c r="F857" t="s">
        <v>43</v>
      </c>
      <c r="G857" t="s">
        <v>5</v>
      </c>
    </row>
    <row r="858" spans="1:7" x14ac:dyDescent="0.3">
      <c r="A858" t="s">
        <v>15</v>
      </c>
      <c r="B858" s="1">
        <v>45838</v>
      </c>
      <c r="C858">
        <v>354011</v>
      </c>
      <c r="D858">
        <v>-21155.735000000001</v>
      </c>
      <c r="E858" t="s">
        <v>4</v>
      </c>
      <c r="F858" t="s">
        <v>46</v>
      </c>
      <c r="G858" t="s">
        <v>5</v>
      </c>
    </row>
    <row r="859" spans="1:7" x14ac:dyDescent="0.3">
      <c r="A859" t="s">
        <v>15</v>
      </c>
      <c r="B859" s="1">
        <v>45838</v>
      </c>
      <c r="C859">
        <v>354012</v>
      </c>
      <c r="D859">
        <v>40024.478000000003</v>
      </c>
      <c r="E859" t="s">
        <v>4</v>
      </c>
      <c r="F859" t="s">
        <v>46</v>
      </c>
      <c r="G859" t="s">
        <v>5</v>
      </c>
    </row>
    <row r="860" spans="1:7" x14ac:dyDescent="0.3">
      <c r="A860" t="s">
        <v>15</v>
      </c>
      <c r="B860" s="1">
        <v>45838</v>
      </c>
      <c r="C860">
        <v>354013</v>
      </c>
      <c r="D860">
        <v>62113.302000000003</v>
      </c>
      <c r="E860" t="s">
        <v>4</v>
      </c>
      <c r="F860" t="s">
        <v>46</v>
      </c>
      <c r="G860" t="s">
        <v>5</v>
      </c>
    </row>
    <row r="861" spans="1:7" x14ac:dyDescent="0.3">
      <c r="A861" t="s">
        <v>15</v>
      </c>
      <c r="B861" s="1">
        <v>45838</v>
      </c>
      <c r="C861">
        <v>354014</v>
      </c>
      <c r="D861">
        <v>287386.15500000003</v>
      </c>
      <c r="E861" t="s">
        <v>4</v>
      </c>
      <c r="F861" t="s">
        <v>46</v>
      </c>
      <c r="G861" t="s">
        <v>5</v>
      </c>
    </row>
    <row r="862" spans="1:7" x14ac:dyDescent="0.3">
      <c r="A862" t="s">
        <v>15</v>
      </c>
      <c r="B862" s="1">
        <v>45838</v>
      </c>
      <c r="C862">
        <v>354015</v>
      </c>
      <c r="D862">
        <v>14490.192999999999</v>
      </c>
      <c r="E862" t="s">
        <v>4</v>
      </c>
      <c r="F862" t="s">
        <v>46</v>
      </c>
      <c r="G862" t="s">
        <v>5</v>
      </c>
    </row>
    <row r="863" spans="1:7" x14ac:dyDescent="0.3">
      <c r="A863" t="s">
        <v>15</v>
      </c>
      <c r="B863" s="1">
        <v>45838</v>
      </c>
      <c r="C863">
        <v>355002</v>
      </c>
      <c r="D863">
        <v>199050.93700000001</v>
      </c>
      <c r="E863" t="s">
        <v>4</v>
      </c>
      <c r="F863" t="s">
        <v>49</v>
      </c>
      <c r="G863" t="s">
        <v>5</v>
      </c>
    </row>
    <row r="864" spans="1:7" x14ac:dyDescent="0.3">
      <c r="A864" t="s">
        <v>15</v>
      </c>
      <c r="B864" s="1">
        <v>45838</v>
      </c>
      <c r="C864">
        <v>355003</v>
      </c>
      <c r="D864">
        <v>0</v>
      </c>
      <c r="E864" t="s">
        <v>4</v>
      </c>
      <c r="F864" t="s">
        <v>49</v>
      </c>
      <c r="G864" t="s">
        <v>5</v>
      </c>
    </row>
    <row r="865" spans="1:7" x14ac:dyDescent="0.3">
      <c r="A865" t="s">
        <v>15</v>
      </c>
      <c r="B865" s="1">
        <v>45838</v>
      </c>
      <c r="C865">
        <v>355009</v>
      </c>
      <c r="D865">
        <v>20828.794999999998</v>
      </c>
      <c r="E865" t="s">
        <v>4</v>
      </c>
      <c r="F865" t="s">
        <v>49</v>
      </c>
      <c r="G865" t="s">
        <v>5</v>
      </c>
    </row>
    <row r="866" spans="1:7" x14ac:dyDescent="0.3">
      <c r="A866" t="s">
        <v>15</v>
      </c>
      <c r="B866" s="1">
        <v>45838</v>
      </c>
      <c r="C866">
        <v>355013</v>
      </c>
      <c r="D866">
        <v>39594.714999999997</v>
      </c>
      <c r="E866" t="s">
        <v>4</v>
      </c>
      <c r="F866" t="s">
        <v>49</v>
      </c>
      <c r="G866" t="s">
        <v>5</v>
      </c>
    </row>
    <row r="867" spans="1:7" x14ac:dyDescent="0.3">
      <c r="A867" t="s">
        <v>15</v>
      </c>
      <c r="B867" s="1">
        <v>45838</v>
      </c>
      <c r="C867">
        <v>355014</v>
      </c>
      <c r="D867">
        <v>95945.634000000005</v>
      </c>
      <c r="E867" t="s">
        <v>4</v>
      </c>
      <c r="F867" t="s">
        <v>49</v>
      </c>
      <c r="G867" t="s">
        <v>5</v>
      </c>
    </row>
    <row r="868" spans="1:7" x14ac:dyDescent="0.3">
      <c r="A868" t="s">
        <v>15</v>
      </c>
      <c r="B868" s="1">
        <v>45838</v>
      </c>
      <c r="C868">
        <v>355015</v>
      </c>
      <c r="D868">
        <v>225060.52900000001</v>
      </c>
      <c r="E868" t="s">
        <v>4</v>
      </c>
      <c r="F868" t="s">
        <v>49</v>
      </c>
      <c r="G868" t="s">
        <v>5</v>
      </c>
    </row>
    <row r="869" spans="1:7" x14ac:dyDescent="0.3">
      <c r="A869" t="s">
        <v>15</v>
      </c>
      <c r="B869" s="1">
        <v>45838</v>
      </c>
      <c r="C869">
        <v>356002</v>
      </c>
      <c r="D869">
        <v>157754.26300000001</v>
      </c>
      <c r="E869" t="s">
        <v>4</v>
      </c>
      <c r="F869" t="s">
        <v>48</v>
      </c>
      <c r="G869" t="s">
        <v>5</v>
      </c>
    </row>
    <row r="870" spans="1:7" x14ac:dyDescent="0.3">
      <c r="A870" t="s">
        <v>15</v>
      </c>
      <c r="B870" s="1">
        <v>45838</v>
      </c>
      <c r="C870">
        <v>356003</v>
      </c>
      <c r="D870">
        <v>-215009.552</v>
      </c>
      <c r="E870" t="s">
        <v>4</v>
      </c>
      <c r="F870" t="s">
        <v>48</v>
      </c>
      <c r="G870" t="s">
        <v>5</v>
      </c>
    </row>
    <row r="871" spans="1:7" x14ac:dyDescent="0.3">
      <c r="A871" t="s">
        <v>15</v>
      </c>
      <c r="B871" s="1">
        <v>45838</v>
      </c>
      <c r="C871">
        <v>356004</v>
      </c>
      <c r="D871">
        <v>3452.8359999999998</v>
      </c>
      <c r="E871" t="s">
        <v>4</v>
      </c>
      <c r="F871" t="s">
        <v>48</v>
      </c>
      <c r="G871" t="s">
        <v>5</v>
      </c>
    </row>
    <row r="872" spans="1:7" x14ac:dyDescent="0.3">
      <c r="A872" t="s">
        <v>15</v>
      </c>
      <c r="B872" s="1">
        <v>45838</v>
      </c>
      <c r="C872">
        <v>356005</v>
      </c>
      <c r="D872">
        <v>958.89400000000001</v>
      </c>
      <c r="E872" t="s">
        <v>4</v>
      </c>
      <c r="F872" t="s">
        <v>48</v>
      </c>
      <c r="G872" t="s">
        <v>5</v>
      </c>
    </row>
    <row r="873" spans="1:7" x14ac:dyDescent="0.3">
      <c r="A873" t="s">
        <v>15</v>
      </c>
      <c r="B873" s="1">
        <v>45838</v>
      </c>
      <c r="C873">
        <v>360002</v>
      </c>
      <c r="D873">
        <v>0</v>
      </c>
      <c r="E873" t="s">
        <v>4</v>
      </c>
      <c r="F873" t="s">
        <v>58</v>
      </c>
      <c r="G873" t="s">
        <v>5</v>
      </c>
    </row>
    <row r="874" spans="1:7" x14ac:dyDescent="0.3">
      <c r="A874" t="s">
        <v>15</v>
      </c>
      <c r="B874" s="1">
        <v>45838</v>
      </c>
      <c r="C874">
        <v>360003</v>
      </c>
      <c r="D874">
        <v>4351.6270000000004</v>
      </c>
      <c r="E874" t="s">
        <v>4</v>
      </c>
      <c r="F874" t="s">
        <v>58</v>
      </c>
      <c r="G874" t="s">
        <v>5</v>
      </c>
    </row>
    <row r="875" spans="1:7" x14ac:dyDescent="0.3">
      <c r="A875" t="s">
        <v>15</v>
      </c>
      <c r="B875" s="1">
        <v>45838</v>
      </c>
      <c r="C875">
        <v>360005</v>
      </c>
      <c r="D875">
        <v>46653.572999999997</v>
      </c>
      <c r="E875" t="s">
        <v>4</v>
      </c>
      <c r="F875" t="s">
        <v>58</v>
      </c>
      <c r="G875" t="s">
        <v>5</v>
      </c>
    </row>
    <row r="876" spans="1:7" x14ac:dyDescent="0.3">
      <c r="A876" t="s">
        <v>15</v>
      </c>
      <c r="B876" s="1">
        <v>45838</v>
      </c>
      <c r="C876">
        <v>360007</v>
      </c>
      <c r="D876">
        <v>0</v>
      </c>
      <c r="E876" t="s">
        <v>4</v>
      </c>
      <c r="F876" t="s">
        <v>58</v>
      </c>
      <c r="G876" t="s">
        <v>5</v>
      </c>
    </row>
    <row r="877" spans="1:7" x14ac:dyDescent="0.3">
      <c r="A877" t="s">
        <v>15</v>
      </c>
      <c r="B877" s="1">
        <v>45838</v>
      </c>
      <c r="C877">
        <v>360009</v>
      </c>
      <c r="D877">
        <v>40429.805999999997</v>
      </c>
      <c r="E877" t="s">
        <v>4</v>
      </c>
      <c r="F877" t="s">
        <v>58</v>
      </c>
      <c r="G877" t="s">
        <v>5</v>
      </c>
    </row>
    <row r="878" spans="1:7" x14ac:dyDescent="0.3">
      <c r="A878" t="s">
        <v>15</v>
      </c>
      <c r="B878" s="1">
        <v>45838</v>
      </c>
      <c r="C878">
        <v>360010</v>
      </c>
      <c r="D878">
        <v>0</v>
      </c>
      <c r="E878" t="s">
        <v>4</v>
      </c>
      <c r="F878" t="s">
        <v>58</v>
      </c>
      <c r="G878" t="s">
        <v>5</v>
      </c>
    </row>
    <row r="879" spans="1:7" x14ac:dyDescent="0.3">
      <c r="A879" t="s">
        <v>15</v>
      </c>
      <c r="B879" s="1">
        <v>45838</v>
      </c>
      <c r="C879">
        <v>360012</v>
      </c>
      <c r="D879">
        <v>0</v>
      </c>
      <c r="E879" t="s">
        <v>4</v>
      </c>
      <c r="F879" t="s">
        <v>58</v>
      </c>
      <c r="G879" t="s">
        <v>5</v>
      </c>
    </row>
    <row r="880" spans="1:7" x14ac:dyDescent="0.3">
      <c r="A880" t="s">
        <v>15</v>
      </c>
      <c r="B880" s="1">
        <v>45838</v>
      </c>
      <c r="C880">
        <v>360013</v>
      </c>
      <c r="D880">
        <v>59455.959000000003</v>
      </c>
      <c r="E880" t="s">
        <v>4</v>
      </c>
      <c r="F880" t="s">
        <v>58</v>
      </c>
      <c r="G880" t="s">
        <v>5</v>
      </c>
    </row>
    <row r="881" spans="1:7" x14ac:dyDescent="0.3">
      <c r="A881" t="s">
        <v>15</v>
      </c>
      <c r="B881" s="1">
        <v>45838</v>
      </c>
      <c r="C881">
        <v>360014</v>
      </c>
      <c r="D881">
        <v>0</v>
      </c>
      <c r="E881" t="s">
        <v>4</v>
      </c>
      <c r="F881" t="s">
        <v>58</v>
      </c>
      <c r="G881" t="s">
        <v>5</v>
      </c>
    </row>
    <row r="882" spans="1:7" x14ac:dyDescent="0.3">
      <c r="A882" t="s">
        <v>15</v>
      </c>
      <c r="B882" s="1">
        <v>45838</v>
      </c>
      <c r="C882">
        <v>360015</v>
      </c>
      <c r="D882">
        <v>0</v>
      </c>
      <c r="E882" t="s">
        <v>4</v>
      </c>
      <c r="F882" t="s">
        <v>58</v>
      </c>
      <c r="G882" t="s">
        <v>5</v>
      </c>
    </row>
    <row r="883" spans="1:7" x14ac:dyDescent="0.3">
      <c r="A883" t="s">
        <v>15</v>
      </c>
      <c r="B883" s="1">
        <v>45838</v>
      </c>
      <c r="C883">
        <v>360016</v>
      </c>
      <c r="D883">
        <v>10108.454</v>
      </c>
      <c r="E883" t="s">
        <v>4</v>
      </c>
      <c r="F883" t="s">
        <v>58</v>
      </c>
      <c r="G883" t="s">
        <v>5</v>
      </c>
    </row>
    <row r="884" spans="1:7" x14ac:dyDescent="0.3">
      <c r="A884" t="s">
        <v>15</v>
      </c>
      <c r="B884" s="1">
        <v>45838</v>
      </c>
      <c r="C884">
        <v>360017</v>
      </c>
      <c r="D884">
        <v>71672.911999999997</v>
      </c>
      <c r="E884" t="s">
        <v>4</v>
      </c>
      <c r="F884" t="s">
        <v>58</v>
      </c>
      <c r="G884" t="s">
        <v>5</v>
      </c>
    </row>
    <row r="885" spans="1:7" x14ac:dyDescent="0.3">
      <c r="A885" t="s">
        <v>15</v>
      </c>
      <c r="B885" s="1">
        <v>45838</v>
      </c>
      <c r="C885">
        <v>360019</v>
      </c>
      <c r="D885">
        <v>1147</v>
      </c>
      <c r="E885" t="s">
        <v>4</v>
      </c>
      <c r="F885" t="s">
        <v>58</v>
      </c>
      <c r="G885" t="s">
        <v>5</v>
      </c>
    </row>
    <row r="886" spans="1:7" x14ac:dyDescent="0.3">
      <c r="A886" t="s">
        <v>15</v>
      </c>
      <c r="B886" s="1">
        <v>45838</v>
      </c>
      <c r="C886">
        <v>360020</v>
      </c>
      <c r="D886">
        <v>0</v>
      </c>
      <c r="E886" t="s">
        <v>4</v>
      </c>
      <c r="F886" t="s">
        <v>58</v>
      </c>
      <c r="G886" t="s">
        <v>5</v>
      </c>
    </row>
    <row r="887" spans="1:7" x14ac:dyDescent="0.3">
      <c r="A887" t="s">
        <v>15</v>
      </c>
      <c r="B887" s="1">
        <v>45838</v>
      </c>
      <c r="C887">
        <v>360022</v>
      </c>
      <c r="D887">
        <v>0</v>
      </c>
      <c r="E887" t="s">
        <v>4</v>
      </c>
      <c r="F887" t="s">
        <v>58</v>
      </c>
      <c r="G887" t="s">
        <v>5</v>
      </c>
    </row>
    <row r="888" spans="1:7" x14ac:dyDescent="0.3">
      <c r="A888" t="s">
        <v>15</v>
      </c>
      <c r="B888" s="1">
        <v>45838</v>
      </c>
      <c r="C888">
        <v>360023</v>
      </c>
      <c r="D888">
        <v>0</v>
      </c>
      <c r="E888" t="s">
        <v>4</v>
      </c>
      <c r="F888" t="s">
        <v>58</v>
      </c>
      <c r="G888" t="s">
        <v>5</v>
      </c>
    </row>
    <row r="889" spans="1:7" x14ac:dyDescent="0.3">
      <c r="A889" t="s">
        <v>15</v>
      </c>
      <c r="B889" s="1">
        <v>45838</v>
      </c>
      <c r="C889">
        <v>360024</v>
      </c>
      <c r="D889">
        <v>0</v>
      </c>
      <c r="E889" t="s">
        <v>4</v>
      </c>
      <c r="F889" t="s">
        <v>58</v>
      </c>
      <c r="G889" t="s">
        <v>5</v>
      </c>
    </row>
    <row r="890" spans="1:7" x14ac:dyDescent="0.3">
      <c r="A890" t="s">
        <v>15</v>
      </c>
      <c r="B890" s="1">
        <v>45838</v>
      </c>
      <c r="C890">
        <v>360026</v>
      </c>
      <c r="D890">
        <v>0</v>
      </c>
      <c r="E890" t="s">
        <v>4</v>
      </c>
      <c r="F890" t="s">
        <v>58</v>
      </c>
      <c r="G890" t="s">
        <v>5</v>
      </c>
    </row>
    <row r="891" spans="1:7" x14ac:dyDescent="0.3">
      <c r="A891" t="s">
        <v>15</v>
      </c>
      <c r="B891" s="1">
        <v>45838</v>
      </c>
      <c r="C891">
        <v>360027</v>
      </c>
      <c r="D891">
        <v>0</v>
      </c>
      <c r="E891" t="s">
        <v>4</v>
      </c>
      <c r="F891" t="s">
        <v>58</v>
      </c>
      <c r="G891" t="s">
        <v>5</v>
      </c>
    </row>
    <row r="892" spans="1:7" x14ac:dyDescent="0.3">
      <c r="A892" t="s">
        <v>15</v>
      </c>
      <c r="B892" s="1">
        <v>45838</v>
      </c>
      <c r="C892">
        <v>360028</v>
      </c>
      <c r="D892">
        <v>0</v>
      </c>
      <c r="E892" t="s">
        <v>4</v>
      </c>
      <c r="F892" t="s">
        <v>58</v>
      </c>
      <c r="G892" t="s">
        <v>5</v>
      </c>
    </row>
    <row r="893" spans="1:7" x14ac:dyDescent="0.3">
      <c r="A893" t="s">
        <v>15</v>
      </c>
      <c r="B893" s="1">
        <v>45838</v>
      </c>
      <c r="C893">
        <v>360029</v>
      </c>
      <c r="D893">
        <v>0</v>
      </c>
      <c r="E893" t="s">
        <v>4</v>
      </c>
      <c r="F893" t="s">
        <v>58</v>
      </c>
      <c r="G893" t="s">
        <v>5</v>
      </c>
    </row>
    <row r="894" spans="1:7" x14ac:dyDescent="0.3">
      <c r="A894" t="s">
        <v>15</v>
      </c>
      <c r="B894" s="1">
        <v>45838</v>
      </c>
      <c r="C894">
        <v>360030</v>
      </c>
      <c r="D894">
        <v>1061750</v>
      </c>
      <c r="E894" t="s">
        <v>4</v>
      </c>
      <c r="F894" t="s">
        <v>58</v>
      </c>
      <c r="G894" t="s">
        <v>5</v>
      </c>
    </row>
    <row r="895" spans="1:7" x14ac:dyDescent="0.3">
      <c r="A895" t="s">
        <v>15</v>
      </c>
      <c r="B895" s="1">
        <v>45838</v>
      </c>
      <c r="C895">
        <v>360031</v>
      </c>
      <c r="D895">
        <v>673.58500000000004</v>
      </c>
      <c r="E895" t="s">
        <v>4</v>
      </c>
      <c r="F895" t="s">
        <v>58</v>
      </c>
      <c r="G895" t="s">
        <v>5</v>
      </c>
    </row>
    <row r="896" spans="1:7" x14ac:dyDescent="0.3">
      <c r="A896" t="s">
        <v>15</v>
      </c>
      <c r="B896" s="1">
        <v>45838</v>
      </c>
      <c r="C896">
        <v>360032</v>
      </c>
      <c r="D896">
        <v>186000</v>
      </c>
      <c r="E896" t="s">
        <v>4</v>
      </c>
      <c r="F896" t="s">
        <v>58</v>
      </c>
      <c r="G896" t="s">
        <v>5</v>
      </c>
    </row>
    <row r="897" spans="1:7" x14ac:dyDescent="0.3">
      <c r="A897" t="s">
        <v>15</v>
      </c>
      <c r="B897" s="1">
        <v>45838</v>
      </c>
      <c r="C897">
        <v>360033</v>
      </c>
      <c r="D897">
        <v>3296.723</v>
      </c>
      <c r="E897" t="s">
        <v>4</v>
      </c>
      <c r="F897" t="s">
        <v>58</v>
      </c>
      <c r="G897" t="s">
        <v>5</v>
      </c>
    </row>
    <row r="898" spans="1:7" x14ac:dyDescent="0.3">
      <c r="A898" t="s">
        <v>15</v>
      </c>
      <c r="B898" s="1">
        <v>45838</v>
      </c>
      <c r="C898">
        <v>362006</v>
      </c>
      <c r="D898">
        <v>-1E-3</v>
      </c>
      <c r="E898" t="s">
        <v>4</v>
      </c>
      <c r="F898" t="s">
        <v>58</v>
      </c>
      <c r="G898" t="s">
        <v>5</v>
      </c>
    </row>
    <row r="899" spans="1:7" x14ac:dyDescent="0.3">
      <c r="A899" t="s">
        <v>15</v>
      </c>
      <c r="B899" s="1">
        <v>45838</v>
      </c>
      <c r="C899">
        <v>362007</v>
      </c>
      <c r="D899">
        <v>18564.174999999999</v>
      </c>
      <c r="E899" t="s">
        <v>4</v>
      </c>
      <c r="F899" t="s">
        <v>58</v>
      </c>
      <c r="G899" t="s">
        <v>5</v>
      </c>
    </row>
    <row r="900" spans="1:7" x14ac:dyDescent="0.3">
      <c r="A900" t="s">
        <v>15</v>
      </c>
      <c r="B900" s="1">
        <v>45838</v>
      </c>
      <c r="C900">
        <v>362010</v>
      </c>
      <c r="D900">
        <v>0</v>
      </c>
      <c r="E900" t="s">
        <v>4</v>
      </c>
      <c r="F900" t="s">
        <v>58</v>
      </c>
      <c r="G900" t="s">
        <v>5</v>
      </c>
    </row>
    <row r="901" spans="1:7" x14ac:dyDescent="0.3">
      <c r="A901" t="s">
        <v>15</v>
      </c>
      <c r="B901" s="1">
        <v>45838</v>
      </c>
      <c r="C901">
        <v>362011</v>
      </c>
      <c r="D901">
        <v>0</v>
      </c>
      <c r="E901" t="s">
        <v>4</v>
      </c>
      <c r="F901" t="s">
        <v>58</v>
      </c>
      <c r="G901" t="s">
        <v>5</v>
      </c>
    </row>
    <row r="902" spans="1:7" x14ac:dyDescent="0.3">
      <c r="A902" t="s">
        <v>15</v>
      </c>
      <c r="B902" s="1">
        <v>45838</v>
      </c>
      <c r="C902">
        <v>362012</v>
      </c>
      <c r="D902">
        <v>-1E-3</v>
      </c>
      <c r="E902" t="s">
        <v>4</v>
      </c>
      <c r="F902" t="s">
        <v>58</v>
      </c>
      <c r="G902" t="s">
        <v>5</v>
      </c>
    </row>
    <row r="903" spans="1:7" x14ac:dyDescent="0.3">
      <c r="A903" t="s">
        <v>15</v>
      </c>
      <c r="B903" s="1">
        <v>45838</v>
      </c>
      <c r="C903">
        <v>362013</v>
      </c>
      <c r="D903">
        <v>0</v>
      </c>
      <c r="E903" t="s">
        <v>4</v>
      </c>
      <c r="F903" t="s">
        <v>58</v>
      </c>
      <c r="G903" t="s">
        <v>5</v>
      </c>
    </row>
    <row r="904" spans="1:7" x14ac:dyDescent="0.3">
      <c r="A904" t="s">
        <v>15</v>
      </c>
      <c r="B904" s="1">
        <v>45838</v>
      </c>
      <c r="C904">
        <v>362014</v>
      </c>
      <c r="D904">
        <v>0</v>
      </c>
      <c r="E904" t="s">
        <v>4</v>
      </c>
      <c r="F904" t="s">
        <v>58</v>
      </c>
      <c r="G904" t="s">
        <v>5</v>
      </c>
    </row>
    <row r="905" spans="1:7" x14ac:dyDescent="0.3">
      <c r="A905" t="s">
        <v>15</v>
      </c>
      <c r="B905" s="1">
        <v>45838</v>
      </c>
      <c r="C905">
        <v>362015</v>
      </c>
      <c r="D905">
        <v>491310.32400000002</v>
      </c>
      <c r="E905" t="s">
        <v>4</v>
      </c>
      <c r="F905" t="s">
        <v>58</v>
      </c>
      <c r="G905" t="s">
        <v>5</v>
      </c>
    </row>
    <row r="906" spans="1:7" x14ac:dyDescent="0.3">
      <c r="A906" t="s">
        <v>15</v>
      </c>
      <c r="B906" s="1">
        <v>45838</v>
      </c>
      <c r="C906">
        <v>362016</v>
      </c>
      <c r="D906">
        <v>408621.69699999999</v>
      </c>
      <c r="E906" t="s">
        <v>4</v>
      </c>
      <c r="F906" t="s">
        <v>58</v>
      </c>
      <c r="G906" t="s">
        <v>5</v>
      </c>
    </row>
    <row r="907" spans="1:7" x14ac:dyDescent="0.3">
      <c r="A907" t="s">
        <v>15</v>
      </c>
      <c r="B907" s="1">
        <v>45838</v>
      </c>
      <c r="C907">
        <v>362017</v>
      </c>
      <c r="D907">
        <v>334634.141</v>
      </c>
      <c r="E907" t="s">
        <v>4</v>
      </c>
      <c r="F907" t="s">
        <v>58</v>
      </c>
      <c r="G907" t="s">
        <v>5</v>
      </c>
    </row>
    <row r="908" spans="1:7" x14ac:dyDescent="0.3">
      <c r="A908" t="s">
        <v>15</v>
      </c>
      <c r="B908" s="1">
        <v>45838</v>
      </c>
      <c r="C908">
        <v>362018</v>
      </c>
      <c r="D908">
        <v>280487.95600000001</v>
      </c>
      <c r="E908" t="s">
        <v>4</v>
      </c>
      <c r="F908" t="s">
        <v>58</v>
      </c>
      <c r="G908" t="s">
        <v>5</v>
      </c>
    </row>
    <row r="909" spans="1:7" x14ac:dyDescent="0.3">
      <c r="A909" t="s">
        <v>15</v>
      </c>
      <c r="B909" s="1">
        <v>45838</v>
      </c>
      <c r="C909">
        <v>362019</v>
      </c>
      <c r="D909">
        <v>16176.566999999999</v>
      </c>
      <c r="E909" t="s">
        <v>4</v>
      </c>
      <c r="F909" t="s">
        <v>58</v>
      </c>
      <c r="G909" t="s">
        <v>5</v>
      </c>
    </row>
    <row r="910" spans="1:7" x14ac:dyDescent="0.3">
      <c r="A910" t="s">
        <v>15</v>
      </c>
      <c r="B910" s="1">
        <v>45838</v>
      </c>
      <c r="C910">
        <v>364004</v>
      </c>
      <c r="D910">
        <v>0</v>
      </c>
      <c r="E910" t="s">
        <v>4</v>
      </c>
      <c r="F910" t="s">
        <v>58</v>
      </c>
      <c r="G910" t="s">
        <v>5</v>
      </c>
    </row>
    <row r="911" spans="1:7" x14ac:dyDescent="0.3">
      <c r="A911" t="s">
        <v>15</v>
      </c>
      <c r="B911" s="1">
        <v>45838</v>
      </c>
      <c r="C911">
        <v>364011</v>
      </c>
      <c r="D911">
        <v>0</v>
      </c>
      <c r="E911" t="s">
        <v>4</v>
      </c>
      <c r="F911" t="s">
        <v>58</v>
      </c>
      <c r="G911" t="s">
        <v>5</v>
      </c>
    </row>
    <row r="912" spans="1:7" x14ac:dyDescent="0.3">
      <c r="A912" t="s">
        <v>15</v>
      </c>
      <c r="B912" s="1">
        <v>45838</v>
      </c>
      <c r="C912">
        <v>364012</v>
      </c>
      <c r="D912">
        <v>0</v>
      </c>
      <c r="E912" t="s">
        <v>4</v>
      </c>
      <c r="F912" t="s">
        <v>58</v>
      </c>
      <c r="G912" t="s">
        <v>5</v>
      </c>
    </row>
    <row r="913" spans="1:7" x14ac:dyDescent="0.3">
      <c r="A913" t="s">
        <v>15</v>
      </c>
      <c r="B913" s="1">
        <v>45838</v>
      </c>
      <c r="C913">
        <v>364013</v>
      </c>
      <c r="D913">
        <v>0</v>
      </c>
      <c r="E913" t="s">
        <v>4</v>
      </c>
      <c r="F913" t="s">
        <v>58</v>
      </c>
      <c r="G913" t="s">
        <v>5</v>
      </c>
    </row>
    <row r="914" spans="1:7" x14ac:dyDescent="0.3">
      <c r="A914" t="s">
        <v>15</v>
      </c>
      <c r="B914" s="1">
        <v>45838</v>
      </c>
      <c r="C914">
        <v>364502</v>
      </c>
      <c r="D914">
        <v>624022.96</v>
      </c>
      <c r="E914" t="s">
        <v>4</v>
      </c>
      <c r="F914" t="s">
        <v>58</v>
      </c>
      <c r="G914" t="s">
        <v>5</v>
      </c>
    </row>
    <row r="915" spans="1:7" x14ac:dyDescent="0.3">
      <c r="A915" t="s">
        <v>15</v>
      </c>
      <c r="B915" s="1">
        <v>45838</v>
      </c>
      <c r="C915">
        <v>365002</v>
      </c>
      <c r="D915">
        <v>349.84399999999999</v>
      </c>
      <c r="E915" t="s">
        <v>4</v>
      </c>
      <c r="F915" t="s">
        <v>45</v>
      </c>
      <c r="G915" t="s">
        <v>5</v>
      </c>
    </row>
    <row r="916" spans="1:7" x14ac:dyDescent="0.3">
      <c r="A916" t="s">
        <v>15</v>
      </c>
      <c r="B916" s="1">
        <v>45838</v>
      </c>
      <c r="C916">
        <v>365003</v>
      </c>
      <c r="D916">
        <v>33594.084999999999</v>
      </c>
      <c r="E916" t="s">
        <v>4</v>
      </c>
      <c r="F916" t="s">
        <v>45</v>
      </c>
      <c r="G916" t="s">
        <v>5</v>
      </c>
    </row>
    <row r="917" spans="1:7" x14ac:dyDescent="0.3">
      <c r="A917" t="s">
        <v>15</v>
      </c>
      <c r="B917" s="1">
        <v>45838</v>
      </c>
      <c r="C917">
        <v>365004</v>
      </c>
      <c r="D917">
        <v>146005.899</v>
      </c>
      <c r="E917" t="s">
        <v>4</v>
      </c>
      <c r="F917" t="s">
        <v>45</v>
      </c>
      <c r="G917" t="s">
        <v>5</v>
      </c>
    </row>
    <row r="918" spans="1:7" x14ac:dyDescent="0.3">
      <c r="A918" t="s">
        <v>15</v>
      </c>
      <c r="B918" s="1">
        <v>45838</v>
      </c>
      <c r="C918">
        <v>365005</v>
      </c>
      <c r="D918">
        <v>349.84399999999999</v>
      </c>
      <c r="E918" t="s">
        <v>4</v>
      </c>
      <c r="F918" t="s">
        <v>45</v>
      </c>
      <c r="G918" t="s">
        <v>5</v>
      </c>
    </row>
    <row r="919" spans="1:7" x14ac:dyDescent="0.3">
      <c r="A919" t="s">
        <v>15</v>
      </c>
      <c r="B919" s="1">
        <v>45838</v>
      </c>
      <c r="C919">
        <v>365006</v>
      </c>
      <c r="D919">
        <v>33438.646999999997</v>
      </c>
      <c r="E919" t="s">
        <v>4</v>
      </c>
      <c r="F919" t="s">
        <v>45</v>
      </c>
      <c r="G919" t="s">
        <v>5</v>
      </c>
    </row>
    <row r="920" spans="1:7" x14ac:dyDescent="0.3">
      <c r="A920" t="s">
        <v>15</v>
      </c>
      <c r="B920" s="1">
        <v>45838</v>
      </c>
      <c r="C920">
        <v>365007</v>
      </c>
      <c r="D920">
        <v>116855.30100000001</v>
      </c>
      <c r="E920" t="s">
        <v>4</v>
      </c>
      <c r="F920" t="s">
        <v>45</v>
      </c>
      <c r="G920" t="s">
        <v>5</v>
      </c>
    </row>
    <row r="921" spans="1:7" x14ac:dyDescent="0.3">
      <c r="A921" t="s">
        <v>15</v>
      </c>
      <c r="B921" s="1">
        <v>45838</v>
      </c>
      <c r="C921">
        <v>365008</v>
      </c>
      <c r="D921">
        <v>7800.5810000000001</v>
      </c>
      <c r="E921" t="s">
        <v>4</v>
      </c>
      <c r="F921" t="s">
        <v>45</v>
      </c>
      <c r="G921" t="s">
        <v>5</v>
      </c>
    </row>
    <row r="922" spans="1:7" x14ac:dyDescent="0.3">
      <c r="A922" t="s">
        <v>15</v>
      </c>
      <c r="B922" s="1">
        <v>45838</v>
      </c>
      <c r="C922">
        <v>365009</v>
      </c>
      <c r="D922">
        <v>168594.7</v>
      </c>
      <c r="E922" t="s">
        <v>4</v>
      </c>
      <c r="F922" t="s">
        <v>45</v>
      </c>
      <c r="G922" t="s">
        <v>5</v>
      </c>
    </row>
    <row r="923" spans="1:7" x14ac:dyDescent="0.3">
      <c r="A923" t="s">
        <v>15</v>
      </c>
      <c r="B923" s="1">
        <v>45838</v>
      </c>
      <c r="C923">
        <v>365010</v>
      </c>
      <c r="D923">
        <v>358779.21100000001</v>
      </c>
      <c r="E923" t="s">
        <v>4</v>
      </c>
      <c r="F923" t="s">
        <v>45</v>
      </c>
      <c r="G923" t="s">
        <v>5</v>
      </c>
    </row>
    <row r="924" spans="1:7" x14ac:dyDescent="0.3">
      <c r="A924" t="s">
        <v>15</v>
      </c>
      <c r="B924" s="1">
        <v>45838</v>
      </c>
      <c r="C924">
        <v>365020</v>
      </c>
      <c r="D924">
        <v>370.69200000000001</v>
      </c>
      <c r="E924" t="s">
        <v>4</v>
      </c>
      <c r="F924" t="s">
        <v>45</v>
      </c>
      <c r="G924" t="s">
        <v>5</v>
      </c>
    </row>
    <row r="925" spans="1:7" x14ac:dyDescent="0.3">
      <c r="A925" t="s">
        <v>15</v>
      </c>
      <c r="B925" s="1">
        <v>45838</v>
      </c>
      <c r="C925">
        <v>365021</v>
      </c>
      <c r="D925">
        <v>83033.288</v>
      </c>
      <c r="E925" t="s">
        <v>4</v>
      </c>
      <c r="F925" t="s">
        <v>45</v>
      </c>
      <c r="G925" t="s">
        <v>5</v>
      </c>
    </row>
    <row r="926" spans="1:7" x14ac:dyDescent="0.3">
      <c r="A926" t="s">
        <v>15</v>
      </c>
      <c r="B926" s="1">
        <v>45838</v>
      </c>
      <c r="C926">
        <v>370002</v>
      </c>
      <c r="D926">
        <v>54408.339</v>
      </c>
      <c r="E926" t="s">
        <v>4</v>
      </c>
      <c r="F926" t="s">
        <v>45</v>
      </c>
      <c r="G926" t="s">
        <v>5</v>
      </c>
    </row>
    <row r="927" spans="1:7" x14ac:dyDescent="0.3">
      <c r="A927" t="s">
        <v>15</v>
      </c>
      <c r="B927" s="1">
        <v>45838</v>
      </c>
      <c r="C927">
        <v>370008</v>
      </c>
      <c r="D927">
        <v>0</v>
      </c>
      <c r="E927" t="s">
        <v>4</v>
      </c>
      <c r="F927" t="s">
        <v>45</v>
      </c>
      <c r="G927" t="s">
        <v>5</v>
      </c>
    </row>
    <row r="928" spans="1:7" x14ac:dyDescent="0.3">
      <c r="A928" t="s">
        <v>15</v>
      </c>
      <c r="B928" s="1">
        <v>45838</v>
      </c>
      <c r="C928">
        <v>370011</v>
      </c>
      <c r="D928">
        <v>0</v>
      </c>
      <c r="E928" t="s">
        <v>4</v>
      </c>
      <c r="F928" t="s">
        <v>45</v>
      </c>
      <c r="G928" t="s">
        <v>5</v>
      </c>
    </row>
    <row r="929" spans="1:7" x14ac:dyDescent="0.3">
      <c r="A929" t="s">
        <v>15</v>
      </c>
      <c r="B929" s="1">
        <v>45838</v>
      </c>
      <c r="C929">
        <v>370016</v>
      </c>
      <c r="D929">
        <v>0</v>
      </c>
      <c r="E929" t="s">
        <v>4</v>
      </c>
      <c r="F929" t="s">
        <v>45</v>
      </c>
      <c r="G929" t="s">
        <v>5</v>
      </c>
    </row>
    <row r="930" spans="1:7" x14ac:dyDescent="0.3">
      <c r="A930" t="s">
        <v>15</v>
      </c>
      <c r="B930" s="1">
        <v>45838</v>
      </c>
      <c r="C930">
        <v>370019</v>
      </c>
      <c r="D930">
        <v>0</v>
      </c>
      <c r="E930" t="s">
        <v>4</v>
      </c>
      <c r="F930" t="s">
        <v>45</v>
      </c>
      <c r="G930" t="s">
        <v>5</v>
      </c>
    </row>
    <row r="931" spans="1:7" x14ac:dyDescent="0.3">
      <c r="A931" t="s">
        <v>15</v>
      </c>
      <c r="B931" s="1">
        <v>45838</v>
      </c>
      <c r="C931">
        <v>372002</v>
      </c>
      <c r="D931">
        <v>0</v>
      </c>
      <c r="E931" t="s">
        <v>4</v>
      </c>
      <c r="F931" t="s">
        <v>45</v>
      </c>
      <c r="G931" t="s">
        <v>5</v>
      </c>
    </row>
    <row r="932" spans="1:7" x14ac:dyDescent="0.3">
      <c r="A932" t="s">
        <v>15</v>
      </c>
      <c r="B932" s="1">
        <v>45838</v>
      </c>
      <c r="C932">
        <v>372004</v>
      </c>
      <c r="D932">
        <v>0</v>
      </c>
      <c r="E932" t="s">
        <v>4</v>
      </c>
      <c r="F932" t="s">
        <v>45</v>
      </c>
      <c r="G932" t="s">
        <v>5</v>
      </c>
    </row>
    <row r="933" spans="1:7" x14ac:dyDescent="0.3">
      <c r="A933" t="s">
        <v>15</v>
      </c>
      <c r="B933" s="1">
        <v>45838</v>
      </c>
      <c r="C933">
        <v>372008</v>
      </c>
      <c r="D933">
        <v>1162.0940000000001</v>
      </c>
      <c r="E933" t="s">
        <v>4</v>
      </c>
      <c r="F933" t="s">
        <v>45</v>
      </c>
      <c r="G933" t="s">
        <v>5</v>
      </c>
    </row>
    <row r="934" spans="1:7" x14ac:dyDescent="0.3">
      <c r="A934" t="s">
        <v>15</v>
      </c>
      <c r="B934" s="1">
        <v>45838</v>
      </c>
      <c r="C934">
        <v>400002</v>
      </c>
      <c r="D934">
        <v>-90578.137000000002</v>
      </c>
      <c r="E934" t="s">
        <v>6</v>
      </c>
      <c r="F934" t="s">
        <v>50</v>
      </c>
      <c r="G934" t="s">
        <v>5</v>
      </c>
    </row>
    <row r="935" spans="1:7" x14ac:dyDescent="0.3">
      <c r="A935" t="s">
        <v>15</v>
      </c>
      <c r="B935" s="1">
        <v>45838</v>
      </c>
      <c r="C935">
        <v>410002</v>
      </c>
      <c r="D935">
        <v>-2652845.7540000002</v>
      </c>
      <c r="E935" t="s">
        <v>6</v>
      </c>
      <c r="F935" t="s">
        <v>51</v>
      </c>
      <c r="G935" t="s">
        <v>5</v>
      </c>
    </row>
    <row r="936" spans="1:7" x14ac:dyDescent="0.3">
      <c r="A936" t="s">
        <v>15</v>
      </c>
      <c r="B936" s="1">
        <v>45838</v>
      </c>
      <c r="C936">
        <v>410005</v>
      </c>
      <c r="D936">
        <v>-80214.589000000007</v>
      </c>
      <c r="E936" t="s">
        <v>6</v>
      </c>
      <c r="F936" t="s">
        <v>51</v>
      </c>
      <c r="G936" t="s">
        <v>5</v>
      </c>
    </row>
    <row r="937" spans="1:7" x14ac:dyDescent="0.3">
      <c r="A937" t="s">
        <v>15</v>
      </c>
      <c r="B937" s="1">
        <v>45838</v>
      </c>
      <c r="C937">
        <v>410006</v>
      </c>
      <c r="D937">
        <v>-457161.99699999997</v>
      </c>
      <c r="E937" t="s">
        <v>6</v>
      </c>
      <c r="F937" t="s">
        <v>51</v>
      </c>
      <c r="G937" t="s">
        <v>5</v>
      </c>
    </row>
    <row r="938" spans="1:7" x14ac:dyDescent="0.3">
      <c r="A938" t="s">
        <v>15</v>
      </c>
      <c r="B938" s="1">
        <v>45838</v>
      </c>
      <c r="C938">
        <v>410009</v>
      </c>
      <c r="D938">
        <v>-239567.08499999999</v>
      </c>
      <c r="E938" t="s">
        <v>6</v>
      </c>
      <c r="F938" t="s">
        <v>51</v>
      </c>
      <c r="G938" t="s">
        <v>5</v>
      </c>
    </row>
    <row r="939" spans="1:7" x14ac:dyDescent="0.3">
      <c r="A939" t="s">
        <v>15</v>
      </c>
      <c r="B939" s="1">
        <v>45838</v>
      </c>
      <c r="C939">
        <v>410015</v>
      </c>
      <c r="D939">
        <v>-194285.628</v>
      </c>
      <c r="E939" t="s">
        <v>6</v>
      </c>
      <c r="F939" t="s">
        <v>51</v>
      </c>
      <c r="G939" t="s">
        <v>5</v>
      </c>
    </row>
    <row r="940" spans="1:7" x14ac:dyDescent="0.3">
      <c r="A940" t="s">
        <v>15</v>
      </c>
      <c r="B940" s="1">
        <v>45838</v>
      </c>
      <c r="C940">
        <v>410016</v>
      </c>
      <c r="D940">
        <v>-8897.6389999999992</v>
      </c>
      <c r="E940" t="s">
        <v>6</v>
      </c>
      <c r="F940" t="s">
        <v>51</v>
      </c>
      <c r="G940" t="s">
        <v>5</v>
      </c>
    </row>
    <row r="941" spans="1:7" x14ac:dyDescent="0.3">
      <c r="A941" t="s">
        <v>15</v>
      </c>
      <c r="B941" s="1">
        <v>45838</v>
      </c>
      <c r="C941">
        <v>410018</v>
      </c>
      <c r="D941">
        <v>-119707.713</v>
      </c>
      <c r="E941" t="s">
        <v>6</v>
      </c>
      <c r="F941" t="s">
        <v>51</v>
      </c>
      <c r="G941" t="s">
        <v>5</v>
      </c>
    </row>
    <row r="942" spans="1:7" x14ac:dyDescent="0.3">
      <c r="A942" t="s">
        <v>15</v>
      </c>
      <c r="B942" s="1">
        <v>45838</v>
      </c>
      <c r="C942">
        <v>410019</v>
      </c>
      <c r="D942">
        <v>-29659.425999999999</v>
      </c>
      <c r="E942" t="s">
        <v>6</v>
      </c>
      <c r="F942" t="s">
        <v>51</v>
      </c>
      <c r="G942" t="s">
        <v>5</v>
      </c>
    </row>
    <row r="943" spans="1:7" x14ac:dyDescent="0.3">
      <c r="A943" t="s">
        <v>15</v>
      </c>
      <c r="B943" s="1">
        <v>45838</v>
      </c>
      <c r="C943">
        <v>410032</v>
      </c>
      <c r="D943">
        <v>-285985.91899999999</v>
      </c>
      <c r="E943" t="s">
        <v>6</v>
      </c>
      <c r="F943" t="s">
        <v>51</v>
      </c>
      <c r="G943" t="s">
        <v>5</v>
      </c>
    </row>
    <row r="944" spans="1:7" x14ac:dyDescent="0.3">
      <c r="A944" t="s">
        <v>15</v>
      </c>
      <c r="B944" s="1">
        <v>45838</v>
      </c>
      <c r="C944">
        <v>410035</v>
      </c>
      <c r="D944">
        <v>-15323.561</v>
      </c>
      <c r="E944" t="s">
        <v>6</v>
      </c>
      <c r="F944" t="s">
        <v>51</v>
      </c>
      <c r="G944" t="s">
        <v>5</v>
      </c>
    </row>
    <row r="945" spans="1:7" x14ac:dyDescent="0.3">
      <c r="A945" t="s">
        <v>15</v>
      </c>
      <c r="B945" s="1">
        <v>45838</v>
      </c>
      <c r="C945">
        <v>410036</v>
      </c>
      <c r="D945">
        <v>-263444.64899999998</v>
      </c>
      <c r="E945" t="s">
        <v>6</v>
      </c>
      <c r="F945" t="s">
        <v>51</v>
      </c>
      <c r="G945" t="s">
        <v>5</v>
      </c>
    </row>
    <row r="946" spans="1:7" x14ac:dyDescent="0.3">
      <c r="A946" t="s">
        <v>15</v>
      </c>
      <c r="B946" s="1">
        <v>45838</v>
      </c>
      <c r="C946">
        <v>410037</v>
      </c>
      <c r="D946">
        <v>-2619879.5070000002</v>
      </c>
      <c r="E946" t="s">
        <v>6</v>
      </c>
      <c r="F946" t="s">
        <v>51</v>
      </c>
      <c r="G946" t="s">
        <v>5</v>
      </c>
    </row>
    <row r="947" spans="1:7" x14ac:dyDescent="0.3">
      <c r="A947" t="s">
        <v>15</v>
      </c>
      <c r="B947" s="1">
        <v>45838</v>
      </c>
      <c r="C947">
        <v>410039</v>
      </c>
      <c r="D947">
        <v>-216294.21299999999</v>
      </c>
      <c r="E947" t="s">
        <v>6</v>
      </c>
      <c r="F947" t="s">
        <v>51</v>
      </c>
      <c r="G947" t="s">
        <v>5</v>
      </c>
    </row>
    <row r="948" spans="1:7" x14ac:dyDescent="0.3">
      <c r="A948" t="s">
        <v>15</v>
      </c>
      <c r="B948" s="1">
        <v>45838</v>
      </c>
      <c r="C948">
        <v>410040</v>
      </c>
      <c r="D948">
        <v>-50041.976999999999</v>
      </c>
      <c r="E948" t="s">
        <v>6</v>
      </c>
      <c r="F948" t="s">
        <v>51</v>
      </c>
      <c r="G948" t="s">
        <v>5</v>
      </c>
    </row>
    <row r="949" spans="1:7" x14ac:dyDescent="0.3">
      <c r="A949" t="s">
        <v>15</v>
      </c>
      <c r="B949" s="1">
        <v>45838</v>
      </c>
      <c r="C949">
        <v>410046</v>
      </c>
      <c r="D949">
        <v>-4522.99</v>
      </c>
      <c r="E949" t="s">
        <v>6</v>
      </c>
      <c r="F949" t="s">
        <v>51</v>
      </c>
      <c r="G949" t="s">
        <v>5</v>
      </c>
    </row>
    <row r="950" spans="1:7" x14ac:dyDescent="0.3">
      <c r="A950" t="s">
        <v>15</v>
      </c>
      <c r="B950" s="1">
        <v>45838</v>
      </c>
      <c r="C950">
        <v>410049</v>
      </c>
      <c r="D950">
        <v>1339.047</v>
      </c>
      <c r="E950" t="s">
        <v>6</v>
      </c>
      <c r="F950" t="s">
        <v>51</v>
      </c>
      <c r="G950" t="s">
        <v>5</v>
      </c>
    </row>
    <row r="951" spans="1:7" x14ac:dyDescent="0.3">
      <c r="A951" t="s">
        <v>15</v>
      </c>
      <c r="B951" s="1">
        <v>45838</v>
      </c>
      <c r="C951">
        <v>414002</v>
      </c>
      <c r="D951">
        <v>0</v>
      </c>
      <c r="E951" t="s">
        <v>6</v>
      </c>
      <c r="F951" t="s">
        <v>51</v>
      </c>
      <c r="G951" t="s">
        <v>5</v>
      </c>
    </row>
    <row r="952" spans="1:7" x14ac:dyDescent="0.3">
      <c r="A952" t="s">
        <v>15</v>
      </c>
      <c r="B952" s="1">
        <v>45838</v>
      </c>
      <c r="C952">
        <v>414004</v>
      </c>
      <c r="D952">
        <v>0</v>
      </c>
      <c r="E952" t="s">
        <v>6</v>
      </c>
      <c r="F952" t="s">
        <v>51</v>
      </c>
      <c r="G952" t="s">
        <v>5</v>
      </c>
    </row>
    <row r="953" spans="1:7" x14ac:dyDescent="0.3">
      <c r="A953" t="s">
        <v>15</v>
      </c>
      <c r="B953" s="1">
        <v>45838</v>
      </c>
      <c r="C953">
        <v>414008</v>
      </c>
      <c r="D953">
        <v>0</v>
      </c>
      <c r="E953" t="s">
        <v>6</v>
      </c>
      <c r="F953" t="s">
        <v>51</v>
      </c>
      <c r="G953" t="s">
        <v>5</v>
      </c>
    </row>
    <row r="954" spans="1:7" x14ac:dyDescent="0.3">
      <c r="A954" t="s">
        <v>15</v>
      </c>
      <c r="B954" s="1">
        <v>45838</v>
      </c>
      <c r="C954">
        <v>414013</v>
      </c>
      <c r="D954">
        <v>0</v>
      </c>
      <c r="E954" t="s">
        <v>6</v>
      </c>
      <c r="F954" t="s">
        <v>51</v>
      </c>
      <c r="G954" t="s">
        <v>5</v>
      </c>
    </row>
    <row r="955" spans="1:7" x14ac:dyDescent="0.3">
      <c r="A955" t="s">
        <v>15</v>
      </c>
      <c r="B955" s="1">
        <v>45838</v>
      </c>
      <c r="C955">
        <v>414016</v>
      </c>
      <c r="D955">
        <v>0</v>
      </c>
      <c r="E955" t="s">
        <v>6</v>
      </c>
      <c r="F955" t="s">
        <v>51</v>
      </c>
      <c r="G955" t="s">
        <v>5</v>
      </c>
    </row>
    <row r="956" spans="1:7" x14ac:dyDescent="0.3">
      <c r="A956" t="s">
        <v>15</v>
      </c>
      <c r="B956" s="1">
        <v>45838</v>
      </c>
      <c r="C956">
        <v>414022</v>
      </c>
      <c r="D956">
        <v>0</v>
      </c>
      <c r="E956" t="s">
        <v>6</v>
      </c>
      <c r="F956" t="s">
        <v>51</v>
      </c>
      <c r="G956" t="s">
        <v>5</v>
      </c>
    </row>
    <row r="957" spans="1:7" x14ac:dyDescent="0.3">
      <c r="A957" t="s">
        <v>15</v>
      </c>
      <c r="B957" s="1">
        <v>45838</v>
      </c>
      <c r="C957">
        <v>415002</v>
      </c>
      <c r="D957">
        <v>-892105.83200000005</v>
      </c>
      <c r="E957" t="s">
        <v>6</v>
      </c>
      <c r="F957" t="s">
        <v>50</v>
      </c>
      <c r="G957" t="s">
        <v>5</v>
      </c>
    </row>
    <row r="958" spans="1:7" x14ac:dyDescent="0.3">
      <c r="A958" t="s">
        <v>15</v>
      </c>
      <c r="B958" s="1">
        <v>45838</v>
      </c>
      <c r="C958">
        <v>415003</v>
      </c>
      <c r="D958">
        <v>-111.938</v>
      </c>
      <c r="E958" t="s">
        <v>6</v>
      </c>
      <c r="F958" t="s">
        <v>50</v>
      </c>
      <c r="G958" t="s">
        <v>5</v>
      </c>
    </row>
    <row r="959" spans="1:7" x14ac:dyDescent="0.3">
      <c r="A959" t="s">
        <v>15</v>
      </c>
      <c r="B959" s="1">
        <v>45838</v>
      </c>
      <c r="C959">
        <v>415008</v>
      </c>
      <c r="D959">
        <v>-176.95400000000001</v>
      </c>
      <c r="E959" t="s">
        <v>6</v>
      </c>
      <c r="F959" t="s">
        <v>50</v>
      </c>
      <c r="G959" t="s">
        <v>5</v>
      </c>
    </row>
    <row r="960" spans="1:7" x14ac:dyDescent="0.3">
      <c r="A960" t="s">
        <v>15</v>
      </c>
      <c r="B960" s="1">
        <v>45838</v>
      </c>
      <c r="C960">
        <v>418002</v>
      </c>
      <c r="D960">
        <v>0</v>
      </c>
      <c r="E960" t="s">
        <v>6</v>
      </c>
      <c r="F960" t="s">
        <v>50</v>
      </c>
      <c r="G960" t="s">
        <v>5</v>
      </c>
    </row>
    <row r="961" spans="1:7" x14ac:dyDescent="0.3">
      <c r="A961" t="s">
        <v>15</v>
      </c>
      <c r="B961" s="1">
        <v>45838</v>
      </c>
      <c r="C961">
        <v>420003</v>
      </c>
      <c r="D961">
        <v>6841.8590000000004</v>
      </c>
      <c r="E961" t="s">
        <v>6</v>
      </c>
      <c r="F961" t="s">
        <v>52</v>
      </c>
      <c r="G961" t="s">
        <v>5</v>
      </c>
    </row>
    <row r="962" spans="1:7" x14ac:dyDescent="0.3">
      <c r="A962" t="s">
        <v>15</v>
      </c>
      <c r="B962" s="1">
        <v>45838</v>
      </c>
      <c r="C962">
        <v>420004</v>
      </c>
      <c r="D962">
        <v>-150394.80300000001</v>
      </c>
      <c r="E962" t="s">
        <v>6</v>
      </c>
      <c r="F962" t="s">
        <v>52</v>
      </c>
      <c r="G962" t="s">
        <v>5</v>
      </c>
    </row>
    <row r="963" spans="1:7" x14ac:dyDescent="0.3">
      <c r="A963" t="s">
        <v>15</v>
      </c>
      <c r="B963" s="1">
        <v>45838</v>
      </c>
      <c r="C963">
        <v>420006</v>
      </c>
      <c r="D963">
        <v>-12010.839</v>
      </c>
      <c r="E963" t="s">
        <v>6</v>
      </c>
      <c r="F963" t="s">
        <v>52</v>
      </c>
      <c r="G963" t="s">
        <v>5</v>
      </c>
    </row>
    <row r="964" spans="1:7" x14ac:dyDescent="0.3">
      <c r="A964" t="s">
        <v>15</v>
      </c>
      <c r="B964" s="1">
        <v>45838</v>
      </c>
      <c r="C964">
        <v>420007</v>
      </c>
      <c r="D964">
        <v>-938.27200000000005</v>
      </c>
      <c r="E964" t="s">
        <v>6</v>
      </c>
      <c r="F964" t="s">
        <v>52</v>
      </c>
      <c r="G964" t="s">
        <v>5</v>
      </c>
    </row>
    <row r="965" spans="1:7" x14ac:dyDescent="0.3">
      <c r="A965" t="s">
        <v>15</v>
      </c>
      <c r="B965" s="1">
        <v>45838</v>
      </c>
      <c r="C965">
        <v>421002</v>
      </c>
      <c r="D965">
        <v>-39545.127</v>
      </c>
      <c r="E965" t="s">
        <v>6</v>
      </c>
      <c r="F965" t="s">
        <v>52</v>
      </c>
      <c r="G965" t="s">
        <v>5</v>
      </c>
    </row>
    <row r="966" spans="1:7" x14ac:dyDescent="0.3">
      <c r="A966" t="s">
        <v>15</v>
      </c>
      <c r="B966" s="1">
        <v>45838</v>
      </c>
      <c r="C966">
        <v>421003</v>
      </c>
      <c r="D966">
        <v>-530.68200000000002</v>
      </c>
      <c r="E966" t="s">
        <v>6</v>
      </c>
      <c r="F966" t="s">
        <v>52</v>
      </c>
      <c r="G966" t="s">
        <v>5</v>
      </c>
    </row>
    <row r="967" spans="1:7" x14ac:dyDescent="0.3">
      <c r="A967" t="s">
        <v>15</v>
      </c>
      <c r="B967" s="1">
        <v>45838</v>
      </c>
      <c r="C967">
        <v>421004</v>
      </c>
      <c r="D967">
        <v>-1351.943</v>
      </c>
      <c r="E967" t="s">
        <v>6</v>
      </c>
      <c r="F967" t="s">
        <v>52</v>
      </c>
      <c r="G967" t="s">
        <v>5</v>
      </c>
    </row>
    <row r="968" spans="1:7" x14ac:dyDescent="0.3">
      <c r="A968" t="s">
        <v>15</v>
      </c>
      <c r="B968" s="1">
        <v>45838</v>
      </c>
      <c r="C968">
        <v>421007</v>
      </c>
      <c r="D968">
        <v>-27275.778999999999</v>
      </c>
      <c r="E968" t="s">
        <v>6</v>
      </c>
      <c r="F968" t="s">
        <v>52</v>
      </c>
      <c r="G968" t="s">
        <v>5</v>
      </c>
    </row>
    <row r="969" spans="1:7" x14ac:dyDescent="0.3">
      <c r="A969" t="s">
        <v>15</v>
      </c>
      <c r="B969" s="1">
        <v>45838</v>
      </c>
      <c r="C969">
        <v>421008</v>
      </c>
      <c r="D969">
        <v>-82763.971999999994</v>
      </c>
      <c r="E969" t="s">
        <v>6</v>
      </c>
      <c r="F969" t="s">
        <v>52</v>
      </c>
      <c r="G969" t="s">
        <v>5</v>
      </c>
    </row>
    <row r="970" spans="1:7" x14ac:dyDescent="0.3">
      <c r="A970" t="s">
        <v>15</v>
      </c>
      <c r="B970" s="1">
        <v>45838</v>
      </c>
      <c r="C970">
        <v>423002</v>
      </c>
      <c r="D970">
        <v>-2671.2710000000002</v>
      </c>
      <c r="E970" t="s">
        <v>6</v>
      </c>
      <c r="F970" t="s">
        <v>52</v>
      </c>
      <c r="G970" t="s">
        <v>5</v>
      </c>
    </row>
    <row r="971" spans="1:7" x14ac:dyDescent="0.3">
      <c r="A971" t="s">
        <v>15</v>
      </c>
      <c r="B971" s="1">
        <v>45838</v>
      </c>
      <c r="C971">
        <v>423005</v>
      </c>
      <c r="D971">
        <v>0</v>
      </c>
      <c r="E971" t="s">
        <v>6</v>
      </c>
      <c r="F971" t="s">
        <v>52</v>
      </c>
      <c r="G971" t="s">
        <v>5</v>
      </c>
    </row>
    <row r="972" spans="1:7" x14ac:dyDescent="0.3">
      <c r="A972" t="s">
        <v>15</v>
      </c>
      <c r="B972" s="1">
        <v>45838</v>
      </c>
      <c r="C972">
        <v>423011</v>
      </c>
      <c r="D972">
        <v>4977.4489999999996</v>
      </c>
      <c r="E972" t="s">
        <v>6</v>
      </c>
      <c r="F972" t="s">
        <v>52</v>
      </c>
      <c r="G972" t="s">
        <v>5</v>
      </c>
    </row>
    <row r="973" spans="1:7" x14ac:dyDescent="0.3">
      <c r="A973" t="s">
        <v>15</v>
      </c>
      <c r="B973" s="1">
        <v>45838</v>
      </c>
      <c r="C973">
        <v>423012</v>
      </c>
      <c r="D973">
        <v>-16052.173000000001</v>
      </c>
      <c r="E973" t="s">
        <v>6</v>
      </c>
      <c r="F973" t="s">
        <v>52</v>
      </c>
      <c r="G973" t="s">
        <v>5</v>
      </c>
    </row>
    <row r="974" spans="1:7" x14ac:dyDescent="0.3">
      <c r="A974" t="s">
        <v>15</v>
      </c>
      <c r="B974" s="1">
        <v>45838</v>
      </c>
      <c r="C974">
        <v>510002</v>
      </c>
      <c r="D974">
        <v>1697617.122</v>
      </c>
      <c r="E974" t="s">
        <v>6</v>
      </c>
      <c r="F974" t="s">
        <v>53</v>
      </c>
      <c r="G974" t="s">
        <v>5</v>
      </c>
    </row>
    <row r="975" spans="1:7" x14ac:dyDescent="0.3">
      <c r="A975" t="s">
        <v>15</v>
      </c>
      <c r="B975" s="1">
        <v>45838</v>
      </c>
      <c r="C975">
        <v>510003</v>
      </c>
      <c r="D975">
        <v>220614.45</v>
      </c>
      <c r="E975" t="s">
        <v>6</v>
      </c>
      <c r="F975" t="s">
        <v>53</v>
      </c>
      <c r="G975" t="s">
        <v>5</v>
      </c>
    </row>
    <row r="976" spans="1:7" x14ac:dyDescent="0.3">
      <c r="A976" t="s">
        <v>15</v>
      </c>
      <c r="B976" s="1">
        <v>45838</v>
      </c>
      <c r="C976">
        <v>510004</v>
      </c>
      <c r="D976">
        <v>2943632.7650000001</v>
      </c>
      <c r="E976" t="s">
        <v>6</v>
      </c>
      <c r="F976" t="s">
        <v>53</v>
      </c>
      <c r="G976" t="s">
        <v>5</v>
      </c>
    </row>
    <row r="977" spans="1:7" x14ac:dyDescent="0.3">
      <c r="A977" t="s">
        <v>15</v>
      </c>
      <c r="B977" s="1">
        <v>45838</v>
      </c>
      <c r="C977">
        <v>510005</v>
      </c>
      <c r="D977">
        <v>67599.937000000005</v>
      </c>
      <c r="E977" t="s">
        <v>6</v>
      </c>
      <c r="F977" t="s">
        <v>53</v>
      </c>
      <c r="G977" t="s">
        <v>5</v>
      </c>
    </row>
    <row r="978" spans="1:7" x14ac:dyDescent="0.3">
      <c r="A978" t="s">
        <v>15</v>
      </c>
      <c r="B978" s="1">
        <v>45838</v>
      </c>
      <c r="C978">
        <v>510006</v>
      </c>
      <c r="D978">
        <v>67520.418000000005</v>
      </c>
      <c r="E978" t="s">
        <v>6</v>
      </c>
      <c r="F978" t="s">
        <v>53</v>
      </c>
      <c r="G978" t="s">
        <v>5</v>
      </c>
    </row>
    <row r="979" spans="1:7" x14ac:dyDescent="0.3">
      <c r="A979" t="s">
        <v>15</v>
      </c>
      <c r="B979" s="1">
        <v>45838</v>
      </c>
      <c r="C979">
        <v>510007</v>
      </c>
      <c r="D979">
        <v>199752.785</v>
      </c>
      <c r="E979" t="s">
        <v>6</v>
      </c>
      <c r="F979" t="s">
        <v>53</v>
      </c>
      <c r="G979" t="s">
        <v>5</v>
      </c>
    </row>
    <row r="980" spans="1:7" x14ac:dyDescent="0.3">
      <c r="A980" t="s">
        <v>15</v>
      </c>
      <c r="B980" s="1">
        <v>45838</v>
      </c>
      <c r="C980">
        <v>510009</v>
      </c>
      <c r="D980">
        <v>22095.955999999998</v>
      </c>
      <c r="E980" t="s">
        <v>6</v>
      </c>
      <c r="F980" t="s">
        <v>53</v>
      </c>
      <c r="G980" t="s">
        <v>5</v>
      </c>
    </row>
    <row r="981" spans="1:7" x14ac:dyDescent="0.3">
      <c r="A981" t="s">
        <v>15</v>
      </c>
      <c r="B981" s="1">
        <v>45838</v>
      </c>
      <c r="C981">
        <v>510011</v>
      </c>
      <c r="D981">
        <v>85258.85</v>
      </c>
      <c r="E981" t="s">
        <v>6</v>
      </c>
      <c r="F981" t="s">
        <v>53</v>
      </c>
      <c r="G981" t="s">
        <v>5</v>
      </c>
    </row>
    <row r="982" spans="1:7" x14ac:dyDescent="0.3">
      <c r="A982" t="s">
        <v>15</v>
      </c>
      <c r="B982" s="1">
        <v>45838</v>
      </c>
      <c r="C982">
        <v>510012</v>
      </c>
      <c r="D982">
        <v>36809.949000000001</v>
      </c>
      <c r="E982" t="s">
        <v>6</v>
      </c>
      <c r="F982" t="s">
        <v>53</v>
      </c>
      <c r="G982" t="s">
        <v>5</v>
      </c>
    </row>
    <row r="983" spans="1:7" x14ac:dyDescent="0.3">
      <c r="A983" t="s">
        <v>15</v>
      </c>
      <c r="B983" s="1">
        <v>45838</v>
      </c>
      <c r="C983">
        <v>510013</v>
      </c>
      <c r="D983">
        <v>-516.65499999999997</v>
      </c>
      <c r="E983" t="s">
        <v>6</v>
      </c>
      <c r="F983" t="s">
        <v>53</v>
      </c>
      <c r="G983" t="s">
        <v>5</v>
      </c>
    </row>
    <row r="984" spans="1:7" x14ac:dyDescent="0.3">
      <c r="A984" t="s">
        <v>15</v>
      </c>
      <c r="B984" s="1">
        <v>45838</v>
      </c>
      <c r="C984">
        <v>510018</v>
      </c>
      <c r="D984">
        <v>75372.736999999994</v>
      </c>
      <c r="E984" t="s">
        <v>6</v>
      </c>
      <c r="F984" t="s">
        <v>53</v>
      </c>
      <c r="G984" t="s">
        <v>5</v>
      </c>
    </row>
    <row r="985" spans="1:7" x14ac:dyDescent="0.3">
      <c r="A985" t="s">
        <v>15</v>
      </c>
      <c r="B985" s="1">
        <v>45838</v>
      </c>
      <c r="C985">
        <v>510021</v>
      </c>
      <c r="D985">
        <v>12500.082</v>
      </c>
      <c r="E985" t="s">
        <v>6</v>
      </c>
      <c r="F985" t="s">
        <v>53</v>
      </c>
      <c r="G985" t="s">
        <v>5</v>
      </c>
    </row>
    <row r="986" spans="1:7" x14ac:dyDescent="0.3">
      <c r="A986" t="s">
        <v>15</v>
      </c>
      <c r="B986" s="1">
        <v>45838</v>
      </c>
      <c r="C986">
        <v>510026</v>
      </c>
      <c r="D986">
        <v>29658.553</v>
      </c>
      <c r="E986" t="s">
        <v>6</v>
      </c>
      <c r="F986" t="s">
        <v>53</v>
      </c>
      <c r="G986" t="s">
        <v>5</v>
      </c>
    </row>
    <row r="987" spans="1:7" x14ac:dyDescent="0.3">
      <c r="A987" t="s">
        <v>15</v>
      </c>
      <c r="B987" s="1">
        <v>45838</v>
      </c>
      <c r="C987">
        <v>510046</v>
      </c>
      <c r="D987">
        <v>12.747</v>
      </c>
      <c r="E987" t="s">
        <v>6</v>
      </c>
      <c r="F987" t="s">
        <v>53</v>
      </c>
      <c r="G987" t="s">
        <v>5</v>
      </c>
    </row>
    <row r="988" spans="1:7" x14ac:dyDescent="0.3">
      <c r="A988" t="s">
        <v>15</v>
      </c>
      <c r="B988" s="1">
        <v>45838</v>
      </c>
      <c r="C988">
        <v>510048</v>
      </c>
      <c r="D988">
        <v>7417.53</v>
      </c>
      <c r="E988" t="s">
        <v>6</v>
      </c>
      <c r="F988" t="s">
        <v>61</v>
      </c>
      <c r="G988" t="s">
        <v>5</v>
      </c>
    </row>
    <row r="989" spans="1:7" x14ac:dyDescent="0.3">
      <c r="A989" t="s">
        <v>15</v>
      </c>
      <c r="B989" s="1">
        <v>45838</v>
      </c>
      <c r="C989">
        <v>510049</v>
      </c>
      <c r="D989">
        <v>302.24700000000001</v>
      </c>
      <c r="E989" t="s">
        <v>6</v>
      </c>
      <c r="F989" t="s">
        <v>60</v>
      </c>
      <c r="G989" t="s">
        <v>5</v>
      </c>
    </row>
    <row r="990" spans="1:7" x14ac:dyDescent="0.3">
      <c r="A990" t="s">
        <v>15</v>
      </c>
      <c r="B990" s="1">
        <v>45838</v>
      </c>
      <c r="C990">
        <v>510057</v>
      </c>
      <c r="D990">
        <v>1125.8430000000001</v>
      </c>
      <c r="E990" t="s">
        <v>6</v>
      </c>
      <c r="F990" t="s">
        <v>53</v>
      </c>
      <c r="G990" t="s">
        <v>5</v>
      </c>
    </row>
    <row r="991" spans="1:7" x14ac:dyDescent="0.3">
      <c r="A991" t="s">
        <v>15</v>
      </c>
      <c r="B991" s="1">
        <v>45838</v>
      </c>
      <c r="C991">
        <v>510059</v>
      </c>
      <c r="D991">
        <v>7762.9110000000001</v>
      </c>
      <c r="E991" t="s">
        <v>6</v>
      </c>
      <c r="F991" t="s">
        <v>53</v>
      </c>
      <c r="G991" t="s">
        <v>5</v>
      </c>
    </row>
    <row r="992" spans="1:7" x14ac:dyDescent="0.3">
      <c r="A992" t="s">
        <v>15</v>
      </c>
      <c r="B992" s="1">
        <v>45838</v>
      </c>
      <c r="C992">
        <v>510060</v>
      </c>
      <c r="D992">
        <v>-12111.918</v>
      </c>
      <c r="E992" t="s">
        <v>6</v>
      </c>
      <c r="F992" t="s">
        <v>53</v>
      </c>
      <c r="G992" t="s">
        <v>5</v>
      </c>
    </row>
    <row r="993" spans="1:7" x14ac:dyDescent="0.3">
      <c r="A993" t="s">
        <v>15</v>
      </c>
      <c r="B993" s="1">
        <v>45838</v>
      </c>
      <c r="C993">
        <v>510061</v>
      </c>
      <c r="D993">
        <v>0</v>
      </c>
      <c r="E993" t="s">
        <v>6</v>
      </c>
      <c r="F993" t="s">
        <v>53</v>
      </c>
      <c r="G993" t="s">
        <v>5</v>
      </c>
    </row>
    <row r="994" spans="1:7" x14ac:dyDescent="0.3">
      <c r="A994" t="s">
        <v>15</v>
      </c>
      <c r="B994" s="1">
        <v>45838</v>
      </c>
      <c r="C994">
        <v>510062</v>
      </c>
      <c r="D994">
        <v>20906.192999999999</v>
      </c>
      <c r="E994" t="s">
        <v>6</v>
      </c>
      <c r="F994" t="s">
        <v>53</v>
      </c>
      <c r="G994" t="s">
        <v>5</v>
      </c>
    </row>
    <row r="995" spans="1:7" x14ac:dyDescent="0.3">
      <c r="A995" t="s">
        <v>15</v>
      </c>
      <c r="B995" s="1">
        <v>45838</v>
      </c>
      <c r="C995">
        <v>510063</v>
      </c>
      <c r="D995">
        <v>13333.004999999999</v>
      </c>
      <c r="E995" t="s">
        <v>6</v>
      </c>
      <c r="F995" t="s">
        <v>53</v>
      </c>
      <c r="G995" t="s">
        <v>5</v>
      </c>
    </row>
    <row r="996" spans="1:7" x14ac:dyDescent="0.3">
      <c r="A996" t="s">
        <v>15</v>
      </c>
      <c r="B996" s="1">
        <v>45838</v>
      </c>
      <c r="C996">
        <v>510064</v>
      </c>
      <c r="D996">
        <v>108525.05100000001</v>
      </c>
      <c r="E996" t="s">
        <v>6</v>
      </c>
      <c r="F996" t="s">
        <v>53</v>
      </c>
      <c r="G996" t="s">
        <v>5</v>
      </c>
    </row>
    <row r="997" spans="1:7" x14ac:dyDescent="0.3">
      <c r="A997" t="s">
        <v>15</v>
      </c>
      <c r="B997" s="1">
        <v>45838</v>
      </c>
      <c r="C997">
        <v>510066</v>
      </c>
      <c r="D997">
        <v>0</v>
      </c>
      <c r="E997" t="s">
        <v>6</v>
      </c>
      <c r="F997" t="s">
        <v>53</v>
      </c>
      <c r="G997" t="s">
        <v>5</v>
      </c>
    </row>
    <row r="998" spans="1:7" x14ac:dyDescent="0.3">
      <c r="A998" t="s">
        <v>15</v>
      </c>
      <c r="B998" s="1">
        <v>45838</v>
      </c>
      <c r="C998">
        <v>520020</v>
      </c>
      <c r="D998">
        <v>10987.844999999999</v>
      </c>
      <c r="E998" t="s">
        <v>6</v>
      </c>
      <c r="F998" t="s">
        <v>53</v>
      </c>
      <c r="G998" t="s">
        <v>5</v>
      </c>
    </row>
    <row r="999" spans="1:7" x14ac:dyDescent="0.3">
      <c r="A999" t="s">
        <v>15</v>
      </c>
      <c r="B999" s="1">
        <v>45838</v>
      </c>
      <c r="C999">
        <v>520021</v>
      </c>
      <c r="D999">
        <v>2934.4789999999998</v>
      </c>
      <c r="E999" t="s">
        <v>6</v>
      </c>
      <c r="F999" t="s">
        <v>60</v>
      </c>
      <c r="G999" t="s">
        <v>5</v>
      </c>
    </row>
    <row r="1000" spans="1:7" x14ac:dyDescent="0.3">
      <c r="A1000" t="s">
        <v>15</v>
      </c>
      <c r="B1000" s="1">
        <v>45838</v>
      </c>
      <c r="C1000">
        <v>520022</v>
      </c>
      <c r="D1000">
        <v>1301.1890000000001</v>
      </c>
      <c r="E1000" t="s">
        <v>6</v>
      </c>
      <c r="F1000" t="s">
        <v>53</v>
      </c>
      <c r="G1000" t="s">
        <v>5</v>
      </c>
    </row>
    <row r="1001" spans="1:7" x14ac:dyDescent="0.3">
      <c r="A1001" t="s">
        <v>15</v>
      </c>
      <c r="B1001" s="1">
        <v>45838</v>
      </c>
      <c r="C1001">
        <v>520037</v>
      </c>
      <c r="D1001">
        <v>6709.5630000000001</v>
      </c>
      <c r="E1001" t="s">
        <v>6</v>
      </c>
      <c r="F1001" t="s">
        <v>53</v>
      </c>
      <c r="G1001" t="s">
        <v>5</v>
      </c>
    </row>
    <row r="1002" spans="1:7" x14ac:dyDescent="0.3">
      <c r="A1002" t="s">
        <v>15</v>
      </c>
      <c r="B1002" s="1">
        <v>45838</v>
      </c>
      <c r="C1002">
        <v>521002</v>
      </c>
      <c r="D1002">
        <v>0</v>
      </c>
      <c r="E1002" t="s">
        <v>6</v>
      </c>
      <c r="F1002" t="s">
        <v>53</v>
      </c>
      <c r="G1002" t="s">
        <v>5</v>
      </c>
    </row>
    <row r="1003" spans="1:7" x14ac:dyDescent="0.3">
      <c r="A1003" t="s">
        <v>15</v>
      </c>
      <c r="B1003" s="1">
        <v>45838</v>
      </c>
      <c r="C1003">
        <v>521003</v>
      </c>
      <c r="D1003">
        <v>0</v>
      </c>
      <c r="E1003" t="s">
        <v>6</v>
      </c>
      <c r="F1003" t="s">
        <v>53</v>
      </c>
      <c r="G1003" t="s">
        <v>5</v>
      </c>
    </row>
    <row r="1004" spans="1:7" x14ac:dyDescent="0.3">
      <c r="A1004" t="s">
        <v>15</v>
      </c>
      <c r="B1004" s="1">
        <v>45838</v>
      </c>
      <c r="C1004">
        <v>521004</v>
      </c>
      <c r="D1004">
        <v>0</v>
      </c>
      <c r="E1004" t="s">
        <v>6</v>
      </c>
      <c r="F1004" t="s">
        <v>53</v>
      </c>
      <c r="G1004" t="s">
        <v>5</v>
      </c>
    </row>
    <row r="1005" spans="1:7" x14ac:dyDescent="0.3">
      <c r="A1005" t="s">
        <v>15</v>
      </c>
      <c r="B1005" s="1">
        <v>45838</v>
      </c>
      <c r="C1005">
        <v>521005</v>
      </c>
      <c r="D1005">
        <v>0</v>
      </c>
      <c r="E1005" t="s">
        <v>6</v>
      </c>
      <c r="F1005" t="s">
        <v>53</v>
      </c>
      <c r="G1005" t="s">
        <v>5</v>
      </c>
    </row>
    <row r="1006" spans="1:7" x14ac:dyDescent="0.3">
      <c r="A1006" t="s">
        <v>15</v>
      </c>
      <c r="B1006" s="1">
        <v>45838</v>
      </c>
      <c r="C1006">
        <v>521006</v>
      </c>
      <c r="D1006">
        <v>0</v>
      </c>
      <c r="E1006" t="s">
        <v>6</v>
      </c>
      <c r="F1006" t="s">
        <v>53</v>
      </c>
      <c r="G1006" t="s">
        <v>5</v>
      </c>
    </row>
    <row r="1007" spans="1:7" x14ac:dyDescent="0.3">
      <c r="A1007" t="s">
        <v>15</v>
      </c>
      <c r="B1007" s="1">
        <v>45838</v>
      </c>
      <c r="C1007">
        <v>521008</v>
      </c>
      <c r="D1007">
        <v>0</v>
      </c>
      <c r="E1007" t="s">
        <v>6</v>
      </c>
      <c r="F1007" t="s">
        <v>53</v>
      </c>
      <c r="G1007" t="s">
        <v>5</v>
      </c>
    </row>
    <row r="1008" spans="1:7" x14ac:dyDescent="0.3">
      <c r="A1008" t="s">
        <v>15</v>
      </c>
      <c r="B1008" s="1">
        <v>45838</v>
      </c>
      <c r="C1008">
        <v>521009</v>
      </c>
      <c r="D1008">
        <v>0</v>
      </c>
      <c r="E1008" t="s">
        <v>6</v>
      </c>
      <c r="F1008" t="s">
        <v>53</v>
      </c>
      <c r="G1008" t="s">
        <v>5</v>
      </c>
    </row>
    <row r="1009" spans="1:7" x14ac:dyDescent="0.3">
      <c r="A1009" t="s">
        <v>15</v>
      </c>
      <c r="B1009" s="1">
        <v>45838</v>
      </c>
      <c r="C1009">
        <v>521011</v>
      </c>
      <c r="D1009">
        <v>0</v>
      </c>
      <c r="E1009" t="s">
        <v>6</v>
      </c>
      <c r="F1009" t="s">
        <v>53</v>
      </c>
      <c r="G1009" t="s">
        <v>5</v>
      </c>
    </row>
    <row r="1010" spans="1:7" x14ac:dyDescent="0.3">
      <c r="A1010" t="s">
        <v>15</v>
      </c>
      <c r="B1010" s="1">
        <v>45838</v>
      </c>
      <c r="C1010">
        <v>521013</v>
      </c>
      <c r="D1010">
        <v>0</v>
      </c>
      <c r="E1010" t="s">
        <v>6</v>
      </c>
      <c r="F1010" t="s">
        <v>53</v>
      </c>
      <c r="G1010" t="s">
        <v>5</v>
      </c>
    </row>
    <row r="1011" spans="1:7" x14ac:dyDescent="0.3">
      <c r="A1011" t="s">
        <v>15</v>
      </c>
      <c r="B1011" s="1">
        <v>45838</v>
      </c>
      <c r="C1011">
        <v>521014</v>
      </c>
      <c r="D1011">
        <v>0</v>
      </c>
      <c r="E1011" t="s">
        <v>6</v>
      </c>
      <c r="F1011" t="s">
        <v>53</v>
      </c>
      <c r="G1011" t="s">
        <v>5</v>
      </c>
    </row>
    <row r="1012" spans="1:7" x14ac:dyDescent="0.3">
      <c r="A1012" t="s">
        <v>15</v>
      </c>
      <c r="B1012" s="1">
        <v>45838</v>
      </c>
      <c r="C1012">
        <v>521015</v>
      </c>
      <c r="D1012">
        <v>0</v>
      </c>
      <c r="E1012" t="s">
        <v>6</v>
      </c>
      <c r="F1012" t="s">
        <v>53</v>
      </c>
      <c r="G1012" t="s">
        <v>5</v>
      </c>
    </row>
    <row r="1013" spans="1:7" x14ac:dyDescent="0.3">
      <c r="A1013" t="s">
        <v>15</v>
      </c>
      <c r="B1013" s="1">
        <v>45838</v>
      </c>
      <c r="C1013">
        <v>540004</v>
      </c>
      <c r="D1013">
        <v>265.73500000000001</v>
      </c>
      <c r="E1013" t="s">
        <v>6</v>
      </c>
      <c r="F1013" t="s">
        <v>67</v>
      </c>
      <c r="G1013" t="s">
        <v>5</v>
      </c>
    </row>
    <row r="1014" spans="1:7" x14ac:dyDescent="0.3">
      <c r="A1014" t="s">
        <v>15</v>
      </c>
      <c r="B1014" s="1">
        <v>45838</v>
      </c>
      <c r="C1014">
        <v>540008</v>
      </c>
      <c r="D1014">
        <v>32938.131000000001</v>
      </c>
      <c r="E1014" t="s">
        <v>6</v>
      </c>
      <c r="F1014" t="s">
        <v>67</v>
      </c>
      <c r="G1014" t="s">
        <v>5</v>
      </c>
    </row>
    <row r="1015" spans="1:7" x14ac:dyDescent="0.3">
      <c r="A1015" t="s">
        <v>15</v>
      </c>
      <c r="B1015" s="1">
        <v>45838</v>
      </c>
      <c r="C1015">
        <v>541003</v>
      </c>
      <c r="D1015">
        <v>45725.752999999997</v>
      </c>
      <c r="E1015" t="s">
        <v>6</v>
      </c>
      <c r="F1015" t="s">
        <v>61</v>
      </c>
      <c r="G1015" t="s">
        <v>5</v>
      </c>
    </row>
    <row r="1016" spans="1:7" x14ac:dyDescent="0.3">
      <c r="A1016" t="s">
        <v>15</v>
      </c>
      <c r="B1016" s="1">
        <v>45838</v>
      </c>
      <c r="C1016">
        <v>541004</v>
      </c>
      <c r="D1016">
        <v>11118.946</v>
      </c>
      <c r="E1016" t="s">
        <v>6</v>
      </c>
      <c r="F1016" t="s">
        <v>61</v>
      </c>
      <c r="G1016" t="s">
        <v>5</v>
      </c>
    </row>
    <row r="1017" spans="1:7" x14ac:dyDescent="0.3">
      <c r="A1017" t="s">
        <v>15</v>
      </c>
      <c r="B1017" s="1">
        <v>45838</v>
      </c>
      <c r="C1017">
        <v>541008</v>
      </c>
      <c r="D1017">
        <v>-4911.973</v>
      </c>
      <c r="E1017" t="s">
        <v>6</v>
      </c>
      <c r="F1017" t="s">
        <v>61</v>
      </c>
      <c r="G1017" t="s">
        <v>5</v>
      </c>
    </row>
    <row r="1018" spans="1:7" x14ac:dyDescent="0.3">
      <c r="A1018" t="s">
        <v>15</v>
      </c>
      <c r="B1018" s="1">
        <v>45838</v>
      </c>
      <c r="C1018">
        <v>541009</v>
      </c>
      <c r="D1018">
        <v>-2743.1289999999999</v>
      </c>
      <c r="E1018" t="s">
        <v>6</v>
      </c>
      <c r="F1018" t="s">
        <v>61</v>
      </c>
      <c r="G1018" t="s">
        <v>5</v>
      </c>
    </row>
    <row r="1019" spans="1:7" x14ac:dyDescent="0.3">
      <c r="A1019" t="s">
        <v>15</v>
      </c>
      <c r="B1019" s="1">
        <v>45838</v>
      </c>
      <c r="C1019">
        <v>541010</v>
      </c>
      <c r="D1019">
        <v>16887.724999999999</v>
      </c>
      <c r="E1019" t="s">
        <v>6</v>
      </c>
      <c r="F1019" t="s">
        <v>61</v>
      </c>
      <c r="G1019" t="s">
        <v>5</v>
      </c>
    </row>
    <row r="1020" spans="1:7" x14ac:dyDescent="0.3">
      <c r="A1020" t="s">
        <v>15</v>
      </c>
      <c r="B1020" s="1">
        <v>45838</v>
      </c>
      <c r="C1020">
        <v>541013</v>
      </c>
      <c r="D1020">
        <v>58196.44</v>
      </c>
      <c r="E1020" t="s">
        <v>6</v>
      </c>
      <c r="F1020" t="s">
        <v>61</v>
      </c>
      <c r="G1020" t="s">
        <v>5</v>
      </c>
    </row>
    <row r="1021" spans="1:7" x14ac:dyDescent="0.3">
      <c r="A1021" t="s">
        <v>15</v>
      </c>
      <c r="B1021" s="1">
        <v>45838</v>
      </c>
      <c r="C1021">
        <v>541021</v>
      </c>
      <c r="D1021">
        <v>-26709.441999999999</v>
      </c>
      <c r="E1021" t="s">
        <v>6</v>
      </c>
      <c r="F1021" t="s">
        <v>61</v>
      </c>
      <c r="G1021" t="s">
        <v>5</v>
      </c>
    </row>
    <row r="1022" spans="1:7" x14ac:dyDescent="0.3">
      <c r="A1022" t="s">
        <v>15</v>
      </c>
      <c r="B1022" s="1">
        <v>45838</v>
      </c>
      <c r="C1022">
        <v>541022</v>
      </c>
      <c r="D1022">
        <v>1417.1410000000001</v>
      </c>
      <c r="E1022" t="s">
        <v>6</v>
      </c>
      <c r="F1022" t="s">
        <v>61</v>
      </c>
      <c r="G1022" t="s">
        <v>5</v>
      </c>
    </row>
    <row r="1023" spans="1:7" x14ac:dyDescent="0.3">
      <c r="A1023" t="s">
        <v>15</v>
      </c>
      <c r="B1023" s="1">
        <v>45838</v>
      </c>
      <c r="C1023">
        <v>544002</v>
      </c>
      <c r="D1023">
        <v>12601.035</v>
      </c>
      <c r="E1023" t="s">
        <v>6</v>
      </c>
      <c r="F1023" t="s">
        <v>61</v>
      </c>
      <c r="G1023" t="s">
        <v>5</v>
      </c>
    </row>
    <row r="1024" spans="1:7" x14ac:dyDescent="0.3">
      <c r="A1024" t="s">
        <v>15</v>
      </c>
      <c r="B1024" s="1">
        <v>45838</v>
      </c>
      <c r="C1024">
        <v>544003</v>
      </c>
      <c r="D1024">
        <v>-1905.653</v>
      </c>
      <c r="E1024" t="s">
        <v>6</v>
      </c>
      <c r="F1024" t="s">
        <v>61</v>
      </c>
      <c r="G1024" t="s">
        <v>5</v>
      </c>
    </row>
    <row r="1025" spans="1:7" x14ac:dyDescent="0.3">
      <c r="A1025" t="s">
        <v>15</v>
      </c>
      <c r="B1025" s="1">
        <v>45838</v>
      </c>
      <c r="C1025">
        <v>544006</v>
      </c>
      <c r="D1025">
        <v>-903.63699999999994</v>
      </c>
      <c r="E1025" t="s">
        <v>6</v>
      </c>
      <c r="F1025" t="s">
        <v>61</v>
      </c>
      <c r="G1025" t="s">
        <v>5</v>
      </c>
    </row>
    <row r="1026" spans="1:7" x14ac:dyDescent="0.3">
      <c r="A1026" t="s">
        <v>15</v>
      </c>
      <c r="B1026" s="1">
        <v>45838</v>
      </c>
      <c r="C1026">
        <v>547002</v>
      </c>
      <c r="D1026">
        <v>68070.508000000002</v>
      </c>
      <c r="E1026" t="s">
        <v>6</v>
      </c>
      <c r="F1026" t="s">
        <v>54</v>
      </c>
      <c r="G1026" t="s">
        <v>5</v>
      </c>
    </row>
    <row r="1027" spans="1:7" x14ac:dyDescent="0.3">
      <c r="A1027" t="s">
        <v>15</v>
      </c>
      <c r="B1027" s="1">
        <v>45838</v>
      </c>
      <c r="C1027">
        <v>547006</v>
      </c>
      <c r="D1027">
        <v>68164.154999999999</v>
      </c>
      <c r="E1027" t="s">
        <v>6</v>
      </c>
      <c r="F1027" t="s">
        <v>54</v>
      </c>
      <c r="G1027" t="s">
        <v>5</v>
      </c>
    </row>
    <row r="1028" spans="1:7" x14ac:dyDescent="0.3">
      <c r="A1028" t="s">
        <v>15</v>
      </c>
      <c r="B1028" s="1">
        <v>45838</v>
      </c>
      <c r="C1028">
        <v>547010</v>
      </c>
      <c r="D1028">
        <v>0</v>
      </c>
      <c r="E1028" t="s">
        <v>6</v>
      </c>
      <c r="F1028" t="s">
        <v>54</v>
      </c>
      <c r="G1028" t="s">
        <v>5</v>
      </c>
    </row>
    <row r="1029" spans="1:7" x14ac:dyDescent="0.3">
      <c r="A1029" t="s">
        <v>15</v>
      </c>
      <c r="B1029" s="1">
        <v>45838</v>
      </c>
      <c r="C1029">
        <v>547011</v>
      </c>
      <c r="D1029">
        <v>592.28800000000001</v>
      </c>
      <c r="E1029" t="s">
        <v>6</v>
      </c>
      <c r="F1029" t="s">
        <v>54</v>
      </c>
      <c r="G1029" t="s">
        <v>5</v>
      </c>
    </row>
    <row r="1030" spans="1:7" x14ac:dyDescent="0.3">
      <c r="A1030" t="s">
        <v>15</v>
      </c>
      <c r="B1030" s="1">
        <v>45838</v>
      </c>
      <c r="C1030">
        <v>550002</v>
      </c>
      <c r="D1030">
        <v>140422.06599999999</v>
      </c>
      <c r="E1030" t="s">
        <v>6</v>
      </c>
      <c r="F1030" t="s">
        <v>62</v>
      </c>
      <c r="G1030" t="s">
        <v>5</v>
      </c>
    </row>
    <row r="1031" spans="1:7" x14ac:dyDescent="0.3">
      <c r="A1031" t="s">
        <v>15</v>
      </c>
      <c r="B1031" s="1">
        <v>45838</v>
      </c>
      <c r="C1031">
        <v>550003</v>
      </c>
      <c r="D1031">
        <v>2282.7640000000001</v>
      </c>
      <c r="E1031" t="s">
        <v>6</v>
      </c>
      <c r="F1031" t="s">
        <v>62</v>
      </c>
      <c r="G1031" t="s">
        <v>5</v>
      </c>
    </row>
    <row r="1032" spans="1:7" x14ac:dyDescent="0.3">
      <c r="A1032" t="s">
        <v>15</v>
      </c>
      <c r="B1032" s="1">
        <v>45838</v>
      </c>
      <c r="C1032">
        <v>550004</v>
      </c>
      <c r="D1032">
        <v>6387.4110000000001</v>
      </c>
      <c r="E1032" t="s">
        <v>6</v>
      </c>
      <c r="F1032" t="s">
        <v>62</v>
      </c>
      <c r="G1032" t="s">
        <v>5</v>
      </c>
    </row>
    <row r="1033" spans="1:7" x14ac:dyDescent="0.3">
      <c r="A1033" t="s">
        <v>15</v>
      </c>
      <c r="B1033" s="1">
        <v>45838</v>
      </c>
      <c r="C1033">
        <v>550007</v>
      </c>
      <c r="D1033">
        <v>-556.30899999999997</v>
      </c>
      <c r="E1033" t="s">
        <v>6</v>
      </c>
      <c r="F1033" t="s">
        <v>62</v>
      </c>
      <c r="G1033" t="s">
        <v>5</v>
      </c>
    </row>
    <row r="1034" spans="1:7" x14ac:dyDescent="0.3">
      <c r="A1034" t="s">
        <v>15</v>
      </c>
      <c r="B1034" s="1">
        <v>45838</v>
      </c>
      <c r="C1034">
        <v>551002</v>
      </c>
      <c r="D1034">
        <v>17863.764999999999</v>
      </c>
      <c r="E1034" t="s">
        <v>6</v>
      </c>
      <c r="F1034" t="s">
        <v>63</v>
      </c>
      <c r="G1034" t="s">
        <v>5</v>
      </c>
    </row>
    <row r="1035" spans="1:7" x14ac:dyDescent="0.3">
      <c r="A1035" t="s">
        <v>15</v>
      </c>
      <c r="B1035" s="1">
        <v>45838</v>
      </c>
      <c r="C1035">
        <v>551003</v>
      </c>
      <c r="D1035">
        <v>157342.18100000001</v>
      </c>
      <c r="E1035" t="s">
        <v>6</v>
      </c>
      <c r="F1035" t="s">
        <v>63</v>
      </c>
      <c r="G1035" t="s">
        <v>5</v>
      </c>
    </row>
    <row r="1036" spans="1:7" x14ac:dyDescent="0.3">
      <c r="A1036" t="s">
        <v>15</v>
      </c>
      <c r="B1036" s="1">
        <v>45838</v>
      </c>
      <c r="C1036">
        <v>551007</v>
      </c>
      <c r="D1036">
        <v>62</v>
      </c>
      <c r="E1036" t="s">
        <v>6</v>
      </c>
      <c r="F1036" t="s">
        <v>63</v>
      </c>
      <c r="G1036" t="s">
        <v>5</v>
      </c>
    </row>
    <row r="1037" spans="1:7" x14ac:dyDescent="0.3">
      <c r="A1037" t="s">
        <v>15</v>
      </c>
      <c r="B1037" s="1">
        <v>45838</v>
      </c>
      <c r="C1037">
        <v>551008</v>
      </c>
      <c r="D1037">
        <v>7515.2070000000003</v>
      </c>
      <c r="E1037" t="s">
        <v>6</v>
      </c>
      <c r="F1037" t="s">
        <v>63</v>
      </c>
      <c r="G1037" t="s">
        <v>5</v>
      </c>
    </row>
    <row r="1038" spans="1:7" x14ac:dyDescent="0.3">
      <c r="A1038" t="s">
        <v>15</v>
      </c>
      <c r="B1038" s="1">
        <v>45838</v>
      </c>
      <c r="C1038">
        <v>551011</v>
      </c>
      <c r="D1038">
        <v>2767.7759999999998</v>
      </c>
      <c r="E1038" t="s">
        <v>6</v>
      </c>
      <c r="F1038" t="s">
        <v>61</v>
      </c>
      <c r="G1038" t="s">
        <v>5</v>
      </c>
    </row>
    <row r="1039" spans="1:7" x14ac:dyDescent="0.3">
      <c r="A1039" t="s">
        <v>15</v>
      </c>
      <c r="B1039" s="1">
        <v>45838</v>
      </c>
      <c r="C1039">
        <v>551012</v>
      </c>
      <c r="D1039">
        <v>7308.25</v>
      </c>
      <c r="E1039" t="s">
        <v>6</v>
      </c>
      <c r="F1039" t="s">
        <v>63</v>
      </c>
      <c r="G1039" t="s">
        <v>5</v>
      </c>
    </row>
    <row r="1040" spans="1:7" x14ac:dyDescent="0.3">
      <c r="A1040" t="s">
        <v>15</v>
      </c>
      <c r="B1040" s="1">
        <v>45838</v>
      </c>
      <c r="C1040">
        <v>551014</v>
      </c>
      <c r="D1040">
        <v>4295.6189999999997</v>
      </c>
      <c r="E1040" t="s">
        <v>6</v>
      </c>
      <c r="F1040" t="s">
        <v>63</v>
      </c>
      <c r="G1040" t="s">
        <v>5</v>
      </c>
    </row>
    <row r="1041" spans="1:7" x14ac:dyDescent="0.3">
      <c r="A1041" t="s">
        <v>15</v>
      </c>
      <c r="B1041" s="1">
        <v>45838</v>
      </c>
      <c r="C1041">
        <v>552002</v>
      </c>
      <c r="D1041">
        <v>29194.419000000002</v>
      </c>
      <c r="E1041" t="s">
        <v>6</v>
      </c>
      <c r="F1041" t="s">
        <v>55</v>
      </c>
      <c r="G1041" t="s">
        <v>5</v>
      </c>
    </row>
    <row r="1042" spans="1:7" x14ac:dyDescent="0.3">
      <c r="A1042" t="s">
        <v>15</v>
      </c>
      <c r="B1042" s="1">
        <v>45838</v>
      </c>
      <c r="C1042">
        <v>552502</v>
      </c>
      <c r="D1042">
        <v>-1555.4829999999999</v>
      </c>
      <c r="E1042" t="s">
        <v>6</v>
      </c>
      <c r="F1042" t="s">
        <v>55</v>
      </c>
      <c r="G1042" t="s">
        <v>5</v>
      </c>
    </row>
    <row r="1043" spans="1:7" x14ac:dyDescent="0.3">
      <c r="A1043" t="s">
        <v>15</v>
      </c>
      <c r="B1043" s="1">
        <v>45838</v>
      </c>
      <c r="C1043">
        <v>552503</v>
      </c>
      <c r="D1043">
        <v>1183.05</v>
      </c>
      <c r="E1043" t="s">
        <v>6</v>
      </c>
      <c r="F1043" t="s">
        <v>55</v>
      </c>
      <c r="G1043" t="s">
        <v>5</v>
      </c>
    </row>
    <row r="1044" spans="1:7" x14ac:dyDescent="0.3">
      <c r="A1044" t="s">
        <v>15</v>
      </c>
      <c r="B1044" s="1">
        <v>45838</v>
      </c>
      <c r="C1044">
        <v>552504</v>
      </c>
      <c r="D1044">
        <v>652.654</v>
      </c>
      <c r="E1044" t="s">
        <v>6</v>
      </c>
      <c r="F1044" t="s">
        <v>55</v>
      </c>
      <c r="G1044" t="s">
        <v>5</v>
      </c>
    </row>
    <row r="1045" spans="1:7" x14ac:dyDescent="0.3">
      <c r="A1045" t="s">
        <v>15</v>
      </c>
      <c r="B1045" s="1">
        <v>45838</v>
      </c>
      <c r="C1045">
        <v>554002</v>
      </c>
      <c r="D1045">
        <v>23583.611000000001</v>
      </c>
      <c r="E1045" t="s">
        <v>6</v>
      </c>
      <c r="F1045" t="s">
        <v>55</v>
      </c>
      <c r="G1045" t="s">
        <v>5</v>
      </c>
    </row>
    <row r="1046" spans="1:7" x14ac:dyDescent="0.3">
      <c r="A1046" t="s">
        <v>15</v>
      </c>
      <c r="B1046" s="1">
        <v>45838</v>
      </c>
      <c r="C1046">
        <v>554003</v>
      </c>
      <c r="D1046">
        <v>25031.046999999999</v>
      </c>
      <c r="E1046" t="s">
        <v>6</v>
      </c>
      <c r="F1046" t="s">
        <v>55</v>
      </c>
      <c r="G1046" t="s">
        <v>5</v>
      </c>
    </row>
    <row r="1047" spans="1:7" x14ac:dyDescent="0.3">
      <c r="A1047" t="s">
        <v>15</v>
      </c>
      <c r="B1047" s="1">
        <v>45838</v>
      </c>
      <c r="C1047">
        <v>554004</v>
      </c>
      <c r="D1047">
        <v>18477.151000000002</v>
      </c>
      <c r="E1047" t="s">
        <v>6</v>
      </c>
      <c r="F1047" t="s">
        <v>55</v>
      </c>
      <c r="G1047" t="s">
        <v>5</v>
      </c>
    </row>
    <row r="1048" spans="1:7" x14ac:dyDescent="0.3">
      <c r="A1048" t="s">
        <v>15</v>
      </c>
      <c r="B1048" s="1">
        <v>45838</v>
      </c>
      <c r="C1048">
        <v>554005</v>
      </c>
      <c r="D1048">
        <v>207.45400000000001</v>
      </c>
      <c r="E1048" t="s">
        <v>6</v>
      </c>
      <c r="F1048" t="s">
        <v>55</v>
      </c>
      <c r="G1048" t="s">
        <v>5</v>
      </c>
    </row>
    <row r="1049" spans="1:7" x14ac:dyDescent="0.3">
      <c r="A1049" t="s">
        <v>15</v>
      </c>
      <c r="B1049" s="1">
        <v>45838</v>
      </c>
      <c r="C1049">
        <v>554006</v>
      </c>
      <c r="D1049">
        <v>1168.5029999999999</v>
      </c>
      <c r="E1049" t="s">
        <v>6</v>
      </c>
      <c r="F1049" t="s">
        <v>55</v>
      </c>
      <c r="G1049" t="s">
        <v>5</v>
      </c>
    </row>
    <row r="1050" spans="1:7" x14ac:dyDescent="0.3">
      <c r="A1050" t="s">
        <v>15</v>
      </c>
      <c r="B1050" s="1">
        <v>45838</v>
      </c>
      <c r="C1050">
        <v>554007</v>
      </c>
      <c r="D1050">
        <v>189402.03700000001</v>
      </c>
      <c r="E1050" t="s">
        <v>6</v>
      </c>
      <c r="F1050" t="s">
        <v>55</v>
      </c>
      <c r="G1050" t="s">
        <v>5</v>
      </c>
    </row>
    <row r="1051" spans="1:7" x14ac:dyDescent="0.3">
      <c r="A1051" t="s">
        <v>15</v>
      </c>
      <c r="B1051" s="1">
        <v>45838</v>
      </c>
      <c r="C1051">
        <v>554008</v>
      </c>
      <c r="D1051">
        <v>697.48599999999999</v>
      </c>
      <c r="E1051" t="s">
        <v>6</v>
      </c>
      <c r="F1051" t="s">
        <v>55</v>
      </c>
      <c r="G1051" t="s">
        <v>5</v>
      </c>
    </row>
    <row r="1052" spans="1:7" x14ac:dyDescent="0.3">
      <c r="A1052" t="s">
        <v>15</v>
      </c>
      <c r="B1052" s="1">
        <v>45838</v>
      </c>
      <c r="C1052">
        <v>555002</v>
      </c>
      <c r="D1052">
        <v>158.15</v>
      </c>
      <c r="E1052" t="s">
        <v>6</v>
      </c>
      <c r="F1052" t="s">
        <v>55</v>
      </c>
      <c r="G1052" t="s">
        <v>5</v>
      </c>
    </row>
    <row r="1053" spans="1:7" x14ac:dyDescent="0.3">
      <c r="A1053" t="s">
        <v>15</v>
      </c>
      <c r="B1053" s="1">
        <v>45838</v>
      </c>
      <c r="C1053">
        <v>555003</v>
      </c>
      <c r="D1053">
        <v>65.882000000000005</v>
      </c>
      <c r="E1053" t="s">
        <v>6</v>
      </c>
      <c r="F1053" t="s">
        <v>55</v>
      </c>
      <c r="G1053" t="s">
        <v>5</v>
      </c>
    </row>
    <row r="1054" spans="1:7" x14ac:dyDescent="0.3">
      <c r="A1054" t="s">
        <v>15</v>
      </c>
      <c r="B1054" s="1">
        <v>45838</v>
      </c>
      <c r="C1054">
        <v>555004</v>
      </c>
      <c r="D1054">
        <v>17.648</v>
      </c>
      <c r="E1054" t="s">
        <v>6</v>
      </c>
      <c r="F1054" t="s">
        <v>55</v>
      </c>
      <c r="G1054" t="s">
        <v>5</v>
      </c>
    </row>
    <row r="1055" spans="1:7" x14ac:dyDescent="0.3">
      <c r="A1055" t="s">
        <v>15</v>
      </c>
      <c r="B1055" s="1">
        <v>45838</v>
      </c>
      <c r="C1055">
        <v>555005</v>
      </c>
      <c r="D1055">
        <v>525.404</v>
      </c>
      <c r="E1055" t="s">
        <v>6</v>
      </c>
      <c r="F1055" t="s">
        <v>55</v>
      </c>
      <c r="G1055" t="s">
        <v>5</v>
      </c>
    </row>
    <row r="1056" spans="1:7" x14ac:dyDescent="0.3">
      <c r="A1056" t="s">
        <v>15</v>
      </c>
      <c r="B1056" s="1">
        <v>45838</v>
      </c>
      <c r="C1056">
        <v>555007</v>
      </c>
      <c r="D1056">
        <v>6176.8519999999999</v>
      </c>
      <c r="E1056" t="s">
        <v>6</v>
      </c>
      <c r="F1056" t="s">
        <v>55</v>
      </c>
      <c r="G1056" t="s">
        <v>5</v>
      </c>
    </row>
    <row r="1057" spans="1:7" x14ac:dyDescent="0.3">
      <c r="A1057" t="s">
        <v>15</v>
      </c>
      <c r="B1057" s="1">
        <v>45838</v>
      </c>
      <c r="C1057">
        <v>555008</v>
      </c>
      <c r="D1057">
        <v>579.66099999999994</v>
      </c>
      <c r="E1057" t="s">
        <v>6</v>
      </c>
      <c r="F1057" t="s">
        <v>55</v>
      </c>
      <c r="G1057" t="s">
        <v>5</v>
      </c>
    </row>
    <row r="1058" spans="1:7" x14ac:dyDescent="0.3">
      <c r="A1058" t="s">
        <v>15</v>
      </c>
      <c r="B1058" s="1">
        <v>45838</v>
      </c>
      <c r="C1058">
        <v>555009</v>
      </c>
      <c r="D1058">
        <v>20019.284</v>
      </c>
      <c r="E1058" t="s">
        <v>6</v>
      </c>
      <c r="F1058" t="s">
        <v>53</v>
      </c>
      <c r="G1058" t="s">
        <v>5</v>
      </c>
    </row>
    <row r="1059" spans="1:7" x14ac:dyDescent="0.3">
      <c r="A1059" t="s">
        <v>15</v>
      </c>
      <c r="B1059" s="1">
        <v>45838</v>
      </c>
      <c r="C1059">
        <v>555010</v>
      </c>
      <c r="D1059">
        <v>2152.5590000000002</v>
      </c>
      <c r="E1059" t="s">
        <v>6</v>
      </c>
      <c r="F1059" t="s">
        <v>55</v>
      </c>
      <c r="G1059" t="s">
        <v>5</v>
      </c>
    </row>
    <row r="1060" spans="1:7" x14ac:dyDescent="0.3">
      <c r="A1060" t="s">
        <v>15</v>
      </c>
      <c r="B1060" s="1">
        <v>45838</v>
      </c>
      <c r="C1060">
        <v>555504</v>
      </c>
      <c r="D1060">
        <v>1208.0619999999999</v>
      </c>
      <c r="E1060" t="s">
        <v>6</v>
      </c>
      <c r="F1060" t="s">
        <v>55</v>
      </c>
      <c r="G1060" t="s">
        <v>5</v>
      </c>
    </row>
    <row r="1061" spans="1:7" x14ac:dyDescent="0.3">
      <c r="A1061" t="s">
        <v>15</v>
      </c>
      <c r="B1061" s="1">
        <v>45838</v>
      </c>
      <c r="C1061">
        <v>555508</v>
      </c>
      <c r="D1061">
        <v>1373.171</v>
      </c>
      <c r="E1061" t="s">
        <v>6</v>
      </c>
      <c r="F1061" t="s">
        <v>55</v>
      </c>
      <c r="G1061" t="s">
        <v>5</v>
      </c>
    </row>
    <row r="1062" spans="1:7" x14ac:dyDescent="0.3">
      <c r="A1062" t="s">
        <v>15</v>
      </c>
      <c r="B1062" s="1">
        <v>45838</v>
      </c>
      <c r="C1062">
        <v>555511</v>
      </c>
      <c r="D1062">
        <v>775</v>
      </c>
      <c r="E1062" t="s">
        <v>6</v>
      </c>
      <c r="F1062" t="s">
        <v>55</v>
      </c>
      <c r="G1062" t="s">
        <v>5</v>
      </c>
    </row>
    <row r="1063" spans="1:7" x14ac:dyDescent="0.3">
      <c r="A1063" t="s">
        <v>15</v>
      </c>
      <c r="B1063" s="1">
        <v>45838</v>
      </c>
      <c r="C1063">
        <v>556002</v>
      </c>
      <c r="D1063">
        <v>9300.9689999999991</v>
      </c>
      <c r="E1063" t="s">
        <v>6</v>
      </c>
      <c r="F1063" t="s">
        <v>60</v>
      </c>
      <c r="G1063" t="s">
        <v>5</v>
      </c>
    </row>
    <row r="1064" spans="1:7" x14ac:dyDescent="0.3">
      <c r="A1064" t="s">
        <v>15</v>
      </c>
      <c r="B1064" s="1">
        <v>45838</v>
      </c>
      <c r="C1064">
        <v>556003</v>
      </c>
      <c r="D1064">
        <v>10134.731</v>
      </c>
      <c r="E1064" t="s">
        <v>6</v>
      </c>
      <c r="F1064" t="s">
        <v>55</v>
      </c>
      <c r="G1064" t="s">
        <v>5</v>
      </c>
    </row>
    <row r="1065" spans="1:7" x14ac:dyDescent="0.3">
      <c r="A1065" t="s">
        <v>15</v>
      </c>
      <c r="B1065" s="1">
        <v>45838</v>
      </c>
      <c r="C1065">
        <v>556004</v>
      </c>
      <c r="D1065">
        <v>5188.0460000000003</v>
      </c>
      <c r="E1065" t="s">
        <v>6</v>
      </c>
      <c r="F1065" t="s">
        <v>55</v>
      </c>
      <c r="G1065" t="s">
        <v>5</v>
      </c>
    </row>
    <row r="1066" spans="1:7" x14ac:dyDescent="0.3">
      <c r="A1066" t="s">
        <v>15</v>
      </c>
      <c r="B1066" s="1">
        <v>45838</v>
      </c>
      <c r="C1066">
        <v>557002</v>
      </c>
      <c r="D1066">
        <v>229995.481</v>
      </c>
      <c r="E1066" t="s">
        <v>6</v>
      </c>
      <c r="F1066" t="s">
        <v>56</v>
      </c>
      <c r="G1066" t="s">
        <v>5</v>
      </c>
    </row>
    <row r="1067" spans="1:7" x14ac:dyDescent="0.3">
      <c r="A1067" t="s">
        <v>15</v>
      </c>
      <c r="B1067" s="1">
        <v>45838</v>
      </c>
      <c r="C1067">
        <v>557003</v>
      </c>
      <c r="D1067">
        <v>16137.531999999999</v>
      </c>
      <c r="E1067" t="s">
        <v>6</v>
      </c>
      <c r="F1067" t="s">
        <v>56</v>
      </c>
      <c r="G1067" t="s">
        <v>5</v>
      </c>
    </row>
    <row r="1068" spans="1:7" x14ac:dyDescent="0.3">
      <c r="A1068" t="s">
        <v>15</v>
      </c>
      <c r="B1068" s="1">
        <v>45838</v>
      </c>
      <c r="C1068">
        <v>557006</v>
      </c>
      <c r="D1068">
        <v>2015</v>
      </c>
      <c r="E1068" t="s">
        <v>6</v>
      </c>
      <c r="F1068" t="s">
        <v>56</v>
      </c>
      <c r="G1068" t="s">
        <v>5</v>
      </c>
    </row>
    <row r="1069" spans="1:7" x14ac:dyDescent="0.3">
      <c r="A1069" t="s">
        <v>15</v>
      </c>
      <c r="B1069" s="1">
        <v>45838</v>
      </c>
      <c r="C1069">
        <v>557008</v>
      </c>
      <c r="D1069">
        <v>34.643000000000001</v>
      </c>
      <c r="E1069" t="s">
        <v>6</v>
      </c>
      <c r="F1069" t="s">
        <v>56</v>
      </c>
      <c r="G1069" t="s">
        <v>5</v>
      </c>
    </row>
    <row r="1070" spans="1:7" x14ac:dyDescent="0.3">
      <c r="A1070" t="s">
        <v>15</v>
      </c>
      <c r="B1070" s="1">
        <v>45838</v>
      </c>
      <c r="C1070">
        <v>558003</v>
      </c>
      <c r="D1070">
        <v>3361.5830000000001</v>
      </c>
      <c r="E1070" t="s">
        <v>6</v>
      </c>
      <c r="F1070" t="s">
        <v>57</v>
      </c>
      <c r="G1070" t="s">
        <v>5</v>
      </c>
    </row>
    <row r="1071" spans="1:7" x14ac:dyDescent="0.3">
      <c r="A1071" t="s">
        <v>15</v>
      </c>
      <c r="B1071" s="1">
        <v>45838</v>
      </c>
      <c r="C1071">
        <v>558006</v>
      </c>
      <c r="D1071">
        <v>42754.161999999997</v>
      </c>
      <c r="E1071" t="s">
        <v>6</v>
      </c>
      <c r="F1071" t="s">
        <v>57</v>
      </c>
      <c r="G1071" t="s">
        <v>5</v>
      </c>
    </row>
    <row r="1072" spans="1:7" x14ac:dyDescent="0.3">
      <c r="A1072" t="s">
        <v>15</v>
      </c>
      <c r="B1072" s="1">
        <v>45838</v>
      </c>
      <c r="C1072">
        <v>558011</v>
      </c>
      <c r="D1072">
        <v>936.08399999999995</v>
      </c>
      <c r="E1072" t="s">
        <v>6</v>
      </c>
      <c r="F1072" t="s">
        <v>57</v>
      </c>
      <c r="G1072" t="s">
        <v>5</v>
      </c>
    </row>
    <row r="1073" spans="1:7" x14ac:dyDescent="0.3">
      <c r="A1073" t="s">
        <v>15</v>
      </c>
      <c r="B1073" s="1">
        <v>45838</v>
      </c>
      <c r="C1073">
        <v>558012</v>
      </c>
      <c r="D1073">
        <v>-228.99199999999999</v>
      </c>
      <c r="E1073" t="s">
        <v>6</v>
      </c>
      <c r="F1073" t="s">
        <v>60</v>
      </c>
      <c r="G1073" t="s">
        <v>5</v>
      </c>
    </row>
    <row r="1074" spans="1:7" x14ac:dyDescent="0.3">
      <c r="A1074" t="s">
        <v>15</v>
      </c>
      <c r="B1074" s="1">
        <v>45838</v>
      </c>
      <c r="C1074">
        <v>559002</v>
      </c>
      <c r="D1074">
        <v>2352.5410000000002</v>
      </c>
      <c r="E1074" t="s">
        <v>6</v>
      </c>
      <c r="F1074" t="s">
        <v>60</v>
      </c>
      <c r="G1074" t="s">
        <v>5</v>
      </c>
    </row>
    <row r="1075" spans="1:7" x14ac:dyDescent="0.3">
      <c r="A1075" t="s">
        <v>15</v>
      </c>
      <c r="B1075" s="1">
        <v>45838</v>
      </c>
      <c r="C1075">
        <v>560002</v>
      </c>
      <c r="D1075">
        <v>4195.1620000000003</v>
      </c>
      <c r="E1075" t="s">
        <v>6</v>
      </c>
      <c r="F1075" t="s">
        <v>56</v>
      </c>
      <c r="G1075" t="s">
        <v>5</v>
      </c>
    </row>
    <row r="1076" spans="1:7" x14ac:dyDescent="0.3">
      <c r="A1076" t="s">
        <v>15</v>
      </c>
      <c r="B1076" s="1">
        <v>45838</v>
      </c>
      <c r="C1076">
        <v>560006</v>
      </c>
      <c r="D1076">
        <v>1046.25</v>
      </c>
      <c r="E1076" t="s">
        <v>6</v>
      </c>
      <c r="F1076" t="s">
        <v>56</v>
      </c>
      <c r="G1076" t="s">
        <v>5</v>
      </c>
    </row>
    <row r="1077" spans="1:7" x14ac:dyDescent="0.3">
      <c r="A1077" t="s">
        <v>15</v>
      </c>
      <c r="B1077" s="1">
        <v>45838</v>
      </c>
      <c r="C1077">
        <v>560007</v>
      </c>
      <c r="D1077">
        <v>1291.6659999999999</v>
      </c>
      <c r="E1077" t="s">
        <v>6</v>
      </c>
      <c r="F1077" t="s">
        <v>56</v>
      </c>
      <c r="G1077" t="s">
        <v>5</v>
      </c>
    </row>
    <row r="1078" spans="1:7" x14ac:dyDescent="0.3">
      <c r="A1078" t="s">
        <v>15</v>
      </c>
      <c r="B1078" s="1">
        <v>45838</v>
      </c>
      <c r="C1078">
        <v>561002</v>
      </c>
      <c r="D1078">
        <v>-5226.8509999999997</v>
      </c>
      <c r="E1078" t="s">
        <v>6</v>
      </c>
      <c r="F1078" t="s">
        <v>70</v>
      </c>
      <c r="G1078" t="s">
        <v>5</v>
      </c>
    </row>
    <row r="1079" spans="1:7" x14ac:dyDescent="0.3">
      <c r="A1079" t="s">
        <v>15</v>
      </c>
      <c r="B1079" s="1">
        <v>45838</v>
      </c>
      <c r="C1079">
        <v>562002</v>
      </c>
      <c r="D1079">
        <v>5406.3559999999998</v>
      </c>
      <c r="E1079" t="s">
        <v>6</v>
      </c>
      <c r="F1079" t="s">
        <v>57</v>
      </c>
      <c r="G1079" t="s">
        <v>5</v>
      </c>
    </row>
    <row r="1080" spans="1:7" x14ac:dyDescent="0.3">
      <c r="A1080" t="s">
        <v>15</v>
      </c>
      <c r="B1080" s="1">
        <v>45838</v>
      </c>
      <c r="C1080">
        <v>563002</v>
      </c>
      <c r="D1080">
        <v>5166.4859999999999</v>
      </c>
      <c r="E1080" t="s">
        <v>6</v>
      </c>
      <c r="F1080" t="s">
        <v>57</v>
      </c>
      <c r="G1080" t="s">
        <v>5</v>
      </c>
    </row>
    <row r="1081" spans="1:7" x14ac:dyDescent="0.3">
      <c r="A1081" t="s">
        <v>15</v>
      </c>
      <c r="B1081" s="1">
        <v>45838</v>
      </c>
      <c r="C1081">
        <v>564004</v>
      </c>
      <c r="D1081">
        <v>-287171.96999999997</v>
      </c>
      <c r="E1081" t="s">
        <v>6</v>
      </c>
      <c r="F1081" t="s">
        <v>51</v>
      </c>
      <c r="G1081" t="s">
        <v>5</v>
      </c>
    </row>
    <row r="1082" spans="1:7" x14ac:dyDescent="0.3">
      <c r="A1082" t="s">
        <v>15</v>
      </c>
      <c r="B1082" s="1">
        <v>45838</v>
      </c>
      <c r="C1082">
        <v>564005</v>
      </c>
      <c r="D1082">
        <v>6393.7550000000001</v>
      </c>
      <c r="E1082" t="s">
        <v>6</v>
      </c>
      <c r="F1082" t="s">
        <v>56</v>
      </c>
      <c r="G1082" t="s">
        <v>5</v>
      </c>
    </row>
    <row r="1083" spans="1:7" x14ac:dyDescent="0.3">
      <c r="A1083" t="s">
        <v>15</v>
      </c>
      <c r="B1083" s="1">
        <v>45838</v>
      </c>
      <c r="C1083">
        <v>564006</v>
      </c>
      <c r="D1083">
        <v>8.7899999999999991</v>
      </c>
      <c r="E1083" t="s">
        <v>6</v>
      </c>
      <c r="F1083" t="s">
        <v>57</v>
      </c>
      <c r="G1083" t="s">
        <v>5</v>
      </c>
    </row>
    <row r="1084" spans="1:7" x14ac:dyDescent="0.3">
      <c r="A1084" t="s">
        <v>15</v>
      </c>
      <c r="B1084" s="1">
        <v>45838</v>
      </c>
      <c r="C1084">
        <v>564008</v>
      </c>
      <c r="D1084">
        <v>882.96799999999996</v>
      </c>
      <c r="E1084" t="s">
        <v>6</v>
      </c>
      <c r="F1084" t="s">
        <v>55</v>
      </c>
      <c r="G1084" t="s">
        <v>5</v>
      </c>
    </row>
    <row r="1085" spans="1:7" x14ac:dyDescent="0.3">
      <c r="A1085" t="s">
        <v>15</v>
      </c>
      <c r="B1085" s="1">
        <v>45838</v>
      </c>
      <c r="C1085">
        <v>564011</v>
      </c>
      <c r="D1085">
        <v>366.45699999999999</v>
      </c>
      <c r="E1085" t="s">
        <v>6</v>
      </c>
      <c r="F1085" t="s">
        <v>55</v>
      </c>
      <c r="G1085" t="s">
        <v>5</v>
      </c>
    </row>
    <row r="1086" spans="1:7" x14ac:dyDescent="0.3">
      <c r="A1086" t="s">
        <v>15</v>
      </c>
      <c r="B1086" s="1">
        <v>45838</v>
      </c>
      <c r="C1086">
        <v>564014</v>
      </c>
      <c r="D1086">
        <v>1406.9269999999999</v>
      </c>
      <c r="E1086" t="s">
        <v>6</v>
      </c>
      <c r="F1086" t="s">
        <v>55</v>
      </c>
      <c r="G1086" t="s">
        <v>5</v>
      </c>
    </row>
    <row r="1087" spans="1:7" x14ac:dyDescent="0.3">
      <c r="A1087" t="s">
        <v>15</v>
      </c>
      <c r="B1087" s="1">
        <v>45838</v>
      </c>
      <c r="C1087">
        <v>564015</v>
      </c>
      <c r="D1087">
        <v>16171.968999999999</v>
      </c>
      <c r="E1087" t="s">
        <v>6</v>
      </c>
      <c r="F1087" t="s">
        <v>55</v>
      </c>
      <c r="G1087" t="s">
        <v>5</v>
      </c>
    </row>
    <row r="1088" spans="1:7" x14ac:dyDescent="0.3">
      <c r="A1088" t="s">
        <v>15</v>
      </c>
      <c r="B1088" s="1">
        <v>45838</v>
      </c>
      <c r="C1088">
        <v>564016</v>
      </c>
      <c r="D1088">
        <v>18637.004000000001</v>
      </c>
      <c r="E1088" t="s">
        <v>6</v>
      </c>
      <c r="F1088" t="s">
        <v>55</v>
      </c>
      <c r="G1088" t="s">
        <v>5</v>
      </c>
    </row>
    <row r="1089" spans="1:7" x14ac:dyDescent="0.3">
      <c r="A1089" t="s">
        <v>15</v>
      </c>
      <c r="B1089" s="1">
        <v>45838</v>
      </c>
      <c r="C1089">
        <v>564017</v>
      </c>
      <c r="D1089">
        <v>13563.120999999999</v>
      </c>
      <c r="E1089" t="s">
        <v>6</v>
      </c>
      <c r="F1089" t="s">
        <v>55</v>
      </c>
      <c r="G1089" t="s">
        <v>5</v>
      </c>
    </row>
    <row r="1090" spans="1:7" x14ac:dyDescent="0.3">
      <c r="A1090" t="s">
        <v>15</v>
      </c>
      <c r="B1090" s="1">
        <v>45838</v>
      </c>
      <c r="C1090">
        <v>564019</v>
      </c>
      <c r="D1090">
        <v>-36200.324000000001</v>
      </c>
      <c r="E1090" t="s">
        <v>6</v>
      </c>
      <c r="F1090" t="s">
        <v>51</v>
      </c>
      <c r="G1090" t="s">
        <v>5</v>
      </c>
    </row>
    <row r="1091" spans="1:7" x14ac:dyDescent="0.3">
      <c r="A1091" t="s">
        <v>15</v>
      </c>
      <c r="B1091" s="1">
        <v>45838</v>
      </c>
      <c r="C1091">
        <v>564020</v>
      </c>
      <c r="D1091">
        <v>748.28899999999999</v>
      </c>
      <c r="E1091" t="s">
        <v>6</v>
      </c>
      <c r="F1091" t="s">
        <v>57</v>
      </c>
      <c r="G1091" t="s">
        <v>5</v>
      </c>
    </row>
    <row r="1092" spans="1:7" x14ac:dyDescent="0.3">
      <c r="A1092" t="s">
        <v>15</v>
      </c>
      <c r="B1092" s="1">
        <v>45838</v>
      </c>
      <c r="C1092">
        <v>564021</v>
      </c>
      <c r="D1092">
        <v>137.06700000000001</v>
      </c>
      <c r="E1092" t="s">
        <v>6</v>
      </c>
      <c r="F1092" t="s">
        <v>57</v>
      </c>
      <c r="G1092" t="s">
        <v>5</v>
      </c>
    </row>
    <row r="1093" spans="1:7" x14ac:dyDescent="0.3">
      <c r="A1093" t="s">
        <v>15</v>
      </c>
      <c r="B1093" s="1">
        <v>45838</v>
      </c>
      <c r="C1093">
        <v>564023</v>
      </c>
      <c r="D1093">
        <v>3021.35</v>
      </c>
      <c r="E1093" t="s">
        <v>6</v>
      </c>
      <c r="F1093" t="s">
        <v>67</v>
      </c>
      <c r="G1093" t="s">
        <v>5</v>
      </c>
    </row>
    <row r="1094" spans="1:7" x14ac:dyDescent="0.3">
      <c r="A1094" t="s">
        <v>15</v>
      </c>
      <c r="B1094" s="1">
        <v>45838</v>
      </c>
      <c r="C1094">
        <v>564029</v>
      </c>
      <c r="D1094">
        <v>0</v>
      </c>
      <c r="E1094" t="s">
        <v>6</v>
      </c>
      <c r="F1094" t="s">
        <v>67</v>
      </c>
      <c r="G1094" t="s">
        <v>5</v>
      </c>
    </row>
    <row r="1095" spans="1:7" x14ac:dyDescent="0.3">
      <c r="A1095" t="s">
        <v>15</v>
      </c>
      <c r="B1095" s="1">
        <v>45838</v>
      </c>
      <c r="C1095">
        <v>564030</v>
      </c>
      <c r="D1095">
        <v>23410.054</v>
      </c>
      <c r="E1095" t="s">
        <v>6</v>
      </c>
      <c r="F1095" t="s">
        <v>69</v>
      </c>
      <c r="G1095" t="s">
        <v>5</v>
      </c>
    </row>
    <row r="1096" spans="1:7" x14ac:dyDescent="0.3">
      <c r="A1096" t="s">
        <v>15</v>
      </c>
      <c r="B1096" s="1">
        <v>45838</v>
      </c>
      <c r="C1096">
        <v>570002</v>
      </c>
      <c r="D1096">
        <v>180581.40900000001</v>
      </c>
      <c r="E1096" t="s">
        <v>6</v>
      </c>
      <c r="F1096" t="s">
        <v>66</v>
      </c>
      <c r="G1096" t="s">
        <v>5</v>
      </c>
    </row>
    <row r="1097" spans="1:7" x14ac:dyDescent="0.3">
      <c r="A1097" t="s">
        <v>15</v>
      </c>
      <c r="B1097" s="1">
        <v>45838</v>
      </c>
      <c r="C1097">
        <v>570004</v>
      </c>
      <c r="D1097">
        <v>101413.952</v>
      </c>
      <c r="E1097" t="s">
        <v>6</v>
      </c>
      <c r="F1097" t="s">
        <v>66</v>
      </c>
      <c r="G1097" t="s">
        <v>5</v>
      </c>
    </row>
    <row r="1098" spans="1:7" x14ac:dyDescent="0.3">
      <c r="A1098" t="s">
        <v>15</v>
      </c>
      <c r="B1098" s="1">
        <v>45838</v>
      </c>
      <c r="C1098">
        <v>580002</v>
      </c>
      <c r="D1098">
        <v>397205.212</v>
      </c>
      <c r="E1098" t="s">
        <v>6</v>
      </c>
      <c r="F1098" t="s">
        <v>64</v>
      </c>
      <c r="G1098" t="s">
        <v>5</v>
      </c>
    </row>
    <row r="1099" spans="1:7" x14ac:dyDescent="0.3">
      <c r="A1099" t="s">
        <v>15</v>
      </c>
      <c r="B1099" s="1">
        <v>45838</v>
      </c>
      <c r="C1099">
        <v>580003</v>
      </c>
      <c r="D1099">
        <v>-902.94299999999998</v>
      </c>
      <c r="E1099" t="s">
        <v>6</v>
      </c>
      <c r="F1099" t="s">
        <v>64</v>
      </c>
      <c r="G1099" t="s">
        <v>5</v>
      </c>
    </row>
    <row r="1100" spans="1:7" x14ac:dyDescent="0.3">
      <c r="A1100" t="s">
        <v>15</v>
      </c>
      <c r="B1100" s="1">
        <v>45838</v>
      </c>
      <c r="C1100">
        <v>600021</v>
      </c>
      <c r="D1100">
        <v>0</v>
      </c>
      <c r="E1100" t="s">
        <v>4</v>
      </c>
      <c r="F1100" t="s">
        <v>65</v>
      </c>
      <c r="G1100" t="s">
        <v>5</v>
      </c>
    </row>
    <row r="1101" spans="1:7" x14ac:dyDescent="0.3">
      <c r="A1101" t="s">
        <v>16</v>
      </c>
      <c r="B1101" s="1">
        <v>45838</v>
      </c>
      <c r="C1101">
        <v>210002</v>
      </c>
      <c r="D1101">
        <v>46726.165999999997</v>
      </c>
      <c r="E1101" t="s">
        <v>4</v>
      </c>
      <c r="F1101" t="s">
        <v>42</v>
      </c>
      <c r="G1101" t="s">
        <v>5</v>
      </c>
    </row>
    <row r="1102" spans="1:7" x14ac:dyDescent="0.3">
      <c r="A1102" t="s">
        <v>16</v>
      </c>
      <c r="B1102" s="1">
        <v>45838</v>
      </c>
      <c r="C1102">
        <v>220003</v>
      </c>
      <c r="D1102">
        <v>-3170112.03</v>
      </c>
      <c r="E1102" t="s">
        <v>4</v>
      </c>
      <c r="F1102" t="s">
        <v>42</v>
      </c>
      <c r="G1102" t="s">
        <v>5</v>
      </c>
    </row>
    <row r="1103" spans="1:7" x14ac:dyDescent="0.3">
      <c r="A1103" t="s">
        <v>16</v>
      </c>
      <c r="B1103" s="1">
        <v>45838</v>
      </c>
      <c r="C1103">
        <v>220004</v>
      </c>
      <c r="D1103">
        <v>-707177.39500000002</v>
      </c>
      <c r="E1103" t="s">
        <v>4</v>
      </c>
      <c r="F1103" t="s">
        <v>42</v>
      </c>
      <c r="G1103" t="s">
        <v>5</v>
      </c>
    </row>
    <row r="1104" spans="1:7" x14ac:dyDescent="0.3">
      <c r="A1104" t="s">
        <v>16</v>
      </c>
      <c r="B1104" s="1">
        <v>45838</v>
      </c>
      <c r="C1104">
        <v>220006</v>
      </c>
      <c r="D1104">
        <v>4334378.7359999996</v>
      </c>
      <c r="E1104" t="s">
        <v>4</v>
      </c>
      <c r="F1104" t="s">
        <v>42</v>
      </c>
      <c r="G1104" t="s">
        <v>5</v>
      </c>
    </row>
    <row r="1105" spans="1:7" x14ac:dyDescent="0.3">
      <c r="A1105" t="s">
        <v>16</v>
      </c>
      <c r="B1105" s="1">
        <v>45838</v>
      </c>
      <c r="C1105">
        <v>220007</v>
      </c>
      <c r="D1105">
        <v>-456827.83899999998</v>
      </c>
      <c r="E1105" t="s">
        <v>4</v>
      </c>
      <c r="F1105" t="s">
        <v>42</v>
      </c>
      <c r="G1105" t="s">
        <v>5</v>
      </c>
    </row>
    <row r="1106" spans="1:7" x14ac:dyDescent="0.3">
      <c r="A1106" t="s">
        <v>16</v>
      </c>
      <c r="B1106" s="1">
        <v>45838</v>
      </c>
      <c r="C1106">
        <v>310016</v>
      </c>
      <c r="D1106">
        <v>-7227.65</v>
      </c>
      <c r="E1106" t="s">
        <v>4</v>
      </c>
      <c r="F1106" t="s">
        <v>42</v>
      </c>
      <c r="G1106" t="s">
        <v>5</v>
      </c>
    </row>
    <row r="1107" spans="1:7" x14ac:dyDescent="0.3">
      <c r="A1107" t="s">
        <v>16</v>
      </c>
      <c r="B1107" s="1">
        <v>45838</v>
      </c>
      <c r="C1107">
        <v>310017</v>
      </c>
      <c r="D1107">
        <v>-39387.707000000002</v>
      </c>
      <c r="E1107" t="s">
        <v>4</v>
      </c>
      <c r="F1107" t="s">
        <v>42</v>
      </c>
      <c r="G1107" t="s">
        <v>5</v>
      </c>
    </row>
    <row r="1108" spans="1:7" x14ac:dyDescent="0.3">
      <c r="A1108" t="s">
        <v>16</v>
      </c>
      <c r="B1108" s="1">
        <v>45838</v>
      </c>
      <c r="C1108">
        <v>310021</v>
      </c>
      <c r="D1108">
        <v>-63.031999999999996</v>
      </c>
      <c r="E1108" t="s">
        <v>4</v>
      </c>
      <c r="F1108" t="s">
        <v>42</v>
      </c>
      <c r="G1108" t="s">
        <v>5</v>
      </c>
    </row>
    <row r="1109" spans="1:7" x14ac:dyDescent="0.3">
      <c r="A1109" t="s">
        <v>16</v>
      </c>
      <c r="B1109" s="1">
        <v>45838</v>
      </c>
      <c r="C1109">
        <v>310032</v>
      </c>
      <c r="D1109">
        <v>-309.24900000000002</v>
      </c>
      <c r="E1109" t="s">
        <v>4</v>
      </c>
      <c r="F1109" t="s">
        <v>42</v>
      </c>
      <c r="G1109" t="s">
        <v>5</v>
      </c>
    </row>
    <row r="1110" spans="1:7" x14ac:dyDescent="0.3">
      <c r="A1110" t="s">
        <v>17</v>
      </c>
      <c r="B1110" s="1">
        <v>45838</v>
      </c>
      <c r="C1110">
        <v>220006</v>
      </c>
      <c r="D1110">
        <v>0</v>
      </c>
      <c r="E1110" t="s">
        <v>4</v>
      </c>
      <c r="F1110" t="s">
        <v>42</v>
      </c>
      <c r="G1110" t="s">
        <v>5</v>
      </c>
    </row>
    <row r="1111" spans="1:7" x14ac:dyDescent="0.3">
      <c r="A1111" t="s">
        <v>17</v>
      </c>
      <c r="B1111" s="1">
        <v>45838</v>
      </c>
      <c r="C1111">
        <v>220013</v>
      </c>
      <c r="D1111">
        <v>0</v>
      </c>
      <c r="E1111" t="s">
        <v>4</v>
      </c>
      <c r="F1111" t="s">
        <v>42</v>
      </c>
      <c r="G1111" t="s">
        <v>5</v>
      </c>
    </row>
    <row r="1112" spans="1:7" x14ac:dyDescent="0.3">
      <c r="A1112" t="s">
        <v>17</v>
      </c>
      <c r="B1112" s="1">
        <v>45838</v>
      </c>
      <c r="C1112">
        <v>240003</v>
      </c>
      <c r="D1112">
        <v>0</v>
      </c>
      <c r="E1112" t="s">
        <v>4</v>
      </c>
      <c r="F1112" t="s">
        <v>43</v>
      </c>
      <c r="G1112" t="s">
        <v>5</v>
      </c>
    </row>
    <row r="1113" spans="1:7" x14ac:dyDescent="0.3">
      <c r="A1113" t="s">
        <v>17</v>
      </c>
      <c r="B1113" s="1">
        <v>45838</v>
      </c>
      <c r="C1113">
        <v>243002</v>
      </c>
      <c r="D1113">
        <v>0</v>
      </c>
      <c r="E1113" t="s">
        <v>4</v>
      </c>
      <c r="F1113" t="s">
        <v>43</v>
      </c>
      <c r="G1113" t="s">
        <v>5</v>
      </c>
    </row>
    <row r="1114" spans="1:7" x14ac:dyDescent="0.3">
      <c r="A1114" t="s">
        <v>17</v>
      </c>
      <c r="B1114" s="1">
        <v>45838</v>
      </c>
      <c r="C1114">
        <v>251002</v>
      </c>
      <c r="D1114">
        <v>0</v>
      </c>
      <c r="E1114" t="s">
        <v>4</v>
      </c>
      <c r="F1114" t="s">
        <v>45</v>
      </c>
      <c r="G1114" t="s">
        <v>5</v>
      </c>
    </row>
    <row r="1115" spans="1:7" x14ac:dyDescent="0.3">
      <c r="A1115" t="s">
        <v>17</v>
      </c>
      <c r="B1115" s="1">
        <v>45838</v>
      </c>
      <c r="C1115">
        <v>260004</v>
      </c>
      <c r="D1115">
        <v>0</v>
      </c>
      <c r="E1115" t="s">
        <v>4</v>
      </c>
      <c r="F1115" t="s">
        <v>45</v>
      </c>
      <c r="G1115" t="s">
        <v>5</v>
      </c>
    </row>
    <row r="1116" spans="1:7" x14ac:dyDescent="0.3">
      <c r="A1116" t="s">
        <v>17</v>
      </c>
      <c r="B1116" s="1">
        <v>45838</v>
      </c>
      <c r="C1116">
        <v>260007</v>
      </c>
      <c r="D1116">
        <v>0</v>
      </c>
      <c r="E1116" t="s">
        <v>4</v>
      </c>
      <c r="F1116" t="s">
        <v>45</v>
      </c>
      <c r="G1116" t="s">
        <v>5</v>
      </c>
    </row>
    <row r="1117" spans="1:7" x14ac:dyDescent="0.3">
      <c r="A1117" t="s">
        <v>17</v>
      </c>
      <c r="B1117" s="1">
        <v>45838</v>
      </c>
      <c r="C1117">
        <v>262015</v>
      </c>
      <c r="D1117">
        <v>0</v>
      </c>
      <c r="E1117" t="s">
        <v>4</v>
      </c>
      <c r="F1117" t="s">
        <v>45</v>
      </c>
      <c r="G1117" t="s">
        <v>5</v>
      </c>
    </row>
    <row r="1118" spans="1:7" x14ac:dyDescent="0.3">
      <c r="A1118" t="s">
        <v>17</v>
      </c>
      <c r="B1118" s="1">
        <v>45838</v>
      </c>
      <c r="C1118">
        <v>263006</v>
      </c>
      <c r="D1118">
        <v>0</v>
      </c>
      <c r="E1118" t="s">
        <v>4</v>
      </c>
      <c r="F1118" t="s">
        <v>45</v>
      </c>
      <c r="G1118" t="s">
        <v>5</v>
      </c>
    </row>
    <row r="1119" spans="1:7" x14ac:dyDescent="0.3">
      <c r="A1119" t="s">
        <v>17</v>
      </c>
      <c r="B1119" s="1">
        <v>45838</v>
      </c>
      <c r="C1119">
        <v>263007</v>
      </c>
      <c r="D1119">
        <v>0</v>
      </c>
      <c r="E1119" t="s">
        <v>4</v>
      </c>
      <c r="F1119" t="s">
        <v>45</v>
      </c>
      <c r="G1119" t="s">
        <v>5</v>
      </c>
    </row>
    <row r="1120" spans="1:7" x14ac:dyDescent="0.3">
      <c r="A1120" t="s">
        <v>17</v>
      </c>
      <c r="B1120" s="1">
        <v>45838</v>
      </c>
      <c r="C1120">
        <v>263008</v>
      </c>
      <c r="D1120">
        <v>0</v>
      </c>
      <c r="E1120" t="s">
        <v>4</v>
      </c>
      <c r="F1120" t="s">
        <v>45</v>
      </c>
      <c r="G1120" t="s">
        <v>5</v>
      </c>
    </row>
    <row r="1121" spans="1:7" x14ac:dyDescent="0.3">
      <c r="A1121" t="s">
        <v>17</v>
      </c>
      <c r="B1121" s="1">
        <v>45838</v>
      </c>
      <c r="C1121">
        <v>330050</v>
      </c>
      <c r="D1121">
        <v>0</v>
      </c>
      <c r="E1121" t="s">
        <v>4</v>
      </c>
      <c r="F1121" t="s">
        <v>43</v>
      </c>
      <c r="G1121" t="s">
        <v>5</v>
      </c>
    </row>
    <row r="1122" spans="1:7" x14ac:dyDescent="0.3">
      <c r="A1122" t="s">
        <v>17</v>
      </c>
      <c r="B1122" s="1">
        <v>45838</v>
      </c>
      <c r="C1122">
        <v>330077</v>
      </c>
      <c r="D1122">
        <v>0</v>
      </c>
      <c r="E1122" t="s">
        <v>4</v>
      </c>
      <c r="F1122" t="s">
        <v>43</v>
      </c>
      <c r="G1122" t="s">
        <v>5</v>
      </c>
    </row>
    <row r="1123" spans="1:7" x14ac:dyDescent="0.3">
      <c r="A1123" t="s">
        <v>17</v>
      </c>
      <c r="B1123" s="1">
        <v>45838</v>
      </c>
      <c r="C1123">
        <v>340004</v>
      </c>
      <c r="D1123">
        <v>0</v>
      </c>
      <c r="E1123" t="s">
        <v>4</v>
      </c>
      <c r="F1123" t="s">
        <v>47</v>
      </c>
      <c r="G1123" t="s">
        <v>5</v>
      </c>
    </row>
    <row r="1124" spans="1:7" x14ac:dyDescent="0.3">
      <c r="A1124" t="s">
        <v>17</v>
      </c>
      <c r="B1124" s="1">
        <v>45838</v>
      </c>
      <c r="C1124">
        <v>340024</v>
      </c>
      <c r="D1124">
        <v>0</v>
      </c>
      <c r="E1124" t="s">
        <v>4</v>
      </c>
      <c r="F1124" t="s">
        <v>47</v>
      </c>
      <c r="G1124" t="s">
        <v>5</v>
      </c>
    </row>
    <row r="1125" spans="1:7" x14ac:dyDescent="0.3">
      <c r="A1125" t="s">
        <v>17</v>
      </c>
      <c r="B1125" s="1">
        <v>45838</v>
      </c>
      <c r="C1125">
        <v>350003</v>
      </c>
      <c r="D1125">
        <v>0</v>
      </c>
      <c r="E1125" t="s">
        <v>4</v>
      </c>
      <c r="F1125" t="s">
        <v>49</v>
      </c>
      <c r="G1125" t="s">
        <v>5</v>
      </c>
    </row>
    <row r="1126" spans="1:7" x14ac:dyDescent="0.3">
      <c r="A1126" t="s">
        <v>17</v>
      </c>
      <c r="B1126" s="1">
        <v>45838</v>
      </c>
      <c r="C1126">
        <v>355002</v>
      </c>
      <c r="D1126">
        <v>0</v>
      </c>
      <c r="E1126" t="s">
        <v>4</v>
      </c>
      <c r="F1126" t="s">
        <v>49</v>
      </c>
      <c r="G1126" t="s">
        <v>5</v>
      </c>
    </row>
    <row r="1127" spans="1:7" x14ac:dyDescent="0.3">
      <c r="A1127" t="s">
        <v>17</v>
      </c>
      <c r="B1127" s="1">
        <v>45838</v>
      </c>
      <c r="C1127">
        <v>365002</v>
      </c>
      <c r="D1127">
        <v>0</v>
      </c>
      <c r="E1127" t="s">
        <v>4</v>
      </c>
      <c r="F1127" t="s">
        <v>45</v>
      </c>
      <c r="G1127" t="s">
        <v>5</v>
      </c>
    </row>
    <row r="1128" spans="1:7" x14ac:dyDescent="0.3">
      <c r="A1128" t="s">
        <v>17</v>
      </c>
      <c r="B1128" s="1">
        <v>45838</v>
      </c>
      <c r="C1128">
        <v>365003</v>
      </c>
      <c r="D1128">
        <v>0</v>
      </c>
      <c r="E1128" t="s">
        <v>4</v>
      </c>
      <c r="F1128" t="s">
        <v>45</v>
      </c>
      <c r="G1128" t="s">
        <v>5</v>
      </c>
    </row>
    <row r="1129" spans="1:7" x14ac:dyDescent="0.3">
      <c r="A1129" t="s">
        <v>17</v>
      </c>
      <c r="B1129" s="1">
        <v>45838</v>
      </c>
      <c r="C1129">
        <v>365004</v>
      </c>
      <c r="D1129">
        <v>0</v>
      </c>
      <c r="E1129" t="s">
        <v>4</v>
      </c>
      <c r="F1129" t="s">
        <v>45</v>
      </c>
      <c r="G1129" t="s">
        <v>5</v>
      </c>
    </row>
    <row r="1130" spans="1:7" x14ac:dyDescent="0.3">
      <c r="A1130" t="s">
        <v>17</v>
      </c>
      <c r="B1130" s="1">
        <v>45838</v>
      </c>
      <c r="C1130">
        <v>365006</v>
      </c>
      <c r="D1130">
        <v>0</v>
      </c>
      <c r="E1130" t="s">
        <v>4</v>
      </c>
      <c r="F1130" t="s">
        <v>45</v>
      </c>
      <c r="G1130" t="s">
        <v>5</v>
      </c>
    </row>
    <row r="1131" spans="1:7" x14ac:dyDescent="0.3">
      <c r="A1131" t="s">
        <v>17</v>
      </c>
      <c r="B1131" s="1">
        <v>45838</v>
      </c>
      <c r="C1131">
        <v>365007</v>
      </c>
      <c r="D1131">
        <v>0</v>
      </c>
      <c r="E1131" t="s">
        <v>4</v>
      </c>
      <c r="F1131" t="s">
        <v>45</v>
      </c>
      <c r="G1131" t="s">
        <v>5</v>
      </c>
    </row>
    <row r="1132" spans="1:7" x14ac:dyDescent="0.3">
      <c r="A1132" t="s">
        <v>17</v>
      </c>
      <c r="B1132" s="1">
        <v>45838</v>
      </c>
      <c r="C1132">
        <v>365010</v>
      </c>
      <c r="D1132">
        <v>0</v>
      </c>
      <c r="E1132" t="s">
        <v>4</v>
      </c>
      <c r="F1132" t="s">
        <v>45</v>
      </c>
      <c r="G1132" t="s">
        <v>5</v>
      </c>
    </row>
    <row r="1133" spans="1:7" x14ac:dyDescent="0.3">
      <c r="A1133" t="s">
        <v>17</v>
      </c>
      <c r="B1133" s="1">
        <v>45838</v>
      </c>
      <c r="C1133">
        <v>370011</v>
      </c>
      <c r="D1133">
        <v>0</v>
      </c>
      <c r="E1133" t="s">
        <v>4</v>
      </c>
      <c r="F1133" t="s">
        <v>45</v>
      </c>
      <c r="G1133" t="s">
        <v>5</v>
      </c>
    </row>
    <row r="1134" spans="1:7" x14ac:dyDescent="0.3">
      <c r="A1134" t="s">
        <v>17</v>
      </c>
      <c r="B1134" s="1">
        <v>45838</v>
      </c>
      <c r="C1134">
        <v>370017</v>
      </c>
      <c r="D1134">
        <v>0</v>
      </c>
      <c r="E1134" t="s">
        <v>4</v>
      </c>
      <c r="F1134" t="s">
        <v>45</v>
      </c>
      <c r="G1134" t="s">
        <v>5</v>
      </c>
    </row>
    <row r="1135" spans="1:7" x14ac:dyDescent="0.3">
      <c r="A1135" t="s">
        <v>17</v>
      </c>
      <c r="B1135" s="1">
        <v>45838</v>
      </c>
      <c r="C1135">
        <v>370019</v>
      </c>
      <c r="D1135">
        <v>0</v>
      </c>
      <c r="E1135" t="s">
        <v>4</v>
      </c>
      <c r="F1135" t="s">
        <v>45</v>
      </c>
      <c r="G1135" t="s">
        <v>5</v>
      </c>
    </row>
    <row r="1136" spans="1:7" x14ac:dyDescent="0.3">
      <c r="A1136" t="s">
        <v>17</v>
      </c>
      <c r="B1136" s="1">
        <v>45838</v>
      </c>
      <c r="C1136">
        <v>372002</v>
      </c>
      <c r="D1136">
        <v>0</v>
      </c>
      <c r="E1136" t="s">
        <v>4</v>
      </c>
      <c r="F1136" t="s">
        <v>45</v>
      </c>
      <c r="G1136" t="s">
        <v>5</v>
      </c>
    </row>
    <row r="1137" spans="1:7" x14ac:dyDescent="0.3">
      <c r="A1137" t="s">
        <v>18</v>
      </c>
      <c r="B1137" s="1">
        <v>45838</v>
      </c>
      <c r="C1137">
        <v>220006</v>
      </c>
      <c r="D1137">
        <v>-80924.388000000006</v>
      </c>
      <c r="E1137" t="s">
        <v>4</v>
      </c>
      <c r="F1137" t="s">
        <v>42</v>
      </c>
      <c r="G1137" t="s">
        <v>5</v>
      </c>
    </row>
    <row r="1138" spans="1:7" x14ac:dyDescent="0.3">
      <c r="A1138" t="s">
        <v>18</v>
      </c>
      <c r="B1138" s="1">
        <v>45838</v>
      </c>
      <c r="C1138">
        <v>240002</v>
      </c>
      <c r="D1138">
        <v>0</v>
      </c>
      <c r="E1138" t="s">
        <v>4</v>
      </c>
      <c r="F1138" t="s">
        <v>43</v>
      </c>
      <c r="G1138" t="s">
        <v>5</v>
      </c>
    </row>
    <row r="1139" spans="1:7" x14ac:dyDescent="0.3">
      <c r="A1139" t="s">
        <v>18</v>
      </c>
      <c r="B1139" s="1">
        <v>45838</v>
      </c>
      <c r="C1139">
        <v>243002</v>
      </c>
      <c r="D1139">
        <v>-475.30799999999999</v>
      </c>
      <c r="E1139" t="s">
        <v>4</v>
      </c>
      <c r="F1139" t="s">
        <v>43</v>
      </c>
      <c r="G1139" t="s">
        <v>5</v>
      </c>
    </row>
    <row r="1140" spans="1:7" x14ac:dyDescent="0.3">
      <c r="A1140" t="s">
        <v>18</v>
      </c>
      <c r="B1140" s="1">
        <v>45838</v>
      </c>
      <c r="C1140">
        <v>300004</v>
      </c>
      <c r="D1140">
        <v>13.308999999999999</v>
      </c>
      <c r="E1140" t="s">
        <v>4</v>
      </c>
      <c r="F1140" t="s">
        <v>65</v>
      </c>
      <c r="G1140" t="s">
        <v>5</v>
      </c>
    </row>
    <row r="1141" spans="1:7" x14ac:dyDescent="0.3">
      <c r="A1141" t="s">
        <v>18</v>
      </c>
      <c r="B1141" s="1">
        <v>45838</v>
      </c>
      <c r="C1141">
        <v>300005</v>
      </c>
      <c r="D1141">
        <v>967.346</v>
      </c>
      <c r="E1141" t="s">
        <v>4</v>
      </c>
      <c r="F1141" t="s">
        <v>65</v>
      </c>
      <c r="G1141" t="s">
        <v>5</v>
      </c>
    </row>
    <row r="1142" spans="1:7" x14ac:dyDescent="0.3">
      <c r="A1142" t="s">
        <v>18</v>
      </c>
      <c r="B1142" s="1">
        <v>45838</v>
      </c>
      <c r="C1142">
        <v>300008</v>
      </c>
      <c r="D1142">
        <v>1052.999</v>
      </c>
      <c r="E1142" t="s">
        <v>4</v>
      </c>
      <c r="F1142" t="s">
        <v>65</v>
      </c>
      <c r="G1142" t="s">
        <v>5</v>
      </c>
    </row>
    <row r="1143" spans="1:7" x14ac:dyDescent="0.3">
      <c r="A1143" t="s">
        <v>18</v>
      </c>
      <c r="B1143" s="1">
        <v>45838</v>
      </c>
      <c r="C1143">
        <v>300009</v>
      </c>
      <c r="D1143">
        <v>112.82899999999999</v>
      </c>
      <c r="E1143" t="s">
        <v>4</v>
      </c>
      <c r="F1143" t="s">
        <v>65</v>
      </c>
      <c r="G1143" t="s">
        <v>5</v>
      </c>
    </row>
    <row r="1144" spans="1:7" x14ac:dyDescent="0.3">
      <c r="A1144" t="s">
        <v>18</v>
      </c>
      <c r="B1144" s="1">
        <v>45838</v>
      </c>
      <c r="C1144">
        <v>300014</v>
      </c>
      <c r="D1144">
        <v>494.32</v>
      </c>
      <c r="E1144" t="s">
        <v>4</v>
      </c>
      <c r="F1144" t="s">
        <v>65</v>
      </c>
      <c r="G1144" t="s">
        <v>5</v>
      </c>
    </row>
    <row r="1145" spans="1:7" x14ac:dyDescent="0.3">
      <c r="A1145" t="s">
        <v>18</v>
      </c>
      <c r="B1145" s="1">
        <v>45838</v>
      </c>
      <c r="C1145">
        <v>300504</v>
      </c>
      <c r="D1145">
        <v>-13.308999999999999</v>
      </c>
      <c r="E1145" t="s">
        <v>4</v>
      </c>
      <c r="F1145" t="s">
        <v>65</v>
      </c>
      <c r="G1145" t="s">
        <v>5</v>
      </c>
    </row>
    <row r="1146" spans="1:7" x14ac:dyDescent="0.3">
      <c r="A1146" t="s">
        <v>18</v>
      </c>
      <c r="B1146" s="1">
        <v>45838</v>
      </c>
      <c r="C1146">
        <v>300505</v>
      </c>
      <c r="D1146">
        <v>-967.346</v>
      </c>
      <c r="E1146" t="s">
        <v>4</v>
      </c>
      <c r="F1146" t="s">
        <v>65</v>
      </c>
      <c r="G1146" t="s">
        <v>5</v>
      </c>
    </row>
    <row r="1147" spans="1:7" x14ac:dyDescent="0.3">
      <c r="A1147" t="s">
        <v>18</v>
      </c>
      <c r="B1147" s="1">
        <v>45838</v>
      </c>
      <c r="C1147">
        <v>300508</v>
      </c>
      <c r="D1147">
        <v>-1052.999</v>
      </c>
      <c r="E1147" t="s">
        <v>4</v>
      </c>
      <c r="F1147" t="s">
        <v>65</v>
      </c>
      <c r="G1147" t="s">
        <v>5</v>
      </c>
    </row>
    <row r="1148" spans="1:7" x14ac:dyDescent="0.3">
      <c r="A1148" t="s">
        <v>18</v>
      </c>
      <c r="B1148" s="1">
        <v>45838</v>
      </c>
      <c r="C1148">
        <v>300509</v>
      </c>
      <c r="D1148">
        <v>-112.82899999999999</v>
      </c>
      <c r="E1148" t="s">
        <v>4</v>
      </c>
      <c r="F1148" t="s">
        <v>65</v>
      </c>
      <c r="G1148" t="s">
        <v>5</v>
      </c>
    </row>
    <row r="1149" spans="1:7" x14ac:dyDescent="0.3">
      <c r="A1149" t="s">
        <v>18</v>
      </c>
      <c r="B1149" s="1">
        <v>45838</v>
      </c>
      <c r="C1149">
        <v>300514</v>
      </c>
      <c r="D1149">
        <v>-494.32</v>
      </c>
      <c r="E1149" t="s">
        <v>4</v>
      </c>
      <c r="F1149" t="s">
        <v>65</v>
      </c>
      <c r="G1149" t="s">
        <v>5</v>
      </c>
    </row>
    <row r="1150" spans="1:7" x14ac:dyDescent="0.3">
      <c r="A1150" t="s">
        <v>18</v>
      </c>
      <c r="B1150" s="1">
        <v>45838</v>
      </c>
      <c r="C1150">
        <v>330060</v>
      </c>
      <c r="D1150">
        <v>80708.164000000004</v>
      </c>
      <c r="E1150" t="s">
        <v>4</v>
      </c>
      <c r="F1150" t="s">
        <v>43</v>
      </c>
      <c r="G1150" t="s">
        <v>5</v>
      </c>
    </row>
    <row r="1151" spans="1:7" x14ac:dyDescent="0.3">
      <c r="A1151" t="s">
        <v>18</v>
      </c>
      <c r="B1151" s="1">
        <v>45838</v>
      </c>
      <c r="C1151">
        <v>340048</v>
      </c>
      <c r="D1151">
        <v>1899.836</v>
      </c>
      <c r="E1151" t="s">
        <v>4</v>
      </c>
      <c r="F1151" t="s">
        <v>47</v>
      </c>
      <c r="G1151" t="s">
        <v>5</v>
      </c>
    </row>
    <row r="1152" spans="1:7" x14ac:dyDescent="0.3">
      <c r="A1152" t="s">
        <v>18</v>
      </c>
      <c r="B1152" s="1">
        <v>45838</v>
      </c>
      <c r="C1152">
        <v>340126</v>
      </c>
      <c r="D1152">
        <v>0</v>
      </c>
      <c r="E1152" t="s">
        <v>4</v>
      </c>
      <c r="F1152" t="s">
        <v>47</v>
      </c>
      <c r="G1152" t="s">
        <v>5</v>
      </c>
    </row>
    <row r="1153" spans="1:7" x14ac:dyDescent="0.3">
      <c r="A1153" t="s">
        <v>18</v>
      </c>
      <c r="B1153" s="1">
        <v>45838</v>
      </c>
      <c r="C1153">
        <v>362017</v>
      </c>
      <c r="D1153">
        <v>0</v>
      </c>
      <c r="E1153" t="s">
        <v>4</v>
      </c>
      <c r="F1153" t="s">
        <v>58</v>
      </c>
      <c r="G1153" t="s">
        <v>5</v>
      </c>
    </row>
    <row r="1154" spans="1:7" x14ac:dyDescent="0.3">
      <c r="A1154" t="s">
        <v>18</v>
      </c>
      <c r="B1154" s="1">
        <v>45838</v>
      </c>
      <c r="C1154">
        <v>362018</v>
      </c>
      <c r="D1154">
        <v>3.3109999999999999</v>
      </c>
      <c r="E1154" t="s">
        <v>4</v>
      </c>
      <c r="F1154" t="s">
        <v>58</v>
      </c>
      <c r="G1154" t="s">
        <v>5</v>
      </c>
    </row>
    <row r="1155" spans="1:7" x14ac:dyDescent="0.3">
      <c r="A1155" t="s">
        <v>18</v>
      </c>
      <c r="B1155" s="1">
        <v>45838</v>
      </c>
      <c r="C1155">
        <v>364502</v>
      </c>
      <c r="D1155">
        <v>308.07100000000003</v>
      </c>
      <c r="E1155" t="s">
        <v>4</v>
      </c>
      <c r="F1155" t="s">
        <v>58</v>
      </c>
      <c r="G1155" t="s">
        <v>5</v>
      </c>
    </row>
    <row r="1156" spans="1:7" x14ac:dyDescent="0.3">
      <c r="A1156" t="s">
        <v>18</v>
      </c>
      <c r="B1156" s="1">
        <v>45838</v>
      </c>
      <c r="C1156">
        <v>420003</v>
      </c>
      <c r="D1156">
        <v>0</v>
      </c>
      <c r="E1156" t="s">
        <v>6</v>
      </c>
      <c r="F1156" t="s">
        <v>52</v>
      </c>
      <c r="G1156" t="s">
        <v>5</v>
      </c>
    </row>
    <row r="1157" spans="1:7" x14ac:dyDescent="0.3">
      <c r="A1157" t="s">
        <v>18</v>
      </c>
      <c r="B1157" s="1">
        <v>45838</v>
      </c>
      <c r="C1157">
        <v>421002</v>
      </c>
      <c r="D1157">
        <v>16.879000000000001</v>
      </c>
      <c r="E1157" t="s">
        <v>6</v>
      </c>
      <c r="F1157" t="s">
        <v>52</v>
      </c>
      <c r="G1157" t="s">
        <v>5</v>
      </c>
    </row>
    <row r="1158" spans="1:7" x14ac:dyDescent="0.3">
      <c r="A1158" t="s">
        <v>18</v>
      </c>
      <c r="B1158" s="1">
        <v>45838</v>
      </c>
      <c r="C1158">
        <v>421003</v>
      </c>
      <c r="D1158">
        <v>-2015.3430000000001</v>
      </c>
      <c r="E1158" t="s">
        <v>6</v>
      </c>
      <c r="F1158" t="s">
        <v>52</v>
      </c>
      <c r="G1158" t="s">
        <v>5</v>
      </c>
    </row>
    <row r="1159" spans="1:7" x14ac:dyDescent="0.3">
      <c r="A1159" t="s">
        <v>18</v>
      </c>
      <c r="B1159" s="1">
        <v>45838</v>
      </c>
      <c r="C1159">
        <v>557002</v>
      </c>
      <c r="D1159">
        <v>476.13400000000001</v>
      </c>
      <c r="E1159" t="s">
        <v>6</v>
      </c>
      <c r="F1159" t="s">
        <v>56</v>
      </c>
      <c r="G1159" t="s">
        <v>5</v>
      </c>
    </row>
    <row r="1160" spans="1:7" x14ac:dyDescent="0.3">
      <c r="A1160" t="s">
        <v>19</v>
      </c>
      <c r="B1160" s="1">
        <v>45838</v>
      </c>
      <c r="C1160">
        <v>210002</v>
      </c>
      <c r="D1160">
        <v>-39556.472000000002</v>
      </c>
      <c r="E1160" t="s">
        <v>4</v>
      </c>
      <c r="F1160" t="s">
        <v>42</v>
      </c>
      <c r="G1160" t="s">
        <v>5</v>
      </c>
    </row>
    <row r="1161" spans="1:7" x14ac:dyDescent="0.3">
      <c r="A1161" t="s">
        <v>19</v>
      </c>
      <c r="B1161" s="1">
        <v>45838</v>
      </c>
      <c r="C1161">
        <v>220006</v>
      </c>
      <c r="D1161">
        <v>-245975.823</v>
      </c>
      <c r="E1161" t="s">
        <v>4</v>
      </c>
      <c r="F1161" t="s">
        <v>42</v>
      </c>
      <c r="G1161" t="s">
        <v>5</v>
      </c>
    </row>
    <row r="1162" spans="1:7" x14ac:dyDescent="0.3">
      <c r="A1162" t="s">
        <v>19</v>
      </c>
      <c r="B1162" s="1">
        <v>45838</v>
      </c>
      <c r="C1162">
        <v>240002</v>
      </c>
      <c r="D1162">
        <v>1068.338</v>
      </c>
      <c r="E1162" t="s">
        <v>4</v>
      </c>
      <c r="F1162" t="s">
        <v>43</v>
      </c>
      <c r="G1162" t="s">
        <v>5</v>
      </c>
    </row>
    <row r="1163" spans="1:7" x14ac:dyDescent="0.3">
      <c r="A1163" t="s">
        <v>19</v>
      </c>
      <c r="B1163" s="1">
        <v>45838</v>
      </c>
      <c r="C1163">
        <v>240009</v>
      </c>
      <c r="D1163">
        <v>-1096.8230000000001</v>
      </c>
      <c r="E1163" t="s">
        <v>4</v>
      </c>
      <c r="F1163" t="s">
        <v>43</v>
      </c>
      <c r="G1163" t="s">
        <v>5</v>
      </c>
    </row>
    <row r="1164" spans="1:7" x14ac:dyDescent="0.3">
      <c r="A1164" t="s">
        <v>19</v>
      </c>
      <c r="B1164" s="1">
        <v>45838</v>
      </c>
      <c r="C1164">
        <v>242003</v>
      </c>
      <c r="D1164">
        <v>10271.056</v>
      </c>
      <c r="E1164" t="s">
        <v>4</v>
      </c>
      <c r="F1164" t="s">
        <v>43</v>
      </c>
      <c r="G1164" t="s">
        <v>5</v>
      </c>
    </row>
    <row r="1165" spans="1:7" x14ac:dyDescent="0.3">
      <c r="A1165" t="s">
        <v>19</v>
      </c>
      <c r="B1165" s="1">
        <v>45838</v>
      </c>
      <c r="C1165">
        <v>242041</v>
      </c>
      <c r="D1165">
        <v>30.826000000000001</v>
      </c>
      <c r="E1165" t="s">
        <v>4</v>
      </c>
      <c r="F1165" t="s">
        <v>43</v>
      </c>
      <c r="G1165" t="s">
        <v>5</v>
      </c>
    </row>
    <row r="1166" spans="1:7" x14ac:dyDescent="0.3">
      <c r="A1166" t="s">
        <v>19</v>
      </c>
      <c r="B1166" s="1">
        <v>45838</v>
      </c>
      <c r="C1166">
        <v>243002</v>
      </c>
      <c r="D1166">
        <v>-254.38800000000001</v>
      </c>
      <c r="E1166" t="s">
        <v>4</v>
      </c>
      <c r="F1166" t="s">
        <v>43</v>
      </c>
      <c r="G1166" t="s">
        <v>5</v>
      </c>
    </row>
    <row r="1167" spans="1:7" x14ac:dyDescent="0.3">
      <c r="A1167" t="s">
        <v>19</v>
      </c>
      <c r="B1167" s="1">
        <v>45838</v>
      </c>
      <c r="C1167">
        <v>245010</v>
      </c>
      <c r="D1167">
        <v>-3231.56</v>
      </c>
      <c r="E1167" t="s">
        <v>4</v>
      </c>
      <c r="F1167" t="s">
        <v>44</v>
      </c>
      <c r="G1167" t="s">
        <v>5</v>
      </c>
    </row>
    <row r="1168" spans="1:7" x14ac:dyDescent="0.3">
      <c r="A1168" t="s">
        <v>19</v>
      </c>
      <c r="B1168" s="1">
        <v>45838</v>
      </c>
      <c r="C1168">
        <v>245055</v>
      </c>
      <c r="D1168">
        <v>0</v>
      </c>
      <c r="E1168" t="s">
        <v>4</v>
      </c>
      <c r="F1168" t="s">
        <v>43</v>
      </c>
      <c r="G1168" t="s">
        <v>5</v>
      </c>
    </row>
    <row r="1169" spans="1:7" x14ac:dyDescent="0.3">
      <c r="A1169" t="s">
        <v>19</v>
      </c>
      <c r="B1169" s="1">
        <v>45838</v>
      </c>
      <c r="C1169">
        <v>245056</v>
      </c>
      <c r="D1169">
        <v>-74.731999999999999</v>
      </c>
      <c r="E1169" t="s">
        <v>4</v>
      </c>
      <c r="F1169" t="s">
        <v>49</v>
      </c>
      <c r="G1169" t="s">
        <v>5</v>
      </c>
    </row>
    <row r="1170" spans="1:7" x14ac:dyDescent="0.3">
      <c r="A1170" t="s">
        <v>19</v>
      </c>
      <c r="B1170" s="1">
        <v>45838</v>
      </c>
      <c r="C1170">
        <v>245058</v>
      </c>
      <c r="D1170">
        <v>0</v>
      </c>
      <c r="E1170" t="s">
        <v>4</v>
      </c>
      <c r="F1170" t="s">
        <v>43</v>
      </c>
      <c r="G1170" t="s">
        <v>5</v>
      </c>
    </row>
    <row r="1171" spans="1:7" x14ac:dyDescent="0.3">
      <c r="A1171" t="s">
        <v>19</v>
      </c>
      <c r="B1171" s="1">
        <v>45838</v>
      </c>
      <c r="C1171">
        <v>245062</v>
      </c>
      <c r="D1171">
        <v>-1095.8209999999999</v>
      </c>
      <c r="E1171" t="s">
        <v>4</v>
      </c>
      <c r="F1171" t="s">
        <v>43</v>
      </c>
      <c r="G1171" t="s">
        <v>5</v>
      </c>
    </row>
    <row r="1172" spans="1:7" x14ac:dyDescent="0.3">
      <c r="A1172" t="s">
        <v>19</v>
      </c>
      <c r="B1172" s="1">
        <v>45838</v>
      </c>
      <c r="C1172">
        <v>249002</v>
      </c>
      <c r="D1172">
        <v>-12631.091</v>
      </c>
      <c r="E1172" t="s">
        <v>4</v>
      </c>
      <c r="F1172" t="s">
        <v>44</v>
      </c>
      <c r="G1172" t="s">
        <v>5</v>
      </c>
    </row>
    <row r="1173" spans="1:7" x14ac:dyDescent="0.3">
      <c r="A1173" t="s">
        <v>19</v>
      </c>
      <c r="B1173" s="1">
        <v>45838</v>
      </c>
      <c r="C1173">
        <v>251003</v>
      </c>
      <c r="D1173">
        <v>-2450.5340000000001</v>
      </c>
      <c r="E1173" t="s">
        <v>4</v>
      </c>
      <c r="F1173" t="s">
        <v>45</v>
      </c>
      <c r="G1173" t="s">
        <v>5</v>
      </c>
    </row>
    <row r="1174" spans="1:7" x14ac:dyDescent="0.3">
      <c r="A1174" t="s">
        <v>19</v>
      </c>
      <c r="B1174" s="1">
        <v>45838</v>
      </c>
      <c r="C1174">
        <v>260004</v>
      </c>
      <c r="D1174">
        <v>-122.51</v>
      </c>
      <c r="E1174" t="s">
        <v>4</v>
      </c>
      <c r="F1174" t="s">
        <v>45</v>
      </c>
      <c r="G1174" t="s">
        <v>5</v>
      </c>
    </row>
    <row r="1175" spans="1:7" x14ac:dyDescent="0.3">
      <c r="A1175" t="s">
        <v>19</v>
      </c>
      <c r="B1175" s="1">
        <v>45838</v>
      </c>
      <c r="C1175">
        <v>300005</v>
      </c>
      <c r="D1175">
        <v>6581.0640000000003</v>
      </c>
      <c r="E1175" t="s">
        <v>4</v>
      </c>
      <c r="F1175" t="s">
        <v>65</v>
      </c>
      <c r="G1175" t="s">
        <v>5</v>
      </c>
    </row>
    <row r="1176" spans="1:7" x14ac:dyDescent="0.3">
      <c r="A1176" t="s">
        <v>19</v>
      </c>
      <c r="B1176" s="1">
        <v>45838</v>
      </c>
      <c r="C1176">
        <v>300008</v>
      </c>
      <c r="D1176">
        <v>4829.0569999999998</v>
      </c>
      <c r="E1176" t="s">
        <v>4</v>
      </c>
      <c r="F1176" t="s">
        <v>65</v>
      </c>
      <c r="G1176" t="s">
        <v>5</v>
      </c>
    </row>
    <row r="1177" spans="1:7" x14ac:dyDescent="0.3">
      <c r="A1177" t="s">
        <v>19</v>
      </c>
      <c r="B1177" s="1">
        <v>45838</v>
      </c>
      <c r="C1177">
        <v>300011</v>
      </c>
      <c r="D1177">
        <v>19.850999999999999</v>
      </c>
      <c r="E1177" t="s">
        <v>4</v>
      </c>
      <c r="F1177" t="s">
        <v>65</v>
      </c>
      <c r="G1177" t="s">
        <v>5</v>
      </c>
    </row>
    <row r="1178" spans="1:7" x14ac:dyDescent="0.3">
      <c r="A1178" t="s">
        <v>19</v>
      </c>
      <c r="B1178" s="1">
        <v>45838</v>
      </c>
      <c r="C1178">
        <v>300012</v>
      </c>
      <c r="D1178">
        <v>3735.4209999999998</v>
      </c>
      <c r="E1178" t="s">
        <v>4</v>
      </c>
      <c r="F1178" t="s">
        <v>65</v>
      </c>
      <c r="G1178" t="s">
        <v>5</v>
      </c>
    </row>
    <row r="1179" spans="1:7" x14ac:dyDescent="0.3">
      <c r="A1179" t="s">
        <v>19</v>
      </c>
      <c r="B1179" s="1">
        <v>45838</v>
      </c>
      <c r="C1179">
        <v>300505</v>
      </c>
      <c r="D1179">
        <v>-6308.643</v>
      </c>
      <c r="E1179" t="s">
        <v>4</v>
      </c>
      <c r="F1179" t="s">
        <v>65</v>
      </c>
      <c r="G1179" t="s">
        <v>5</v>
      </c>
    </row>
    <row r="1180" spans="1:7" x14ac:dyDescent="0.3">
      <c r="A1180" t="s">
        <v>19</v>
      </c>
      <c r="B1180" s="1">
        <v>45838</v>
      </c>
      <c r="C1180">
        <v>300508</v>
      </c>
      <c r="D1180">
        <v>-4829.0569999999998</v>
      </c>
      <c r="E1180" t="s">
        <v>4</v>
      </c>
      <c r="F1180" t="s">
        <v>65</v>
      </c>
      <c r="G1180" t="s">
        <v>5</v>
      </c>
    </row>
    <row r="1181" spans="1:7" x14ac:dyDescent="0.3">
      <c r="A1181" t="s">
        <v>19</v>
      </c>
      <c r="B1181" s="1">
        <v>45838</v>
      </c>
      <c r="C1181">
        <v>300511</v>
      </c>
      <c r="D1181">
        <v>-19.850999999999999</v>
      </c>
      <c r="E1181" t="s">
        <v>4</v>
      </c>
      <c r="F1181" t="s">
        <v>65</v>
      </c>
      <c r="G1181" t="s">
        <v>5</v>
      </c>
    </row>
    <row r="1182" spans="1:7" x14ac:dyDescent="0.3">
      <c r="A1182" t="s">
        <v>19</v>
      </c>
      <c r="B1182" s="1">
        <v>45838</v>
      </c>
      <c r="C1182">
        <v>300512</v>
      </c>
      <c r="D1182">
        <v>-3735.4209999999998</v>
      </c>
      <c r="E1182" t="s">
        <v>4</v>
      </c>
      <c r="F1182" t="s">
        <v>65</v>
      </c>
      <c r="G1182" t="s">
        <v>5</v>
      </c>
    </row>
    <row r="1183" spans="1:7" x14ac:dyDescent="0.3">
      <c r="A1183" t="s">
        <v>19</v>
      </c>
      <c r="B1183" s="1">
        <v>45838</v>
      </c>
      <c r="C1183">
        <v>320003</v>
      </c>
      <c r="D1183">
        <v>2572.71</v>
      </c>
      <c r="E1183" t="s">
        <v>4</v>
      </c>
      <c r="F1183" t="s">
        <v>46</v>
      </c>
      <c r="G1183" t="s">
        <v>5</v>
      </c>
    </row>
    <row r="1184" spans="1:7" x14ac:dyDescent="0.3">
      <c r="A1184" t="s">
        <v>19</v>
      </c>
      <c r="B1184" s="1">
        <v>45838</v>
      </c>
      <c r="C1184">
        <v>320004</v>
      </c>
      <c r="D1184">
        <v>0.35</v>
      </c>
      <c r="E1184" t="s">
        <v>4</v>
      </c>
      <c r="F1184" t="s">
        <v>46</v>
      </c>
      <c r="G1184" t="s">
        <v>5</v>
      </c>
    </row>
    <row r="1185" spans="1:7" x14ac:dyDescent="0.3">
      <c r="A1185" t="s">
        <v>19</v>
      </c>
      <c r="B1185" s="1">
        <v>45838</v>
      </c>
      <c r="C1185">
        <v>321006</v>
      </c>
      <c r="D1185">
        <v>24357.741000000002</v>
      </c>
      <c r="E1185" t="s">
        <v>4</v>
      </c>
      <c r="F1185" t="s">
        <v>46</v>
      </c>
      <c r="G1185" t="s">
        <v>5</v>
      </c>
    </row>
    <row r="1186" spans="1:7" x14ac:dyDescent="0.3">
      <c r="A1186" t="s">
        <v>19</v>
      </c>
      <c r="B1186" s="1">
        <v>45838</v>
      </c>
      <c r="C1186">
        <v>321014</v>
      </c>
      <c r="D1186">
        <v>8707.1080000000002</v>
      </c>
      <c r="E1186" t="s">
        <v>4</v>
      </c>
      <c r="F1186" t="s">
        <v>46</v>
      </c>
      <c r="G1186" t="s">
        <v>5</v>
      </c>
    </row>
    <row r="1187" spans="1:7" x14ac:dyDescent="0.3">
      <c r="A1187" t="s">
        <v>19</v>
      </c>
      <c r="B1187" s="1">
        <v>45838</v>
      </c>
      <c r="C1187">
        <v>321031</v>
      </c>
      <c r="D1187">
        <v>6190.4859999999999</v>
      </c>
      <c r="E1187" t="s">
        <v>4</v>
      </c>
      <c r="F1187" t="s">
        <v>46</v>
      </c>
      <c r="G1187" t="s">
        <v>5</v>
      </c>
    </row>
    <row r="1188" spans="1:7" x14ac:dyDescent="0.3">
      <c r="A1188" t="s">
        <v>19</v>
      </c>
      <c r="B1188" s="1">
        <v>45838</v>
      </c>
      <c r="C1188">
        <v>321042</v>
      </c>
      <c r="D1188">
        <v>28.645</v>
      </c>
      <c r="E1188" t="s">
        <v>4</v>
      </c>
      <c r="F1188" t="s">
        <v>46</v>
      </c>
      <c r="G1188" t="s">
        <v>5</v>
      </c>
    </row>
    <row r="1189" spans="1:7" x14ac:dyDescent="0.3">
      <c r="A1189" t="s">
        <v>19</v>
      </c>
      <c r="B1189" s="1">
        <v>45838</v>
      </c>
      <c r="C1189">
        <v>330049</v>
      </c>
      <c r="D1189">
        <v>167001.55799999999</v>
      </c>
      <c r="E1189" t="s">
        <v>4</v>
      </c>
      <c r="F1189" t="s">
        <v>43</v>
      </c>
      <c r="G1189" t="s">
        <v>5</v>
      </c>
    </row>
    <row r="1190" spans="1:7" x14ac:dyDescent="0.3">
      <c r="A1190" t="s">
        <v>19</v>
      </c>
      <c r="B1190" s="1">
        <v>45838</v>
      </c>
      <c r="C1190">
        <v>330060</v>
      </c>
      <c r="D1190">
        <v>-80726.248000000007</v>
      </c>
      <c r="E1190" t="s">
        <v>4</v>
      </c>
      <c r="F1190" t="s">
        <v>43</v>
      </c>
      <c r="G1190" t="s">
        <v>5</v>
      </c>
    </row>
    <row r="1191" spans="1:7" x14ac:dyDescent="0.3">
      <c r="A1191" t="s">
        <v>19</v>
      </c>
      <c r="B1191" s="1">
        <v>45838</v>
      </c>
      <c r="C1191">
        <v>340101</v>
      </c>
      <c r="D1191">
        <v>4591.7740000000003</v>
      </c>
      <c r="E1191" t="s">
        <v>4</v>
      </c>
      <c r="F1191" t="s">
        <v>48</v>
      </c>
      <c r="G1191" t="s">
        <v>5</v>
      </c>
    </row>
    <row r="1192" spans="1:7" x14ac:dyDescent="0.3">
      <c r="A1192" t="s">
        <v>19</v>
      </c>
      <c r="B1192" s="1">
        <v>45838</v>
      </c>
      <c r="C1192">
        <v>340121</v>
      </c>
      <c r="D1192">
        <v>150308.584</v>
      </c>
      <c r="E1192" t="s">
        <v>4</v>
      </c>
      <c r="F1192" t="s">
        <v>47</v>
      </c>
      <c r="G1192" t="s">
        <v>5</v>
      </c>
    </row>
    <row r="1193" spans="1:7" x14ac:dyDescent="0.3">
      <c r="A1193" t="s">
        <v>19</v>
      </c>
      <c r="B1193" s="1">
        <v>45838</v>
      </c>
      <c r="C1193">
        <v>340126</v>
      </c>
      <c r="D1193">
        <v>0</v>
      </c>
      <c r="E1193" t="s">
        <v>4</v>
      </c>
      <c r="F1193" t="s">
        <v>47</v>
      </c>
      <c r="G1193" t="s">
        <v>5</v>
      </c>
    </row>
    <row r="1194" spans="1:7" x14ac:dyDescent="0.3">
      <c r="A1194" t="s">
        <v>19</v>
      </c>
      <c r="B1194" s="1">
        <v>45838</v>
      </c>
      <c r="C1194">
        <v>350003</v>
      </c>
      <c r="D1194">
        <v>-14.583</v>
      </c>
      <c r="E1194" t="s">
        <v>4</v>
      </c>
      <c r="F1194" t="s">
        <v>49</v>
      </c>
      <c r="G1194" t="s">
        <v>5</v>
      </c>
    </row>
    <row r="1195" spans="1:7" x14ac:dyDescent="0.3">
      <c r="A1195" t="s">
        <v>19</v>
      </c>
      <c r="B1195" s="1">
        <v>45838</v>
      </c>
      <c r="C1195">
        <v>350031</v>
      </c>
      <c r="D1195">
        <v>1096.8230000000001</v>
      </c>
      <c r="E1195" t="s">
        <v>4</v>
      </c>
      <c r="F1195" t="s">
        <v>43</v>
      </c>
      <c r="G1195" t="s">
        <v>5</v>
      </c>
    </row>
    <row r="1196" spans="1:7" x14ac:dyDescent="0.3">
      <c r="A1196" t="s">
        <v>19</v>
      </c>
      <c r="B1196" s="1">
        <v>45838</v>
      </c>
      <c r="C1196">
        <v>350034</v>
      </c>
      <c r="D1196">
        <v>74.731999999999999</v>
      </c>
      <c r="E1196" t="s">
        <v>4</v>
      </c>
      <c r="F1196" t="s">
        <v>49</v>
      </c>
      <c r="G1196" t="s">
        <v>5</v>
      </c>
    </row>
    <row r="1197" spans="1:7" x14ac:dyDescent="0.3">
      <c r="A1197" t="s">
        <v>19</v>
      </c>
      <c r="B1197" s="1">
        <v>45838</v>
      </c>
      <c r="C1197">
        <v>352002</v>
      </c>
      <c r="D1197">
        <v>1000.872</v>
      </c>
      <c r="E1197" t="s">
        <v>4</v>
      </c>
      <c r="F1197" t="s">
        <v>48</v>
      </c>
      <c r="G1197" t="s">
        <v>5</v>
      </c>
    </row>
    <row r="1198" spans="1:7" x14ac:dyDescent="0.3">
      <c r="A1198" t="s">
        <v>19</v>
      </c>
      <c r="B1198" s="1">
        <v>45838</v>
      </c>
      <c r="C1198">
        <v>354006</v>
      </c>
      <c r="D1198">
        <v>0</v>
      </c>
      <c r="E1198" t="s">
        <v>4</v>
      </c>
      <c r="F1198" t="s">
        <v>46</v>
      </c>
      <c r="G1198" t="s">
        <v>5</v>
      </c>
    </row>
    <row r="1199" spans="1:7" x14ac:dyDescent="0.3">
      <c r="A1199" t="s">
        <v>19</v>
      </c>
      <c r="B1199" s="1">
        <v>45838</v>
      </c>
      <c r="C1199">
        <v>355002</v>
      </c>
      <c r="D1199">
        <v>2809.5520000000001</v>
      </c>
      <c r="E1199" t="s">
        <v>4</v>
      </c>
      <c r="F1199" t="s">
        <v>49</v>
      </c>
      <c r="G1199" t="s">
        <v>5</v>
      </c>
    </row>
    <row r="1200" spans="1:7" x14ac:dyDescent="0.3">
      <c r="A1200" t="s">
        <v>19</v>
      </c>
      <c r="B1200" s="1">
        <v>45838</v>
      </c>
      <c r="C1200">
        <v>355014</v>
      </c>
      <c r="D1200">
        <v>110.599</v>
      </c>
      <c r="E1200" t="s">
        <v>4</v>
      </c>
      <c r="F1200" t="s">
        <v>49</v>
      </c>
      <c r="G1200" t="s">
        <v>5</v>
      </c>
    </row>
    <row r="1201" spans="1:7" x14ac:dyDescent="0.3">
      <c r="A1201" t="s">
        <v>19</v>
      </c>
      <c r="B1201" s="1">
        <v>45838</v>
      </c>
      <c r="C1201">
        <v>372004</v>
      </c>
      <c r="D1201">
        <v>123.8</v>
      </c>
      <c r="E1201" t="s">
        <v>4</v>
      </c>
      <c r="F1201" t="s">
        <v>45</v>
      </c>
      <c r="G1201" t="s">
        <v>5</v>
      </c>
    </row>
    <row r="1202" spans="1:7" x14ac:dyDescent="0.3">
      <c r="A1202" t="s">
        <v>19</v>
      </c>
      <c r="B1202" s="1">
        <v>45838</v>
      </c>
      <c r="C1202">
        <v>410009</v>
      </c>
      <c r="D1202">
        <v>-2105.1089999999999</v>
      </c>
      <c r="E1202" t="s">
        <v>6</v>
      </c>
      <c r="F1202" t="s">
        <v>51</v>
      </c>
      <c r="G1202" t="s">
        <v>5</v>
      </c>
    </row>
    <row r="1203" spans="1:7" x14ac:dyDescent="0.3">
      <c r="A1203" t="s">
        <v>19</v>
      </c>
      <c r="B1203" s="1">
        <v>45838</v>
      </c>
      <c r="C1203">
        <v>410039</v>
      </c>
      <c r="D1203">
        <v>-2376.6280000000002</v>
      </c>
      <c r="E1203" t="s">
        <v>6</v>
      </c>
      <c r="F1203" t="s">
        <v>51</v>
      </c>
      <c r="G1203" t="s">
        <v>5</v>
      </c>
    </row>
    <row r="1204" spans="1:7" x14ac:dyDescent="0.3">
      <c r="A1204" t="s">
        <v>19</v>
      </c>
      <c r="B1204" s="1">
        <v>45838</v>
      </c>
      <c r="C1204">
        <v>415004</v>
      </c>
      <c r="D1204">
        <v>0</v>
      </c>
      <c r="E1204" t="s">
        <v>6</v>
      </c>
      <c r="F1204" t="s">
        <v>50</v>
      </c>
      <c r="G1204" t="s">
        <v>5</v>
      </c>
    </row>
    <row r="1205" spans="1:7" x14ac:dyDescent="0.3">
      <c r="A1205" t="s">
        <v>19</v>
      </c>
      <c r="B1205" s="1">
        <v>45838</v>
      </c>
      <c r="C1205">
        <v>421003</v>
      </c>
      <c r="D1205">
        <v>617.11400000000003</v>
      </c>
      <c r="E1205" t="s">
        <v>6</v>
      </c>
      <c r="F1205" t="s">
        <v>52</v>
      </c>
      <c r="G1205" t="s">
        <v>5</v>
      </c>
    </row>
    <row r="1206" spans="1:7" x14ac:dyDescent="0.3">
      <c r="A1206" t="s">
        <v>19</v>
      </c>
      <c r="B1206" s="1">
        <v>45838</v>
      </c>
      <c r="C1206">
        <v>421007</v>
      </c>
      <c r="D1206">
        <v>-17.222999999999999</v>
      </c>
      <c r="E1206" t="s">
        <v>6</v>
      </c>
      <c r="F1206" t="s">
        <v>52</v>
      </c>
      <c r="G1206" t="s">
        <v>5</v>
      </c>
    </row>
    <row r="1207" spans="1:7" x14ac:dyDescent="0.3">
      <c r="A1207" t="s">
        <v>19</v>
      </c>
      <c r="B1207" s="1">
        <v>45838</v>
      </c>
      <c r="C1207">
        <v>510002</v>
      </c>
      <c r="D1207">
        <v>7849.9040000000005</v>
      </c>
      <c r="E1207" t="s">
        <v>6</v>
      </c>
      <c r="F1207" t="s">
        <v>53</v>
      </c>
      <c r="G1207" t="s">
        <v>5</v>
      </c>
    </row>
    <row r="1208" spans="1:7" x14ac:dyDescent="0.3">
      <c r="A1208" t="s">
        <v>19</v>
      </c>
      <c r="B1208" s="1">
        <v>45838</v>
      </c>
      <c r="C1208">
        <v>510005</v>
      </c>
      <c r="D1208">
        <v>645.58600000000001</v>
      </c>
      <c r="E1208" t="s">
        <v>6</v>
      </c>
      <c r="F1208" t="s">
        <v>53</v>
      </c>
      <c r="G1208" t="s">
        <v>5</v>
      </c>
    </row>
    <row r="1209" spans="1:7" x14ac:dyDescent="0.3">
      <c r="A1209" t="s">
        <v>19</v>
      </c>
      <c r="B1209" s="1">
        <v>45838</v>
      </c>
      <c r="C1209">
        <v>510006</v>
      </c>
      <c r="D1209">
        <v>511.101</v>
      </c>
      <c r="E1209" t="s">
        <v>6</v>
      </c>
      <c r="F1209" t="s">
        <v>53</v>
      </c>
      <c r="G1209" t="s">
        <v>5</v>
      </c>
    </row>
    <row r="1210" spans="1:7" x14ac:dyDescent="0.3">
      <c r="A1210" t="s">
        <v>19</v>
      </c>
      <c r="B1210" s="1">
        <v>45838</v>
      </c>
      <c r="C1210">
        <v>510007</v>
      </c>
      <c r="D1210">
        <v>-2314.5859999999998</v>
      </c>
      <c r="E1210" t="s">
        <v>6</v>
      </c>
      <c r="F1210" t="s">
        <v>53</v>
      </c>
      <c r="G1210" t="s">
        <v>5</v>
      </c>
    </row>
    <row r="1211" spans="1:7" x14ac:dyDescent="0.3">
      <c r="A1211" t="s">
        <v>19</v>
      </c>
      <c r="B1211" s="1">
        <v>45838</v>
      </c>
      <c r="C1211">
        <v>510061</v>
      </c>
      <c r="D1211">
        <v>0</v>
      </c>
      <c r="E1211" t="s">
        <v>6</v>
      </c>
      <c r="F1211" t="s">
        <v>53</v>
      </c>
      <c r="G1211" t="s">
        <v>5</v>
      </c>
    </row>
    <row r="1212" spans="1:7" x14ac:dyDescent="0.3">
      <c r="A1212" t="s">
        <v>19</v>
      </c>
      <c r="B1212" s="1">
        <v>45838</v>
      </c>
      <c r="C1212">
        <v>510062</v>
      </c>
      <c r="D1212">
        <v>885.87400000000002</v>
      </c>
      <c r="E1212" t="s">
        <v>6</v>
      </c>
      <c r="F1212" t="s">
        <v>53</v>
      </c>
      <c r="G1212" t="s">
        <v>5</v>
      </c>
    </row>
    <row r="1213" spans="1:7" x14ac:dyDescent="0.3">
      <c r="A1213" t="s">
        <v>19</v>
      </c>
      <c r="B1213" s="1">
        <v>45838</v>
      </c>
      <c r="C1213">
        <v>510065</v>
      </c>
      <c r="D1213">
        <v>51.441000000000003</v>
      </c>
      <c r="E1213" t="s">
        <v>6</v>
      </c>
      <c r="F1213" t="s">
        <v>53</v>
      </c>
      <c r="G1213" t="s">
        <v>5</v>
      </c>
    </row>
    <row r="1214" spans="1:7" x14ac:dyDescent="0.3">
      <c r="A1214" t="s">
        <v>19</v>
      </c>
      <c r="B1214" s="1">
        <v>45838</v>
      </c>
      <c r="C1214">
        <v>510066</v>
      </c>
      <c r="D1214">
        <v>0</v>
      </c>
      <c r="E1214" t="s">
        <v>6</v>
      </c>
      <c r="F1214" t="s">
        <v>53</v>
      </c>
      <c r="G1214" t="s">
        <v>5</v>
      </c>
    </row>
    <row r="1215" spans="1:7" x14ac:dyDescent="0.3">
      <c r="A1215" t="s">
        <v>19</v>
      </c>
      <c r="B1215" s="1">
        <v>45838</v>
      </c>
      <c r="C1215">
        <v>521002</v>
      </c>
      <c r="D1215">
        <v>0</v>
      </c>
      <c r="E1215" t="s">
        <v>6</v>
      </c>
      <c r="F1215" t="s">
        <v>53</v>
      </c>
      <c r="G1215" t="s">
        <v>5</v>
      </c>
    </row>
    <row r="1216" spans="1:7" x14ac:dyDescent="0.3">
      <c r="A1216" t="s">
        <v>19</v>
      </c>
      <c r="B1216" s="1">
        <v>45838</v>
      </c>
      <c r="C1216">
        <v>521004</v>
      </c>
      <c r="D1216">
        <v>0</v>
      </c>
      <c r="E1216" t="s">
        <v>6</v>
      </c>
      <c r="F1216" t="s">
        <v>53</v>
      </c>
      <c r="G1216" t="s">
        <v>5</v>
      </c>
    </row>
    <row r="1217" spans="1:7" x14ac:dyDescent="0.3">
      <c r="A1217" t="s">
        <v>19</v>
      </c>
      <c r="B1217" s="1">
        <v>45838</v>
      </c>
      <c r="C1217">
        <v>521005</v>
      </c>
      <c r="D1217">
        <v>0</v>
      </c>
      <c r="E1217" t="s">
        <v>6</v>
      </c>
      <c r="F1217" t="s">
        <v>53</v>
      </c>
      <c r="G1217" t="s">
        <v>5</v>
      </c>
    </row>
    <row r="1218" spans="1:7" x14ac:dyDescent="0.3">
      <c r="A1218" t="s">
        <v>19</v>
      </c>
      <c r="B1218" s="1">
        <v>45838</v>
      </c>
      <c r="C1218">
        <v>521006</v>
      </c>
      <c r="D1218">
        <v>0</v>
      </c>
      <c r="E1218" t="s">
        <v>6</v>
      </c>
      <c r="F1218" t="s">
        <v>53</v>
      </c>
      <c r="G1218" t="s">
        <v>5</v>
      </c>
    </row>
    <row r="1219" spans="1:7" x14ac:dyDescent="0.3">
      <c r="A1219" t="s">
        <v>19</v>
      </c>
      <c r="B1219" s="1">
        <v>45838</v>
      </c>
      <c r="C1219">
        <v>521014</v>
      </c>
      <c r="D1219">
        <v>0</v>
      </c>
      <c r="E1219" t="s">
        <v>6</v>
      </c>
      <c r="F1219" t="s">
        <v>53</v>
      </c>
      <c r="G1219" t="s">
        <v>5</v>
      </c>
    </row>
    <row r="1220" spans="1:7" x14ac:dyDescent="0.3">
      <c r="A1220" t="s">
        <v>19</v>
      </c>
      <c r="B1220" s="1">
        <v>45838</v>
      </c>
      <c r="C1220">
        <v>541010</v>
      </c>
      <c r="D1220">
        <v>308.93400000000003</v>
      </c>
      <c r="E1220" t="s">
        <v>6</v>
      </c>
      <c r="F1220" t="s">
        <v>61</v>
      </c>
      <c r="G1220" t="s">
        <v>5</v>
      </c>
    </row>
    <row r="1221" spans="1:7" x14ac:dyDescent="0.3">
      <c r="A1221" t="s">
        <v>19</v>
      </c>
      <c r="B1221" s="1">
        <v>45838</v>
      </c>
      <c r="C1221">
        <v>552502</v>
      </c>
      <c r="D1221">
        <v>723.79100000000005</v>
      </c>
      <c r="E1221" t="s">
        <v>6</v>
      </c>
      <c r="F1221" t="s">
        <v>55</v>
      </c>
      <c r="G1221" t="s">
        <v>5</v>
      </c>
    </row>
    <row r="1222" spans="1:7" x14ac:dyDescent="0.3">
      <c r="A1222" t="s">
        <v>19</v>
      </c>
      <c r="B1222" s="1">
        <v>45838</v>
      </c>
      <c r="C1222">
        <v>552504</v>
      </c>
      <c r="D1222">
        <v>99.575000000000003</v>
      </c>
      <c r="E1222" t="s">
        <v>6</v>
      </c>
      <c r="F1222" t="s">
        <v>55</v>
      </c>
      <c r="G1222" t="s">
        <v>5</v>
      </c>
    </row>
    <row r="1223" spans="1:7" x14ac:dyDescent="0.3">
      <c r="A1223" t="s">
        <v>19</v>
      </c>
      <c r="B1223" s="1">
        <v>45838</v>
      </c>
      <c r="C1223">
        <v>555007</v>
      </c>
      <c r="D1223">
        <v>913.22500000000002</v>
      </c>
      <c r="E1223" t="s">
        <v>6</v>
      </c>
      <c r="F1223" t="s">
        <v>55</v>
      </c>
      <c r="G1223" t="s">
        <v>5</v>
      </c>
    </row>
    <row r="1224" spans="1:7" x14ac:dyDescent="0.3">
      <c r="A1224" t="s">
        <v>19</v>
      </c>
      <c r="B1224" s="1">
        <v>45838</v>
      </c>
      <c r="C1224">
        <v>555508</v>
      </c>
      <c r="D1224">
        <v>1.3120000000000001</v>
      </c>
      <c r="E1224" t="s">
        <v>6</v>
      </c>
      <c r="F1224" t="s">
        <v>55</v>
      </c>
      <c r="G1224" t="s">
        <v>5</v>
      </c>
    </row>
    <row r="1225" spans="1:7" x14ac:dyDescent="0.3">
      <c r="A1225" t="s">
        <v>19</v>
      </c>
      <c r="B1225" s="1">
        <v>45838</v>
      </c>
      <c r="C1225">
        <v>556002</v>
      </c>
      <c r="D1225">
        <v>86.415000000000006</v>
      </c>
      <c r="E1225" t="s">
        <v>6</v>
      </c>
      <c r="F1225" t="s">
        <v>60</v>
      </c>
      <c r="G1225" t="s">
        <v>5</v>
      </c>
    </row>
    <row r="1226" spans="1:7" x14ac:dyDescent="0.3">
      <c r="A1226" t="s">
        <v>19</v>
      </c>
      <c r="B1226" s="1">
        <v>45838</v>
      </c>
      <c r="C1226">
        <v>557002</v>
      </c>
      <c r="D1226">
        <v>126.483</v>
      </c>
      <c r="E1226" t="s">
        <v>6</v>
      </c>
      <c r="F1226" t="s">
        <v>56</v>
      </c>
      <c r="G1226" t="s">
        <v>5</v>
      </c>
    </row>
    <row r="1227" spans="1:7" x14ac:dyDescent="0.3">
      <c r="A1227" t="s">
        <v>19</v>
      </c>
      <c r="B1227" s="1">
        <v>45838</v>
      </c>
      <c r="C1227">
        <v>558006</v>
      </c>
      <c r="D1227">
        <v>160.25200000000001</v>
      </c>
      <c r="E1227" t="s">
        <v>6</v>
      </c>
      <c r="F1227" t="s">
        <v>57</v>
      </c>
      <c r="G1227" t="s">
        <v>5</v>
      </c>
    </row>
    <row r="1228" spans="1:7" x14ac:dyDescent="0.3">
      <c r="A1228" t="s">
        <v>19</v>
      </c>
      <c r="B1228" s="1">
        <v>45838</v>
      </c>
      <c r="C1228">
        <v>560008</v>
      </c>
      <c r="D1228">
        <v>86.126999999999995</v>
      </c>
      <c r="E1228" t="s">
        <v>6</v>
      </c>
      <c r="F1228" t="s">
        <v>56</v>
      </c>
      <c r="G1228" t="s">
        <v>5</v>
      </c>
    </row>
    <row r="1229" spans="1:7" x14ac:dyDescent="0.3">
      <c r="A1229" t="s">
        <v>19</v>
      </c>
      <c r="B1229" s="1">
        <v>45838</v>
      </c>
      <c r="C1229">
        <v>564004</v>
      </c>
      <c r="D1229">
        <v>78.613</v>
      </c>
      <c r="E1229" t="s">
        <v>6</v>
      </c>
      <c r="F1229" t="s">
        <v>51</v>
      </c>
      <c r="G1229" t="s">
        <v>5</v>
      </c>
    </row>
    <row r="1230" spans="1:7" x14ac:dyDescent="0.3">
      <c r="A1230" t="s">
        <v>19</v>
      </c>
      <c r="B1230" s="1">
        <v>45838</v>
      </c>
      <c r="C1230">
        <v>564006</v>
      </c>
      <c r="D1230">
        <v>-2E-3</v>
      </c>
      <c r="E1230" t="s">
        <v>6</v>
      </c>
      <c r="F1230" t="s">
        <v>57</v>
      </c>
      <c r="G1230" t="s">
        <v>5</v>
      </c>
    </row>
    <row r="1231" spans="1:7" x14ac:dyDescent="0.3">
      <c r="A1231" t="s">
        <v>19</v>
      </c>
      <c r="B1231" s="1">
        <v>45838</v>
      </c>
      <c r="C1231">
        <v>564020</v>
      </c>
      <c r="D1231">
        <v>136.11600000000001</v>
      </c>
      <c r="E1231" t="s">
        <v>6</v>
      </c>
      <c r="F1231" t="s">
        <v>57</v>
      </c>
      <c r="G1231" t="s">
        <v>5</v>
      </c>
    </row>
    <row r="1232" spans="1:7" x14ac:dyDescent="0.3">
      <c r="A1232" t="s">
        <v>19</v>
      </c>
      <c r="B1232" s="1">
        <v>45838</v>
      </c>
      <c r="C1232">
        <v>570002</v>
      </c>
      <c r="D1232">
        <v>34.837000000000003</v>
      </c>
      <c r="E1232" t="s">
        <v>6</v>
      </c>
      <c r="F1232" t="s">
        <v>66</v>
      </c>
      <c r="G1232" t="s">
        <v>5</v>
      </c>
    </row>
    <row r="1233" spans="1:7" x14ac:dyDescent="0.3">
      <c r="A1233" t="s">
        <v>20</v>
      </c>
      <c r="B1233" s="1">
        <v>45838</v>
      </c>
      <c r="C1233">
        <v>210002</v>
      </c>
      <c r="D1233">
        <v>-139.79900000000001</v>
      </c>
      <c r="E1233" t="s">
        <v>4</v>
      </c>
      <c r="F1233" t="s">
        <v>42</v>
      </c>
      <c r="G1233" t="s">
        <v>5</v>
      </c>
    </row>
    <row r="1234" spans="1:7" x14ac:dyDescent="0.3">
      <c r="A1234" t="s">
        <v>20</v>
      </c>
      <c r="B1234" s="1">
        <v>45838</v>
      </c>
      <c r="C1234">
        <v>220006</v>
      </c>
      <c r="D1234">
        <v>-41601.849000000002</v>
      </c>
      <c r="E1234" t="s">
        <v>4</v>
      </c>
      <c r="F1234" t="s">
        <v>42</v>
      </c>
      <c r="G1234" t="s">
        <v>5</v>
      </c>
    </row>
    <row r="1235" spans="1:7" x14ac:dyDescent="0.3">
      <c r="A1235" t="s">
        <v>20</v>
      </c>
      <c r="B1235" s="1">
        <v>45838</v>
      </c>
      <c r="C1235">
        <v>240002</v>
      </c>
      <c r="D1235">
        <v>-3.4009999999999998</v>
      </c>
      <c r="E1235" t="s">
        <v>4</v>
      </c>
      <c r="F1235" t="s">
        <v>43</v>
      </c>
      <c r="G1235" t="s">
        <v>5</v>
      </c>
    </row>
    <row r="1236" spans="1:7" x14ac:dyDescent="0.3">
      <c r="A1236" t="s">
        <v>20</v>
      </c>
      <c r="B1236" s="1">
        <v>45838</v>
      </c>
      <c r="C1236">
        <v>242003</v>
      </c>
      <c r="D1236">
        <v>-24689.206999999999</v>
      </c>
      <c r="E1236" t="s">
        <v>4</v>
      </c>
      <c r="F1236" t="s">
        <v>43</v>
      </c>
      <c r="G1236" t="s">
        <v>5</v>
      </c>
    </row>
    <row r="1237" spans="1:7" x14ac:dyDescent="0.3">
      <c r="A1237" t="s">
        <v>20</v>
      </c>
      <c r="B1237" s="1">
        <v>45838</v>
      </c>
      <c r="C1237">
        <v>242011</v>
      </c>
      <c r="D1237">
        <v>-188.90299999999999</v>
      </c>
      <c r="E1237" t="s">
        <v>4</v>
      </c>
      <c r="F1237" t="s">
        <v>43</v>
      </c>
      <c r="G1237" t="s">
        <v>5</v>
      </c>
    </row>
    <row r="1238" spans="1:7" x14ac:dyDescent="0.3">
      <c r="A1238" t="s">
        <v>20</v>
      </c>
      <c r="B1238" s="1">
        <v>45838</v>
      </c>
      <c r="C1238">
        <v>242013</v>
      </c>
      <c r="D1238">
        <v>188.90299999999999</v>
      </c>
      <c r="E1238" t="s">
        <v>4</v>
      </c>
      <c r="F1238" t="s">
        <v>43</v>
      </c>
      <c r="G1238" t="s">
        <v>5</v>
      </c>
    </row>
    <row r="1239" spans="1:7" x14ac:dyDescent="0.3">
      <c r="A1239" t="s">
        <v>20</v>
      </c>
      <c r="B1239" s="1">
        <v>45838</v>
      </c>
      <c r="C1239">
        <v>242041</v>
      </c>
      <c r="D1239">
        <v>0</v>
      </c>
      <c r="E1239" t="s">
        <v>4</v>
      </c>
      <c r="F1239" t="s">
        <v>43</v>
      </c>
      <c r="G1239" t="s">
        <v>5</v>
      </c>
    </row>
    <row r="1240" spans="1:7" x14ac:dyDescent="0.3">
      <c r="A1240" t="s">
        <v>20</v>
      </c>
      <c r="B1240" s="1">
        <v>45838</v>
      </c>
      <c r="C1240">
        <v>243002</v>
      </c>
      <c r="D1240">
        <v>-356.06900000000002</v>
      </c>
      <c r="E1240" t="s">
        <v>4</v>
      </c>
      <c r="F1240" t="s">
        <v>43</v>
      </c>
      <c r="G1240" t="s">
        <v>5</v>
      </c>
    </row>
    <row r="1241" spans="1:7" x14ac:dyDescent="0.3">
      <c r="A1241" t="s">
        <v>20</v>
      </c>
      <c r="B1241" s="1">
        <v>45838</v>
      </c>
      <c r="C1241">
        <v>251002</v>
      </c>
      <c r="D1241">
        <v>0</v>
      </c>
      <c r="E1241" t="s">
        <v>4</v>
      </c>
      <c r="F1241" t="s">
        <v>45</v>
      </c>
      <c r="G1241" t="s">
        <v>5</v>
      </c>
    </row>
    <row r="1242" spans="1:7" x14ac:dyDescent="0.3">
      <c r="A1242" t="s">
        <v>20</v>
      </c>
      <c r="B1242" s="1">
        <v>45838</v>
      </c>
      <c r="C1242">
        <v>251003</v>
      </c>
      <c r="D1242">
        <v>0</v>
      </c>
      <c r="E1242" t="s">
        <v>4</v>
      </c>
      <c r="F1242" t="s">
        <v>45</v>
      </c>
      <c r="G1242" t="s">
        <v>5</v>
      </c>
    </row>
    <row r="1243" spans="1:7" x14ac:dyDescent="0.3">
      <c r="A1243" t="s">
        <v>20</v>
      </c>
      <c r="B1243" s="1">
        <v>45838</v>
      </c>
      <c r="C1243">
        <v>251005</v>
      </c>
      <c r="D1243">
        <v>0</v>
      </c>
      <c r="E1243" t="s">
        <v>4</v>
      </c>
      <c r="F1243" t="s">
        <v>46</v>
      </c>
      <c r="G1243" t="s">
        <v>5</v>
      </c>
    </row>
    <row r="1244" spans="1:7" x14ac:dyDescent="0.3">
      <c r="A1244" t="s">
        <v>20</v>
      </c>
      <c r="B1244" s="1">
        <v>45838</v>
      </c>
      <c r="C1244">
        <v>260004</v>
      </c>
      <c r="D1244">
        <v>-587.42200000000003</v>
      </c>
      <c r="E1244" t="s">
        <v>4</v>
      </c>
      <c r="F1244" t="s">
        <v>45</v>
      </c>
      <c r="G1244" t="s">
        <v>5</v>
      </c>
    </row>
    <row r="1245" spans="1:7" x14ac:dyDescent="0.3">
      <c r="A1245" t="s">
        <v>20</v>
      </c>
      <c r="B1245" s="1">
        <v>45838</v>
      </c>
      <c r="C1245">
        <v>270026</v>
      </c>
      <c r="D1245">
        <v>-2548.6799999999998</v>
      </c>
      <c r="E1245" t="s">
        <v>4</v>
      </c>
      <c r="F1245" t="s">
        <v>58</v>
      </c>
      <c r="G1245" t="s">
        <v>5</v>
      </c>
    </row>
    <row r="1246" spans="1:7" x14ac:dyDescent="0.3">
      <c r="A1246" t="s">
        <v>20</v>
      </c>
      <c r="B1246" s="1">
        <v>45838</v>
      </c>
      <c r="C1246">
        <v>270027</v>
      </c>
      <c r="D1246">
        <v>-575.49699999999996</v>
      </c>
      <c r="E1246" t="s">
        <v>4</v>
      </c>
      <c r="F1246" t="s">
        <v>58</v>
      </c>
      <c r="G1246" t="s">
        <v>5</v>
      </c>
    </row>
    <row r="1247" spans="1:7" x14ac:dyDescent="0.3">
      <c r="A1247" t="s">
        <v>20</v>
      </c>
      <c r="B1247" s="1">
        <v>45838</v>
      </c>
      <c r="C1247">
        <v>300008</v>
      </c>
      <c r="D1247">
        <v>243.22300000000001</v>
      </c>
      <c r="E1247" t="s">
        <v>4</v>
      </c>
      <c r="F1247" t="s">
        <v>65</v>
      </c>
      <c r="G1247" t="s">
        <v>5</v>
      </c>
    </row>
    <row r="1248" spans="1:7" x14ac:dyDescent="0.3">
      <c r="A1248" t="s">
        <v>20</v>
      </c>
      <c r="B1248" s="1">
        <v>45838</v>
      </c>
      <c r="C1248">
        <v>300508</v>
      </c>
      <c r="D1248">
        <v>-243.22300000000001</v>
      </c>
      <c r="E1248" t="s">
        <v>4</v>
      </c>
      <c r="F1248" t="s">
        <v>65</v>
      </c>
      <c r="G1248" t="s">
        <v>5</v>
      </c>
    </row>
    <row r="1249" spans="1:7" x14ac:dyDescent="0.3">
      <c r="A1249" t="s">
        <v>20</v>
      </c>
      <c r="B1249" s="1">
        <v>45838</v>
      </c>
      <c r="C1249">
        <v>320003</v>
      </c>
      <c r="D1249">
        <v>10434.564</v>
      </c>
      <c r="E1249" t="s">
        <v>4</v>
      </c>
      <c r="F1249" t="s">
        <v>46</v>
      </c>
      <c r="G1249" t="s">
        <v>5</v>
      </c>
    </row>
    <row r="1250" spans="1:7" x14ac:dyDescent="0.3">
      <c r="A1250" t="s">
        <v>20</v>
      </c>
      <c r="B1250" s="1">
        <v>45838</v>
      </c>
      <c r="C1250">
        <v>320004</v>
      </c>
      <c r="D1250">
        <v>405.34699999999998</v>
      </c>
      <c r="E1250" t="s">
        <v>4</v>
      </c>
      <c r="F1250" t="s">
        <v>46</v>
      </c>
      <c r="G1250" t="s">
        <v>5</v>
      </c>
    </row>
    <row r="1251" spans="1:7" x14ac:dyDescent="0.3">
      <c r="A1251" t="s">
        <v>20</v>
      </c>
      <c r="B1251" s="1">
        <v>45838</v>
      </c>
      <c r="C1251">
        <v>321002</v>
      </c>
      <c r="D1251">
        <v>1109.7260000000001</v>
      </c>
      <c r="E1251" t="s">
        <v>4</v>
      </c>
      <c r="F1251" t="s">
        <v>46</v>
      </c>
      <c r="G1251" t="s">
        <v>5</v>
      </c>
    </row>
    <row r="1252" spans="1:7" x14ac:dyDescent="0.3">
      <c r="A1252" t="s">
        <v>20</v>
      </c>
      <c r="B1252" s="1">
        <v>45838</v>
      </c>
      <c r="C1252">
        <v>340126</v>
      </c>
      <c r="D1252">
        <v>0</v>
      </c>
      <c r="E1252" t="s">
        <v>4</v>
      </c>
      <c r="F1252" t="s">
        <v>47</v>
      </c>
      <c r="G1252" t="s">
        <v>5</v>
      </c>
    </row>
    <row r="1253" spans="1:7" x14ac:dyDescent="0.3">
      <c r="A1253" t="s">
        <v>20</v>
      </c>
      <c r="B1253" s="1">
        <v>45838</v>
      </c>
      <c r="C1253">
        <v>340261</v>
      </c>
      <c r="D1253">
        <v>43483.222000000002</v>
      </c>
      <c r="E1253" t="s">
        <v>4</v>
      </c>
      <c r="F1253" t="s">
        <v>47</v>
      </c>
      <c r="G1253" t="s">
        <v>5</v>
      </c>
    </row>
    <row r="1254" spans="1:7" x14ac:dyDescent="0.3">
      <c r="A1254" t="s">
        <v>20</v>
      </c>
      <c r="B1254" s="1">
        <v>45838</v>
      </c>
      <c r="C1254">
        <v>354003</v>
      </c>
      <c r="D1254">
        <v>0</v>
      </c>
      <c r="E1254" t="s">
        <v>4</v>
      </c>
      <c r="F1254" t="s">
        <v>46</v>
      </c>
      <c r="G1254" t="s">
        <v>5</v>
      </c>
    </row>
    <row r="1255" spans="1:7" x14ac:dyDescent="0.3">
      <c r="A1255" t="s">
        <v>20</v>
      </c>
      <c r="B1255" s="1">
        <v>45838</v>
      </c>
      <c r="C1255">
        <v>354012</v>
      </c>
      <c r="D1255">
        <v>10587.255999999999</v>
      </c>
      <c r="E1255" t="s">
        <v>4</v>
      </c>
      <c r="F1255" t="s">
        <v>46</v>
      </c>
      <c r="G1255" t="s">
        <v>5</v>
      </c>
    </row>
    <row r="1256" spans="1:7" x14ac:dyDescent="0.3">
      <c r="A1256" t="s">
        <v>20</v>
      </c>
      <c r="B1256" s="1">
        <v>45838</v>
      </c>
      <c r="C1256">
        <v>354014</v>
      </c>
      <c r="D1256">
        <v>4288.4530000000004</v>
      </c>
      <c r="E1256" t="s">
        <v>4</v>
      </c>
      <c r="F1256" t="s">
        <v>46</v>
      </c>
      <c r="G1256" t="s">
        <v>5</v>
      </c>
    </row>
    <row r="1257" spans="1:7" x14ac:dyDescent="0.3">
      <c r="A1257" t="s">
        <v>20</v>
      </c>
      <c r="B1257" s="1">
        <v>45838</v>
      </c>
      <c r="C1257">
        <v>355013</v>
      </c>
      <c r="D1257">
        <v>0</v>
      </c>
      <c r="E1257" t="s">
        <v>4</v>
      </c>
      <c r="F1257" t="s">
        <v>49</v>
      </c>
      <c r="G1257" t="s">
        <v>5</v>
      </c>
    </row>
    <row r="1258" spans="1:7" x14ac:dyDescent="0.3">
      <c r="A1258" t="s">
        <v>20</v>
      </c>
      <c r="B1258" s="1">
        <v>45838</v>
      </c>
      <c r="C1258">
        <v>355014</v>
      </c>
      <c r="D1258">
        <v>28.341999999999999</v>
      </c>
      <c r="E1258" t="s">
        <v>4</v>
      </c>
      <c r="F1258" t="s">
        <v>49</v>
      </c>
      <c r="G1258" t="s">
        <v>5</v>
      </c>
    </row>
    <row r="1259" spans="1:7" x14ac:dyDescent="0.3">
      <c r="A1259" t="s">
        <v>20</v>
      </c>
      <c r="B1259" s="1">
        <v>45838</v>
      </c>
      <c r="C1259">
        <v>360028</v>
      </c>
      <c r="D1259">
        <v>138.09399999999999</v>
      </c>
      <c r="E1259" t="s">
        <v>4</v>
      </c>
      <c r="F1259" t="s">
        <v>58</v>
      </c>
      <c r="G1259" t="s">
        <v>5</v>
      </c>
    </row>
    <row r="1260" spans="1:7" x14ac:dyDescent="0.3">
      <c r="A1260" t="s">
        <v>20</v>
      </c>
      <c r="B1260" s="1">
        <v>45838</v>
      </c>
      <c r="C1260">
        <v>360030</v>
      </c>
      <c r="D1260">
        <v>965.34199999999998</v>
      </c>
      <c r="E1260" t="s">
        <v>4</v>
      </c>
      <c r="F1260" t="s">
        <v>58</v>
      </c>
      <c r="G1260" t="s">
        <v>5</v>
      </c>
    </row>
    <row r="1261" spans="1:7" x14ac:dyDescent="0.3">
      <c r="A1261" t="s">
        <v>20</v>
      </c>
      <c r="B1261" s="1">
        <v>45838</v>
      </c>
      <c r="C1261">
        <v>360032</v>
      </c>
      <c r="D1261">
        <v>820.56600000000003</v>
      </c>
      <c r="E1261" t="s">
        <v>4</v>
      </c>
      <c r="F1261" t="s">
        <v>58</v>
      </c>
      <c r="G1261" t="s">
        <v>5</v>
      </c>
    </row>
    <row r="1262" spans="1:7" x14ac:dyDescent="0.3">
      <c r="A1262" t="s">
        <v>20</v>
      </c>
      <c r="B1262" s="1">
        <v>45838</v>
      </c>
      <c r="C1262">
        <v>372004</v>
      </c>
      <c r="D1262">
        <v>63.412999999999997</v>
      </c>
      <c r="E1262" t="s">
        <v>4</v>
      </c>
      <c r="F1262" t="s">
        <v>45</v>
      </c>
      <c r="G1262" t="s">
        <v>5</v>
      </c>
    </row>
    <row r="1263" spans="1:7" x14ac:dyDescent="0.3">
      <c r="A1263" t="s">
        <v>20</v>
      </c>
      <c r="B1263" s="1">
        <v>45838</v>
      </c>
      <c r="C1263">
        <v>410002</v>
      </c>
      <c r="D1263">
        <v>-1093.598</v>
      </c>
      <c r="E1263" t="s">
        <v>6</v>
      </c>
      <c r="F1263" t="s">
        <v>51</v>
      </c>
      <c r="G1263" t="s">
        <v>5</v>
      </c>
    </row>
    <row r="1264" spans="1:7" x14ac:dyDescent="0.3">
      <c r="A1264" t="s">
        <v>20</v>
      </c>
      <c r="B1264" s="1">
        <v>45838</v>
      </c>
      <c r="C1264">
        <v>415002</v>
      </c>
      <c r="D1264">
        <v>251.089</v>
      </c>
      <c r="E1264" t="s">
        <v>6</v>
      </c>
      <c r="F1264" t="s">
        <v>50</v>
      </c>
      <c r="G1264" t="s">
        <v>5</v>
      </c>
    </row>
    <row r="1265" spans="1:7" x14ac:dyDescent="0.3">
      <c r="A1265" t="s">
        <v>20</v>
      </c>
      <c r="B1265" s="1">
        <v>45838</v>
      </c>
      <c r="C1265">
        <v>415004</v>
      </c>
      <c r="D1265">
        <v>-18242.986000000001</v>
      </c>
      <c r="E1265" t="s">
        <v>6</v>
      </c>
      <c r="F1265" t="s">
        <v>50</v>
      </c>
      <c r="G1265" t="s">
        <v>5</v>
      </c>
    </row>
    <row r="1266" spans="1:7" x14ac:dyDescent="0.3">
      <c r="A1266" t="s">
        <v>20</v>
      </c>
      <c r="B1266" s="1">
        <v>45838</v>
      </c>
      <c r="C1266">
        <v>421003</v>
      </c>
      <c r="D1266">
        <v>0</v>
      </c>
      <c r="E1266" t="s">
        <v>6</v>
      </c>
      <c r="F1266" t="s">
        <v>52</v>
      </c>
      <c r="G1266" t="s">
        <v>5</v>
      </c>
    </row>
    <row r="1267" spans="1:7" x14ac:dyDescent="0.3">
      <c r="A1267" t="s">
        <v>20</v>
      </c>
      <c r="B1267" s="1">
        <v>45838</v>
      </c>
      <c r="C1267">
        <v>421007</v>
      </c>
      <c r="D1267">
        <v>-370.51600000000002</v>
      </c>
      <c r="E1267" t="s">
        <v>6</v>
      </c>
      <c r="F1267" t="s">
        <v>52</v>
      </c>
      <c r="G1267" t="s">
        <v>5</v>
      </c>
    </row>
    <row r="1268" spans="1:7" x14ac:dyDescent="0.3">
      <c r="A1268" t="s">
        <v>20</v>
      </c>
      <c r="B1268" s="1">
        <v>45838</v>
      </c>
      <c r="C1268">
        <v>546002</v>
      </c>
      <c r="D1268">
        <v>15506.539000000001</v>
      </c>
      <c r="E1268" t="s">
        <v>6</v>
      </c>
      <c r="F1268" t="s">
        <v>51</v>
      </c>
      <c r="G1268" t="s">
        <v>5</v>
      </c>
    </row>
    <row r="1269" spans="1:7" x14ac:dyDescent="0.3">
      <c r="A1269" t="s">
        <v>20</v>
      </c>
      <c r="B1269" s="1">
        <v>45838</v>
      </c>
      <c r="C1269">
        <v>556004</v>
      </c>
      <c r="D1269">
        <v>1.46</v>
      </c>
      <c r="E1269" t="s">
        <v>6</v>
      </c>
      <c r="F1269" t="s">
        <v>55</v>
      </c>
      <c r="G1269" t="s">
        <v>5</v>
      </c>
    </row>
    <row r="1270" spans="1:7" x14ac:dyDescent="0.3">
      <c r="A1270" t="s">
        <v>20</v>
      </c>
      <c r="B1270" s="1">
        <v>45838</v>
      </c>
      <c r="C1270">
        <v>557002</v>
      </c>
      <c r="D1270">
        <v>1515.1659999999999</v>
      </c>
      <c r="E1270" t="s">
        <v>6</v>
      </c>
      <c r="F1270" t="s">
        <v>56</v>
      </c>
      <c r="G1270" t="s">
        <v>5</v>
      </c>
    </row>
    <row r="1271" spans="1:7" x14ac:dyDescent="0.3">
      <c r="A1271" t="s">
        <v>20</v>
      </c>
      <c r="B1271" s="1">
        <v>45838</v>
      </c>
      <c r="C1271">
        <v>558006</v>
      </c>
      <c r="D1271">
        <v>13.961</v>
      </c>
      <c r="E1271" t="s">
        <v>6</v>
      </c>
      <c r="F1271" t="s">
        <v>57</v>
      </c>
      <c r="G1271" t="s">
        <v>5</v>
      </c>
    </row>
    <row r="1272" spans="1:7" x14ac:dyDescent="0.3">
      <c r="A1272" t="s">
        <v>20</v>
      </c>
      <c r="B1272" s="1">
        <v>45838</v>
      </c>
      <c r="C1272">
        <v>560008</v>
      </c>
      <c r="D1272">
        <v>47.53</v>
      </c>
      <c r="E1272" t="s">
        <v>6</v>
      </c>
      <c r="F1272" t="s">
        <v>56</v>
      </c>
      <c r="G1272" t="s">
        <v>5</v>
      </c>
    </row>
    <row r="1273" spans="1:7" x14ac:dyDescent="0.3">
      <c r="A1273" t="s">
        <v>20</v>
      </c>
      <c r="B1273" s="1">
        <v>45838</v>
      </c>
      <c r="C1273">
        <v>564020</v>
      </c>
      <c r="D1273">
        <v>8.2940000000000005</v>
      </c>
      <c r="E1273" t="s">
        <v>6</v>
      </c>
      <c r="F1273" t="s">
        <v>57</v>
      </c>
      <c r="G1273" t="s">
        <v>5</v>
      </c>
    </row>
    <row r="1274" spans="1:7" x14ac:dyDescent="0.3">
      <c r="A1274" t="s">
        <v>20</v>
      </c>
      <c r="B1274" s="1">
        <v>45838</v>
      </c>
      <c r="C1274">
        <v>580002</v>
      </c>
      <c r="D1274">
        <v>567.13300000000004</v>
      </c>
      <c r="E1274" t="s">
        <v>6</v>
      </c>
      <c r="F1274" t="s">
        <v>64</v>
      </c>
      <c r="G1274" t="s">
        <v>5</v>
      </c>
    </row>
    <row r="1275" spans="1:7" x14ac:dyDescent="0.3">
      <c r="A1275" t="s">
        <v>21</v>
      </c>
      <c r="B1275" s="1">
        <v>45838</v>
      </c>
      <c r="C1275">
        <v>210002</v>
      </c>
      <c r="D1275">
        <v>-302.93599999999998</v>
      </c>
      <c r="E1275" t="s">
        <v>4</v>
      </c>
      <c r="F1275" t="s">
        <v>42</v>
      </c>
      <c r="G1275" t="s">
        <v>7</v>
      </c>
    </row>
    <row r="1276" spans="1:7" x14ac:dyDescent="0.3">
      <c r="A1276" t="s">
        <v>21</v>
      </c>
      <c r="B1276" s="1">
        <v>45838</v>
      </c>
      <c r="C1276">
        <v>220006</v>
      </c>
      <c r="D1276">
        <v>10288.815000000001</v>
      </c>
      <c r="E1276" t="s">
        <v>4</v>
      </c>
      <c r="F1276" t="s">
        <v>42</v>
      </c>
      <c r="G1276" t="s">
        <v>7</v>
      </c>
    </row>
    <row r="1277" spans="1:7" x14ac:dyDescent="0.3">
      <c r="A1277" t="s">
        <v>21</v>
      </c>
      <c r="B1277" s="1">
        <v>45838</v>
      </c>
      <c r="C1277">
        <v>240002</v>
      </c>
      <c r="D1277">
        <v>0</v>
      </c>
      <c r="E1277" t="s">
        <v>4</v>
      </c>
      <c r="F1277" t="s">
        <v>43</v>
      </c>
      <c r="G1277" t="s">
        <v>7</v>
      </c>
    </row>
    <row r="1278" spans="1:7" x14ac:dyDescent="0.3">
      <c r="A1278" t="s">
        <v>21</v>
      </c>
      <c r="B1278" s="1">
        <v>45838</v>
      </c>
      <c r="C1278">
        <v>240009</v>
      </c>
      <c r="D1278">
        <v>0</v>
      </c>
      <c r="E1278" t="s">
        <v>4</v>
      </c>
      <c r="F1278" t="s">
        <v>43</v>
      </c>
      <c r="G1278" t="s">
        <v>7</v>
      </c>
    </row>
    <row r="1279" spans="1:7" x14ac:dyDescent="0.3">
      <c r="A1279" t="s">
        <v>21</v>
      </c>
      <c r="B1279" s="1">
        <v>45838</v>
      </c>
      <c r="C1279">
        <v>242003</v>
      </c>
      <c r="D1279">
        <v>-18979.287</v>
      </c>
      <c r="E1279" t="s">
        <v>4</v>
      </c>
      <c r="F1279" t="s">
        <v>43</v>
      </c>
      <c r="G1279" t="s">
        <v>7</v>
      </c>
    </row>
    <row r="1280" spans="1:7" x14ac:dyDescent="0.3">
      <c r="A1280" t="s">
        <v>21</v>
      </c>
      <c r="B1280" s="1">
        <v>45838</v>
      </c>
      <c r="C1280">
        <v>242011</v>
      </c>
      <c r="D1280">
        <v>-17921.169999999998</v>
      </c>
      <c r="E1280" t="s">
        <v>4</v>
      </c>
      <c r="F1280" t="s">
        <v>43</v>
      </c>
      <c r="G1280" t="s">
        <v>7</v>
      </c>
    </row>
    <row r="1281" spans="1:7" x14ac:dyDescent="0.3">
      <c r="A1281" t="s">
        <v>21</v>
      </c>
      <c r="B1281" s="1">
        <v>45838</v>
      </c>
      <c r="C1281">
        <v>242012</v>
      </c>
      <c r="D1281">
        <v>-14991.581</v>
      </c>
      <c r="E1281" t="s">
        <v>4</v>
      </c>
      <c r="F1281" t="s">
        <v>43</v>
      </c>
      <c r="G1281" t="s">
        <v>7</v>
      </c>
    </row>
    <row r="1282" spans="1:7" x14ac:dyDescent="0.3">
      <c r="A1282" t="s">
        <v>21</v>
      </c>
      <c r="B1282" s="1">
        <v>45838</v>
      </c>
      <c r="C1282">
        <v>242014</v>
      </c>
      <c r="D1282">
        <v>-4036.5189999999998</v>
      </c>
      <c r="E1282" t="s">
        <v>4</v>
      </c>
      <c r="F1282" t="s">
        <v>43</v>
      </c>
      <c r="G1282" t="s">
        <v>7</v>
      </c>
    </row>
    <row r="1283" spans="1:7" x14ac:dyDescent="0.3">
      <c r="A1283" t="s">
        <v>21</v>
      </c>
      <c r="B1283" s="1">
        <v>45838</v>
      </c>
      <c r="C1283">
        <v>242030</v>
      </c>
      <c r="D1283">
        <v>-281.13900000000001</v>
      </c>
      <c r="E1283" t="s">
        <v>4</v>
      </c>
      <c r="F1283" t="s">
        <v>43</v>
      </c>
      <c r="G1283" t="s">
        <v>7</v>
      </c>
    </row>
    <row r="1284" spans="1:7" x14ac:dyDescent="0.3">
      <c r="A1284" t="s">
        <v>21</v>
      </c>
      <c r="B1284" s="1">
        <v>45838</v>
      </c>
      <c r="C1284">
        <v>242041</v>
      </c>
      <c r="D1284">
        <v>2855.4430000000002</v>
      </c>
      <c r="E1284" t="s">
        <v>4</v>
      </c>
      <c r="F1284" t="s">
        <v>43</v>
      </c>
      <c r="G1284" t="s">
        <v>7</v>
      </c>
    </row>
    <row r="1285" spans="1:7" x14ac:dyDescent="0.3">
      <c r="A1285" t="s">
        <v>21</v>
      </c>
      <c r="B1285" s="1">
        <v>45838</v>
      </c>
      <c r="C1285">
        <v>243002</v>
      </c>
      <c r="D1285">
        <v>-241.501</v>
      </c>
      <c r="E1285" t="s">
        <v>4</v>
      </c>
      <c r="F1285" t="s">
        <v>43</v>
      </c>
      <c r="G1285" t="s">
        <v>7</v>
      </c>
    </row>
    <row r="1286" spans="1:7" x14ac:dyDescent="0.3">
      <c r="A1286" t="s">
        <v>21</v>
      </c>
      <c r="B1286" s="1">
        <v>45838</v>
      </c>
      <c r="C1286">
        <v>245055</v>
      </c>
      <c r="D1286">
        <v>0</v>
      </c>
      <c r="E1286" t="s">
        <v>4</v>
      </c>
      <c r="F1286" t="s">
        <v>43</v>
      </c>
      <c r="G1286" t="s">
        <v>7</v>
      </c>
    </row>
    <row r="1287" spans="1:7" x14ac:dyDescent="0.3">
      <c r="A1287" t="s">
        <v>21</v>
      </c>
      <c r="B1287" s="1">
        <v>45838</v>
      </c>
      <c r="C1287">
        <v>245058</v>
      </c>
      <c r="D1287">
        <v>0</v>
      </c>
      <c r="E1287" t="s">
        <v>4</v>
      </c>
      <c r="F1287" t="s">
        <v>43</v>
      </c>
      <c r="G1287" t="s">
        <v>7</v>
      </c>
    </row>
    <row r="1288" spans="1:7" x14ac:dyDescent="0.3">
      <c r="A1288" t="s">
        <v>21</v>
      </c>
      <c r="B1288" s="1">
        <v>45838</v>
      </c>
      <c r="C1288">
        <v>245062</v>
      </c>
      <c r="D1288">
        <v>-17.946000000000002</v>
      </c>
      <c r="E1288" t="s">
        <v>4</v>
      </c>
      <c r="F1288" t="s">
        <v>43</v>
      </c>
      <c r="G1288" t="s">
        <v>7</v>
      </c>
    </row>
    <row r="1289" spans="1:7" x14ac:dyDescent="0.3">
      <c r="A1289" t="s">
        <v>21</v>
      </c>
      <c r="B1289" s="1">
        <v>45838</v>
      </c>
      <c r="C1289">
        <v>251002</v>
      </c>
      <c r="D1289">
        <v>0</v>
      </c>
      <c r="E1289" t="s">
        <v>4</v>
      </c>
      <c r="F1289" t="s">
        <v>45</v>
      </c>
      <c r="G1289" t="s">
        <v>7</v>
      </c>
    </row>
    <row r="1290" spans="1:7" x14ac:dyDescent="0.3">
      <c r="A1290" t="s">
        <v>21</v>
      </c>
      <c r="B1290" s="1">
        <v>45838</v>
      </c>
      <c r="C1290">
        <v>251003</v>
      </c>
      <c r="D1290">
        <v>-39907.696000000004</v>
      </c>
      <c r="E1290" t="s">
        <v>4</v>
      </c>
      <c r="F1290" t="s">
        <v>45</v>
      </c>
      <c r="G1290" t="s">
        <v>7</v>
      </c>
    </row>
    <row r="1291" spans="1:7" x14ac:dyDescent="0.3">
      <c r="A1291" t="s">
        <v>21</v>
      </c>
      <c r="B1291" s="1">
        <v>45838</v>
      </c>
      <c r="C1291">
        <v>257008</v>
      </c>
      <c r="D1291">
        <v>-2358.306</v>
      </c>
      <c r="E1291" t="s">
        <v>4</v>
      </c>
      <c r="F1291" t="s">
        <v>45</v>
      </c>
      <c r="G1291" t="s">
        <v>7</v>
      </c>
    </row>
    <row r="1292" spans="1:7" x14ac:dyDescent="0.3">
      <c r="A1292" t="s">
        <v>21</v>
      </c>
      <c r="B1292" s="1">
        <v>45838</v>
      </c>
      <c r="C1292">
        <v>257028</v>
      </c>
      <c r="D1292">
        <v>1364.4159999999999</v>
      </c>
      <c r="E1292" t="s">
        <v>4</v>
      </c>
      <c r="F1292" t="s">
        <v>45</v>
      </c>
      <c r="G1292" t="s">
        <v>7</v>
      </c>
    </row>
    <row r="1293" spans="1:7" x14ac:dyDescent="0.3">
      <c r="A1293" t="s">
        <v>21</v>
      </c>
      <c r="B1293" s="1">
        <v>45838</v>
      </c>
      <c r="C1293">
        <v>257030</v>
      </c>
      <c r="D1293">
        <v>-968.8</v>
      </c>
      <c r="E1293" t="s">
        <v>4</v>
      </c>
      <c r="F1293" t="s">
        <v>45</v>
      </c>
      <c r="G1293" t="s">
        <v>7</v>
      </c>
    </row>
    <row r="1294" spans="1:7" x14ac:dyDescent="0.3">
      <c r="A1294" t="s">
        <v>21</v>
      </c>
      <c r="B1294" s="1">
        <v>45838</v>
      </c>
      <c r="C1294">
        <v>260004</v>
      </c>
      <c r="D1294">
        <v>-13610.214</v>
      </c>
      <c r="E1294" t="s">
        <v>4</v>
      </c>
      <c r="F1294" t="s">
        <v>45</v>
      </c>
      <c r="G1294" t="s">
        <v>7</v>
      </c>
    </row>
    <row r="1295" spans="1:7" x14ac:dyDescent="0.3">
      <c r="A1295" t="s">
        <v>21</v>
      </c>
      <c r="B1295" s="1">
        <v>45838</v>
      </c>
      <c r="C1295">
        <v>270026</v>
      </c>
      <c r="D1295">
        <v>-4930.1480000000001</v>
      </c>
      <c r="E1295" t="s">
        <v>4</v>
      </c>
      <c r="F1295" t="s">
        <v>58</v>
      </c>
      <c r="G1295" t="s">
        <v>7</v>
      </c>
    </row>
    <row r="1296" spans="1:7" x14ac:dyDescent="0.3">
      <c r="A1296" t="s">
        <v>21</v>
      </c>
      <c r="B1296" s="1">
        <v>45838</v>
      </c>
      <c r="C1296">
        <v>270027</v>
      </c>
      <c r="D1296">
        <v>-943.35400000000004</v>
      </c>
      <c r="E1296" t="s">
        <v>4</v>
      </c>
      <c r="F1296" t="s">
        <v>58</v>
      </c>
      <c r="G1296" t="s">
        <v>7</v>
      </c>
    </row>
    <row r="1297" spans="1:7" x14ac:dyDescent="0.3">
      <c r="A1297" t="s">
        <v>21</v>
      </c>
      <c r="B1297" s="1">
        <v>45838</v>
      </c>
      <c r="C1297">
        <v>320003</v>
      </c>
      <c r="D1297">
        <v>18759.571</v>
      </c>
      <c r="E1297" t="s">
        <v>4</v>
      </c>
      <c r="F1297" t="s">
        <v>46</v>
      </c>
      <c r="G1297" t="s">
        <v>7</v>
      </c>
    </row>
    <row r="1298" spans="1:7" x14ac:dyDescent="0.3">
      <c r="A1298" t="s">
        <v>21</v>
      </c>
      <c r="B1298" s="1">
        <v>45838</v>
      </c>
      <c r="C1298">
        <v>320004</v>
      </c>
      <c r="D1298">
        <v>118.429</v>
      </c>
      <c r="E1298" t="s">
        <v>4</v>
      </c>
      <c r="F1298" t="s">
        <v>46</v>
      </c>
      <c r="G1298" t="s">
        <v>7</v>
      </c>
    </row>
    <row r="1299" spans="1:7" x14ac:dyDescent="0.3">
      <c r="A1299" t="s">
        <v>21</v>
      </c>
      <c r="B1299" s="1">
        <v>45838</v>
      </c>
      <c r="C1299">
        <v>321002</v>
      </c>
      <c r="D1299">
        <v>4099.2709999999997</v>
      </c>
      <c r="E1299" t="s">
        <v>4</v>
      </c>
      <c r="F1299" t="s">
        <v>46</v>
      </c>
      <c r="G1299" t="s">
        <v>7</v>
      </c>
    </row>
    <row r="1300" spans="1:7" x14ac:dyDescent="0.3">
      <c r="A1300" t="s">
        <v>21</v>
      </c>
      <c r="B1300" s="1">
        <v>45838</v>
      </c>
      <c r="C1300">
        <v>321010</v>
      </c>
      <c r="D1300">
        <v>12.448</v>
      </c>
      <c r="E1300" t="s">
        <v>4</v>
      </c>
      <c r="F1300" t="s">
        <v>46</v>
      </c>
      <c r="G1300" t="s">
        <v>7</v>
      </c>
    </row>
    <row r="1301" spans="1:7" x14ac:dyDescent="0.3">
      <c r="A1301" t="s">
        <v>21</v>
      </c>
      <c r="B1301" s="1">
        <v>45838</v>
      </c>
      <c r="C1301">
        <v>321012</v>
      </c>
      <c r="D1301">
        <v>4243.8280000000004</v>
      </c>
      <c r="E1301" t="s">
        <v>4</v>
      </c>
      <c r="F1301" t="s">
        <v>46</v>
      </c>
      <c r="G1301" t="s">
        <v>7</v>
      </c>
    </row>
    <row r="1302" spans="1:7" x14ac:dyDescent="0.3">
      <c r="A1302" t="s">
        <v>21</v>
      </c>
      <c r="B1302" s="1">
        <v>45838</v>
      </c>
      <c r="C1302">
        <v>321013</v>
      </c>
      <c r="D1302">
        <v>27.238</v>
      </c>
      <c r="E1302" t="s">
        <v>4</v>
      </c>
      <c r="F1302" t="s">
        <v>46</v>
      </c>
      <c r="G1302" t="s">
        <v>7</v>
      </c>
    </row>
    <row r="1303" spans="1:7" x14ac:dyDescent="0.3">
      <c r="A1303" t="s">
        <v>21</v>
      </c>
      <c r="B1303" s="1">
        <v>45838</v>
      </c>
      <c r="C1303">
        <v>321014</v>
      </c>
      <c r="D1303">
        <v>12.448</v>
      </c>
      <c r="E1303" t="s">
        <v>4</v>
      </c>
      <c r="F1303" t="s">
        <v>46</v>
      </c>
      <c r="G1303" t="s">
        <v>7</v>
      </c>
    </row>
    <row r="1304" spans="1:7" x14ac:dyDescent="0.3">
      <c r="A1304" t="s">
        <v>21</v>
      </c>
      <c r="B1304" s="1">
        <v>45838</v>
      </c>
      <c r="C1304">
        <v>321025</v>
      </c>
      <c r="D1304">
        <v>820.55100000000004</v>
      </c>
      <c r="E1304" t="s">
        <v>4</v>
      </c>
      <c r="F1304" t="s">
        <v>46</v>
      </c>
      <c r="G1304" t="s">
        <v>7</v>
      </c>
    </row>
    <row r="1305" spans="1:7" x14ac:dyDescent="0.3">
      <c r="A1305" t="s">
        <v>21</v>
      </c>
      <c r="B1305" s="1">
        <v>45838</v>
      </c>
      <c r="C1305">
        <v>321029</v>
      </c>
      <c r="D1305">
        <v>14827.663</v>
      </c>
      <c r="E1305" t="s">
        <v>4</v>
      </c>
      <c r="F1305" t="s">
        <v>46</v>
      </c>
      <c r="G1305" t="s">
        <v>7</v>
      </c>
    </row>
    <row r="1306" spans="1:7" x14ac:dyDescent="0.3">
      <c r="A1306" t="s">
        <v>21</v>
      </c>
      <c r="B1306" s="1">
        <v>45838</v>
      </c>
      <c r="C1306">
        <v>321031</v>
      </c>
      <c r="D1306">
        <v>911.73400000000004</v>
      </c>
      <c r="E1306" t="s">
        <v>4</v>
      </c>
      <c r="F1306" t="s">
        <v>46</v>
      </c>
      <c r="G1306" t="s">
        <v>7</v>
      </c>
    </row>
    <row r="1307" spans="1:7" x14ac:dyDescent="0.3">
      <c r="A1307" t="s">
        <v>21</v>
      </c>
      <c r="B1307" s="1">
        <v>45838</v>
      </c>
      <c r="C1307">
        <v>321042</v>
      </c>
      <c r="D1307">
        <v>-14.04</v>
      </c>
      <c r="E1307" t="s">
        <v>4</v>
      </c>
      <c r="F1307" t="s">
        <v>46</v>
      </c>
      <c r="G1307" t="s">
        <v>7</v>
      </c>
    </row>
    <row r="1308" spans="1:7" x14ac:dyDescent="0.3">
      <c r="A1308" t="s">
        <v>21</v>
      </c>
      <c r="B1308" s="1">
        <v>45838</v>
      </c>
      <c r="C1308">
        <v>330120</v>
      </c>
      <c r="D1308">
        <v>0</v>
      </c>
      <c r="E1308" t="s">
        <v>4</v>
      </c>
      <c r="F1308" t="s">
        <v>43</v>
      </c>
      <c r="G1308" t="s">
        <v>7</v>
      </c>
    </row>
    <row r="1309" spans="1:7" x14ac:dyDescent="0.3">
      <c r="A1309" t="s">
        <v>21</v>
      </c>
      <c r="B1309" s="1">
        <v>45838</v>
      </c>
      <c r="C1309">
        <v>340126</v>
      </c>
      <c r="D1309">
        <v>0</v>
      </c>
      <c r="E1309" t="s">
        <v>4</v>
      </c>
      <c r="F1309" t="s">
        <v>47</v>
      </c>
      <c r="G1309" t="s">
        <v>7</v>
      </c>
    </row>
    <row r="1310" spans="1:7" x14ac:dyDescent="0.3">
      <c r="A1310" t="s">
        <v>21</v>
      </c>
      <c r="B1310" s="1">
        <v>45838</v>
      </c>
      <c r="C1310">
        <v>340265</v>
      </c>
      <c r="D1310">
        <v>291154.38799999998</v>
      </c>
      <c r="E1310" t="s">
        <v>4</v>
      </c>
      <c r="F1310" t="s">
        <v>47</v>
      </c>
      <c r="G1310" t="s">
        <v>7</v>
      </c>
    </row>
    <row r="1311" spans="1:7" x14ac:dyDescent="0.3">
      <c r="A1311" t="s">
        <v>21</v>
      </c>
      <c r="B1311" s="1">
        <v>45838</v>
      </c>
      <c r="C1311">
        <v>340266</v>
      </c>
      <c r="D1311">
        <v>-262621.39500000002</v>
      </c>
      <c r="E1311" t="s">
        <v>4</v>
      </c>
      <c r="F1311" t="s">
        <v>47</v>
      </c>
      <c r="G1311" t="s">
        <v>7</v>
      </c>
    </row>
    <row r="1312" spans="1:7" x14ac:dyDescent="0.3">
      <c r="A1312" t="s">
        <v>21</v>
      </c>
      <c r="B1312" s="1">
        <v>45838</v>
      </c>
      <c r="C1312">
        <v>350003</v>
      </c>
      <c r="D1312">
        <v>0</v>
      </c>
      <c r="E1312" t="s">
        <v>4</v>
      </c>
      <c r="F1312" t="s">
        <v>49</v>
      </c>
      <c r="G1312" t="s">
        <v>7</v>
      </c>
    </row>
    <row r="1313" spans="1:7" x14ac:dyDescent="0.3">
      <c r="A1313" t="s">
        <v>21</v>
      </c>
      <c r="B1313" s="1">
        <v>45838</v>
      </c>
      <c r="C1313">
        <v>350031</v>
      </c>
      <c r="D1313">
        <v>0</v>
      </c>
      <c r="E1313" t="s">
        <v>4</v>
      </c>
      <c r="F1313" t="s">
        <v>43</v>
      </c>
      <c r="G1313" t="s">
        <v>7</v>
      </c>
    </row>
    <row r="1314" spans="1:7" x14ac:dyDescent="0.3">
      <c r="A1314" t="s">
        <v>21</v>
      </c>
      <c r="B1314" s="1">
        <v>45838</v>
      </c>
      <c r="C1314">
        <v>352002</v>
      </c>
      <c r="D1314">
        <v>1454.0920000000001</v>
      </c>
      <c r="E1314" t="s">
        <v>4</v>
      </c>
      <c r="F1314" t="s">
        <v>48</v>
      </c>
      <c r="G1314" t="s">
        <v>7</v>
      </c>
    </row>
    <row r="1315" spans="1:7" x14ac:dyDescent="0.3">
      <c r="A1315" t="s">
        <v>21</v>
      </c>
      <c r="B1315" s="1">
        <v>45838</v>
      </c>
      <c r="C1315">
        <v>354003</v>
      </c>
      <c r="D1315">
        <v>0</v>
      </c>
      <c r="E1315" t="s">
        <v>4</v>
      </c>
      <c r="F1315" t="s">
        <v>46</v>
      </c>
      <c r="G1315" t="s">
        <v>7</v>
      </c>
    </row>
    <row r="1316" spans="1:7" x14ac:dyDescent="0.3">
      <c r="A1316" t="s">
        <v>21</v>
      </c>
      <c r="B1316" s="1">
        <v>45838</v>
      </c>
      <c r="C1316">
        <v>354005</v>
      </c>
      <c r="D1316">
        <v>0</v>
      </c>
      <c r="E1316" t="s">
        <v>4</v>
      </c>
      <c r="F1316" t="s">
        <v>46</v>
      </c>
      <c r="G1316" t="s">
        <v>7</v>
      </c>
    </row>
    <row r="1317" spans="1:7" x14ac:dyDescent="0.3">
      <c r="A1317" t="s">
        <v>21</v>
      </c>
      <c r="B1317" s="1">
        <v>45838</v>
      </c>
      <c r="C1317">
        <v>354012</v>
      </c>
      <c r="D1317">
        <v>7276.9070000000002</v>
      </c>
      <c r="E1317" t="s">
        <v>4</v>
      </c>
      <c r="F1317" t="s">
        <v>46</v>
      </c>
      <c r="G1317" t="s">
        <v>7</v>
      </c>
    </row>
    <row r="1318" spans="1:7" x14ac:dyDescent="0.3">
      <c r="A1318" t="s">
        <v>21</v>
      </c>
      <c r="B1318" s="1">
        <v>45838</v>
      </c>
      <c r="C1318">
        <v>354014</v>
      </c>
      <c r="D1318">
        <v>1294.9069999999999</v>
      </c>
      <c r="E1318" t="s">
        <v>4</v>
      </c>
      <c r="F1318" t="s">
        <v>46</v>
      </c>
      <c r="G1318" t="s">
        <v>7</v>
      </c>
    </row>
    <row r="1319" spans="1:7" x14ac:dyDescent="0.3">
      <c r="A1319" t="s">
        <v>21</v>
      </c>
      <c r="B1319" s="1">
        <v>45838</v>
      </c>
      <c r="C1319">
        <v>360028</v>
      </c>
      <c r="D1319">
        <v>4930.1480000000001</v>
      </c>
      <c r="E1319" t="s">
        <v>4</v>
      </c>
      <c r="F1319" t="s">
        <v>58</v>
      </c>
      <c r="G1319" t="s">
        <v>7</v>
      </c>
    </row>
    <row r="1320" spans="1:7" x14ac:dyDescent="0.3">
      <c r="A1320" t="s">
        <v>21</v>
      </c>
      <c r="B1320" s="1">
        <v>45838</v>
      </c>
      <c r="C1320">
        <v>360030</v>
      </c>
      <c r="D1320">
        <v>943.35400000000004</v>
      </c>
      <c r="E1320" t="s">
        <v>4</v>
      </c>
      <c r="F1320" t="s">
        <v>58</v>
      </c>
      <c r="G1320" t="s">
        <v>7</v>
      </c>
    </row>
    <row r="1321" spans="1:7" x14ac:dyDescent="0.3">
      <c r="A1321" t="s">
        <v>21</v>
      </c>
      <c r="B1321" s="1">
        <v>45838</v>
      </c>
      <c r="C1321">
        <v>372004</v>
      </c>
      <c r="D1321">
        <v>5284.875</v>
      </c>
      <c r="E1321" t="s">
        <v>4</v>
      </c>
      <c r="F1321" t="s">
        <v>45</v>
      </c>
      <c r="G1321" t="s">
        <v>7</v>
      </c>
    </row>
    <row r="1322" spans="1:7" x14ac:dyDescent="0.3">
      <c r="A1322" t="s">
        <v>21</v>
      </c>
      <c r="B1322" s="1">
        <v>45838</v>
      </c>
      <c r="C1322">
        <v>410002</v>
      </c>
      <c r="D1322">
        <v>-5632.1170000000002</v>
      </c>
      <c r="E1322" t="s">
        <v>6</v>
      </c>
      <c r="F1322" t="s">
        <v>51</v>
      </c>
      <c r="G1322" t="s">
        <v>7</v>
      </c>
    </row>
    <row r="1323" spans="1:7" x14ac:dyDescent="0.3">
      <c r="A1323" t="s">
        <v>21</v>
      </c>
      <c r="B1323" s="1">
        <v>45838</v>
      </c>
      <c r="C1323">
        <v>410006</v>
      </c>
      <c r="D1323">
        <v>-44.524000000000001</v>
      </c>
      <c r="E1323" t="s">
        <v>6</v>
      </c>
      <c r="F1323" t="s">
        <v>51</v>
      </c>
      <c r="G1323" t="s">
        <v>7</v>
      </c>
    </row>
    <row r="1324" spans="1:7" x14ac:dyDescent="0.3">
      <c r="A1324" t="s">
        <v>21</v>
      </c>
      <c r="B1324" s="1">
        <v>45838</v>
      </c>
      <c r="C1324">
        <v>410032</v>
      </c>
      <c r="D1324">
        <v>-358.43900000000002</v>
      </c>
      <c r="E1324" t="s">
        <v>6</v>
      </c>
      <c r="F1324" t="s">
        <v>51</v>
      </c>
      <c r="G1324" t="s">
        <v>7</v>
      </c>
    </row>
    <row r="1325" spans="1:7" x14ac:dyDescent="0.3">
      <c r="A1325" t="s">
        <v>21</v>
      </c>
      <c r="B1325" s="1">
        <v>45838</v>
      </c>
      <c r="C1325">
        <v>410037</v>
      </c>
      <c r="D1325">
        <v>-3057.4450000000002</v>
      </c>
      <c r="E1325" t="s">
        <v>6</v>
      </c>
      <c r="F1325" t="s">
        <v>51</v>
      </c>
      <c r="G1325" t="s">
        <v>7</v>
      </c>
    </row>
    <row r="1326" spans="1:7" x14ac:dyDescent="0.3">
      <c r="A1326" t="s">
        <v>21</v>
      </c>
      <c r="B1326" s="1">
        <v>45838</v>
      </c>
      <c r="C1326">
        <v>410039</v>
      </c>
      <c r="D1326">
        <v>-471.46100000000001</v>
      </c>
      <c r="E1326" t="s">
        <v>6</v>
      </c>
      <c r="F1326" t="s">
        <v>51</v>
      </c>
      <c r="G1326" t="s">
        <v>7</v>
      </c>
    </row>
    <row r="1327" spans="1:7" x14ac:dyDescent="0.3">
      <c r="A1327" t="s">
        <v>21</v>
      </c>
      <c r="B1327" s="1">
        <v>45838</v>
      </c>
      <c r="C1327">
        <v>415002</v>
      </c>
      <c r="D1327">
        <v>-1883.713</v>
      </c>
      <c r="E1327" t="s">
        <v>6</v>
      </c>
      <c r="F1327" t="s">
        <v>50</v>
      </c>
      <c r="G1327" t="s">
        <v>7</v>
      </c>
    </row>
    <row r="1328" spans="1:7" x14ac:dyDescent="0.3">
      <c r="A1328" t="s">
        <v>21</v>
      </c>
      <c r="B1328" s="1">
        <v>45838</v>
      </c>
      <c r="C1328">
        <v>415004</v>
      </c>
      <c r="D1328">
        <v>-4761.4059999999999</v>
      </c>
      <c r="E1328" t="s">
        <v>6</v>
      </c>
      <c r="F1328" t="s">
        <v>50</v>
      </c>
      <c r="G1328" t="s">
        <v>7</v>
      </c>
    </row>
    <row r="1329" spans="1:7" x14ac:dyDescent="0.3">
      <c r="A1329" t="s">
        <v>21</v>
      </c>
      <c r="B1329" s="1">
        <v>45838</v>
      </c>
      <c r="C1329">
        <v>421002</v>
      </c>
      <c r="D1329">
        <v>7.1520000000000001</v>
      </c>
      <c r="E1329" t="s">
        <v>6</v>
      </c>
      <c r="F1329" t="s">
        <v>52</v>
      </c>
      <c r="G1329" t="s">
        <v>7</v>
      </c>
    </row>
    <row r="1330" spans="1:7" x14ac:dyDescent="0.3">
      <c r="A1330" t="s">
        <v>21</v>
      </c>
      <c r="B1330" s="1">
        <v>45838</v>
      </c>
      <c r="C1330">
        <v>421003</v>
      </c>
      <c r="D1330">
        <v>585.9</v>
      </c>
      <c r="E1330" t="s">
        <v>6</v>
      </c>
      <c r="F1330" t="s">
        <v>52</v>
      </c>
      <c r="G1330" t="s">
        <v>7</v>
      </c>
    </row>
    <row r="1331" spans="1:7" x14ac:dyDescent="0.3">
      <c r="A1331" t="s">
        <v>21</v>
      </c>
      <c r="B1331" s="1">
        <v>45838</v>
      </c>
      <c r="C1331">
        <v>421004</v>
      </c>
      <c r="D1331">
        <v>0</v>
      </c>
      <c r="E1331" t="s">
        <v>6</v>
      </c>
      <c r="F1331" t="s">
        <v>52</v>
      </c>
      <c r="G1331" t="s">
        <v>7</v>
      </c>
    </row>
    <row r="1332" spans="1:7" x14ac:dyDescent="0.3">
      <c r="A1332" t="s">
        <v>21</v>
      </c>
      <c r="B1332" s="1">
        <v>45838</v>
      </c>
      <c r="C1332">
        <v>421007</v>
      </c>
      <c r="D1332">
        <v>-379.28899999999999</v>
      </c>
      <c r="E1332" t="s">
        <v>6</v>
      </c>
      <c r="F1332" t="s">
        <v>52</v>
      </c>
      <c r="G1332" t="s">
        <v>7</v>
      </c>
    </row>
    <row r="1333" spans="1:7" x14ac:dyDescent="0.3">
      <c r="A1333" t="s">
        <v>21</v>
      </c>
      <c r="B1333" s="1">
        <v>45838</v>
      </c>
      <c r="C1333">
        <v>510002</v>
      </c>
      <c r="D1333">
        <v>11870.459000000001</v>
      </c>
      <c r="E1333" t="s">
        <v>6</v>
      </c>
      <c r="F1333" t="s">
        <v>53</v>
      </c>
      <c r="G1333" t="s">
        <v>7</v>
      </c>
    </row>
    <row r="1334" spans="1:7" x14ac:dyDescent="0.3">
      <c r="A1334" t="s">
        <v>21</v>
      </c>
      <c r="B1334" s="1">
        <v>45838</v>
      </c>
      <c r="C1334">
        <v>510007</v>
      </c>
      <c r="D1334">
        <v>1046.8009999999999</v>
      </c>
      <c r="E1334" t="s">
        <v>6</v>
      </c>
      <c r="F1334" t="s">
        <v>53</v>
      </c>
      <c r="G1334" t="s">
        <v>7</v>
      </c>
    </row>
    <row r="1335" spans="1:7" x14ac:dyDescent="0.3">
      <c r="A1335" t="s">
        <v>21</v>
      </c>
      <c r="B1335" s="1">
        <v>45838</v>
      </c>
      <c r="C1335">
        <v>510015</v>
      </c>
      <c r="D1335">
        <v>1678.2439999999999</v>
      </c>
      <c r="E1335" t="s">
        <v>6</v>
      </c>
      <c r="F1335" t="s">
        <v>53</v>
      </c>
      <c r="G1335" t="s">
        <v>7</v>
      </c>
    </row>
    <row r="1336" spans="1:7" x14ac:dyDescent="0.3">
      <c r="A1336" t="s">
        <v>21</v>
      </c>
      <c r="B1336" s="1">
        <v>45838</v>
      </c>
      <c r="C1336">
        <v>510018</v>
      </c>
      <c r="D1336">
        <v>55.957999999999998</v>
      </c>
      <c r="E1336" t="s">
        <v>6</v>
      </c>
      <c r="F1336" t="s">
        <v>53</v>
      </c>
      <c r="G1336" t="s">
        <v>7</v>
      </c>
    </row>
    <row r="1337" spans="1:7" x14ac:dyDescent="0.3">
      <c r="A1337" t="s">
        <v>21</v>
      </c>
      <c r="B1337" s="1">
        <v>45838</v>
      </c>
      <c r="C1337">
        <v>510061</v>
      </c>
      <c r="D1337">
        <v>0</v>
      </c>
      <c r="E1337" t="s">
        <v>6</v>
      </c>
      <c r="F1337" t="s">
        <v>53</v>
      </c>
      <c r="G1337" t="s">
        <v>7</v>
      </c>
    </row>
    <row r="1338" spans="1:7" x14ac:dyDescent="0.3">
      <c r="A1338" t="s">
        <v>21</v>
      </c>
      <c r="B1338" s="1">
        <v>45838</v>
      </c>
      <c r="C1338">
        <v>510062</v>
      </c>
      <c r="D1338">
        <v>248.483</v>
      </c>
      <c r="E1338" t="s">
        <v>6</v>
      </c>
      <c r="F1338" t="s">
        <v>53</v>
      </c>
      <c r="G1338" t="s">
        <v>7</v>
      </c>
    </row>
    <row r="1339" spans="1:7" x14ac:dyDescent="0.3">
      <c r="A1339" t="s">
        <v>21</v>
      </c>
      <c r="B1339" s="1">
        <v>45838</v>
      </c>
      <c r="C1339">
        <v>510065</v>
      </c>
      <c r="D1339">
        <v>26.61</v>
      </c>
      <c r="E1339" t="s">
        <v>6</v>
      </c>
      <c r="F1339" t="s">
        <v>53</v>
      </c>
      <c r="G1339" t="s">
        <v>7</v>
      </c>
    </row>
    <row r="1340" spans="1:7" x14ac:dyDescent="0.3">
      <c r="A1340" t="s">
        <v>21</v>
      </c>
      <c r="B1340" s="1">
        <v>45838</v>
      </c>
      <c r="C1340">
        <v>510066</v>
      </c>
      <c r="D1340">
        <v>0</v>
      </c>
      <c r="E1340" t="s">
        <v>6</v>
      </c>
      <c r="F1340" t="s">
        <v>53</v>
      </c>
      <c r="G1340" t="s">
        <v>7</v>
      </c>
    </row>
    <row r="1341" spans="1:7" x14ac:dyDescent="0.3">
      <c r="A1341" t="s">
        <v>21</v>
      </c>
      <c r="B1341" s="1">
        <v>45838</v>
      </c>
      <c r="C1341">
        <v>521002</v>
      </c>
      <c r="D1341">
        <v>0</v>
      </c>
      <c r="E1341" t="s">
        <v>6</v>
      </c>
      <c r="F1341" t="s">
        <v>53</v>
      </c>
      <c r="G1341" t="s">
        <v>7</v>
      </c>
    </row>
    <row r="1342" spans="1:7" x14ac:dyDescent="0.3">
      <c r="A1342" t="s">
        <v>21</v>
      </c>
      <c r="B1342" s="1">
        <v>45838</v>
      </c>
      <c r="C1342">
        <v>521006</v>
      </c>
      <c r="D1342">
        <v>0</v>
      </c>
      <c r="E1342" t="s">
        <v>6</v>
      </c>
      <c r="F1342" t="s">
        <v>53</v>
      </c>
      <c r="G1342" t="s">
        <v>7</v>
      </c>
    </row>
    <row r="1343" spans="1:7" x14ac:dyDescent="0.3">
      <c r="A1343" t="s">
        <v>21</v>
      </c>
      <c r="B1343" s="1">
        <v>45838</v>
      </c>
      <c r="C1343">
        <v>521007</v>
      </c>
      <c r="D1343">
        <v>0</v>
      </c>
      <c r="E1343" t="s">
        <v>6</v>
      </c>
      <c r="F1343" t="s">
        <v>53</v>
      </c>
      <c r="G1343" t="s">
        <v>7</v>
      </c>
    </row>
    <row r="1344" spans="1:7" x14ac:dyDescent="0.3">
      <c r="A1344" t="s">
        <v>21</v>
      </c>
      <c r="B1344" s="1">
        <v>45838</v>
      </c>
      <c r="C1344">
        <v>521008</v>
      </c>
      <c r="D1344">
        <v>0</v>
      </c>
      <c r="E1344" t="s">
        <v>6</v>
      </c>
      <c r="F1344" t="s">
        <v>53</v>
      </c>
      <c r="G1344" t="s">
        <v>7</v>
      </c>
    </row>
    <row r="1345" spans="1:7" x14ac:dyDescent="0.3">
      <c r="A1345" t="s">
        <v>21</v>
      </c>
      <c r="B1345" s="1">
        <v>45838</v>
      </c>
      <c r="C1345">
        <v>521014</v>
      </c>
      <c r="D1345">
        <v>0</v>
      </c>
      <c r="E1345" t="s">
        <v>6</v>
      </c>
      <c r="F1345" t="s">
        <v>53</v>
      </c>
      <c r="G1345" t="s">
        <v>7</v>
      </c>
    </row>
    <row r="1346" spans="1:7" x14ac:dyDescent="0.3">
      <c r="A1346" t="s">
        <v>21</v>
      </c>
      <c r="B1346" s="1">
        <v>45838</v>
      </c>
      <c r="C1346">
        <v>541010</v>
      </c>
      <c r="D1346">
        <v>194.46899999999999</v>
      </c>
      <c r="E1346" t="s">
        <v>6</v>
      </c>
      <c r="F1346" t="s">
        <v>61</v>
      </c>
      <c r="G1346" t="s">
        <v>7</v>
      </c>
    </row>
    <row r="1347" spans="1:7" x14ac:dyDescent="0.3">
      <c r="A1347" t="s">
        <v>21</v>
      </c>
      <c r="B1347" s="1">
        <v>45838</v>
      </c>
      <c r="C1347">
        <v>546002</v>
      </c>
      <c r="D1347">
        <v>4523.3360000000002</v>
      </c>
      <c r="E1347" t="s">
        <v>6</v>
      </c>
      <c r="F1347" t="s">
        <v>51</v>
      </c>
      <c r="G1347" t="s">
        <v>7</v>
      </c>
    </row>
    <row r="1348" spans="1:7" x14ac:dyDescent="0.3">
      <c r="A1348" t="s">
        <v>21</v>
      </c>
      <c r="B1348" s="1">
        <v>45838</v>
      </c>
      <c r="C1348">
        <v>546008</v>
      </c>
      <c r="D1348">
        <v>1788.0129999999999</v>
      </c>
      <c r="E1348" t="s">
        <v>6</v>
      </c>
      <c r="F1348" t="s">
        <v>51</v>
      </c>
      <c r="G1348" t="s">
        <v>7</v>
      </c>
    </row>
    <row r="1349" spans="1:7" x14ac:dyDescent="0.3">
      <c r="A1349" t="s">
        <v>21</v>
      </c>
      <c r="B1349" s="1">
        <v>45838</v>
      </c>
      <c r="C1349">
        <v>552502</v>
      </c>
      <c r="D1349">
        <v>2156.0230000000001</v>
      </c>
      <c r="E1349" t="s">
        <v>6</v>
      </c>
      <c r="F1349" t="s">
        <v>55</v>
      </c>
      <c r="G1349" t="s">
        <v>7</v>
      </c>
    </row>
    <row r="1350" spans="1:7" x14ac:dyDescent="0.3">
      <c r="A1350" t="s">
        <v>21</v>
      </c>
      <c r="B1350" s="1">
        <v>45838</v>
      </c>
      <c r="C1350">
        <v>555508</v>
      </c>
      <c r="D1350">
        <v>179.63900000000001</v>
      </c>
      <c r="E1350" t="s">
        <v>6</v>
      </c>
      <c r="F1350" t="s">
        <v>55</v>
      </c>
      <c r="G1350" t="s">
        <v>7</v>
      </c>
    </row>
    <row r="1351" spans="1:7" x14ac:dyDescent="0.3">
      <c r="A1351" t="s">
        <v>21</v>
      </c>
      <c r="B1351" s="1">
        <v>45838</v>
      </c>
      <c r="C1351">
        <v>557002</v>
      </c>
      <c r="D1351">
        <v>2132.2040000000002</v>
      </c>
      <c r="E1351" t="s">
        <v>6</v>
      </c>
      <c r="F1351" t="s">
        <v>56</v>
      </c>
      <c r="G1351" t="s">
        <v>7</v>
      </c>
    </row>
    <row r="1352" spans="1:7" x14ac:dyDescent="0.3">
      <c r="A1352" t="s">
        <v>21</v>
      </c>
      <c r="B1352" s="1">
        <v>45838</v>
      </c>
      <c r="C1352">
        <v>558003</v>
      </c>
      <c r="D1352">
        <v>145.89099999999999</v>
      </c>
      <c r="E1352" t="s">
        <v>6</v>
      </c>
      <c r="F1352" t="s">
        <v>57</v>
      </c>
      <c r="G1352" t="s">
        <v>7</v>
      </c>
    </row>
    <row r="1353" spans="1:7" x14ac:dyDescent="0.3">
      <c r="A1353" t="s">
        <v>21</v>
      </c>
      <c r="B1353" s="1">
        <v>45838</v>
      </c>
      <c r="C1353">
        <v>564004</v>
      </c>
      <c r="D1353">
        <v>296.19600000000003</v>
      </c>
      <c r="E1353" t="s">
        <v>6</v>
      </c>
      <c r="F1353" t="s">
        <v>51</v>
      </c>
      <c r="G1353" t="s">
        <v>7</v>
      </c>
    </row>
    <row r="1354" spans="1:7" x14ac:dyDescent="0.3">
      <c r="A1354" t="s">
        <v>21</v>
      </c>
      <c r="B1354" s="1">
        <v>45838</v>
      </c>
      <c r="C1354">
        <v>564006</v>
      </c>
      <c r="D1354">
        <v>5.0000000000000001E-3</v>
      </c>
      <c r="E1354" t="s">
        <v>6</v>
      </c>
      <c r="F1354" t="s">
        <v>57</v>
      </c>
      <c r="G1354" t="s">
        <v>7</v>
      </c>
    </row>
    <row r="1355" spans="1:7" x14ac:dyDescent="0.3">
      <c r="A1355" t="s">
        <v>21</v>
      </c>
      <c r="B1355" s="1">
        <v>45838</v>
      </c>
      <c r="C1355">
        <v>564020</v>
      </c>
      <c r="D1355">
        <v>34.228999999999999</v>
      </c>
      <c r="E1355" t="s">
        <v>6</v>
      </c>
      <c r="F1355" t="s">
        <v>57</v>
      </c>
      <c r="G1355" t="s">
        <v>7</v>
      </c>
    </row>
    <row r="1356" spans="1:7" x14ac:dyDescent="0.3">
      <c r="A1356" t="s">
        <v>21</v>
      </c>
      <c r="B1356" s="1">
        <v>45838</v>
      </c>
      <c r="C1356">
        <v>580002</v>
      </c>
      <c r="D1356">
        <v>932.49199999999996</v>
      </c>
      <c r="E1356" t="s">
        <v>6</v>
      </c>
      <c r="F1356" t="s">
        <v>64</v>
      </c>
      <c r="G1356" t="s">
        <v>7</v>
      </c>
    </row>
    <row r="1357" spans="1:7" x14ac:dyDescent="0.3">
      <c r="A1357" t="s">
        <v>22</v>
      </c>
      <c r="B1357" s="1">
        <v>45838</v>
      </c>
      <c r="C1357">
        <v>220006</v>
      </c>
      <c r="D1357">
        <v>-66093.051000000007</v>
      </c>
      <c r="E1357" t="s">
        <v>4</v>
      </c>
      <c r="F1357" t="s">
        <v>42</v>
      </c>
      <c r="G1357" t="s">
        <v>8</v>
      </c>
    </row>
    <row r="1358" spans="1:7" x14ac:dyDescent="0.3">
      <c r="A1358" t="s">
        <v>22</v>
      </c>
      <c r="B1358" s="1">
        <v>45838</v>
      </c>
      <c r="C1358">
        <v>240002</v>
      </c>
      <c r="D1358">
        <v>-142.67699999999999</v>
      </c>
      <c r="E1358" t="s">
        <v>4</v>
      </c>
      <c r="F1358" t="s">
        <v>43</v>
      </c>
      <c r="G1358" t="s">
        <v>8</v>
      </c>
    </row>
    <row r="1359" spans="1:7" x14ac:dyDescent="0.3">
      <c r="A1359" t="s">
        <v>22</v>
      </c>
      <c r="B1359" s="1">
        <v>45838</v>
      </c>
      <c r="C1359">
        <v>242003</v>
      </c>
      <c r="D1359">
        <v>-123196.16099999999</v>
      </c>
      <c r="E1359" t="s">
        <v>4</v>
      </c>
      <c r="F1359" t="s">
        <v>43</v>
      </c>
      <c r="G1359" t="s">
        <v>8</v>
      </c>
    </row>
    <row r="1360" spans="1:7" x14ac:dyDescent="0.3">
      <c r="A1360" t="s">
        <v>22</v>
      </c>
      <c r="B1360" s="1">
        <v>45838</v>
      </c>
      <c r="C1360">
        <v>242011</v>
      </c>
      <c r="D1360">
        <v>-907.928</v>
      </c>
      <c r="E1360" t="s">
        <v>4</v>
      </c>
      <c r="F1360" t="s">
        <v>43</v>
      </c>
      <c r="G1360" t="s">
        <v>8</v>
      </c>
    </row>
    <row r="1361" spans="1:7" x14ac:dyDescent="0.3">
      <c r="A1361" t="s">
        <v>22</v>
      </c>
      <c r="B1361" s="1">
        <v>45838</v>
      </c>
      <c r="C1361">
        <v>242016</v>
      </c>
      <c r="D1361">
        <v>-8578.09</v>
      </c>
      <c r="E1361" t="s">
        <v>4</v>
      </c>
      <c r="F1361" t="s">
        <v>43</v>
      </c>
      <c r="G1361" t="s">
        <v>8</v>
      </c>
    </row>
    <row r="1362" spans="1:7" x14ac:dyDescent="0.3">
      <c r="A1362" t="s">
        <v>22</v>
      </c>
      <c r="B1362" s="1">
        <v>45838</v>
      </c>
      <c r="C1362">
        <v>242027</v>
      </c>
      <c r="D1362">
        <v>-2885.74</v>
      </c>
      <c r="E1362" t="s">
        <v>4</v>
      </c>
      <c r="F1362" t="s">
        <v>43</v>
      </c>
      <c r="G1362" t="s">
        <v>8</v>
      </c>
    </row>
    <row r="1363" spans="1:7" x14ac:dyDescent="0.3">
      <c r="A1363" t="s">
        <v>22</v>
      </c>
      <c r="B1363" s="1">
        <v>45838</v>
      </c>
      <c r="C1363">
        <v>242030</v>
      </c>
      <c r="D1363">
        <v>-23.146000000000001</v>
      </c>
      <c r="E1363" t="s">
        <v>4</v>
      </c>
      <c r="F1363" t="s">
        <v>43</v>
      </c>
      <c r="G1363" t="s">
        <v>8</v>
      </c>
    </row>
    <row r="1364" spans="1:7" x14ac:dyDescent="0.3">
      <c r="A1364" t="s">
        <v>22</v>
      </c>
      <c r="B1364" s="1">
        <v>45838</v>
      </c>
      <c r="C1364">
        <v>242039</v>
      </c>
      <c r="D1364">
        <v>-1928.0650000000001</v>
      </c>
      <c r="E1364" t="s">
        <v>4</v>
      </c>
      <c r="F1364" t="s">
        <v>43</v>
      </c>
      <c r="G1364" t="s">
        <v>8</v>
      </c>
    </row>
    <row r="1365" spans="1:7" x14ac:dyDescent="0.3">
      <c r="A1365" t="s">
        <v>22</v>
      </c>
      <c r="B1365" s="1">
        <v>45838</v>
      </c>
      <c r="C1365">
        <v>242040</v>
      </c>
      <c r="D1365">
        <v>-576.83699999999999</v>
      </c>
      <c r="E1365" t="s">
        <v>4</v>
      </c>
      <c r="F1365" t="s">
        <v>43</v>
      </c>
      <c r="G1365" t="s">
        <v>8</v>
      </c>
    </row>
    <row r="1366" spans="1:7" x14ac:dyDescent="0.3">
      <c r="A1366" t="s">
        <v>22</v>
      </c>
      <c r="B1366" s="1">
        <v>45838</v>
      </c>
      <c r="C1366">
        <v>242041</v>
      </c>
      <c r="D1366">
        <v>-45.095999999999997</v>
      </c>
      <c r="E1366" t="s">
        <v>4</v>
      </c>
      <c r="F1366" t="s">
        <v>43</v>
      </c>
      <c r="G1366" t="s">
        <v>8</v>
      </c>
    </row>
    <row r="1367" spans="1:7" x14ac:dyDescent="0.3">
      <c r="A1367" t="s">
        <v>22</v>
      </c>
      <c r="B1367" s="1">
        <v>45838</v>
      </c>
      <c r="C1367">
        <v>243002</v>
      </c>
      <c r="D1367">
        <v>-2148.5050000000001</v>
      </c>
      <c r="E1367" t="s">
        <v>4</v>
      </c>
      <c r="F1367" t="s">
        <v>43</v>
      </c>
      <c r="G1367" t="s">
        <v>8</v>
      </c>
    </row>
    <row r="1368" spans="1:7" x14ac:dyDescent="0.3">
      <c r="A1368" t="s">
        <v>22</v>
      </c>
      <c r="B1368" s="1">
        <v>45838</v>
      </c>
      <c r="C1368">
        <v>243003</v>
      </c>
      <c r="D1368">
        <v>-3364.31</v>
      </c>
      <c r="E1368" t="s">
        <v>4</v>
      </c>
      <c r="F1368" t="s">
        <v>43</v>
      </c>
      <c r="G1368" t="s">
        <v>8</v>
      </c>
    </row>
    <row r="1369" spans="1:7" x14ac:dyDescent="0.3">
      <c r="A1369" t="s">
        <v>22</v>
      </c>
      <c r="B1369" s="1">
        <v>45838</v>
      </c>
      <c r="C1369">
        <v>243010</v>
      </c>
      <c r="D1369">
        <v>0</v>
      </c>
      <c r="E1369" t="s">
        <v>4</v>
      </c>
      <c r="F1369" t="s">
        <v>43</v>
      </c>
      <c r="G1369" t="s">
        <v>8</v>
      </c>
    </row>
    <row r="1370" spans="1:7" x14ac:dyDescent="0.3">
      <c r="A1370" t="s">
        <v>22</v>
      </c>
      <c r="B1370" s="1">
        <v>45838</v>
      </c>
      <c r="C1370">
        <v>245055</v>
      </c>
      <c r="D1370">
        <v>0</v>
      </c>
      <c r="E1370" t="s">
        <v>4</v>
      </c>
      <c r="F1370" t="s">
        <v>43</v>
      </c>
      <c r="G1370" t="s">
        <v>8</v>
      </c>
    </row>
    <row r="1371" spans="1:7" x14ac:dyDescent="0.3">
      <c r="A1371" t="s">
        <v>22</v>
      </c>
      <c r="B1371" s="1">
        <v>45838</v>
      </c>
      <c r="C1371">
        <v>245056</v>
      </c>
      <c r="D1371">
        <v>-568.29499999999996</v>
      </c>
      <c r="E1371" t="s">
        <v>4</v>
      </c>
      <c r="F1371" t="s">
        <v>49</v>
      </c>
      <c r="G1371" t="s">
        <v>8</v>
      </c>
    </row>
    <row r="1372" spans="1:7" x14ac:dyDescent="0.3">
      <c r="A1372" t="s">
        <v>22</v>
      </c>
      <c r="B1372" s="1">
        <v>45838</v>
      </c>
      <c r="C1372">
        <v>245058</v>
      </c>
      <c r="D1372">
        <v>0</v>
      </c>
      <c r="E1372" t="s">
        <v>4</v>
      </c>
      <c r="F1372" t="s">
        <v>43</v>
      </c>
      <c r="G1372" t="s">
        <v>8</v>
      </c>
    </row>
    <row r="1373" spans="1:7" x14ac:dyDescent="0.3">
      <c r="A1373" t="s">
        <v>22</v>
      </c>
      <c r="B1373" s="1">
        <v>45838</v>
      </c>
      <c r="C1373">
        <v>245062</v>
      </c>
      <c r="D1373">
        <v>-676.34199999999998</v>
      </c>
      <c r="E1373" t="s">
        <v>4</v>
      </c>
      <c r="F1373" t="s">
        <v>43</v>
      </c>
      <c r="G1373" t="s">
        <v>8</v>
      </c>
    </row>
    <row r="1374" spans="1:7" x14ac:dyDescent="0.3">
      <c r="A1374" t="s">
        <v>22</v>
      </c>
      <c r="B1374" s="1">
        <v>45838</v>
      </c>
      <c r="C1374">
        <v>251002</v>
      </c>
      <c r="D1374">
        <v>0</v>
      </c>
      <c r="E1374" t="s">
        <v>4</v>
      </c>
      <c r="F1374" t="s">
        <v>45</v>
      </c>
      <c r="G1374" t="s">
        <v>8</v>
      </c>
    </row>
    <row r="1375" spans="1:7" x14ac:dyDescent="0.3">
      <c r="A1375" t="s">
        <v>22</v>
      </c>
      <c r="B1375" s="1">
        <v>45838</v>
      </c>
      <c r="C1375">
        <v>251003</v>
      </c>
      <c r="D1375">
        <v>0</v>
      </c>
      <c r="E1375" t="s">
        <v>4</v>
      </c>
      <c r="F1375" t="s">
        <v>45</v>
      </c>
      <c r="G1375" t="s">
        <v>8</v>
      </c>
    </row>
    <row r="1376" spans="1:7" x14ac:dyDescent="0.3">
      <c r="A1376" t="s">
        <v>22</v>
      </c>
      <c r="B1376" s="1">
        <v>45838</v>
      </c>
      <c r="C1376">
        <v>257030</v>
      </c>
      <c r="D1376">
        <v>-3493.9920000000002</v>
      </c>
      <c r="E1376" t="s">
        <v>4</v>
      </c>
      <c r="F1376" t="s">
        <v>45</v>
      </c>
      <c r="G1376" t="s">
        <v>8</v>
      </c>
    </row>
    <row r="1377" spans="1:7" x14ac:dyDescent="0.3">
      <c r="A1377" t="s">
        <v>22</v>
      </c>
      <c r="B1377" s="1">
        <v>45838</v>
      </c>
      <c r="C1377">
        <v>260004</v>
      </c>
      <c r="D1377">
        <v>-21347.429</v>
      </c>
      <c r="E1377" t="s">
        <v>4</v>
      </c>
      <c r="F1377" t="s">
        <v>45</v>
      </c>
      <c r="G1377" t="s">
        <v>8</v>
      </c>
    </row>
    <row r="1378" spans="1:7" x14ac:dyDescent="0.3">
      <c r="A1378" t="s">
        <v>22</v>
      </c>
      <c r="B1378" s="1">
        <v>45838</v>
      </c>
      <c r="C1378">
        <v>270024</v>
      </c>
      <c r="D1378">
        <v>-13519.54</v>
      </c>
      <c r="E1378" t="s">
        <v>4</v>
      </c>
      <c r="F1378" t="s">
        <v>58</v>
      </c>
      <c r="G1378" t="s">
        <v>8</v>
      </c>
    </row>
    <row r="1379" spans="1:7" x14ac:dyDescent="0.3">
      <c r="A1379" t="s">
        <v>22</v>
      </c>
      <c r="B1379" s="1">
        <v>45838</v>
      </c>
      <c r="C1379">
        <v>270025</v>
      </c>
      <c r="D1379">
        <v>-1094.682</v>
      </c>
      <c r="E1379" t="s">
        <v>4</v>
      </c>
      <c r="F1379" t="s">
        <v>58</v>
      </c>
      <c r="G1379" t="s">
        <v>8</v>
      </c>
    </row>
    <row r="1380" spans="1:7" x14ac:dyDescent="0.3">
      <c r="A1380" t="s">
        <v>22</v>
      </c>
      <c r="B1380" s="1">
        <v>45838</v>
      </c>
      <c r="C1380">
        <v>270026</v>
      </c>
      <c r="D1380">
        <v>-387.32400000000001</v>
      </c>
      <c r="E1380" t="s">
        <v>4</v>
      </c>
      <c r="F1380" t="s">
        <v>58</v>
      </c>
      <c r="G1380" t="s">
        <v>8</v>
      </c>
    </row>
    <row r="1381" spans="1:7" x14ac:dyDescent="0.3">
      <c r="A1381" t="s">
        <v>22</v>
      </c>
      <c r="B1381" s="1">
        <v>45838</v>
      </c>
      <c r="C1381">
        <v>320002</v>
      </c>
      <c r="D1381">
        <v>65636.895000000004</v>
      </c>
      <c r="E1381" t="s">
        <v>4</v>
      </c>
      <c r="F1381" t="s">
        <v>46</v>
      </c>
      <c r="G1381" t="s">
        <v>8</v>
      </c>
    </row>
    <row r="1382" spans="1:7" x14ac:dyDescent="0.3">
      <c r="A1382" t="s">
        <v>22</v>
      </c>
      <c r="B1382" s="1">
        <v>45838</v>
      </c>
      <c r="C1382">
        <v>321002</v>
      </c>
      <c r="D1382">
        <v>26437.657999999999</v>
      </c>
      <c r="E1382" t="s">
        <v>4</v>
      </c>
      <c r="F1382" t="s">
        <v>46</v>
      </c>
      <c r="G1382" t="s">
        <v>8</v>
      </c>
    </row>
    <row r="1383" spans="1:7" x14ac:dyDescent="0.3">
      <c r="A1383" t="s">
        <v>22</v>
      </c>
      <c r="B1383" s="1">
        <v>45838</v>
      </c>
      <c r="C1383">
        <v>321029</v>
      </c>
      <c r="D1383">
        <v>793.21</v>
      </c>
      <c r="E1383" t="s">
        <v>4</v>
      </c>
      <c r="F1383" t="s">
        <v>46</v>
      </c>
      <c r="G1383" t="s">
        <v>8</v>
      </c>
    </row>
    <row r="1384" spans="1:7" x14ac:dyDescent="0.3">
      <c r="A1384" t="s">
        <v>22</v>
      </c>
      <c r="B1384" s="1">
        <v>45838</v>
      </c>
      <c r="C1384">
        <v>321042</v>
      </c>
      <c r="D1384">
        <v>0</v>
      </c>
      <c r="E1384" t="s">
        <v>4</v>
      </c>
      <c r="F1384" t="s">
        <v>46</v>
      </c>
      <c r="G1384" t="s">
        <v>8</v>
      </c>
    </row>
    <row r="1385" spans="1:7" x14ac:dyDescent="0.3">
      <c r="A1385" t="s">
        <v>22</v>
      </c>
      <c r="B1385" s="1">
        <v>45838</v>
      </c>
      <c r="C1385">
        <v>330116</v>
      </c>
      <c r="D1385">
        <v>2011.068</v>
      </c>
      <c r="E1385" t="s">
        <v>4</v>
      </c>
      <c r="F1385" t="s">
        <v>43</v>
      </c>
      <c r="G1385" t="s">
        <v>8</v>
      </c>
    </row>
    <row r="1386" spans="1:7" x14ac:dyDescent="0.3">
      <c r="A1386" t="s">
        <v>22</v>
      </c>
      <c r="B1386" s="1">
        <v>45838</v>
      </c>
      <c r="C1386">
        <v>330137</v>
      </c>
      <c r="D1386">
        <v>-4244.7939999999999</v>
      </c>
      <c r="E1386" t="s">
        <v>4</v>
      </c>
      <c r="F1386" t="s">
        <v>43</v>
      </c>
      <c r="G1386" t="s">
        <v>8</v>
      </c>
    </row>
    <row r="1387" spans="1:7" x14ac:dyDescent="0.3">
      <c r="A1387" t="s">
        <v>22</v>
      </c>
      <c r="B1387" s="1">
        <v>45838</v>
      </c>
      <c r="C1387">
        <v>340208</v>
      </c>
      <c r="D1387">
        <v>105558.90300000001</v>
      </c>
      <c r="E1387" t="s">
        <v>4</v>
      </c>
      <c r="F1387" t="s">
        <v>47</v>
      </c>
      <c r="G1387" t="s">
        <v>8</v>
      </c>
    </row>
    <row r="1388" spans="1:7" x14ac:dyDescent="0.3">
      <c r="A1388" t="s">
        <v>22</v>
      </c>
      <c r="B1388" s="1">
        <v>45838</v>
      </c>
      <c r="C1388">
        <v>350002</v>
      </c>
      <c r="D1388">
        <v>4244.7939999999999</v>
      </c>
      <c r="E1388" t="s">
        <v>4</v>
      </c>
      <c r="F1388" t="s">
        <v>49</v>
      </c>
      <c r="G1388" t="s">
        <v>8</v>
      </c>
    </row>
    <row r="1389" spans="1:7" x14ac:dyDescent="0.3">
      <c r="A1389" t="s">
        <v>22</v>
      </c>
      <c r="B1389" s="1">
        <v>45838</v>
      </c>
      <c r="C1389">
        <v>350003</v>
      </c>
      <c r="D1389">
        <v>-2150.3130000000001</v>
      </c>
      <c r="E1389" t="s">
        <v>4</v>
      </c>
      <c r="F1389" t="s">
        <v>49</v>
      </c>
      <c r="G1389" t="s">
        <v>8</v>
      </c>
    </row>
    <row r="1390" spans="1:7" x14ac:dyDescent="0.3">
      <c r="A1390" t="s">
        <v>22</v>
      </c>
      <c r="B1390" s="1">
        <v>45838</v>
      </c>
      <c r="C1390">
        <v>350007</v>
      </c>
      <c r="D1390">
        <v>0</v>
      </c>
      <c r="E1390" t="s">
        <v>4</v>
      </c>
      <c r="F1390" t="s">
        <v>49</v>
      </c>
      <c r="G1390" t="s">
        <v>8</v>
      </c>
    </row>
    <row r="1391" spans="1:7" x14ac:dyDescent="0.3">
      <c r="A1391" t="s">
        <v>22</v>
      </c>
      <c r="B1391" s="1">
        <v>45838</v>
      </c>
      <c r="C1391">
        <v>350034</v>
      </c>
      <c r="D1391">
        <v>568.29499999999996</v>
      </c>
      <c r="E1391" t="s">
        <v>4</v>
      </c>
      <c r="F1391" t="s">
        <v>49</v>
      </c>
      <c r="G1391" t="s">
        <v>8</v>
      </c>
    </row>
    <row r="1392" spans="1:7" x14ac:dyDescent="0.3">
      <c r="A1392" t="s">
        <v>22</v>
      </c>
      <c r="B1392" s="1">
        <v>45838</v>
      </c>
      <c r="C1392">
        <v>354004</v>
      </c>
      <c r="D1392">
        <v>0</v>
      </c>
      <c r="E1392" t="s">
        <v>4</v>
      </c>
      <c r="F1392" t="s">
        <v>46</v>
      </c>
      <c r="G1392" t="s">
        <v>8</v>
      </c>
    </row>
    <row r="1393" spans="1:7" x14ac:dyDescent="0.3">
      <c r="A1393" t="s">
        <v>22</v>
      </c>
      <c r="B1393" s="1">
        <v>45838</v>
      </c>
      <c r="C1393">
        <v>354006</v>
      </c>
      <c r="D1393">
        <v>0</v>
      </c>
      <c r="E1393" t="s">
        <v>4</v>
      </c>
      <c r="F1393" t="s">
        <v>46</v>
      </c>
      <c r="G1393" t="s">
        <v>8</v>
      </c>
    </row>
    <row r="1394" spans="1:7" x14ac:dyDescent="0.3">
      <c r="A1394" t="s">
        <v>22</v>
      </c>
      <c r="B1394" s="1">
        <v>45838</v>
      </c>
      <c r="C1394">
        <v>354013</v>
      </c>
      <c r="D1394">
        <v>2265.7449999999999</v>
      </c>
      <c r="E1394" t="s">
        <v>4</v>
      </c>
      <c r="F1394" t="s">
        <v>46</v>
      </c>
      <c r="G1394" t="s">
        <v>8</v>
      </c>
    </row>
    <row r="1395" spans="1:7" x14ac:dyDescent="0.3">
      <c r="A1395" t="s">
        <v>22</v>
      </c>
      <c r="B1395" s="1">
        <v>45838</v>
      </c>
      <c r="C1395">
        <v>354015</v>
      </c>
      <c r="D1395">
        <v>14526.843999999999</v>
      </c>
      <c r="E1395" t="s">
        <v>4</v>
      </c>
      <c r="F1395" t="s">
        <v>46</v>
      </c>
      <c r="G1395" t="s">
        <v>8</v>
      </c>
    </row>
    <row r="1396" spans="1:7" x14ac:dyDescent="0.3">
      <c r="A1396" t="s">
        <v>22</v>
      </c>
      <c r="B1396" s="1">
        <v>45838</v>
      </c>
      <c r="C1396">
        <v>355002</v>
      </c>
      <c r="D1396">
        <v>38.771000000000001</v>
      </c>
      <c r="E1396" t="s">
        <v>4</v>
      </c>
      <c r="F1396" t="s">
        <v>49</v>
      </c>
      <c r="G1396" t="s">
        <v>8</v>
      </c>
    </row>
    <row r="1397" spans="1:7" x14ac:dyDescent="0.3">
      <c r="A1397" t="s">
        <v>22</v>
      </c>
      <c r="B1397" s="1">
        <v>45838</v>
      </c>
      <c r="C1397">
        <v>360026</v>
      </c>
      <c r="D1397">
        <v>15284.797</v>
      </c>
      <c r="E1397" t="s">
        <v>4</v>
      </c>
      <c r="F1397" t="s">
        <v>58</v>
      </c>
      <c r="G1397" t="s">
        <v>8</v>
      </c>
    </row>
    <row r="1398" spans="1:7" x14ac:dyDescent="0.3">
      <c r="A1398" t="s">
        <v>22</v>
      </c>
      <c r="B1398" s="1">
        <v>45838</v>
      </c>
      <c r="C1398">
        <v>360028</v>
      </c>
      <c r="D1398">
        <v>14319.436</v>
      </c>
      <c r="E1398" t="s">
        <v>4</v>
      </c>
      <c r="F1398" t="s">
        <v>58</v>
      </c>
      <c r="G1398" t="s">
        <v>8</v>
      </c>
    </row>
    <row r="1399" spans="1:7" x14ac:dyDescent="0.3">
      <c r="A1399" t="s">
        <v>22</v>
      </c>
      <c r="B1399" s="1">
        <v>45838</v>
      </c>
      <c r="C1399">
        <v>360032</v>
      </c>
      <c r="D1399">
        <v>442.17899999999997</v>
      </c>
      <c r="E1399" t="s">
        <v>4</v>
      </c>
      <c r="F1399" t="s">
        <v>58</v>
      </c>
      <c r="G1399" t="s">
        <v>8</v>
      </c>
    </row>
    <row r="1400" spans="1:7" x14ac:dyDescent="0.3">
      <c r="A1400" t="s">
        <v>22</v>
      </c>
      <c r="B1400" s="1">
        <v>45838</v>
      </c>
      <c r="C1400">
        <v>372004</v>
      </c>
      <c r="D1400">
        <v>1666.221</v>
      </c>
      <c r="E1400" t="s">
        <v>4</v>
      </c>
      <c r="F1400" t="s">
        <v>45</v>
      </c>
      <c r="G1400" t="s">
        <v>8</v>
      </c>
    </row>
    <row r="1401" spans="1:7" x14ac:dyDescent="0.3">
      <c r="A1401" t="s">
        <v>22</v>
      </c>
      <c r="B1401" s="1">
        <v>45838</v>
      </c>
      <c r="C1401">
        <v>400002</v>
      </c>
      <c r="D1401">
        <v>-19156.243999999999</v>
      </c>
      <c r="E1401" t="s">
        <v>6</v>
      </c>
      <c r="F1401" t="s">
        <v>50</v>
      </c>
      <c r="G1401" t="s">
        <v>8</v>
      </c>
    </row>
    <row r="1402" spans="1:7" x14ac:dyDescent="0.3">
      <c r="A1402" t="s">
        <v>22</v>
      </c>
      <c r="B1402" s="1">
        <v>45838</v>
      </c>
      <c r="C1402">
        <v>400004</v>
      </c>
      <c r="D1402">
        <v>-57336.97</v>
      </c>
      <c r="E1402" t="s">
        <v>6</v>
      </c>
      <c r="F1402" t="s">
        <v>50</v>
      </c>
      <c r="G1402" t="s">
        <v>8</v>
      </c>
    </row>
    <row r="1403" spans="1:7" x14ac:dyDescent="0.3">
      <c r="A1403" t="s">
        <v>22</v>
      </c>
      <c r="B1403" s="1">
        <v>45838</v>
      </c>
      <c r="C1403">
        <v>410002</v>
      </c>
      <c r="D1403">
        <v>-7507.75</v>
      </c>
      <c r="E1403" t="s">
        <v>6</v>
      </c>
      <c r="F1403" t="s">
        <v>51</v>
      </c>
      <c r="G1403" t="s">
        <v>8</v>
      </c>
    </row>
    <row r="1404" spans="1:7" x14ac:dyDescent="0.3">
      <c r="A1404" t="s">
        <v>22</v>
      </c>
      <c r="B1404" s="1">
        <v>45838</v>
      </c>
      <c r="C1404">
        <v>421002</v>
      </c>
      <c r="D1404">
        <v>-5.0000000000000001E-3</v>
      </c>
      <c r="E1404" t="s">
        <v>6</v>
      </c>
      <c r="F1404" t="s">
        <v>52</v>
      </c>
      <c r="G1404" t="s">
        <v>8</v>
      </c>
    </row>
    <row r="1405" spans="1:7" x14ac:dyDescent="0.3">
      <c r="A1405" t="s">
        <v>22</v>
      </c>
      <c r="B1405" s="1">
        <v>45838</v>
      </c>
      <c r="C1405">
        <v>421003</v>
      </c>
      <c r="D1405">
        <v>36.1</v>
      </c>
      <c r="E1405" t="s">
        <v>6</v>
      </c>
      <c r="F1405" t="s">
        <v>52</v>
      </c>
      <c r="G1405" t="s">
        <v>8</v>
      </c>
    </row>
    <row r="1406" spans="1:7" x14ac:dyDescent="0.3">
      <c r="A1406" t="s">
        <v>22</v>
      </c>
      <c r="B1406" s="1">
        <v>45838</v>
      </c>
      <c r="C1406">
        <v>421007</v>
      </c>
      <c r="D1406">
        <v>5.0000000000000001E-3</v>
      </c>
      <c r="E1406" t="s">
        <v>6</v>
      </c>
      <c r="F1406" t="s">
        <v>52</v>
      </c>
      <c r="G1406" t="s">
        <v>8</v>
      </c>
    </row>
    <row r="1407" spans="1:7" x14ac:dyDescent="0.3">
      <c r="A1407" t="s">
        <v>22</v>
      </c>
      <c r="B1407" s="1">
        <v>45838</v>
      </c>
      <c r="C1407">
        <v>510002</v>
      </c>
      <c r="D1407">
        <v>14138.874</v>
      </c>
      <c r="E1407" t="s">
        <v>6</v>
      </c>
      <c r="F1407" t="s">
        <v>53</v>
      </c>
      <c r="G1407" t="s">
        <v>8</v>
      </c>
    </row>
    <row r="1408" spans="1:7" x14ac:dyDescent="0.3">
      <c r="A1408" t="s">
        <v>22</v>
      </c>
      <c r="B1408" s="1">
        <v>45838</v>
      </c>
      <c r="C1408">
        <v>510005</v>
      </c>
      <c r="D1408">
        <v>1187.28</v>
      </c>
      <c r="E1408" t="s">
        <v>6</v>
      </c>
      <c r="F1408" t="s">
        <v>53</v>
      </c>
      <c r="G1408" t="s">
        <v>8</v>
      </c>
    </row>
    <row r="1409" spans="1:7" x14ac:dyDescent="0.3">
      <c r="A1409" t="s">
        <v>22</v>
      </c>
      <c r="B1409" s="1">
        <v>45838</v>
      </c>
      <c r="C1409">
        <v>510007</v>
      </c>
      <c r="D1409">
        <v>684.51199999999994</v>
      </c>
      <c r="E1409" t="s">
        <v>6</v>
      </c>
      <c r="F1409" t="s">
        <v>53</v>
      </c>
      <c r="G1409" t="s">
        <v>8</v>
      </c>
    </row>
    <row r="1410" spans="1:7" x14ac:dyDescent="0.3">
      <c r="A1410" t="s">
        <v>22</v>
      </c>
      <c r="B1410" s="1">
        <v>45838</v>
      </c>
      <c r="C1410">
        <v>510015</v>
      </c>
      <c r="D1410">
        <v>2444.2809999999999</v>
      </c>
      <c r="E1410" t="s">
        <v>6</v>
      </c>
      <c r="F1410" t="s">
        <v>53</v>
      </c>
      <c r="G1410" t="s">
        <v>8</v>
      </c>
    </row>
    <row r="1411" spans="1:7" x14ac:dyDescent="0.3">
      <c r="A1411" t="s">
        <v>22</v>
      </c>
      <c r="B1411" s="1">
        <v>45838</v>
      </c>
      <c r="C1411">
        <v>510061</v>
      </c>
      <c r="D1411">
        <v>0</v>
      </c>
      <c r="E1411" t="s">
        <v>6</v>
      </c>
      <c r="F1411" t="s">
        <v>53</v>
      </c>
      <c r="G1411" t="s">
        <v>8</v>
      </c>
    </row>
    <row r="1412" spans="1:7" x14ac:dyDescent="0.3">
      <c r="A1412" t="s">
        <v>22</v>
      </c>
      <c r="B1412" s="1">
        <v>45838</v>
      </c>
      <c r="C1412">
        <v>510064</v>
      </c>
      <c r="D1412">
        <v>239.79400000000001</v>
      </c>
      <c r="E1412" t="s">
        <v>6</v>
      </c>
      <c r="F1412" t="s">
        <v>53</v>
      </c>
      <c r="G1412" t="s">
        <v>8</v>
      </c>
    </row>
    <row r="1413" spans="1:7" x14ac:dyDescent="0.3">
      <c r="A1413" t="s">
        <v>22</v>
      </c>
      <c r="B1413" s="1">
        <v>45838</v>
      </c>
      <c r="C1413">
        <v>510065</v>
      </c>
      <c r="D1413">
        <v>2580.9</v>
      </c>
      <c r="E1413" t="s">
        <v>6</v>
      </c>
      <c r="F1413" t="s">
        <v>53</v>
      </c>
      <c r="G1413" t="s">
        <v>8</v>
      </c>
    </row>
    <row r="1414" spans="1:7" x14ac:dyDescent="0.3">
      <c r="A1414" t="s">
        <v>22</v>
      </c>
      <c r="B1414" s="1">
        <v>45838</v>
      </c>
      <c r="C1414">
        <v>510066</v>
      </c>
      <c r="D1414">
        <v>0</v>
      </c>
      <c r="E1414" t="s">
        <v>6</v>
      </c>
      <c r="F1414" t="s">
        <v>53</v>
      </c>
      <c r="G1414" t="s">
        <v>8</v>
      </c>
    </row>
    <row r="1415" spans="1:7" x14ac:dyDescent="0.3">
      <c r="A1415" t="s">
        <v>22</v>
      </c>
      <c r="B1415" s="1">
        <v>45838</v>
      </c>
      <c r="C1415">
        <v>520020</v>
      </c>
      <c r="D1415">
        <v>318.959</v>
      </c>
      <c r="E1415" t="s">
        <v>6</v>
      </c>
      <c r="F1415" t="s">
        <v>53</v>
      </c>
      <c r="G1415" t="s">
        <v>8</v>
      </c>
    </row>
    <row r="1416" spans="1:7" x14ac:dyDescent="0.3">
      <c r="A1416" t="s">
        <v>22</v>
      </c>
      <c r="B1416" s="1">
        <v>45838</v>
      </c>
      <c r="C1416">
        <v>521002</v>
      </c>
      <c r="D1416">
        <v>0</v>
      </c>
      <c r="E1416" t="s">
        <v>6</v>
      </c>
      <c r="F1416" t="s">
        <v>53</v>
      </c>
      <c r="G1416" t="s">
        <v>8</v>
      </c>
    </row>
    <row r="1417" spans="1:7" x14ac:dyDescent="0.3">
      <c r="A1417" t="s">
        <v>22</v>
      </c>
      <c r="B1417" s="1">
        <v>45838</v>
      </c>
      <c r="C1417">
        <v>521004</v>
      </c>
      <c r="D1417">
        <v>0</v>
      </c>
      <c r="E1417" t="s">
        <v>6</v>
      </c>
      <c r="F1417" t="s">
        <v>53</v>
      </c>
      <c r="G1417" t="s">
        <v>8</v>
      </c>
    </row>
    <row r="1418" spans="1:7" x14ac:dyDescent="0.3">
      <c r="A1418" t="s">
        <v>22</v>
      </c>
      <c r="B1418" s="1">
        <v>45838</v>
      </c>
      <c r="C1418">
        <v>521006</v>
      </c>
      <c r="D1418">
        <v>0</v>
      </c>
      <c r="E1418" t="s">
        <v>6</v>
      </c>
      <c r="F1418" t="s">
        <v>53</v>
      </c>
      <c r="G1418" t="s">
        <v>8</v>
      </c>
    </row>
    <row r="1419" spans="1:7" x14ac:dyDescent="0.3">
      <c r="A1419" t="s">
        <v>22</v>
      </c>
      <c r="B1419" s="1">
        <v>45838</v>
      </c>
      <c r="C1419">
        <v>521007</v>
      </c>
      <c r="D1419">
        <v>0</v>
      </c>
      <c r="E1419" t="s">
        <v>6</v>
      </c>
      <c r="F1419" t="s">
        <v>53</v>
      </c>
      <c r="G1419" t="s">
        <v>8</v>
      </c>
    </row>
    <row r="1420" spans="1:7" x14ac:dyDescent="0.3">
      <c r="A1420" t="s">
        <v>22</v>
      </c>
      <c r="B1420" s="1">
        <v>45838</v>
      </c>
      <c r="C1420">
        <v>521009</v>
      </c>
      <c r="D1420">
        <v>0</v>
      </c>
      <c r="E1420" t="s">
        <v>6</v>
      </c>
      <c r="F1420" t="s">
        <v>53</v>
      </c>
      <c r="G1420" t="s">
        <v>8</v>
      </c>
    </row>
    <row r="1421" spans="1:7" x14ac:dyDescent="0.3">
      <c r="A1421" t="s">
        <v>22</v>
      </c>
      <c r="B1421" s="1">
        <v>45838</v>
      </c>
      <c r="C1421">
        <v>541009</v>
      </c>
      <c r="D1421">
        <v>184.04900000000001</v>
      </c>
      <c r="E1421" t="s">
        <v>6</v>
      </c>
      <c r="F1421" t="s">
        <v>61</v>
      </c>
      <c r="G1421" t="s">
        <v>8</v>
      </c>
    </row>
    <row r="1422" spans="1:7" x14ac:dyDescent="0.3">
      <c r="A1422" t="s">
        <v>22</v>
      </c>
      <c r="B1422" s="1">
        <v>45838</v>
      </c>
      <c r="C1422">
        <v>541010</v>
      </c>
      <c r="D1422">
        <v>1583.1369999999999</v>
      </c>
      <c r="E1422" t="s">
        <v>6</v>
      </c>
      <c r="F1422" t="s">
        <v>61</v>
      </c>
      <c r="G1422" t="s">
        <v>8</v>
      </c>
    </row>
    <row r="1423" spans="1:7" x14ac:dyDescent="0.3">
      <c r="A1423" t="s">
        <v>22</v>
      </c>
      <c r="B1423" s="1">
        <v>45838</v>
      </c>
      <c r="C1423">
        <v>546002</v>
      </c>
      <c r="D1423">
        <v>50456.531999999999</v>
      </c>
      <c r="E1423" t="s">
        <v>6</v>
      </c>
      <c r="F1423" t="s">
        <v>51</v>
      </c>
      <c r="G1423" t="s">
        <v>8</v>
      </c>
    </row>
    <row r="1424" spans="1:7" x14ac:dyDescent="0.3">
      <c r="A1424" t="s">
        <v>22</v>
      </c>
      <c r="B1424" s="1">
        <v>45838</v>
      </c>
      <c r="C1424">
        <v>546013</v>
      </c>
      <c r="D1424">
        <v>94.138999999999996</v>
      </c>
      <c r="E1424" t="s">
        <v>6</v>
      </c>
      <c r="F1424" t="s">
        <v>51</v>
      </c>
      <c r="G1424" t="s">
        <v>8</v>
      </c>
    </row>
    <row r="1425" spans="1:7" x14ac:dyDescent="0.3">
      <c r="A1425" t="s">
        <v>22</v>
      </c>
      <c r="B1425" s="1">
        <v>45838</v>
      </c>
      <c r="C1425">
        <v>546035</v>
      </c>
      <c r="D1425">
        <v>514.57399999999996</v>
      </c>
      <c r="E1425" t="s">
        <v>6</v>
      </c>
      <c r="F1425" t="s">
        <v>51</v>
      </c>
      <c r="G1425" t="s">
        <v>8</v>
      </c>
    </row>
    <row r="1426" spans="1:7" x14ac:dyDescent="0.3">
      <c r="A1426" t="s">
        <v>22</v>
      </c>
      <c r="B1426" s="1">
        <v>45838</v>
      </c>
      <c r="C1426">
        <v>546040</v>
      </c>
      <c r="D1426">
        <v>23.001999999999999</v>
      </c>
      <c r="E1426" t="s">
        <v>6</v>
      </c>
      <c r="F1426" t="s">
        <v>51</v>
      </c>
      <c r="G1426" t="s">
        <v>8</v>
      </c>
    </row>
    <row r="1427" spans="1:7" x14ac:dyDescent="0.3">
      <c r="A1427" t="s">
        <v>22</v>
      </c>
      <c r="B1427" s="1">
        <v>45838</v>
      </c>
      <c r="C1427">
        <v>546045</v>
      </c>
      <c r="D1427">
        <v>-101.63</v>
      </c>
      <c r="E1427" t="s">
        <v>6</v>
      </c>
      <c r="F1427" t="s">
        <v>51</v>
      </c>
      <c r="G1427" t="s">
        <v>8</v>
      </c>
    </row>
    <row r="1428" spans="1:7" x14ac:dyDescent="0.3">
      <c r="A1428" t="s">
        <v>22</v>
      </c>
      <c r="B1428" s="1">
        <v>45838</v>
      </c>
      <c r="C1428">
        <v>550002</v>
      </c>
      <c r="D1428">
        <v>10388.534</v>
      </c>
      <c r="E1428" t="s">
        <v>6</v>
      </c>
      <c r="F1428" t="s">
        <v>62</v>
      </c>
      <c r="G1428" t="s">
        <v>8</v>
      </c>
    </row>
    <row r="1429" spans="1:7" x14ac:dyDescent="0.3">
      <c r="A1429" t="s">
        <v>22</v>
      </c>
      <c r="B1429" s="1">
        <v>45838</v>
      </c>
      <c r="C1429">
        <v>552502</v>
      </c>
      <c r="D1429">
        <v>115.58799999999999</v>
      </c>
      <c r="E1429" t="s">
        <v>6</v>
      </c>
      <c r="F1429" t="s">
        <v>55</v>
      </c>
      <c r="G1429" t="s">
        <v>8</v>
      </c>
    </row>
    <row r="1430" spans="1:7" x14ac:dyDescent="0.3">
      <c r="A1430" t="s">
        <v>22</v>
      </c>
      <c r="B1430" s="1">
        <v>45838</v>
      </c>
      <c r="C1430">
        <v>556002</v>
      </c>
      <c r="D1430">
        <v>29.503</v>
      </c>
      <c r="E1430" t="s">
        <v>6</v>
      </c>
      <c r="F1430" t="s">
        <v>60</v>
      </c>
      <c r="G1430" t="s">
        <v>8</v>
      </c>
    </row>
    <row r="1431" spans="1:7" x14ac:dyDescent="0.3">
      <c r="A1431" t="s">
        <v>22</v>
      </c>
      <c r="B1431" s="1">
        <v>45838</v>
      </c>
      <c r="C1431">
        <v>557002</v>
      </c>
      <c r="D1431">
        <v>1022.299</v>
      </c>
      <c r="E1431" t="s">
        <v>6</v>
      </c>
      <c r="F1431" t="s">
        <v>56</v>
      </c>
      <c r="G1431" t="s">
        <v>8</v>
      </c>
    </row>
    <row r="1432" spans="1:7" x14ac:dyDescent="0.3">
      <c r="A1432" t="s">
        <v>22</v>
      </c>
      <c r="B1432" s="1">
        <v>45838</v>
      </c>
      <c r="C1432">
        <v>558012</v>
      </c>
      <c r="D1432">
        <v>1.0940000000000001</v>
      </c>
      <c r="E1432" t="s">
        <v>6</v>
      </c>
      <c r="F1432" t="s">
        <v>60</v>
      </c>
      <c r="G1432" t="s">
        <v>8</v>
      </c>
    </row>
    <row r="1433" spans="1:7" x14ac:dyDescent="0.3">
      <c r="A1433" t="s">
        <v>22</v>
      </c>
      <c r="B1433" s="1">
        <v>45838</v>
      </c>
      <c r="C1433">
        <v>564004</v>
      </c>
      <c r="D1433">
        <v>1415.8420000000001</v>
      </c>
      <c r="E1433" t="s">
        <v>6</v>
      </c>
      <c r="F1433" t="s">
        <v>51</v>
      </c>
      <c r="G1433" t="s">
        <v>8</v>
      </c>
    </row>
    <row r="1434" spans="1:7" x14ac:dyDescent="0.3">
      <c r="A1434" t="s">
        <v>22</v>
      </c>
      <c r="B1434" s="1">
        <v>45838</v>
      </c>
      <c r="C1434">
        <v>564020</v>
      </c>
      <c r="D1434">
        <v>198.822</v>
      </c>
      <c r="E1434" t="s">
        <v>6</v>
      </c>
      <c r="F1434" t="s">
        <v>57</v>
      </c>
      <c r="G1434" t="s">
        <v>8</v>
      </c>
    </row>
    <row r="1435" spans="1:7" x14ac:dyDescent="0.3">
      <c r="A1435" t="s">
        <v>23</v>
      </c>
      <c r="B1435" s="1">
        <v>45838</v>
      </c>
      <c r="C1435">
        <v>220006</v>
      </c>
      <c r="D1435">
        <v>3466.2469999999998</v>
      </c>
      <c r="E1435" t="s">
        <v>4</v>
      </c>
      <c r="F1435" t="s">
        <v>42</v>
      </c>
      <c r="G1435" t="s">
        <v>5</v>
      </c>
    </row>
    <row r="1436" spans="1:7" x14ac:dyDescent="0.3">
      <c r="A1436" t="s">
        <v>23</v>
      </c>
      <c r="B1436" s="1">
        <v>45838</v>
      </c>
      <c r="C1436">
        <v>240002</v>
      </c>
      <c r="D1436">
        <v>-2918.9189999999999</v>
      </c>
      <c r="E1436" t="s">
        <v>4</v>
      </c>
      <c r="F1436" t="s">
        <v>43</v>
      </c>
      <c r="G1436" t="s">
        <v>5</v>
      </c>
    </row>
    <row r="1437" spans="1:7" x14ac:dyDescent="0.3">
      <c r="A1437" t="s">
        <v>23</v>
      </c>
      <c r="B1437" s="1">
        <v>45838</v>
      </c>
      <c r="C1437">
        <v>242003</v>
      </c>
      <c r="D1437">
        <v>-19155.445</v>
      </c>
      <c r="E1437" t="s">
        <v>4</v>
      </c>
      <c r="F1437" t="s">
        <v>43</v>
      </c>
      <c r="G1437" t="s">
        <v>5</v>
      </c>
    </row>
    <row r="1438" spans="1:7" x14ac:dyDescent="0.3">
      <c r="A1438" t="s">
        <v>23</v>
      </c>
      <c r="B1438" s="1">
        <v>45838</v>
      </c>
      <c r="C1438">
        <v>242019</v>
      </c>
      <c r="D1438">
        <v>-31505.423999999999</v>
      </c>
      <c r="E1438" t="s">
        <v>4</v>
      </c>
      <c r="F1438" t="s">
        <v>43</v>
      </c>
      <c r="G1438" t="s">
        <v>5</v>
      </c>
    </row>
    <row r="1439" spans="1:7" x14ac:dyDescent="0.3">
      <c r="A1439" t="s">
        <v>23</v>
      </c>
      <c r="B1439" s="1">
        <v>45838</v>
      </c>
      <c r="C1439">
        <v>242041</v>
      </c>
      <c r="D1439">
        <v>4.0549999999999997</v>
      </c>
      <c r="E1439" t="s">
        <v>4</v>
      </c>
      <c r="F1439" t="s">
        <v>43</v>
      </c>
      <c r="G1439" t="s">
        <v>5</v>
      </c>
    </row>
    <row r="1440" spans="1:7" x14ac:dyDescent="0.3">
      <c r="A1440" t="s">
        <v>23</v>
      </c>
      <c r="B1440" s="1">
        <v>45838</v>
      </c>
      <c r="C1440">
        <v>243002</v>
      </c>
      <c r="D1440">
        <v>-7185.1970000000001</v>
      </c>
      <c r="E1440" t="s">
        <v>4</v>
      </c>
      <c r="F1440" t="s">
        <v>43</v>
      </c>
      <c r="G1440" t="s">
        <v>5</v>
      </c>
    </row>
    <row r="1441" spans="1:7" x14ac:dyDescent="0.3">
      <c r="A1441" t="s">
        <v>23</v>
      </c>
      <c r="B1441" s="1">
        <v>45838</v>
      </c>
      <c r="C1441">
        <v>251002</v>
      </c>
      <c r="D1441">
        <v>0</v>
      </c>
      <c r="E1441" t="s">
        <v>4</v>
      </c>
      <c r="F1441" t="s">
        <v>45</v>
      </c>
      <c r="G1441" t="s">
        <v>5</v>
      </c>
    </row>
    <row r="1442" spans="1:7" x14ac:dyDescent="0.3">
      <c r="A1442" t="s">
        <v>23</v>
      </c>
      <c r="B1442" s="1">
        <v>45838</v>
      </c>
      <c r="C1442">
        <v>251003</v>
      </c>
      <c r="D1442">
        <v>0</v>
      </c>
      <c r="E1442" t="s">
        <v>4</v>
      </c>
      <c r="F1442" t="s">
        <v>45</v>
      </c>
      <c r="G1442" t="s">
        <v>5</v>
      </c>
    </row>
    <row r="1443" spans="1:7" x14ac:dyDescent="0.3">
      <c r="A1443" t="s">
        <v>23</v>
      </c>
      <c r="B1443" s="1">
        <v>45838</v>
      </c>
      <c r="C1443">
        <v>251005</v>
      </c>
      <c r="D1443">
        <v>1453.4849999999999</v>
      </c>
      <c r="E1443" t="s">
        <v>4</v>
      </c>
      <c r="F1443" t="s">
        <v>46</v>
      </c>
      <c r="G1443" t="s">
        <v>5</v>
      </c>
    </row>
    <row r="1444" spans="1:7" x14ac:dyDescent="0.3">
      <c r="A1444" t="s">
        <v>23</v>
      </c>
      <c r="B1444" s="1">
        <v>45838</v>
      </c>
      <c r="C1444">
        <v>260004</v>
      </c>
      <c r="D1444">
        <v>-2591.6419999999998</v>
      </c>
      <c r="E1444" t="s">
        <v>4</v>
      </c>
      <c r="F1444" t="s">
        <v>45</v>
      </c>
      <c r="G1444" t="s">
        <v>5</v>
      </c>
    </row>
    <row r="1445" spans="1:7" x14ac:dyDescent="0.3">
      <c r="A1445" t="s">
        <v>23</v>
      </c>
      <c r="B1445" s="1">
        <v>45838</v>
      </c>
      <c r="C1445">
        <v>320002</v>
      </c>
      <c r="D1445">
        <v>7887.9369999999999</v>
      </c>
      <c r="E1445" t="s">
        <v>4</v>
      </c>
      <c r="F1445" t="s">
        <v>46</v>
      </c>
      <c r="G1445" t="s">
        <v>5</v>
      </c>
    </row>
    <row r="1446" spans="1:7" x14ac:dyDescent="0.3">
      <c r="A1446" t="s">
        <v>23</v>
      </c>
      <c r="B1446" s="1">
        <v>45838</v>
      </c>
      <c r="C1446">
        <v>321002</v>
      </c>
      <c r="D1446">
        <v>29186.485000000001</v>
      </c>
      <c r="E1446" t="s">
        <v>4</v>
      </c>
      <c r="F1446" t="s">
        <v>46</v>
      </c>
      <c r="G1446" t="s">
        <v>5</v>
      </c>
    </row>
    <row r="1447" spans="1:7" x14ac:dyDescent="0.3">
      <c r="A1447" t="s">
        <v>23</v>
      </c>
      <c r="B1447" s="1">
        <v>45838</v>
      </c>
      <c r="C1447">
        <v>340314</v>
      </c>
      <c r="D1447">
        <v>14676.15</v>
      </c>
      <c r="E1447" t="s">
        <v>4</v>
      </c>
      <c r="F1447" t="s">
        <v>47</v>
      </c>
      <c r="G1447" t="s">
        <v>5</v>
      </c>
    </row>
    <row r="1448" spans="1:7" x14ac:dyDescent="0.3">
      <c r="A1448" t="s">
        <v>23</v>
      </c>
      <c r="B1448" s="1">
        <v>45838</v>
      </c>
      <c r="C1448">
        <v>354004</v>
      </c>
      <c r="D1448">
        <v>0</v>
      </c>
      <c r="E1448" t="s">
        <v>4</v>
      </c>
      <c r="F1448" t="s">
        <v>46</v>
      </c>
      <c r="G1448" t="s">
        <v>5</v>
      </c>
    </row>
    <row r="1449" spans="1:7" x14ac:dyDescent="0.3">
      <c r="A1449" t="s">
        <v>23</v>
      </c>
      <c r="B1449" s="1">
        <v>45838</v>
      </c>
      <c r="C1449">
        <v>354013</v>
      </c>
      <c r="D1449">
        <v>0</v>
      </c>
      <c r="E1449" t="s">
        <v>4</v>
      </c>
      <c r="F1449" t="s">
        <v>46</v>
      </c>
      <c r="G1449" t="s">
        <v>5</v>
      </c>
    </row>
    <row r="1450" spans="1:7" x14ac:dyDescent="0.3">
      <c r="A1450" t="s">
        <v>23</v>
      </c>
      <c r="B1450" s="1">
        <v>45838</v>
      </c>
      <c r="C1450">
        <v>355013</v>
      </c>
      <c r="D1450">
        <v>2518.73</v>
      </c>
      <c r="E1450" t="s">
        <v>4</v>
      </c>
      <c r="F1450" t="s">
        <v>49</v>
      </c>
      <c r="G1450" t="s">
        <v>5</v>
      </c>
    </row>
    <row r="1451" spans="1:7" x14ac:dyDescent="0.3">
      <c r="A1451" t="s">
        <v>23</v>
      </c>
      <c r="B1451" s="1">
        <v>45838</v>
      </c>
      <c r="C1451">
        <v>372004</v>
      </c>
      <c r="D1451">
        <v>2377.7600000000002</v>
      </c>
      <c r="E1451" t="s">
        <v>4</v>
      </c>
      <c r="F1451" t="s">
        <v>45</v>
      </c>
      <c r="G1451" t="s">
        <v>5</v>
      </c>
    </row>
    <row r="1452" spans="1:7" x14ac:dyDescent="0.3">
      <c r="A1452" t="s">
        <v>23</v>
      </c>
      <c r="B1452" s="1">
        <v>45838</v>
      </c>
      <c r="C1452">
        <v>400002</v>
      </c>
      <c r="D1452">
        <v>-5645.52</v>
      </c>
      <c r="E1452" t="s">
        <v>6</v>
      </c>
      <c r="F1452" t="s">
        <v>50</v>
      </c>
      <c r="G1452" t="s">
        <v>5</v>
      </c>
    </row>
    <row r="1453" spans="1:7" x14ac:dyDescent="0.3">
      <c r="A1453" t="s">
        <v>23</v>
      </c>
      <c r="B1453" s="1">
        <v>45838</v>
      </c>
      <c r="C1453">
        <v>400004</v>
      </c>
      <c r="D1453">
        <v>1565.848</v>
      </c>
      <c r="E1453" t="s">
        <v>6</v>
      </c>
      <c r="F1453" t="s">
        <v>50</v>
      </c>
      <c r="G1453" t="s">
        <v>5</v>
      </c>
    </row>
    <row r="1454" spans="1:7" x14ac:dyDescent="0.3">
      <c r="A1454" t="s">
        <v>23</v>
      </c>
      <c r="B1454" s="1">
        <v>45838</v>
      </c>
      <c r="C1454">
        <v>410002</v>
      </c>
      <c r="D1454">
        <v>-19246.191999999999</v>
      </c>
      <c r="E1454" t="s">
        <v>6</v>
      </c>
      <c r="F1454" t="s">
        <v>51</v>
      </c>
      <c r="G1454" t="s">
        <v>5</v>
      </c>
    </row>
    <row r="1455" spans="1:7" x14ac:dyDescent="0.3">
      <c r="A1455" t="s">
        <v>23</v>
      </c>
      <c r="B1455" s="1">
        <v>45838</v>
      </c>
      <c r="C1455">
        <v>421003</v>
      </c>
      <c r="D1455">
        <v>-0.439</v>
      </c>
      <c r="E1455" t="s">
        <v>6</v>
      </c>
      <c r="F1455" t="s">
        <v>52</v>
      </c>
      <c r="G1455" t="s">
        <v>5</v>
      </c>
    </row>
    <row r="1456" spans="1:7" x14ac:dyDescent="0.3">
      <c r="A1456" t="s">
        <v>23</v>
      </c>
      <c r="B1456" s="1">
        <v>45838</v>
      </c>
      <c r="C1456">
        <v>546002</v>
      </c>
      <c r="D1456">
        <v>-1330.9690000000001</v>
      </c>
      <c r="E1456" t="s">
        <v>6</v>
      </c>
      <c r="F1456" t="s">
        <v>51</v>
      </c>
      <c r="G1456" t="s">
        <v>5</v>
      </c>
    </row>
    <row r="1457" spans="1:7" x14ac:dyDescent="0.3">
      <c r="A1457" t="s">
        <v>23</v>
      </c>
      <c r="B1457" s="1">
        <v>45838</v>
      </c>
      <c r="C1457">
        <v>546018</v>
      </c>
      <c r="D1457">
        <v>287.14600000000002</v>
      </c>
      <c r="E1457" t="s">
        <v>6</v>
      </c>
      <c r="F1457" t="s">
        <v>51</v>
      </c>
      <c r="G1457" t="s">
        <v>5</v>
      </c>
    </row>
    <row r="1458" spans="1:7" x14ac:dyDescent="0.3">
      <c r="A1458" t="s">
        <v>23</v>
      </c>
      <c r="B1458" s="1">
        <v>45838</v>
      </c>
      <c r="C1458">
        <v>547002</v>
      </c>
      <c r="D1458">
        <v>22884.007000000001</v>
      </c>
      <c r="E1458" t="s">
        <v>6</v>
      </c>
      <c r="F1458" t="s">
        <v>54</v>
      </c>
      <c r="G1458" t="s">
        <v>5</v>
      </c>
    </row>
    <row r="1459" spans="1:7" x14ac:dyDescent="0.3">
      <c r="A1459" t="s">
        <v>23</v>
      </c>
      <c r="B1459" s="1">
        <v>45838</v>
      </c>
      <c r="C1459">
        <v>547011</v>
      </c>
      <c r="D1459">
        <v>173.506</v>
      </c>
      <c r="E1459" t="s">
        <v>6</v>
      </c>
      <c r="F1459" t="s">
        <v>54</v>
      </c>
      <c r="G1459" t="s">
        <v>5</v>
      </c>
    </row>
    <row r="1460" spans="1:7" x14ac:dyDescent="0.3">
      <c r="A1460" t="s">
        <v>23</v>
      </c>
      <c r="B1460" s="1">
        <v>45838</v>
      </c>
      <c r="C1460">
        <v>557002</v>
      </c>
      <c r="D1460">
        <v>87.668000000000006</v>
      </c>
      <c r="E1460" t="s">
        <v>6</v>
      </c>
      <c r="F1460" t="s">
        <v>56</v>
      </c>
      <c r="G1460" t="s">
        <v>5</v>
      </c>
    </row>
    <row r="1461" spans="1:7" x14ac:dyDescent="0.3">
      <c r="A1461" t="s">
        <v>23</v>
      </c>
      <c r="B1461" s="1">
        <v>45838</v>
      </c>
      <c r="C1461">
        <v>564019</v>
      </c>
      <c r="D1461">
        <v>2964.3470000000002</v>
      </c>
      <c r="E1461" t="s">
        <v>6</v>
      </c>
      <c r="F1461" t="s">
        <v>51</v>
      </c>
      <c r="G1461" t="s">
        <v>5</v>
      </c>
    </row>
    <row r="1462" spans="1:7" x14ac:dyDescent="0.3">
      <c r="A1462" t="s">
        <v>23</v>
      </c>
      <c r="B1462" s="1">
        <v>45838</v>
      </c>
      <c r="C1462">
        <v>564021</v>
      </c>
      <c r="D1462">
        <v>62.652000000000001</v>
      </c>
      <c r="E1462" t="s">
        <v>6</v>
      </c>
      <c r="F1462" t="s">
        <v>57</v>
      </c>
      <c r="G1462" t="s">
        <v>5</v>
      </c>
    </row>
    <row r="1463" spans="1:7" x14ac:dyDescent="0.3">
      <c r="A1463" t="s">
        <v>24</v>
      </c>
      <c r="B1463" s="1">
        <v>45838</v>
      </c>
      <c r="C1463">
        <v>220006</v>
      </c>
      <c r="D1463">
        <v>9816.7530000000006</v>
      </c>
      <c r="E1463" t="s">
        <v>4</v>
      </c>
      <c r="F1463" t="s">
        <v>42</v>
      </c>
      <c r="G1463" t="s">
        <v>8</v>
      </c>
    </row>
    <row r="1464" spans="1:7" x14ac:dyDescent="0.3">
      <c r="A1464" t="s">
        <v>24</v>
      </c>
      <c r="B1464" s="1">
        <v>45838</v>
      </c>
      <c r="C1464">
        <v>240002</v>
      </c>
      <c r="D1464">
        <v>-201.434</v>
      </c>
      <c r="E1464" t="s">
        <v>4</v>
      </c>
      <c r="F1464" t="s">
        <v>43</v>
      </c>
      <c r="G1464" t="s">
        <v>8</v>
      </c>
    </row>
    <row r="1465" spans="1:7" x14ac:dyDescent="0.3">
      <c r="A1465" t="s">
        <v>24</v>
      </c>
      <c r="B1465" s="1">
        <v>45838</v>
      </c>
      <c r="C1465">
        <v>240009</v>
      </c>
      <c r="D1465">
        <v>0</v>
      </c>
      <c r="E1465" t="s">
        <v>4</v>
      </c>
      <c r="F1465" t="s">
        <v>43</v>
      </c>
      <c r="G1465" t="s">
        <v>8</v>
      </c>
    </row>
    <row r="1466" spans="1:7" x14ac:dyDescent="0.3">
      <c r="A1466" t="s">
        <v>24</v>
      </c>
      <c r="B1466" s="1">
        <v>45838</v>
      </c>
      <c r="C1466">
        <v>243002</v>
      </c>
      <c r="D1466">
        <v>-244.809</v>
      </c>
      <c r="E1466" t="s">
        <v>4</v>
      </c>
      <c r="F1466" t="s">
        <v>43</v>
      </c>
      <c r="G1466" t="s">
        <v>8</v>
      </c>
    </row>
    <row r="1467" spans="1:7" x14ac:dyDescent="0.3">
      <c r="A1467" t="s">
        <v>24</v>
      </c>
      <c r="B1467" s="1">
        <v>45838</v>
      </c>
      <c r="C1467">
        <v>330132</v>
      </c>
      <c r="D1467">
        <v>-8833.9639999999999</v>
      </c>
      <c r="E1467" t="s">
        <v>4</v>
      </c>
      <c r="F1467" t="s">
        <v>43</v>
      </c>
      <c r="G1467" t="s">
        <v>8</v>
      </c>
    </row>
    <row r="1468" spans="1:7" x14ac:dyDescent="0.3">
      <c r="A1468" t="s">
        <v>24</v>
      </c>
      <c r="B1468" s="1">
        <v>45838</v>
      </c>
      <c r="C1468">
        <v>330147</v>
      </c>
      <c r="D1468">
        <v>-2069.1219999999998</v>
      </c>
      <c r="E1468" t="s">
        <v>4</v>
      </c>
      <c r="F1468" t="s">
        <v>43</v>
      </c>
      <c r="G1468" t="s">
        <v>8</v>
      </c>
    </row>
    <row r="1469" spans="1:7" x14ac:dyDescent="0.3">
      <c r="A1469" t="s">
        <v>24</v>
      </c>
      <c r="B1469" s="1">
        <v>45838</v>
      </c>
      <c r="C1469">
        <v>340237</v>
      </c>
      <c r="D1469">
        <v>994.02800000000002</v>
      </c>
      <c r="E1469" t="s">
        <v>4</v>
      </c>
      <c r="F1469" t="s">
        <v>47</v>
      </c>
      <c r="G1469" t="s">
        <v>8</v>
      </c>
    </row>
    <row r="1470" spans="1:7" x14ac:dyDescent="0.3">
      <c r="A1470" t="s">
        <v>24</v>
      </c>
      <c r="B1470" s="1">
        <v>45838</v>
      </c>
      <c r="C1470">
        <v>340240</v>
      </c>
      <c r="D1470">
        <v>36.796999999999997</v>
      </c>
      <c r="E1470" t="s">
        <v>4</v>
      </c>
      <c r="F1470" t="s">
        <v>47</v>
      </c>
      <c r="G1470" t="s">
        <v>8</v>
      </c>
    </row>
    <row r="1471" spans="1:7" x14ac:dyDescent="0.3">
      <c r="A1471" t="s">
        <v>24</v>
      </c>
      <c r="B1471" s="1">
        <v>45838</v>
      </c>
      <c r="C1471">
        <v>340313</v>
      </c>
      <c r="D1471">
        <v>9.109</v>
      </c>
      <c r="E1471" t="s">
        <v>4</v>
      </c>
      <c r="F1471" t="s">
        <v>47</v>
      </c>
      <c r="G1471" t="s">
        <v>8</v>
      </c>
    </row>
    <row r="1472" spans="1:7" x14ac:dyDescent="0.3">
      <c r="A1472" t="s">
        <v>24</v>
      </c>
      <c r="B1472" s="1">
        <v>45838</v>
      </c>
      <c r="C1472">
        <v>350007</v>
      </c>
      <c r="D1472">
        <v>0</v>
      </c>
      <c r="E1472" t="s">
        <v>4</v>
      </c>
      <c r="F1472" t="s">
        <v>49</v>
      </c>
      <c r="G1472" t="s">
        <v>8</v>
      </c>
    </row>
    <row r="1473" spans="1:7" x14ac:dyDescent="0.3">
      <c r="A1473" t="s">
        <v>24</v>
      </c>
      <c r="B1473" s="1">
        <v>45838</v>
      </c>
      <c r="C1473">
        <v>350031</v>
      </c>
      <c r="D1473">
        <v>0</v>
      </c>
      <c r="E1473" t="s">
        <v>4</v>
      </c>
      <c r="F1473" t="s">
        <v>43</v>
      </c>
      <c r="G1473" t="s">
        <v>8</v>
      </c>
    </row>
    <row r="1474" spans="1:7" x14ac:dyDescent="0.3">
      <c r="A1474" t="s">
        <v>24</v>
      </c>
      <c r="B1474" s="1">
        <v>45838</v>
      </c>
      <c r="C1474">
        <v>372004</v>
      </c>
      <c r="D1474">
        <v>55.218000000000004</v>
      </c>
      <c r="E1474" t="s">
        <v>4</v>
      </c>
      <c r="F1474" t="s">
        <v>45</v>
      </c>
      <c r="G1474" t="s">
        <v>8</v>
      </c>
    </row>
    <row r="1475" spans="1:7" x14ac:dyDescent="0.3">
      <c r="A1475" t="s">
        <v>24</v>
      </c>
      <c r="B1475" s="1">
        <v>45838</v>
      </c>
      <c r="C1475">
        <v>421003</v>
      </c>
      <c r="D1475">
        <v>1.704</v>
      </c>
      <c r="E1475" t="s">
        <v>6</v>
      </c>
      <c r="F1475" t="s">
        <v>52</v>
      </c>
      <c r="G1475" t="s">
        <v>8</v>
      </c>
    </row>
    <row r="1476" spans="1:7" x14ac:dyDescent="0.3">
      <c r="A1476" t="s">
        <v>24</v>
      </c>
      <c r="B1476" s="1">
        <v>45838</v>
      </c>
      <c r="C1476">
        <v>421004</v>
      </c>
      <c r="D1476">
        <v>-71.182000000000002</v>
      </c>
      <c r="E1476" t="s">
        <v>6</v>
      </c>
      <c r="F1476" t="s">
        <v>52</v>
      </c>
      <c r="G1476" t="s">
        <v>8</v>
      </c>
    </row>
    <row r="1477" spans="1:7" x14ac:dyDescent="0.3">
      <c r="A1477" t="s">
        <v>24</v>
      </c>
      <c r="B1477" s="1">
        <v>45838</v>
      </c>
      <c r="C1477">
        <v>552502</v>
      </c>
      <c r="D1477">
        <v>20.812000000000001</v>
      </c>
      <c r="E1477" t="s">
        <v>6</v>
      </c>
      <c r="F1477" t="s">
        <v>55</v>
      </c>
      <c r="G1477" t="s">
        <v>8</v>
      </c>
    </row>
    <row r="1478" spans="1:7" x14ac:dyDescent="0.3">
      <c r="A1478" t="s">
        <v>24</v>
      </c>
      <c r="B1478" s="1">
        <v>45838</v>
      </c>
      <c r="C1478">
        <v>557002</v>
      </c>
      <c r="D1478">
        <v>451.06599999999997</v>
      </c>
      <c r="E1478" t="s">
        <v>6</v>
      </c>
      <c r="F1478" t="s">
        <v>56</v>
      </c>
      <c r="G1478" t="s">
        <v>8</v>
      </c>
    </row>
    <row r="1479" spans="1:7" x14ac:dyDescent="0.3">
      <c r="A1479" t="s">
        <v>24</v>
      </c>
      <c r="B1479" s="1">
        <v>45838</v>
      </c>
      <c r="C1479">
        <v>564020</v>
      </c>
      <c r="D1479">
        <v>37.149000000000001</v>
      </c>
      <c r="E1479" t="s">
        <v>6</v>
      </c>
      <c r="F1479" t="s">
        <v>57</v>
      </c>
      <c r="G1479" t="s">
        <v>8</v>
      </c>
    </row>
    <row r="1480" spans="1:7" x14ac:dyDescent="0.3">
      <c r="A1480" t="s">
        <v>25</v>
      </c>
      <c r="B1480" s="1">
        <v>45838</v>
      </c>
      <c r="C1480">
        <v>220006</v>
      </c>
      <c r="D1480">
        <v>-21934.698</v>
      </c>
      <c r="E1480" t="s">
        <v>4</v>
      </c>
      <c r="F1480" t="s">
        <v>42</v>
      </c>
      <c r="G1480" t="s">
        <v>5</v>
      </c>
    </row>
    <row r="1481" spans="1:7" x14ac:dyDescent="0.3">
      <c r="A1481" t="s">
        <v>25</v>
      </c>
      <c r="B1481" s="1">
        <v>45838</v>
      </c>
      <c r="C1481">
        <v>240002</v>
      </c>
      <c r="D1481">
        <v>-61.188000000000002</v>
      </c>
      <c r="E1481" t="s">
        <v>4</v>
      </c>
      <c r="F1481" t="s">
        <v>43</v>
      </c>
      <c r="G1481" t="s">
        <v>5</v>
      </c>
    </row>
    <row r="1482" spans="1:7" x14ac:dyDescent="0.3">
      <c r="A1482" t="s">
        <v>25</v>
      </c>
      <c r="B1482" s="1">
        <v>45838</v>
      </c>
      <c r="C1482">
        <v>243002</v>
      </c>
      <c r="D1482">
        <v>-22.481999999999999</v>
      </c>
      <c r="E1482" t="s">
        <v>4</v>
      </c>
      <c r="F1482" t="s">
        <v>43</v>
      </c>
      <c r="G1482" t="s">
        <v>5</v>
      </c>
    </row>
    <row r="1483" spans="1:7" x14ac:dyDescent="0.3">
      <c r="A1483" t="s">
        <v>25</v>
      </c>
      <c r="B1483" s="1">
        <v>45838</v>
      </c>
      <c r="C1483">
        <v>330019</v>
      </c>
      <c r="D1483">
        <v>21894.05</v>
      </c>
      <c r="E1483" t="s">
        <v>4</v>
      </c>
      <c r="F1483" t="s">
        <v>43</v>
      </c>
      <c r="G1483" t="s">
        <v>5</v>
      </c>
    </row>
    <row r="1484" spans="1:7" x14ac:dyDescent="0.3">
      <c r="A1484" t="s">
        <v>25</v>
      </c>
      <c r="B1484" s="1">
        <v>45838</v>
      </c>
      <c r="C1484">
        <v>340016</v>
      </c>
      <c r="D1484">
        <v>29.341999999999999</v>
      </c>
      <c r="E1484" t="s">
        <v>4</v>
      </c>
      <c r="F1484" t="s">
        <v>47</v>
      </c>
      <c r="G1484" t="s">
        <v>5</v>
      </c>
    </row>
    <row r="1485" spans="1:7" x14ac:dyDescent="0.3">
      <c r="A1485" t="s">
        <v>25</v>
      </c>
      <c r="B1485" s="1">
        <v>45838</v>
      </c>
      <c r="C1485">
        <v>372004</v>
      </c>
      <c r="D1485">
        <v>7.9809999999999999</v>
      </c>
      <c r="E1485" t="s">
        <v>4</v>
      </c>
      <c r="F1485" t="s">
        <v>45</v>
      </c>
      <c r="G1485" t="s">
        <v>5</v>
      </c>
    </row>
    <row r="1486" spans="1:7" x14ac:dyDescent="0.3">
      <c r="A1486" t="s">
        <v>25</v>
      </c>
      <c r="B1486" s="1">
        <v>45838</v>
      </c>
      <c r="C1486">
        <v>557002</v>
      </c>
      <c r="D1486">
        <v>34.781999999999996</v>
      </c>
      <c r="E1486" t="s">
        <v>6</v>
      </c>
      <c r="F1486" t="s">
        <v>56</v>
      </c>
      <c r="G1486" t="s">
        <v>5</v>
      </c>
    </row>
    <row r="1487" spans="1:7" x14ac:dyDescent="0.3">
      <c r="A1487" t="s">
        <v>25</v>
      </c>
      <c r="B1487" s="1">
        <v>45838</v>
      </c>
      <c r="C1487">
        <v>564021</v>
      </c>
      <c r="D1487">
        <v>52.994</v>
      </c>
      <c r="E1487" t="s">
        <v>6</v>
      </c>
      <c r="F1487" t="s">
        <v>57</v>
      </c>
      <c r="G1487" t="s">
        <v>5</v>
      </c>
    </row>
    <row r="1488" spans="1:7" x14ac:dyDescent="0.3">
      <c r="A1488" t="s">
        <v>26</v>
      </c>
      <c r="B1488" s="1">
        <v>45838</v>
      </c>
      <c r="C1488">
        <v>220006</v>
      </c>
      <c r="D1488">
        <v>-534556.11399999994</v>
      </c>
      <c r="E1488" t="s">
        <v>4</v>
      </c>
      <c r="F1488" t="s">
        <v>42</v>
      </c>
      <c r="G1488" t="s">
        <v>5</v>
      </c>
    </row>
    <row r="1489" spans="1:7" x14ac:dyDescent="0.3">
      <c r="A1489" t="s">
        <v>26</v>
      </c>
      <c r="B1489" s="1">
        <v>45838</v>
      </c>
      <c r="C1489">
        <v>240002</v>
      </c>
      <c r="D1489">
        <v>455.375</v>
      </c>
      <c r="E1489" t="s">
        <v>4</v>
      </c>
      <c r="F1489" t="s">
        <v>43</v>
      </c>
      <c r="G1489" t="s">
        <v>5</v>
      </c>
    </row>
    <row r="1490" spans="1:7" x14ac:dyDescent="0.3">
      <c r="A1490" t="s">
        <v>26</v>
      </c>
      <c r="B1490" s="1">
        <v>45838</v>
      </c>
      <c r="C1490">
        <v>240003</v>
      </c>
      <c r="D1490">
        <v>-0.80200000000000005</v>
      </c>
      <c r="E1490" t="s">
        <v>4</v>
      </c>
      <c r="F1490" t="s">
        <v>43</v>
      </c>
      <c r="G1490" t="s">
        <v>5</v>
      </c>
    </row>
    <row r="1491" spans="1:7" x14ac:dyDescent="0.3">
      <c r="A1491" t="s">
        <v>26</v>
      </c>
      <c r="B1491" s="1">
        <v>45838</v>
      </c>
      <c r="C1491">
        <v>240007</v>
      </c>
      <c r="D1491">
        <v>0</v>
      </c>
      <c r="E1491" t="s">
        <v>4</v>
      </c>
      <c r="F1491" t="s">
        <v>65</v>
      </c>
      <c r="G1491" t="s">
        <v>5</v>
      </c>
    </row>
    <row r="1492" spans="1:7" x14ac:dyDescent="0.3">
      <c r="A1492" t="s">
        <v>26</v>
      </c>
      <c r="B1492" s="1">
        <v>45838</v>
      </c>
      <c r="C1492">
        <v>240009</v>
      </c>
      <c r="D1492">
        <v>-489.726</v>
      </c>
      <c r="E1492" t="s">
        <v>4</v>
      </c>
      <c r="F1492" t="s">
        <v>43</v>
      </c>
      <c r="G1492" t="s">
        <v>5</v>
      </c>
    </row>
    <row r="1493" spans="1:7" x14ac:dyDescent="0.3">
      <c r="A1493" t="s">
        <v>26</v>
      </c>
      <c r="B1493" s="1">
        <v>45838</v>
      </c>
      <c r="C1493">
        <v>242003</v>
      </c>
      <c r="D1493">
        <v>148257.114</v>
      </c>
      <c r="E1493" t="s">
        <v>4</v>
      </c>
      <c r="F1493" t="s">
        <v>43</v>
      </c>
      <c r="G1493" t="s">
        <v>5</v>
      </c>
    </row>
    <row r="1494" spans="1:7" x14ac:dyDescent="0.3">
      <c r="A1494" t="s">
        <v>26</v>
      </c>
      <c r="B1494" s="1">
        <v>45838</v>
      </c>
      <c r="C1494">
        <v>242011</v>
      </c>
      <c r="D1494">
        <v>-244.00399999999999</v>
      </c>
      <c r="E1494" t="s">
        <v>4</v>
      </c>
      <c r="F1494" t="s">
        <v>43</v>
      </c>
      <c r="G1494" t="s">
        <v>5</v>
      </c>
    </row>
    <row r="1495" spans="1:7" x14ac:dyDescent="0.3">
      <c r="A1495" t="s">
        <v>26</v>
      </c>
      <c r="B1495" s="1">
        <v>45838</v>
      </c>
      <c r="C1495">
        <v>242012</v>
      </c>
      <c r="D1495">
        <v>0.26100000000000001</v>
      </c>
      <c r="E1495" t="s">
        <v>4</v>
      </c>
      <c r="F1495" t="s">
        <v>43</v>
      </c>
      <c r="G1495" t="s">
        <v>5</v>
      </c>
    </row>
    <row r="1496" spans="1:7" x14ac:dyDescent="0.3">
      <c r="A1496" t="s">
        <v>26</v>
      </c>
      <c r="B1496" s="1">
        <v>45838</v>
      </c>
      <c r="C1496">
        <v>242014</v>
      </c>
      <c r="D1496">
        <v>-11.368</v>
      </c>
      <c r="E1496" t="s">
        <v>4</v>
      </c>
      <c r="F1496" t="s">
        <v>43</v>
      </c>
      <c r="G1496" t="s">
        <v>5</v>
      </c>
    </row>
    <row r="1497" spans="1:7" x14ac:dyDescent="0.3">
      <c r="A1497" t="s">
        <v>26</v>
      </c>
      <c r="B1497" s="1">
        <v>45838</v>
      </c>
      <c r="C1497">
        <v>242019</v>
      </c>
      <c r="D1497">
        <v>6423.93</v>
      </c>
      <c r="E1497" t="s">
        <v>4</v>
      </c>
      <c r="F1497" t="s">
        <v>43</v>
      </c>
      <c r="G1497" t="s">
        <v>5</v>
      </c>
    </row>
    <row r="1498" spans="1:7" x14ac:dyDescent="0.3">
      <c r="A1498" t="s">
        <v>26</v>
      </c>
      <c r="B1498" s="1">
        <v>45838</v>
      </c>
      <c r="C1498">
        <v>242038</v>
      </c>
      <c r="D1498">
        <v>-11.773</v>
      </c>
      <c r="E1498" t="s">
        <v>4</v>
      </c>
      <c r="F1498" t="s">
        <v>43</v>
      </c>
      <c r="G1498" t="s">
        <v>5</v>
      </c>
    </row>
    <row r="1499" spans="1:7" x14ac:dyDescent="0.3">
      <c r="A1499" t="s">
        <v>26</v>
      </c>
      <c r="B1499" s="1">
        <v>45838</v>
      </c>
      <c r="C1499">
        <v>242041</v>
      </c>
      <c r="D1499">
        <v>-627.75400000000002</v>
      </c>
      <c r="E1499" t="s">
        <v>4</v>
      </c>
      <c r="F1499" t="s">
        <v>43</v>
      </c>
      <c r="G1499" t="s">
        <v>5</v>
      </c>
    </row>
    <row r="1500" spans="1:7" x14ac:dyDescent="0.3">
      <c r="A1500" t="s">
        <v>26</v>
      </c>
      <c r="B1500" s="1">
        <v>45838</v>
      </c>
      <c r="C1500">
        <v>243002</v>
      </c>
      <c r="D1500">
        <v>-2942.6590000000001</v>
      </c>
      <c r="E1500" t="s">
        <v>4</v>
      </c>
      <c r="F1500" t="s">
        <v>43</v>
      </c>
      <c r="G1500" t="s">
        <v>5</v>
      </c>
    </row>
    <row r="1501" spans="1:7" x14ac:dyDescent="0.3">
      <c r="A1501" t="s">
        <v>26</v>
      </c>
      <c r="B1501" s="1">
        <v>45838</v>
      </c>
      <c r="C1501">
        <v>243003</v>
      </c>
      <c r="D1501">
        <v>-6679.8620000000001</v>
      </c>
      <c r="E1501" t="s">
        <v>4</v>
      </c>
      <c r="F1501" t="s">
        <v>43</v>
      </c>
      <c r="G1501" t="s">
        <v>5</v>
      </c>
    </row>
    <row r="1502" spans="1:7" x14ac:dyDescent="0.3">
      <c r="A1502" t="s">
        <v>26</v>
      </c>
      <c r="B1502" s="1">
        <v>45838</v>
      </c>
      <c r="C1502">
        <v>243010</v>
      </c>
      <c r="D1502">
        <v>-257.36</v>
      </c>
      <c r="E1502" t="s">
        <v>4</v>
      </c>
      <c r="F1502" t="s">
        <v>43</v>
      </c>
      <c r="G1502" t="s">
        <v>5</v>
      </c>
    </row>
    <row r="1503" spans="1:7" x14ac:dyDescent="0.3">
      <c r="A1503" t="s">
        <v>26</v>
      </c>
      <c r="B1503" s="1">
        <v>45838</v>
      </c>
      <c r="C1503">
        <v>245010</v>
      </c>
      <c r="D1503">
        <v>-1645.742</v>
      </c>
      <c r="E1503" t="s">
        <v>4</v>
      </c>
      <c r="F1503" t="s">
        <v>44</v>
      </c>
      <c r="G1503" t="s">
        <v>5</v>
      </c>
    </row>
    <row r="1504" spans="1:7" x14ac:dyDescent="0.3">
      <c r="A1504" t="s">
        <v>26</v>
      </c>
      <c r="B1504" s="1">
        <v>45838</v>
      </c>
      <c r="C1504">
        <v>245055</v>
      </c>
      <c r="D1504">
        <v>0</v>
      </c>
      <c r="E1504" t="s">
        <v>4</v>
      </c>
      <c r="F1504" t="s">
        <v>43</v>
      </c>
      <c r="G1504" t="s">
        <v>5</v>
      </c>
    </row>
    <row r="1505" spans="1:7" x14ac:dyDescent="0.3">
      <c r="A1505" t="s">
        <v>26</v>
      </c>
      <c r="B1505" s="1">
        <v>45838</v>
      </c>
      <c r="C1505">
        <v>245056</v>
      </c>
      <c r="D1505">
        <v>0</v>
      </c>
      <c r="E1505" t="s">
        <v>4</v>
      </c>
      <c r="F1505" t="s">
        <v>49</v>
      </c>
      <c r="G1505" t="s">
        <v>5</v>
      </c>
    </row>
    <row r="1506" spans="1:7" x14ac:dyDescent="0.3">
      <c r="A1506" t="s">
        <v>26</v>
      </c>
      <c r="B1506" s="1">
        <v>45838</v>
      </c>
      <c r="C1506">
        <v>245058</v>
      </c>
      <c r="D1506">
        <v>0</v>
      </c>
      <c r="E1506" t="s">
        <v>4</v>
      </c>
      <c r="F1506" t="s">
        <v>43</v>
      </c>
      <c r="G1506" t="s">
        <v>5</v>
      </c>
    </row>
    <row r="1507" spans="1:7" x14ac:dyDescent="0.3">
      <c r="A1507" t="s">
        <v>26</v>
      </c>
      <c r="B1507" s="1">
        <v>45838</v>
      </c>
      <c r="C1507">
        <v>245062</v>
      </c>
      <c r="D1507">
        <v>-2276.6439999999998</v>
      </c>
      <c r="E1507" t="s">
        <v>4</v>
      </c>
      <c r="F1507" t="s">
        <v>43</v>
      </c>
      <c r="G1507" t="s">
        <v>5</v>
      </c>
    </row>
    <row r="1508" spans="1:7" x14ac:dyDescent="0.3">
      <c r="A1508" t="s">
        <v>26</v>
      </c>
      <c r="B1508" s="1">
        <v>45838</v>
      </c>
      <c r="C1508">
        <v>250003</v>
      </c>
      <c r="D1508">
        <v>-2087.9560000000001</v>
      </c>
      <c r="E1508" t="s">
        <v>4</v>
      </c>
      <c r="F1508" t="s">
        <v>45</v>
      </c>
      <c r="G1508" t="s">
        <v>5</v>
      </c>
    </row>
    <row r="1509" spans="1:7" x14ac:dyDescent="0.3">
      <c r="A1509" t="s">
        <v>26</v>
      </c>
      <c r="B1509" s="1">
        <v>45838</v>
      </c>
      <c r="C1509">
        <v>250020</v>
      </c>
      <c r="D1509">
        <v>0</v>
      </c>
      <c r="E1509" t="s">
        <v>4</v>
      </c>
      <c r="F1509" t="s">
        <v>45</v>
      </c>
      <c r="G1509" t="s">
        <v>5</v>
      </c>
    </row>
    <row r="1510" spans="1:7" x14ac:dyDescent="0.3">
      <c r="A1510" t="s">
        <v>26</v>
      </c>
      <c r="B1510" s="1">
        <v>45838</v>
      </c>
      <c r="C1510">
        <v>251002</v>
      </c>
      <c r="D1510">
        <v>-5501.0519999999997</v>
      </c>
      <c r="E1510" t="s">
        <v>4</v>
      </c>
      <c r="F1510" t="s">
        <v>45</v>
      </c>
      <c r="G1510" t="s">
        <v>5</v>
      </c>
    </row>
    <row r="1511" spans="1:7" x14ac:dyDescent="0.3">
      <c r="A1511" t="s">
        <v>26</v>
      </c>
      <c r="B1511" s="1">
        <v>45838</v>
      </c>
      <c r="C1511">
        <v>251003</v>
      </c>
      <c r="D1511">
        <v>-2555.4119999999998</v>
      </c>
      <c r="E1511" t="s">
        <v>4</v>
      </c>
      <c r="F1511" t="s">
        <v>45</v>
      </c>
      <c r="G1511" t="s">
        <v>5</v>
      </c>
    </row>
    <row r="1512" spans="1:7" x14ac:dyDescent="0.3">
      <c r="A1512" t="s">
        <v>26</v>
      </c>
      <c r="B1512" s="1">
        <v>45838</v>
      </c>
      <c r="C1512">
        <v>257005</v>
      </c>
      <c r="D1512">
        <v>-692.89099999999996</v>
      </c>
      <c r="E1512" t="s">
        <v>4</v>
      </c>
      <c r="F1512" t="s">
        <v>45</v>
      </c>
      <c r="G1512" t="s">
        <v>5</v>
      </c>
    </row>
    <row r="1513" spans="1:7" x14ac:dyDescent="0.3">
      <c r="A1513" t="s">
        <v>26</v>
      </c>
      <c r="B1513" s="1">
        <v>45838</v>
      </c>
      <c r="C1513">
        <v>257027</v>
      </c>
      <c r="D1513">
        <v>20.082000000000001</v>
      </c>
      <c r="E1513" t="s">
        <v>4</v>
      </c>
      <c r="F1513" t="s">
        <v>45</v>
      </c>
      <c r="G1513" t="s">
        <v>5</v>
      </c>
    </row>
    <row r="1514" spans="1:7" x14ac:dyDescent="0.3">
      <c r="A1514" t="s">
        <v>26</v>
      </c>
      <c r="B1514" s="1">
        <v>45838</v>
      </c>
      <c r="C1514">
        <v>257030</v>
      </c>
      <c r="D1514">
        <v>-12.218</v>
      </c>
      <c r="E1514" t="s">
        <v>4</v>
      </c>
      <c r="F1514" t="s">
        <v>45</v>
      </c>
      <c r="G1514" t="s">
        <v>5</v>
      </c>
    </row>
    <row r="1515" spans="1:7" x14ac:dyDescent="0.3">
      <c r="A1515" t="s">
        <v>26</v>
      </c>
      <c r="B1515" s="1">
        <v>45838</v>
      </c>
      <c r="C1515">
        <v>260004</v>
      </c>
      <c r="D1515">
        <v>-3702.944</v>
      </c>
      <c r="E1515" t="s">
        <v>4</v>
      </c>
      <c r="F1515" t="s">
        <v>45</v>
      </c>
      <c r="G1515" t="s">
        <v>5</v>
      </c>
    </row>
    <row r="1516" spans="1:7" x14ac:dyDescent="0.3">
      <c r="A1516" t="s">
        <v>26</v>
      </c>
      <c r="B1516" s="1">
        <v>45838</v>
      </c>
      <c r="C1516">
        <v>270025</v>
      </c>
      <c r="D1516">
        <v>2134.761</v>
      </c>
      <c r="E1516" t="s">
        <v>4</v>
      </c>
      <c r="F1516" t="s">
        <v>58</v>
      </c>
      <c r="G1516" t="s">
        <v>5</v>
      </c>
    </row>
    <row r="1517" spans="1:7" x14ac:dyDescent="0.3">
      <c r="A1517" t="s">
        <v>26</v>
      </c>
      <c r="B1517" s="1">
        <v>45838</v>
      </c>
      <c r="C1517">
        <v>270026</v>
      </c>
      <c r="D1517">
        <v>-693.48500000000001</v>
      </c>
      <c r="E1517" t="s">
        <v>4</v>
      </c>
      <c r="F1517" t="s">
        <v>58</v>
      </c>
      <c r="G1517" t="s">
        <v>5</v>
      </c>
    </row>
    <row r="1518" spans="1:7" x14ac:dyDescent="0.3">
      <c r="A1518" t="s">
        <v>26</v>
      </c>
      <c r="B1518" s="1">
        <v>45838</v>
      </c>
      <c r="C1518">
        <v>300008</v>
      </c>
      <c r="D1518">
        <v>1339.088</v>
      </c>
      <c r="E1518" t="s">
        <v>4</v>
      </c>
      <c r="F1518" t="s">
        <v>65</v>
      </c>
      <c r="G1518" t="s">
        <v>5</v>
      </c>
    </row>
    <row r="1519" spans="1:7" x14ac:dyDescent="0.3">
      <c r="A1519" t="s">
        <v>26</v>
      </c>
      <c r="B1519" s="1">
        <v>45838</v>
      </c>
      <c r="C1519">
        <v>300508</v>
      </c>
      <c r="D1519">
        <v>-470.95600000000002</v>
      </c>
      <c r="E1519" t="s">
        <v>4</v>
      </c>
      <c r="F1519" t="s">
        <v>65</v>
      </c>
      <c r="G1519" t="s">
        <v>5</v>
      </c>
    </row>
    <row r="1520" spans="1:7" x14ac:dyDescent="0.3">
      <c r="A1520" t="s">
        <v>26</v>
      </c>
      <c r="B1520" s="1">
        <v>45838</v>
      </c>
      <c r="C1520">
        <v>303003</v>
      </c>
      <c r="D1520">
        <v>0</v>
      </c>
      <c r="E1520" t="s">
        <v>4</v>
      </c>
      <c r="F1520" t="s">
        <v>65</v>
      </c>
      <c r="G1520" t="s">
        <v>5</v>
      </c>
    </row>
    <row r="1521" spans="1:7" x14ac:dyDescent="0.3">
      <c r="A1521" t="s">
        <v>26</v>
      </c>
      <c r="B1521" s="1">
        <v>45838</v>
      </c>
      <c r="C1521">
        <v>320002</v>
      </c>
      <c r="D1521">
        <v>56388.83</v>
      </c>
      <c r="E1521" t="s">
        <v>4</v>
      </c>
      <c r="F1521" t="s">
        <v>46</v>
      </c>
      <c r="G1521" t="s">
        <v>5</v>
      </c>
    </row>
    <row r="1522" spans="1:7" x14ac:dyDescent="0.3">
      <c r="A1522" t="s">
        <v>26</v>
      </c>
      <c r="B1522" s="1">
        <v>45838</v>
      </c>
      <c r="C1522">
        <v>320003</v>
      </c>
      <c r="D1522">
        <v>1088.9929999999999</v>
      </c>
      <c r="E1522" t="s">
        <v>4</v>
      </c>
      <c r="F1522" t="s">
        <v>46</v>
      </c>
      <c r="G1522" t="s">
        <v>5</v>
      </c>
    </row>
    <row r="1523" spans="1:7" x14ac:dyDescent="0.3">
      <c r="A1523" t="s">
        <v>26</v>
      </c>
      <c r="B1523" s="1">
        <v>45838</v>
      </c>
      <c r="C1523">
        <v>320004</v>
      </c>
      <c r="D1523">
        <v>20.029</v>
      </c>
      <c r="E1523" t="s">
        <v>4</v>
      </c>
      <c r="F1523" t="s">
        <v>46</v>
      </c>
      <c r="G1523" t="s">
        <v>5</v>
      </c>
    </row>
    <row r="1524" spans="1:7" x14ac:dyDescent="0.3">
      <c r="A1524" t="s">
        <v>26</v>
      </c>
      <c r="B1524" s="1">
        <v>45838</v>
      </c>
      <c r="C1524">
        <v>320023</v>
      </c>
      <c r="D1524">
        <v>-4366.5320000000002</v>
      </c>
      <c r="E1524" t="s">
        <v>4</v>
      </c>
      <c r="F1524" t="s">
        <v>46</v>
      </c>
      <c r="G1524" t="s">
        <v>5</v>
      </c>
    </row>
    <row r="1525" spans="1:7" x14ac:dyDescent="0.3">
      <c r="A1525" t="s">
        <v>26</v>
      </c>
      <c r="B1525" s="1">
        <v>45838</v>
      </c>
      <c r="C1525">
        <v>320024</v>
      </c>
      <c r="D1525">
        <v>0</v>
      </c>
      <c r="E1525" t="s">
        <v>4</v>
      </c>
      <c r="F1525" t="s">
        <v>46</v>
      </c>
      <c r="G1525" t="s">
        <v>5</v>
      </c>
    </row>
    <row r="1526" spans="1:7" x14ac:dyDescent="0.3">
      <c r="A1526" t="s">
        <v>26</v>
      </c>
      <c r="B1526" s="1">
        <v>45838</v>
      </c>
      <c r="C1526">
        <v>321002</v>
      </c>
      <c r="D1526">
        <v>5421.8770000000004</v>
      </c>
      <c r="E1526" t="s">
        <v>4</v>
      </c>
      <c r="F1526" t="s">
        <v>46</v>
      </c>
      <c r="G1526" t="s">
        <v>5</v>
      </c>
    </row>
    <row r="1527" spans="1:7" x14ac:dyDescent="0.3">
      <c r="A1527" t="s">
        <v>26</v>
      </c>
      <c r="B1527" s="1">
        <v>45838</v>
      </c>
      <c r="C1527">
        <v>321013</v>
      </c>
      <c r="D1527">
        <v>-638.31299999999999</v>
      </c>
      <c r="E1527" t="s">
        <v>4</v>
      </c>
      <c r="F1527" t="s">
        <v>46</v>
      </c>
      <c r="G1527" t="s">
        <v>5</v>
      </c>
    </row>
    <row r="1528" spans="1:7" x14ac:dyDescent="0.3">
      <c r="A1528" t="s">
        <v>26</v>
      </c>
      <c r="B1528" s="1">
        <v>45838</v>
      </c>
      <c r="C1528">
        <v>321025</v>
      </c>
      <c r="D1528">
        <v>-2592.431</v>
      </c>
      <c r="E1528" t="s">
        <v>4</v>
      </c>
      <c r="F1528" t="s">
        <v>46</v>
      </c>
      <c r="G1528" t="s">
        <v>5</v>
      </c>
    </row>
    <row r="1529" spans="1:7" x14ac:dyDescent="0.3">
      <c r="A1529" t="s">
        <v>26</v>
      </c>
      <c r="B1529" s="1">
        <v>45838</v>
      </c>
      <c r="C1529">
        <v>321028</v>
      </c>
      <c r="D1529">
        <v>0</v>
      </c>
      <c r="E1529" t="s">
        <v>4</v>
      </c>
      <c r="F1529" t="s">
        <v>46</v>
      </c>
      <c r="G1529" t="s">
        <v>5</v>
      </c>
    </row>
    <row r="1530" spans="1:7" x14ac:dyDescent="0.3">
      <c r="A1530" t="s">
        <v>26</v>
      </c>
      <c r="B1530" s="1">
        <v>45838</v>
      </c>
      <c r="C1530">
        <v>321029</v>
      </c>
      <c r="D1530">
        <v>12381.68</v>
      </c>
      <c r="E1530" t="s">
        <v>4</v>
      </c>
      <c r="F1530" t="s">
        <v>46</v>
      </c>
      <c r="G1530" t="s">
        <v>5</v>
      </c>
    </row>
    <row r="1531" spans="1:7" x14ac:dyDescent="0.3">
      <c r="A1531" t="s">
        <v>26</v>
      </c>
      <c r="B1531" s="1">
        <v>45838</v>
      </c>
      <c r="C1531">
        <v>321042</v>
      </c>
      <c r="D1531">
        <v>-2405.7190000000001</v>
      </c>
      <c r="E1531" t="s">
        <v>4</v>
      </c>
      <c r="F1531" t="s">
        <v>46</v>
      </c>
      <c r="G1531" t="s">
        <v>5</v>
      </c>
    </row>
    <row r="1532" spans="1:7" x14ac:dyDescent="0.3">
      <c r="A1532" t="s">
        <v>26</v>
      </c>
      <c r="B1532" s="1">
        <v>45838</v>
      </c>
      <c r="C1532">
        <v>330020</v>
      </c>
      <c r="D1532">
        <v>-1261.3689999999999</v>
      </c>
      <c r="E1532" t="s">
        <v>4</v>
      </c>
      <c r="F1532" t="s">
        <v>43</v>
      </c>
      <c r="G1532" t="s">
        <v>5</v>
      </c>
    </row>
    <row r="1533" spans="1:7" x14ac:dyDescent="0.3">
      <c r="A1533" t="s">
        <v>26</v>
      </c>
      <c r="B1533" s="1">
        <v>45838</v>
      </c>
      <c r="C1533">
        <v>330056</v>
      </c>
      <c r="D1533">
        <v>0</v>
      </c>
      <c r="E1533" t="s">
        <v>4</v>
      </c>
      <c r="F1533" t="s">
        <v>43</v>
      </c>
      <c r="G1533" t="s">
        <v>5</v>
      </c>
    </row>
    <row r="1534" spans="1:7" x14ac:dyDescent="0.3">
      <c r="A1534" t="s">
        <v>26</v>
      </c>
      <c r="B1534" s="1">
        <v>45838</v>
      </c>
      <c r="C1534">
        <v>330147</v>
      </c>
      <c r="D1534">
        <v>2401.98</v>
      </c>
      <c r="E1534" t="s">
        <v>4</v>
      </c>
      <c r="F1534" t="s">
        <v>43</v>
      </c>
      <c r="G1534" t="s">
        <v>5</v>
      </c>
    </row>
    <row r="1535" spans="1:7" x14ac:dyDescent="0.3">
      <c r="A1535" t="s">
        <v>26</v>
      </c>
      <c r="B1535" s="1">
        <v>45838</v>
      </c>
      <c r="C1535">
        <v>340031</v>
      </c>
      <c r="D1535">
        <v>297295.42499999999</v>
      </c>
      <c r="E1535" t="s">
        <v>4</v>
      </c>
      <c r="F1535" t="s">
        <v>47</v>
      </c>
      <c r="G1535" t="s">
        <v>5</v>
      </c>
    </row>
    <row r="1536" spans="1:7" x14ac:dyDescent="0.3">
      <c r="A1536" t="s">
        <v>26</v>
      </c>
      <c r="B1536" s="1">
        <v>45838</v>
      </c>
      <c r="C1536">
        <v>340126</v>
      </c>
      <c r="D1536">
        <v>0</v>
      </c>
      <c r="E1536" t="s">
        <v>4</v>
      </c>
      <c r="F1536" t="s">
        <v>47</v>
      </c>
      <c r="G1536" t="s">
        <v>5</v>
      </c>
    </row>
    <row r="1537" spans="1:7" x14ac:dyDescent="0.3">
      <c r="A1537" t="s">
        <v>26</v>
      </c>
      <c r="B1537" s="1">
        <v>45838</v>
      </c>
      <c r="C1537">
        <v>350002</v>
      </c>
      <c r="D1537">
        <v>1216.6569999999999</v>
      </c>
      <c r="E1537" t="s">
        <v>4</v>
      </c>
      <c r="F1537" t="s">
        <v>49</v>
      </c>
      <c r="G1537" t="s">
        <v>5</v>
      </c>
    </row>
    <row r="1538" spans="1:7" x14ac:dyDescent="0.3">
      <c r="A1538" t="s">
        <v>26</v>
      </c>
      <c r="B1538" s="1">
        <v>45838</v>
      </c>
      <c r="C1538">
        <v>350003</v>
      </c>
      <c r="D1538">
        <v>-3.5430000000000001</v>
      </c>
      <c r="E1538" t="s">
        <v>4</v>
      </c>
      <c r="F1538" t="s">
        <v>49</v>
      </c>
      <c r="G1538" t="s">
        <v>5</v>
      </c>
    </row>
    <row r="1539" spans="1:7" x14ac:dyDescent="0.3">
      <c r="A1539" t="s">
        <v>26</v>
      </c>
      <c r="B1539" s="1">
        <v>45838</v>
      </c>
      <c r="C1539">
        <v>350007</v>
      </c>
      <c r="D1539">
        <v>0</v>
      </c>
      <c r="E1539" t="s">
        <v>4</v>
      </c>
      <c r="F1539" t="s">
        <v>49</v>
      </c>
      <c r="G1539" t="s">
        <v>5</v>
      </c>
    </row>
    <row r="1540" spans="1:7" x14ac:dyDescent="0.3">
      <c r="A1540" t="s">
        <v>26</v>
      </c>
      <c r="B1540" s="1">
        <v>45838</v>
      </c>
      <c r="C1540">
        <v>350031</v>
      </c>
      <c r="D1540">
        <v>489.726</v>
      </c>
      <c r="E1540" t="s">
        <v>4</v>
      </c>
      <c r="F1540" t="s">
        <v>43</v>
      </c>
      <c r="G1540" t="s">
        <v>5</v>
      </c>
    </row>
    <row r="1541" spans="1:7" x14ac:dyDescent="0.3">
      <c r="A1541" t="s">
        <v>26</v>
      </c>
      <c r="B1541" s="1">
        <v>45838</v>
      </c>
      <c r="C1541">
        <v>350034</v>
      </c>
      <c r="D1541">
        <v>0</v>
      </c>
      <c r="E1541" t="s">
        <v>4</v>
      </c>
      <c r="F1541" t="s">
        <v>49</v>
      </c>
      <c r="G1541" t="s">
        <v>5</v>
      </c>
    </row>
    <row r="1542" spans="1:7" x14ac:dyDescent="0.3">
      <c r="A1542" t="s">
        <v>26</v>
      </c>
      <c r="B1542" s="1">
        <v>45838</v>
      </c>
      <c r="C1542">
        <v>352002</v>
      </c>
      <c r="D1542">
        <v>1663.518</v>
      </c>
      <c r="E1542" t="s">
        <v>4</v>
      </c>
      <c r="F1542" t="s">
        <v>48</v>
      </c>
      <c r="G1542" t="s">
        <v>5</v>
      </c>
    </row>
    <row r="1543" spans="1:7" x14ac:dyDescent="0.3">
      <c r="A1543" t="s">
        <v>26</v>
      </c>
      <c r="B1543" s="1">
        <v>45838</v>
      </c>
      <c r="C1543">
        <v>354004</v>
      </c>
      <c r="D1543">
        <v>0</v>
      </c>
      <c r="E1543" t="s">
        <v>4</v>
      </c>
      <c r="F1543" t="s">
        <v>46</v>
      </c>
      <c r="G1543" t="s">
        <v>5</v>
      </c>
    </row>
    <row r="1544" spans="1:7" x14ac:dyDescent="0.3">
      <c r="A1544" t="s">
        <v>26</v>
      </c>
      <c r="B1544" s="1">
        <v>45838</v>
      </c>
      <c r="C1544">
        <v>354006</v>
      </c>
      <c r="D1544">
        <v>0</v>
      </c>
      <c r="E1544" t="s">
        <v>4</v>
      </c>
      <c r="F1544" t="s">
        <v>46</v>
      </c>
      <c r="G1544" t="s">
        <v>5</v>
      </c>
    </row>
    <row r="1545" spans="1:7" x14ac:dyDescent="0.3">
      <c r="A1545" t="s">
        <v>26</v>
      </c>
      <c r="B1545" s="1">
        <v>45838</v>
      </c>
      <c r="C1545">
        <v>354008</v>
      </c>
      <c r="D1545">
        <v>0</v>
      </c>
      <c r="E1545" t="s">
        <v>4</v>
      </c>
      <c r="F1545" t="s">
        <v>46</v>
      </c>
      <c r="G1545" t="s">
        <v>5</v>
      </c>
    </row>
    <row r="1546" spans="1:7" x14ac:dyDescent="0.3">
      <c r="A1546" t="s">
        <v>26</v>
      </c>
      <c r="B1546" s="1">
        <v>45838</v>
      </c>
      <c r="C1546">
        <v>354011</v>
      </c>
      <c r="D1546">
        <v>0</v>
      </c>
      <c r="E1546" t="s">
        <v>4</v>
      </c>
      <c r="F1546" t="s">
        <v>46</v>
      </c>
      <c r="G1546" t="s">
        <v>5</v>
      </c>
    </row>
    <row r="1547" spans="1:7" x14ac:dyDescent="0.3">
      <c r="A1547" t="s">
        <v>26</v>
      </c>
      <c r="B1547" s="1">
        <v>45838</v>
      </c>
      <c r="C1547">
        <v>354013</v>
      </c>
      <c r="D1547">
        <v>12368.592000000001</v>
      </c>
      <c r="E1547" t="s">
        <v>4</v>
      </c>
      <c r="F1547" t="s">
        <v>46</v>
      </c>
      <c r="G1547" t="s">
        <v>5</v>
      </c>
    </row>
    <row r="1548" spans="1:7" x14ac:dyDescent="0.3">
      <c r="A1548" t="s">
        <v>26</v>
      </c>
      <c r="B1548" s="1">
        <v>45838</v>
      </c>
      <c r="C1548">
        <v>354015</v>
      </c>
      <c r="D1548">
        <v>5009.1030000000001</v>
      </c>
      <c r="E1548" t="s">
        <v>4</v>
      </c>
      <c r="F1548" t="s">
        <v>46</v>
      </c>
      <c r="G1548" t="s">
        <v>5</v>
      </c>
    </row>
    <row r="1549" spans="1:7" x14ac:dyDescent="0.3">
      <c r="A1549" t="s">
        <v>26</v>
      </c>
      <c r="B1549" s="1">
        <v>45838</v>
      </c>
      <c r="C1549">
        <v>360030</v>
      </c>
      <c r="D1549">
        <v>728.07500000000005</v>
      </c>
      <c r="E1549" t="s">
        <v>4</v>
      </c>
      <c r="F1549" t="s">
        <v>58</v>
      </c>
      <c r="G1549" t="s">
        <v>5</v>
      </c>
    </row>
    <row r="1550" spans="1:7" x14ac:dyDescent="0.3">
      <c r="A1550" t="s">
        <v>26</v>
      </c>
      <c r="B1550" s="1">
        <v>45838</v>
      </c>
      <c r="C1550">
        <v>372004</v>
      </c>
      <c r="D1550">
        <v>1253.2139999999999</v>
      </c>
      <c r="E1550" t="s">
        <v>4</v>
      </c>
      <c r="F1550" t="s">
        <v>45</v>
      </c>
      <c r="G1550" t="s">
        <v>5</v>
      </c>
    </row>
    <row r="1551" spans="1:7" x14ac:dyDescent="0.3">
      <c r="A1551" t="s">
        <v>26</v>
      </c>
      <c r="B1551" s="1">
        <v>45838</v>
      </c>
      <c r="C1551">
        <v>400002</v>
      </c>
      <c r="D1551">
        <v>-11226.806</v>
      </c>
      <c r="E1551" t="s">
        <v>6</v>
      </c>
      <c r="F1551" t="s">
        <v>50</v>
      </c>
      <c r="G1551" t="s">
        <v>5</v>
      </c>
    </row>
    <row r="1552" spans="1:7" x14ac:dyDescent="0.3">
      <c r="A1552" t="s">
        <v>26</v>
      </c>
      <c r="B1552" s="1">
        <v>45838</v>
      </c>
      <c r="C1552">
        <v>400004</v>
      </c>
      <c r="D1552">
        <v>-35214.017</v>
      </c>
      <c r="E1552" t="s">
        <v>6</v>
      </c>
      <c r="F1552" t="s">
        <v>50</v>
      </c>
      <c r="G1552" t="s">
        <v>5</v>
      </c>
    </row>
    <row r="1553" spans="1:7" x14ac:dyDescent="0.3">
      <c r="A1553" t="s">
        <v>26</v>
      </c>
      <c r="B1553" s="1">
        <v>45838</v>
      </c>
      <c r="C1553">
        <v>410002</v>
      </c>
      <c r="D1553">
        <v>-11823.493</v>
      </c>
      <c r="E1553" t="s">
        <v>6</v>
      </c>
      <c r="F1553" t="s">
        <v>51</v>
      </c>
      <c r="G1553" t="s">
        <v>5</v>
      </c>
    </row>
    <row r="1554" spans="1:7" x14ac:dyDescent="0.3">
      <c r="A1554" t="s">
        <v>26</v>
      </c>
      <c r="B1554" s="1">
        <v>45838</v>
      </c>
      <c r="C1554">
        <v>410036</v>
      </c>
      <c r="D1554">
        <v>3504.5619999999999</v>
      </c>
      <c r="E1554" t="s">
        <v>6</v>
      </c>
      <c r="F1554" t="s">
        <v>51</v>
      </c>
      <c r="G1554" t="s">
        <v>5</v>
      </c>
    </row>
    <row r="1555" spans="1:7" x14ac:dyDescent="0.3">
      <c r="A1555" t="s">
        <v>26</v>
      </c>
      <c r="B1555" s="1">
        <v>45838</v>
      </c>
      <c r="C1555">
        <v>410037</v>
      </c>
      <c r="D1555">
        <v>-4969.1639999999998</v>
      </c>
      <c r="E1555" t="s">
        <v>6</v>
      </c>
      <c r="F1555" t="s">
        <v>51</v>
      </c>
      <c r="G1555" t="s">
        <v>5</v>
      </c>
    </row>
    <row r="1556" spans="1:7" x14ac:dyDescent="0.3">
      <c r="A1556" t="s">
        <v>26</v>
      </c>
      <c r="B1556" s="1">
        <v>45838</v>
      </c>
      <c r="C1556">
        <v>421002</v>
      </c>
      <c r="D1556">
        <v>-94.013000000000005</v>
      </c>
      <c r="E1556" t="s">
        <v>6</v>
      </c>
      <c r="F1556" t="s">
        <v>52</v>
      </c>
      <c r="G1556" t="s">
        <v>5</v>
      </c>
    </row>
    <row r="1557" spans="1:7" x14ac:dyDescent="0.3">
      <c r="A1557" t="s">
        <v>26</v>
      </c>
      <c r="B1557" s="1">
        <v>45838</v>
      </c>
      <c r="C1557">
        <v>421003</v>
      </c>
      <c r="D1557">
        <v>323.87</v>
      </c>
      <c r="E1557" t="s">
        <v>6</v>
      </c>
      <c r="F1557" t="s">
        <v>52</v>
      </c>
      <c r="G1557" t="s">
        <v>5</v>
      </c>
    </row>
    <row r="1558" spans="1:7" x14ac:dyDescent="0.3">
      <c r="A1558" t="s">
        <v>26</v>
      </c>
      <c r="B1558" s="1">
        <v>45838</v>
      </c>
      <c r="C1558">
        <v>421007</v>
      </c>
      <c r="D1558">
        <v>919.35400000000004</v>
      </c>
      <c r="E1558" t="s">
        <v>6</v>
      </c>
      <c r="F1558" t="s">
        <v>52</v>
      </c>
      <c r="G1558" t="s">
        <v>5</v>
      </c>
    </row>
    <row r="1559" spans="1:7" x14ac:dyDescent="0.3">
      <c r="A1559" t="s">
        <v>26</v>
      </c>
      <c r="B1559" s="1">
        <v>45838</v>
      </c>
      <c r="C1559">
        <v>510002</v>
      </c>
      <c r="D1559">
        <v>18033.928</v>
      </c>
      <c r="E1559" t="s">
        <v>6</v>
      </c>
      <c r="F1559" t="s">
        <v>53</v>
      </c>
      <c r="G1559" t="s">
        <v>5</v>
      </c>
    </row>
    <row r="1560" spans="1:7" x14ac:dyDescent="0.3">
      <c r="A1560" t="s">
        <v>26</v>
      </c>
      <c r="B1560" s="1">
        <v>45838</v>
      </c>
      <c r="C1560">
        <v>510005</v>
      </c>
      <c r="D1560">
        <v>-700.57600000000002</v>
      </c>
      <c r="E1560" t="s">
        <v>6</v>
      </c>
      <c r="F1560" t="s">
        <v>53</v>
      </c>
      <c r="G1560" t="s">
        <v>5</v>
      </c>
    </row>
    <row r="1561" spans="1:7" x14ac:dyDescent="0.3">
      <c r="A1561" t="s">
        <v>26</v>
      </c>
      <c r="B1561" s="1">
        <v>45838</v>
      </c>
      <c r="C1561">
        <v>510007</v>
      </c>
      <c r="D1561">
        <v>1747.3889999999999</v>
      </c>
      <c r="E1561" t="s">
        <v>6</v>
      </c>
      <c r="F1561" t="s">
        <v>53</v>
      </c>
      <c r="G1561" t="s">
        <v>5</v>
      </c>
    </row>
    <row r="1562" spans="1:7" x14ac:dyDescent="0.3">
      <c r="A1562" t="s">
        <v>26</v>
      </c>
      <c r="B1562" s="1">
        <v>45838</v>
      </c>
      <c r="C1562">
        <v>510048</v>
      </c>
      <c r="D1562">
        <v>88.15</v>
      </c>
      <c r="E1562" t="s">
        <v>6</v>
      </c>
      <c r="F1562" t="s">
        <v>61</v>
      </c>
      <c r="G1562" t="s">
        <v>5</v>
      </c>
    </row>
    <row r="1563" spans="1:7" x14ac:dyDescent="0.3">
      <c r="A1563" t="s">
        <v>26</v>
      </c>
      <c r="B1563" s="1">
        <v>45838</v>
      </c>
      <c r="C1563">
        <v>510061</v>
      </c>
      <c r="D1563">
        <v>0</v>
      </c>
      <c r="E1563" t="s">
        <v>6</v>
      </c>
      <c r="F1563" t="s">
        <v>53</v>
      </c>
      <c r="G1563" t="s">
        <v>5</v>
      </c>
    </row>
    <row r="1564" spans="1:7" x14ac:dyDescent="0.3">
      <c r="A1564" t="s">
        <v>26</v>
      </c>
      <c r="B1564" s="1">
        <v>45838</v>
      </c>
      <c r="C1564">
        <v>510065</v>
      </c>
      <c r="D1564">
        <v>89.119</v>
      </c>
      <c r="E1564" t="s">
        <v>6</v>
      </c>
      <c r="F1564" t="s">
        <v>53</v>
      </c>
      <c r="G1564" t="s">
        <v>5</v>
      </c>
    </row>
    <row r="1565" spans="1:7" x14ac:dyDescent="0.3">
      <c r="A1565" t="s">
        <v>26</v>
      </c>
      <c r="B1565" s="1">
        <v>45838</v>
      </c>
      <c r="C1565">
        <v>520020</v>
      </c>
      <c r="D1565">
        <v>-211.983</v>
      </c>
      <c r="E1565" t="s">
        <v>6</v>
      </c>
      <c r="F1565" t="s">
        <v>53</v>
      </c>
      <c r="G1565" t="s">
        <v>5</v>
      </c>
    </row>
    <row r="1566" spans="1:7" x14ac:dyDescent="0.3">
      <c r="A1566" t="s">
        <v>26</v>
      </c>
      <c r="B1566" s="1">
        <v>45838</v>
      </c>
      <c r="C1566">
        <v>520021</v>
      </c>
      <c r="D1566">
        <v>114.52200000000001</v>
      </c>
      <c r="E1566" t="s">
        <v>6</v>
      </c>
      <c r="F1566" t="s">
        <v>60</v>
      </c>
      <c r="G1566" t="s">
        <v>5</v>
      </c>
    </row>
    <row r="1567" spans="1:7" x14ac:dyDescent="0.3">
      <c r="A1567" t="s">
        <v>26</v>
      </c>
      <c r="B1567" s="1">
        <v>45838</v>
      </c>
      <c r="C1567">
        <v>521002</v>
      </c>
      <c r="D1567">
        <v>0</v>
      </c>
      <c r="E1567" t="s">
        <v>6</v>
      </c>
      <c r="F1567" t="s">
        <v>53</v>
      </c>
      <c r="G1567" t="s">
        <v>5</v>
      </c>
    </row>
    <row r="1568" spans="1:7" x14ac:dyDescent="0.3">
      <c r="A1568" t="s">
        <v>26</v>
      </c>
      <c r="B1568" s="1">
        <v>45838</v>
      </c>
      <c r="C1568">
        <v>521004</v>
      </c>
      <c r="D1568">
        <v>0</v>
      </c>
      <c r="E1568" t="s">
        <v>6</v>
      </c>
      <c r="F1568" t="s">
        <v>53</v>
      </c>
      <c r="G1568" t="s">
        <v>5</v>
      </c>
    </row>
    <row r="1569" spans="1:7" x14ac:dyDescent="0.3">
      <c r="A1569" t="s">
        <v>26</v>
      </c>
      <c r="B1569" s="1">
        <v>45838</v>
      </c>
      <c r="C1569">
        <v>521006</v>
      </c>
      <c r="D1569">
        <v>0</v>
      </c>
      <c r="E1569" t="s">
        <v>6</v>
      </c>
      <c r="F1569" t="s">
        <v>53</v>
      </c>
      <c r="G1569" t="s">
        <v>5</v>
      </c>
    </row>
    <row r="1570" spans="1:7" x14ac:dyDescent="0.3">
      <c r="A1570" t="s">
        <v>26</v>
      </c>
      <c r="B1570" s="1">
        <v>45838</v>
      </c>
      <c r="C1570">
        <v>541004</v>
      </c>
      <c r="D1570">
        <v>26.486999999999998</v>
      </c>
      <c r="E1570" t="s">
        <v>6</v>
      </c>
      <c r="F1570" t="s">
        <v>61</v>
      </c>
      <c r="G1570" t="s">
        <v>5</v>
      </c>
    </row>
    <row r="1571" spans="1:7" x14ac:dyDescent="0.3">
      <c r="A1571" t="s">
        <v>26</v>
      </c>
      <c r="B1571" s="1">
        <v>45838</v>
      </c>
      <c r="C1571">
        <v>541010</v>
      </c>
      <c r="D1571">
        <v>194.01499999999999</v>
      </c>
      <c r="E1571" t="s">
        <v>6</v>
      </c>
      <c r="F1571" t="s">
        <v>61</v>
      </c>
      <c r="G1571" t="s">
        <v>5</v>
      </c>
    </row>
    <row r="1572" spans="1:7" x14ac:dyDescent="0.3">
      <c r="A1572" t="s">
        <v>26</v>
      </c>
      <c r="B1572" s="1">
        <v>45838</v>
      </c>
      <c r="C1572">
        <v>544006</v>
      </c>
      <c r="D1572">
        <v>133.65</v>
      </c>
      <c r="E1572" t="s">
        <v>6</v>
      </c>
      <c r="F1572" t="s">
        <v>61</v>
      </c>
      <c r="G1572" t="s">
        <v>5</v>
      </c>
    </row>
    <row r="1573" spans="1:7" x14ac:dyDescent="0.3">
      <c r="A1573" t="s">
        <v>26</v>
      </c>
      <c r="B1573" s="1">
        <v>45838</v>
      </c>
      <c r="C1573">
        <v>546002</v>
      </c>
      <c r="D1573">
        <v>29931.909</v>
      </c>
      <c r="E1573" t="s">
        <v>6</v>
      </c>
      <c r="F1573" t="s">
        <v>51</v>
      </c>
      <c r="G1573" t="s">
        <v>5</v>
      </c>
    </row>
    <row r="1574" spans="1:7" x14ac:dyDescent="0.3">
      <c r="A1574" t="s">
        <v>26</v>
      </c>
      <c r="B1574" s="1">
        <v>45838</v>
      </c>
      <c r="C1574">
        <v>546008</v>
      </c>
      <c r="D1574">
        <v>11.254</v>
      </c>
      <c r="E1574" t="s">
        <v>6</v>
      </c>
      <c r="F1574" t="s">
        <v>51</v>
      </c>
      <c r="G1574" t="s">
        <v>5</v>
      </c>
    </row>
    <row r="1575" spans="1:7" x14ac:dyDescent="0.3">
      <c r="A1575" t="s">
        <v>26</v>
      </c>
      <c r="B1575" s="1">
        <v>45838</v>
      </c>
      <c r="C1575">
        <v>546013</v>
      </c>
      <c r="D1575">
        <v>-195.13900000000001</v>
      </c>
      <c r="E1575" t="s">
        <v>6</v>
      </c>
      <c r="F1575" t="s">
        <v>51</v>
      </c>
      <c r="G1575" t="s">
        <v>5</v>
      </c>
    </row>
    <row r="1576" spans="1:7" x14ac:dyDescent="0.3">
      <c r="A1576" t="s">
        <v>26</v>
      </c>
      <c r="B1576" s="1">
        <v>45838</v>
      </c>
      <c r="C1576">
        <v>546015</v>
      </c>
      <c r="D1576">
        <v>-74.045000000000002</v>
      </c>
      <c r="E1576" t="s">
        <v>6</v>
      </c>
      <c r="F1576" t="s">
        <v>51</v>
      </c>
      <c r="G1576" t="s">
        <v>5</v>
      </c>
    </row>
    <row r="1577" spans="1:7" x14ac:dyDescent="0.3">
      <c r="A1577" t="s">
        <v>26</v>
      </c>
      <c r="B1577" s="1">
        <v>45838</v>
      </c>
      <c r="C1577">
        <v>550002</v>
      </c>
      <c r="D1577">
        <v>23723.87</v>
      </c>
      <c r="E1577" t="s">
        <v>6</v>
      </c>
      <c r="F1577" t="s">
        <v>62</v>
      </c>
      <c r="G1577" t="s">
        <v>5</v>
      </c>
    </row>
    <row r="1578" spans="1:7" x14ac:dyDescent="0.3">
      <c r="A1578" t="s">
        <v>26</v>
      </c>
      <c r="B1578" s="1">
        <v>45838</v>
      </c>
      <c r="C1578">
        <v>550003</v>
      </c>
      <c r="D1578">
        <v>-4593.1289999999999</v>
      </c>
      <c r="E1578" t="s">
        <v>6</v>
      </c>
      <c r="F1578" t="s">
        <v>62</v>
      </c>
      <c r="G1578" t="s">
        <v>5</v>
      </c>
    </row>
    <row r="1579" spans="1:7" x14ac:dyDescent="0.3">
      <c r="A1579" t="s">
        <v>26</v>
      </c>
      <c r="B1579" s="1">
        <v>45838</v>
      </c>
      <c r="C1579">
        <v>551002</v>
      </c>
      <c r="D1579">
        <v>0</v>
      </c>
      <c r="E1579" t="s">
        <v>6</v>
      </c>
      <c r="F1579" t="s">
        <v>63</v>
      </c>
      <c r="G1579" t="s">
        <v>5</v>
      </c>
    </row>
    <row r="1580" spans="1:7" x14ac:dyDescent="0.3">
      <c r="A1580" t="s">
        <v>26</v>
      </c>
      <c r="B1580" s="1">
        <v>45838</v>
      </c>
      <c r="C1580">
        <v>551003</v>
      </c>
      <c r="D1580">
        <v>575.05600000000004</v>
      </c>
      <c r="E1580" t="s">
        <v>6</v>
      </c>
      <c r="F1580" t="s">
        <v>63</v>
      </c>
      <c r="G1580" t="s">
        <v>5</v>
      </c>
    </row>
    <row r="1581" spans="1:7" x14ac:dyDescent="0.3">
      <c r="A1581" t="s">
        <v>26</v>
      </c>
      <c r="B1581" s="1">
        <v>45838</v>
      </c>
      <c r="C1581">
        <v>552502</v>
      </c>
      <c r="D1581">
        <v>1634.989</v>
      </c>
      <c r="E1581" t="s">
        <v>6</v>
      </c>
      <c r="F1581" t="s">
        <v>55</v>
      </c>
      <c r="G1581" t="s">
        <v>5</v>
      </c>
    </row>
    <row r="1582" spans="1:7" x14ac:dyDescent="0.3">
      <c r="A1582" t="s">
        <v>26</v>
      </c>
      <c r="B1582" s="1">
        <v>45838</v>
      </c>
      <c r="C1582">
        <v>555508</v>
      </c>
      <c r="D1582">
        <v>6.36</v>
      </c>
      <c r="E1582" t="s">
        <v>6</v>
      </c>
      <c r="F1582" t="s">
        <v>55</v>
      </c>
      <c r="G1582" t="s">
        <v>5</v>
      </c>
    </row>
    <row r="1583" spans="1:7" x14ac:dyDescent="0.3">
      <c r="A1583" t="s">
        <v>26</v>
      </c>
      <c r="B1583" s="1">
        <v>45838</v>
      </c>
      <c r="C1583">
        <v>556002</v>
      </c>
      <c r="D1583">
        <v>70.850999999999999</v>
      </c>
      <c r="E1583" t="s">
        <v>6</v>
      </c>
      <c r="F1583" t="s">
        <v>60</v>
      </c>
      <c r="G1583" t="s">
        <v>5</v>
      </c>
    </row>
    <row r="1584" spans="1:7" x14ac:dyDescent="0.3">
      <c r="A1584" t="s">
        <v>26</v>
      </c>
      <c r="B1584" s="1">
        <v>45838</v>
      </c>
      <c r="C1584">
        <v>557002</v>
      </c>
      <c r="D1584">
        <v>893.65899999999999</v>
      </c>
      <c r="E1584" t="s">
        <v>6</v>
      </c>
      <c r="F1584" t="s">
        <v>56</v>
      </c>
      <c r="G1584" t="s">
        <v>5</v>
      </c>
    </row>
    <row r="1585" spans="1:7" x14ac:dyDescent="0.3">
      <c r="A1585" t="s">
        <v>26</v>
      </c>
      <c r="B1585" s="1">
        <v>45838</v>
      </c>
      <c r="C1585">
        <v>558006</v>
      </c>
      <c r="D1585">
        <v>-589.51900000000001</v>
      </c>
      <c r="E1585" t="s">
        <v>6</v>
      </c>
      <c r="F1585" t="s">
        <v>57</v>
      </c>
      <c r="G1585" t="s">
        <v>5</v>
      </c>
    </row>
    <row r="1586" spans="1:7" x14ac:dyDescent="0.3">
      <c r="A1586" t="s">
        <v>26</v>
      </c>
      <c r="B1586" s="1">
        <v>45838</v>
      </c>
      <c r="C1586">
        <v>558012</v>
      </c>
      <c r="D1586">
        <v>4.649</v>
      </c>
      <c r="E1586" t="s">
        <v>6</v>
      </c>
      <c r="F1586" t="s">
        <v>60</v>
      </c>
      <c r="G1586" t="s">
        <v>5</v>
      </c>
    </row>
    <row r="1587" spans="1:7" x14ac:dyDescent="0.3">
      <c r="A1587" t="s">
        <v>26</v>
      </c>
      <c r="B1587" s="1">
        <v>45838</v>
      </c>
      <c r="C1587">
        <v>559002</v>
      </c>
      <c r="D1587">
        <v>15.391</v>
      </c>
      <c r="E1587" t="s">
        <v>6</v>
      </c>
      <c r="F1587" t="s">
        <v>60</v>
      </c>
      <c r="G1587" t="s">
        <v>5</v>
      </c>
    </row>
    <row r="1588" spans="1:7" x14ac:dyDescent="0.3">
      <c r="A1588" t="s">
        <v>26</v>
      </c>
      <c r="B1588" s="1">
        <v>45838</v>
      </c>
      <c r="C1588">
        <v>560008</v>
      </c>
      <c r="D1588">
        <v>283.17200000000003</v>
      </c>
      <c r="E1588" t="s">
        <v>6</v>
      </c>
      <c r="F1588" t="s">
        <v>56</v>
      </c>
      <c r="G1588" t="s">
        <v>5</v>
      </c>
    </row>
    <row r="1589" spans="1:7" x14ac:dyDescent="0.3">
      <c r="A1589" t="s">
        <v>26</v>
      </c>
      <c r="B1589" s="1">
        <v>45838</v>
      </c>
      <c r="C1589">
        <v>563002</v>
      </c>
      <c r="D1589">
        <v>1104.463</v>
      </c>
      <c r="E1589" t="s">
        <v>6</v>
      </c>
      <c r="F1589" t="s">
        <v>57</v>
      </c>
      <c r="G1589" t="s">
        <v>5</v>
      </c>
    </row>
    <row r="1590" spans="1:7" x14ac:dyDescent="0.3">
      <c r="A1590" t="s">
        <v>26</v>
      </c>
      <c r="B1590" s="1">
        <v>45838</v>
      </c>
      <c r="C1590">
        <v>564019</v>
      </c>
      <c r="D1590">
        <v>6274.5690000000004</v>
      </c>
      <c r="E1590" t="s">
        <v>6</v>
      </c>
      <c r="F1590" t="s">
        <v>51</v>
      </c>
      <c r="G1590" t="s">
        <v>5</v>
      </c>
    </row>
    <row r="1591" spans="1:7" x14ac:dyDescent="0.3">
      <c r="A1591" t="s">
        <v>26</v>
      </c>
      <c r="B1591" s="1">
        <v>45838</v>
      </c>
      <c r="C1591">
        <v>564020</v>
      </c>
      <c r="D1591">
        <v>94.097999999999999</v>
      </c>
      <c r="E1591" t="s">
        <v>6</v>
      </c>
      <c r="F1591" t="s">
        <v>57</v>
      </c>
      <c r="G1591" t="s">
        <v>5</v>
      </c>
    </row>
    <row r="1592" spans="1:7" x14ac:dyDescent="0.3">
      <c r="A1592" t="s">
        <v>26</v>
      </c>
      <c r="B1592" s="1">
        <v>45838</v>
      </c>
      <c r="C1592">
        <v>564021</v>
      </c>
      <c r="D1592">
        <v>0.871</v>
      </c>
      <c r="E1592" t="s">
        <v>6</v>
      </c>
      <c r="F1592" t="s">
        <v>57</v>
      </c>
      <c r="G1592" t="s">
        <v>5</v>
      </c>
    </row>
    <row r="1593" spans="1:7" x14ac:dyDescent="0.3">
      <c r="A1593" t="s">
        <v>26</v>
      </c>
      <c r="B1593" s="1">
        <v>45838</v>
      </c>
      <c r="C1593">
        <v>570002</v>
      </c>
      <c r="D1593">
        <v>56.68</v>
      </c>
      <c r="E1593" t="s">
        <v>6</v>
      </c>
      <c r="F1593" t="s">
        <v>66</v>
      </c>
      <c r="G1593" t="s">
        <v>5</v>
      </c>
    </row>
    <row r="1594" spans="1:7" x14ac:dyDescent="0.3">
      <c r="A1594" t="s">
        <v>27</v>
      </c>
      <c r="B1594" s="1">
        <v>45838</v>
      </c>
      <c r="C1594">
        <v>220006</v>
      </c>
      <c r="D1594">
        <v>4370.95</v>
      </c>
      <c r="E1594" t="s">
        <v>4</v>
      </c>
      <c r="F1594" t="s">
        <v>42</v>
      </c>
      <c r="G1594" t="s">
        <v>8</v>
      </c>
    </row>
    <row r="1595" spans="1:7" x14ac:dyDescent="0.3">
      <c r="A1595" t="s">
        <v>27</v>
      </c>
      <c r="B1595" s="1">
        <v>45838</v>
      </c>
      <c r="C1595">
        <v>240002</v>
      </c>
      <c r="D1595">
        <v>-92.400999999999996</v>
      </c>
      <c r="E1595" t="s">
        <v>4</v>
      </c>
      <c r="F1595" t="s">
        <v>43</v>
      </c>
      <c r="G1595" t="s">
        <v>8</v>
      </c>
    </row>
    <row r="1596" spans="1:7" x14ac:dyDescent="0.3">
      <c r="A1596" t="s">
        <v>27</v>
      </c>
      <c r="B1596" s="1">
        <v>45838</v>
      </c>
      <c r="C1596">
        <v>240009</v>
      </c>
      <c r="D1596">
        <v>0</v>
      </c>
      <c r="E1596" t="s">
        <v>4</v>
      </c>
      <c r="F1596" t="s">
        <v>43</v>
      </c>
      <c r="G1596" t="s">
        <v>8</v>
      </c>
    </row>
    <row r="1597" spans="1:7" x14ac:dyDescent="0.3">
      <c r="A1597" t="s">
        <v>27</v>
      </c>
      <c r="B1597" s="1">
        <v>45838</v>
      </c>
      <c r="C1597">
        <v>243002</v>
      </c>
      <c r="D1597">
        <v>-555.52099999999996</v>
      </c>
      <c r="E1597" t="s">
        <v>4</v>
      </c>
      <c r="F1597" t="s">
        <v>43</v>
      </c>
      <c r="G1597" t="s">
        <v>8</v>
      </c>
    </row>
    <row r="1598" spans="1:7" x14ac:dyDescent="0.3">
      <c r="A1598" t="s">
        <v>27</v>
      </c>
      <c r="B1598" s="1">
        <v>45838</v>
      </c>
      <c r="C1598">
        <v>330141</v>
      </c>
      <c r="D1598">
        <v>-3729.9279999999999</v>
      </c>
      <c r="E1598" t="s">
        <v>4</v>
      </c>
      <c r="F1598" t="s">
        <v>43</v>
      </c>
      <c r="G1598" t="s">
        <v>8</v>
      </c>
    </row>
    <row r="1599" spans="1:7" x14ac:dyDescent="0.3">
      <c r="A1599" t="s">
        <v>27</v>
      </c>
      <c r="B1599" s="1">
        <v>45838</v>
      </c>
      <c r="C1599">
        <v>340165</v>
      </c>
      <c r="D1599">
        <v>0</v>
      </c>
      <c r="E1599" t="s">
        <v>4</v>
      </c>
      <c r="F1599" t="s">
        <v>47</v>
      </c>
      <c r="G1599" t="s">
        <v>8</v>
      </c>
    </row>
    <row r="1600" spans="1:7" x14ac:dyDescent="0.3">
      <c r="A1600" t="s">
        <v>27</v>
      </c>
      <c r="B1600" s="1">
        <v>45838</v>
      </c>
      <c r="C1600">
        <v>350031</v>
      </c>
      <c r="D1600">
        <v>0</v>
      </c>
      <c r="E1600" t="s">
        <v>4</v>
      </c>
      <c r="F1600" t="s">
        <v>43</v>
      </c>
      <c r="G1600" t="s">
        <v>8</v>
      </c>
    </row>
    <row r="1601" spans="1:7" x14ac:dyDescent="0.3">
      <c r="A1601" t="s">
        <v>27</v>
      </c>
      <c r="B1601" s="1">
        <v>45838</v>
      </c>
      <c r="C1601">
        <v>355002</v>
      </c>
      <c r="D1601">
        <v>173.21899999999999</v>
      </c>
      <c r="E1601" t="s">
        <v>4</v>
      </c>
      <c r="F1601" t="s">
        <v>49</v>
      </c>
      <c r="G1601" t="s">
        <v>8</v>
      </c>
    </row>
    <row r="1602" spans="1:7" x14ac:dyDescent="0.3">
      <c r="A1602" t="s">
        <v>27</v>
      </c>
      <c r="B1602" s="1">
        <v>45838</v>
      </c>
      <c r="C1602">
        <v>552502</v>
      </c>
      <c r="D1602">
        <v>14.361000000000001</v>
      </c>
      <c r="E1602" t="s">
        <v>6</v>
      </c>
      <c r="F1602" t="s">
        <v>55</v>
      </c>
      <c r="G1602" t="s">
        <v>8</v>
      </c>
    </row>
    <row r="1603" spans="1:7" x14ac:dyDescent="0.3">
      <c r="A1603" t="s">
        <v>27</v>
      </c>
      <c r="B1603" s="1">
        <v>45838</v>
      </c>
      <c r="C1603">
        <v>557002</v>
      </c>
      <c r="D1603">
        <v>-187.864</v>
      </c>
      <c r="E1603" t="s">
        <v>6</v>
      </c>
      <c r="F1603" t="s">
        <v>56</v>
      </c>
      <c r="G1603" t="s">
        <v>8</v>
      </c>
    </row>
    <row r="1604" spans="1:7" x14ac:dyDescent="0.3">
      <c r="A1604" t="s">
        <v>27</v>
      </c>
      <c r="B1604" s="1">
        <v>45838</v>
      </c>
      <c r="C1604">
        <v>557003</v>
      </c>
      <c r="D1604">
        <v>8.2200000000000006</v>
      </c>
      <c r="E1604" t="s">
        <v>6</v>
      </c>
      <c r="F1604" t="s">
        <v>56</v>
      </c>
      <c r="G1604" t="s">
        <v>8</v>
      </c>
    </row>
    <row r="1605" spans="1:7" x14ac:dyDescent="0.3">
      <c r="A1605" t="s">
        <v>28</v>
      </c>
      <c r="B1605" s="1">
        <v>45838</v>
      </c>
      <c r="C1605">
        <v>220006</v>
      </c>
      <c r="D1605">
        <v>35694.612000000001</v>
      </c>
      <c r="E1605" t="s">
        <v>4</v>
      </c>
      <c r="F1605" t="s">
        <v>42</v>
      </c>
      <c r="G1605" t="s">
        <v>8</v>
      </c>
    </row>
    <row r="1606" spans="1:7" x14ac:dyDescent="0.3">
      <c r="A1606" t="s">
        <v>28</v>
      </c>
      <c r="B1606" s="1">
        <v>45838</v>
      </c>
      <c r="C1606">
        <v>240002</v>
      </c>
      <c r="D1606">
        <v>-69.334999999999994</v>
      </c>
      <c r="E1606" t="s">
        <v>4</v>
      </c>
      <c r="F1606" t="s">
        <v>43</v>
      </c>
      <c r="G1606" t="s">
        <v>8</v>
      </c>
    </row>
    <row r="1607" spans="1:7" x14ac:dyDescent="0.3">
      <c r="A1607" t="s">
        <v>28</v>
      </c>
      <c r="B1607" s="1">
        <v>45838</v>
      </c>
      <c r="C1607">
        <v>240003</v>
      </c>
      <c r="D1607">
        <v>-24.757000000000001</v>
      </c>
      <c r="E1607" t="s">
        <v>4</v>
      </c>
      <c r="F1607" t="s">
        <v>43</v>
      </c>
      <c r="G1607" t="s">
        <v>8</v>
      </c>
    </row>
    <row r="1608" spans="1:7" x14ac:dyDescent="0.3">
      <c r="A1608" t="s">
        <v>28</v>
      </c>
      <c r="B1608" s="1">
        <v>45838</v>
      </c>
      <c r="C1608">
        <v>240009</v>
      </c>
      <c r="D1608">
        <v>-14.439</v>
      </c>
      <c r="E1608" t="s">
        <v>4</v>
      </c>
      <c r="F1608" t="s">
        <v>43</v>
      </c>
      <c r="G1608" t="s">
        <v>8</v>
      </c>
    </row>
    <row r="1609" spans="1:7" x14ac:dyDescent="0.3">
      <c r="A1609" t="s">
        <v>28</v>
      </c>
      <c r="B1609" s="1">
        <v>45838</v>
      </c>
      <c r="C1609">
        <v>242003</v>
      </c>
      <c r="D1609">
        <v>-624.06700000000001</v>
      </c>
      <c r="E1609" t="s">
        <v>4</v>
      </c>
      <c r="F1609" t="s">
        <v>43</v>
      </c>
      <c r="G1609" t="s">
        <v>8</v>
      </c>
    </row>
    <row r="1610" spans="1:7" x14ac:dyDescent="0.3">
      <c r="A1610" t="s">
        <v>28</v>
      </c>
      <c r="B1610" s="1">
        <v>45838</v>
      </c>
      <c r="C1610">
        <v>243002</v>
      </c>
      <c r="D1610">
        <v>0</v>
      </c>
      <c r="E1610" t="s">
        <v>4</v>
      </c>
      <c r="F1610" t="s">
        <v>43</v>
      </c>
      <c r="G1610" t="s">
        <v>8</v>
      </c>
    </row>
    <row r="1611" spans="1:7" x14ac:dyDescent="0.3">
      <c r="A1611" t="s">
        <v>28</v>
      </c>
      <c r="B1611" s="1">
        <v>45838</v>
      </c>
      <c r="C1611">
        <v>257005</v>
      </c>
      <c r="D1611">
        <v>-99.658000000000001</v>
      </c>
      <c r="E1611" t="s">
        <v>4</v>
      </c>
      <c r="F1611" t="s">
        <v>45</v>
      </c>
      <c r="G1611" t="s">
        <v>8</v>
      </c>
    </row>
    <row r="1612" spans="1:7" x14ac:dyDescent="0.3">
      <c r="A1612" t="s">
        <v>28</v>
      </c>
      <c r="B1612" s="1">
        <v>45838</v>
      </c>
      <c r="C1612">
        <v>257008</v>
      </c>
      <c r="D1612">
        <v>178.78299999999999</v>
      </c>
      <c r="E1612" t="s">
        <v>4</v>
      </c>
      <c r="F1612" t="s">
        <v>45</v>
      </c>
      <c r="G1612" t="s">
        <v>8</v>
      </c>
    </row>
    <row r="1613" spans="1:7" x14ac:dyDescent="0.3">
      <c r="A1613" t="s">
        <v>28</v>
      </c>
      <c r="B1613" s="1">
        <v>45838</v>
      </c>
      <c r="C1613">
        <v>260004</v>
      </c>
      <c r="D1613">
        <v>4.0000000000000001E-3</v>
      </c>
      <c r="E1613" t="s">
        <v>4</v>
      </c>
      <c r="F1613" t="s">
        <v>45</v>
      </c>
      <c r="G1613" t="s">
        <v>8</v>
      </c>
    </row>
    <row r="1614" spans="1:7" x14ac:dyDescent="0.3">
      <c r="A1614" t="s">
        <v>28</v>
      </c>
      <c r="B1614" s="1">
        <v>45838</v>
      </c>
      <c r="C1614">
        <v>321004</v>
      </c>
      <c r="D1614">
        <v>0</v>
      </c>
      <c r="E1614" t="s">
        <v>4</v>
      </c>
      <c r="F1614" t="s">
        <v>46</v>
      </c>
      <c r="G1614" t="s">
        <v>8</v>
      </c>
    </row>
    <row r="1615" spans="1:7" x14ac:dyDescent="0.3">
      <c r="A1615" t="s">
        <v>28</v>
      </c>
      <c r="B1615" s="1">
        <v>45838</v>
      </c>
      <c r="C1615">
        <v>321030</v>
      </c>
      <c r="D1615">
        <v>556.721</v>
      </c>
      <c r="E1615" t="s">
        <v>4</v>
      </c>
      <c r="F1615" t="s">
        <v>46</v>
      </c>
      <c r="G1615" t="s">
        <v>8</v>
      </c>
    </row>
    <row r="1616" spans="1:7" x14ac:dyDescent="0.3">
      <c r="A1616" t="s">
        <v>28</v>
      </c>
      <c r="B1616" s="1">
        <v>45838</v>
      </c>
      <c r="C1616">
        <v>330124</v>
      </c>
      <c r="D1616">
        <v>-2044.8510000000001</v>
      </c>
      <c r="E1616" t="s">
        <v>4</v>
      </c>
      <c r="F1616" t="s">
        <v>43</v>
      </c>
      <c r="G1616" t="s">
        <v>8</v>
      </c>
    </row>
    <row r="1617" spans="1:7" x14ac:dyDescent="0.3">
      <c r="A1617" t="s">
        <v>28</v>
      </c>
      <c r="B1617" s="1">
        <v>45838</v>
      </c>
      <c r="C1617">
        <v>330130</v>
      </c>
      <c r="D1617">
        <v>-38284.53</v>
      </c>
      <c r="E1617" t="s">
        <v>4</v>
      </c>
      <c r="F1617" t="s">
        <v>43</v>
      </c>
      <c r="G1617" t="s">
        <v>8</v>
      </c>
    </row>
    <row r="1618" spans="1:7" x14ac:dyDescent="0.3">
      <c r="A1618" t="s">
        <v>28</v>
      </c>
      <c r="B1618" s="1">
        <v>45838</v>
      </c>
      <c r="C1618">
        <v>340234</v>
      </c>
      <c r="D1618">
        <v>4.8879999999999999</v>
      </c>
      <c r="E1618" t="s">
        <v>4</v>
      </c>
      <c r="F1618" t="s">
        <v>47</v>
      </c>
      <c r="G1618" t="s">
        <v>8</v>
      </c>
    </row>
    <row r="1619" spans="1:7" x14ac:dyDescent="0.3">
      <c r="A1619" t="s">
        <v>28</v>
      </c>
      <c r="B1619" s="1">
        <v>45838</v>
      </c>
      <c r="C1619">
        <v>340267</v>
      </c>
      <c r="D1619">
        <v>4369.96</v>
      </c>
      <c r="E1619" t="s">
        <v>4</v>
      </c>
      <c r="F1619" t="s">
        <v>47</v>
      </c>
      <c r="G1619" t="s">
        <v>8</v>
      </c>
    </row>
    <row r="1620" spans="1:7" x14ac:dyDescent="0.3">
      <c r="A1620" t="s">
        <v>28</v>
      </c>
      <c r="B1620" s="1">
        <v>45838</v>
      </c>
      <c r="C1620">
        <v>350031</v>
      </c>
      <c r="D1620">
        <v>14.439</v>
      </c>
      <c r="E1620" t="s">
        <v>4</v>
      </c>
      <c r="F1620" t="s">
        <v>43</v>
      </c>
      <c r="G1620" t="s">
        <v>8</v>
      </c>
    </row>
    <row r="1621" spans="1:7" x14ac:dyDescent="0.3">
      <c r="A1621" t="s">
        <v>28</v>
      </c>
      <c r="B1621" s="1">
        <v>45838</v>
      </c>
      <c r="C1621">
        <v>360019</v>
      </c>
      <c r="D1621">
        <v>26.367999999999999</v>
      </c>
      <c r="E1621" t="s">
        <v>4</v>
      </c>
      <c r="F1621" t="s">
        <v>58</v>
      </c>
      <c r="G1621" t="s">
        <v>8</v>
      </c>
    </row>
    <row r="1622" spans="1:7" x14ac:dyDescent="0.3">
      <c r="A1622" t="s">
        <v>28</v>
      </c>
      <c r="B1622" s="1">
        <v>45838</v>
      </c>
      <c r="C1622">
        <v>360022</v>
      </c>
      <c r="D1622">
        <v>63.98</v>
      </c>
      <c r="E1622" t="s">
        <v>4</v>
      </c>
      <c r="F1622" t="s">
        <v>58</v>
      </c>
      <c r="G1622" t="s">
        <v>8</v>
      </c>
    </row>
    <row r="1623" spans="1:7" x14ac:dyDescent="0.3">
      <c r="A1623" t="s">
        <v>28</v>
      </c>
      <c r="B1623" s="1">
        <v>45838</v>
      </c>
      <c r="C1623">
        <v>372002</v>
      </c>
      <c r="D1623">
        <v>16.754999999999999</v>
      </c>
      <c r="E1623" t="s">
        <v>4</v>
      </c>
      <c r="F1623" t="s">
        <v>45</v>
      </c>
      <c r="G1623" t="s">
        <v>8</v>
      </c>
    </row>
    <row r="1624" spans="1:7" x14ac:dyDescent="0.3">
      <c r="A1624" t="s">
        <v>28</v>
      </c>
      <c r="B1624" s="1">
        <v>45838</v>
      </c>
      <c r="C1624">
        <v>372004</v>
      </c>
      <c r="D1624">
        <v>44.082000000000001</v>
      </c>
      <c r="E1624" t="s">
        <v>4</v>
      </c>
      <c r="F1624" t="s">
        <v>45</v>
      </c>
      <c r="G1624" t="s">
        <v>8</v>
      </c>
    </row>
    <row r="1625" spans="1:7" x14ac:dyDescent="0.3">
      <c r="A1625" t="s">
        <v>28</v>
      </c>
      <c r="B1625" s="1">
        <v>45838</v>
      </c>
      <c r="C1625">
        <v>421002</v>
      </c>
      <c r="D1625">
        <v>-26.308</v>
      </c>
      <c r="E1625" t="s">
        <v>6</v>
      </c>
      <c r="F1625" t="s">
        <v>52</v>
      </c>
      <c r="G1625" t="s">
        <v>8</v>
      </c>
    </row>
    <row r="1626" spans="1:7" x14ac:dyDescent="0.3">
      <c r="A1626" t="s">
        <v>28</v>
      </c>
      <c r="B1626" s="1">
        <v>45838</v>
      </c>
      <c r="C1626">
        <v>421003</v>
      </c>
      <c r="D1626">
        <v>30.649000000000001</v>
      </c>
      <c r="E1626" t="s">
        <v>6</v>
      </c>
      <c r="F1626" t="s">
        <v>52</v>
      </c>
      <c r="G1626" t="s">
        <v>8</v>
      </c>
    </row>
    <row r="1627" spans="1:7" x14ac:dyDescent="0.3">
      <c r="A1627" t="s">
        <v>28</v>
      </c>
      <c r="B1627" s="1">
        <v>45838</v>
      </c>
      <c r="C1627">
        <v>557002</v>
      </c>
      <c r="D1627">
        <v>-41.192999999999998</v>
      </c>
      <c r="E1627" t="s">
        <v>6</v>
      </c>
      <c r="F1627" t="s">
        <v>56</v>
      </c>
      <c r="G1627" t="s">
        <v>8</v>
      </c>
    </row>
    <row r="1628" spans="1:7" x14ac:dyDescent="0.3">
      <c r="A1628" t="s">
        <v>28</v>
      </c>
      <c r="B1628" s="1">
        <v>45838</v>
      </c>
      <c r="C1628">
        <v>564019</v>
      </c>
      <c r="D1628">
        <v>166.02099999999999</v>
      </c>
      <c r="E1628" t="s">
        <v>6</v>
      </c>
      <c r="F1628" t="s">
        <v>51</v>
      </c>
      <c r="G1628" t="s">
        <v>8</v>
      </c>
    </row>
    <row r="1629" spans="1:7" x14ac:dyDescent="0.3">
      <c r="A1629" t="s">
        <v>28</v>
      </c>
      <c r="B1629" s="1">
        <v>45838</v>
      </c>
      <c r="C1629">
        <v>564020</v>
      </c>
      <c r="D1629">
        <v>64.233000000000004</v>
      </c>
      <c r="E1629" t="s">
        <v>6</v>
      </c>
      <c r="F1629" t="s">
        <v>57</v>
      </c>
      <c r="G1629" t="s">
        <v>8</v>
      </c>
    </row>
    <row r="1630" spans="1:7" x14ac:dyDescent="0.3">
      <c r="A1630" t="s">
        <v>29</v>
      </c>
      <c r="B1630" s="1">
        <v>45838</v>
      </c>
      <c r="C1630">
        <v>220006</v>
      </c>
      <c r="D1630">
        <v>-614365.70600000001</v>
      </c>
      <c r="E1630" t="s">
        <v>4</v>
      </c>
      <c r="F1630" t="s">
        <v>42</v>
      </c>
      <c r="G1630" t="s">
        <v>8</v>
      </c>
    </row>
    <row r="1631" spans="1:7" x14ac:dyDescent="0.3">
      <c r="A1631" t="s">
        <v>29</v>
      </c>
      <c r="B1631" s="1">
        <v>45838</v>
      </c>
      <c r="C1631">
        <v>240002</v>
      </c>
      <c r="D1631">
        <v>0</v>
      </c>
      <c r="E1631" t="s">
        <v>4</v>
      </c>
      <c r="F1631" t="s">
        <v>43</v>
      </c>
      <c r="G1631" t="s">
        <v>8</v>
      </c>
    </row>
    <row r="1632" spans="1:7" x14ac:dyDescent="0.3">
      <c r="A1632" t="s">
        <v>29</v>
      </c>
      <c r="B1632" s="1">
        <v>45838</v>
      </c>
      <c r="C1632">
        <v>240003</v>
      </c>
      <c r="D1632">
        <v>0</v>
      </c>
      <c r="E1632" t="s">
        <v>4</v>
      </c>
      <c r="F1632" t="s">
        <v>43</v>
      </c>
      <c r="G1632" t="s">
        <v>8</v>
      </c>
    </row>
    <row r="1633" spans="1:7" x14ac:dyDescent="0.3">
      <c r="A1633" t="s">
        <v>29</v>
      </c>
      <c r="B1633" s="1">
        <v>45838</v>
      </c>
      <c r="C1633">
        <v>242003</v>
      </c>
      <c r="D1633">
        <v>-31289.089</v>
      </c>
      <c r="E1633" t="s">
        <v>4</v>
      </c>
      <c r="F1633" t="s">
        <v>43</v>
      </c>
      <c r="G1633" t="s">
        <v>8</v>
      </c>
    </row>
    <row r="1634" spans="1:7" x14ac:dyDescent="0.3">
      <c r="A1634" t="s">
        <v>29</v>
      </c>
      <c r="B1634" s="1">
        <v>45838</v>
      </c>
      <c r="C1634">
        <v>242007</v>
      </c>
      <c r="D1634">
        <v>0</v>
      </c>
      <c r="E1634" t="s">
        <v>4</v>
      </c>
      <c r="F1634" t="s">
        <v>43</v>
      </c>
      <c r="G1634" t="s">
        <v>8</v>
      </c>
    </row>
    <row r="1635" spans="1:7" x14ac:dyDescent="0.3">
      <c r="A1635" t="s">
        <v>29</v>
      </c>
      <c r="B1635" s="1">
        <v>45838</v>
      </c>
      <c r="C1635">
        <v>242012</v>
      </c>
      <c r="D1635">
        <v>-2238.268</v>
      </c>
      <c r="E1635" t="s">
        <v>4</v>
      </c>
      <c r="F1635" t="s">
        <v>43</v>
      </c>
      <c r="G1635" t="s">
        <v>8</v>
      </c>
    </row>
    <row r="1636" spans="1:7" x14ac:dyDescent="0.3">
      <c r="A1636" t="s">
        <v>29</v>
      </c>
      <c r="B1636" s="1">
        <v>45838</v>
      </c>
      <c r="C1636">
        <v>242013</v>
      </c>
      <c r="D1636">
        <v>-266.87400000000002</v>
      </c>
      <c r="E1636" t="s">
        <v>4</v>
      </c>
      <c r="F1636" t="s">
        <v>43</v>
      </c>
      <c r="G1636" t="s">
        <v>8</v>
      </c>
    </row>
    <row r="1637" spans="1:7" x14ac:dyDescent="0.3">
      <c r="A1637" t="s">
        <v>29</v>
      </c>
      <c r="B1637" s="1">
        <v>45838</v>
      </c>
      <c r="C1637">
        <v>242023</v>
      </c>
      <c r="D1637">
        <v>-8861.1360000000004</v>
      </c>
      <c r="E1637" t="s">
        <v>4</v>
      </c>
      <c r="F1637" t="s">
        <v>43</v>
      </c>
      <c r="G1637" t="s">
        <v>8</v>
      </c>
    </row>
    <row r="1638" spans="1:7" x14ac:dyDescent="0.3">
      <c r="A1638" t="s">
        <v>29</v>
      </c>
      <c r="B1638" s="1">
        <v>45838</v>
      </c>
      <c r="C1638">
        <v>242027</v>
      </c>
      <c r="D1638">
        <v>-2584.7539999999999</v>
      </c>
      <c r="E1638" t="s">
        <v>4</v>
      </c>
      <c r="F1638" t="s">
        <v>43</v>
      </c>
      <c r="G1638" t="s">
        <v>8</v>
      </c>
    </row>
    <row r="1639" spans="1:7" x14ac:dyDescent="0.3">
      <c r="A1639" t="s">
        <v>29</v>
      </c>
      <c r="B1639" s="1">
        <v>45838</v>
      </c>
      <c r="C1639">
        <v>242030</v>
      </c>
      <c r="D1639">
        <v>-298.19200000000001</v>
      </c>
      <c r="E1639" t="s">
        <v>4</v>
      </c>
      <c r="F1639" t="s">
        <v>43</v>
      </c>
      <c r="G1639" t="s">
        <v>8</v>
      </c>
    </row>
    <row r="1640" spans="1:7" x14ac:dyDescent="0.3">
      <c r="A1640" t="s">
        <v>29</v>
      </c>
      <c r="B1640" s="1">
        <v>45838</v>
      </c>
      <c r="C1640">
        <v>242039</v>
      </c>
      <c r="D1640">
        <v>-17378.457999999999</v>
      </c>
      <c r="E1640" t="s">
        <v>4</v>
      </c>
      <c r="F1640" t="s">
        <v>43</v>
      </c>
      <c r="G1640" t="s">
        <v>8</v>
      </c>
    </row>
    <row r="1641" spans="1:7" x14ac:dyDescent="0.3">
      <c r="A1641" t="s">
        <v>29</v>
      </c>
      <c r="B1641" s="1">
        <v>45838</v>
      </c>
      <c r="C1641">
        <v>242041</v>
      </c>
      <c r="D1641">
        <v>858.78200000000004</v>
      </c>
      <c r="E1641" t="s">
        <v>4</v>
      </c>
      <c r="F1641" t="s">
        <v>43</v>
      </c>
      <c r="G1641" t="s">
        <v>8</v>
      </c>
    </row>
    <row r="1642" spans="1:7" x14ac:dyDescent="0.3">
      <c r="A1642" t="s">
        <v>29</v>
      </c>
      <c r="B1642" s="1">
        <v>45838</v>
      </c>
      <c r="C1642">
        <v>243002</v>
      </c>
      <c r="D1642">
        <v>-7163.99</v>
      </c>
      <c r="E1642" t="s">
        <v>4</v>
      </c>
      <c r="F1642" t="s">
        <v>43</v>
      </c>
      <c r="G1642" t="s">
        <v>8</v>
      </c>
    </row>
    <row r="1643" spans="1:7" x14ac:dyDescent="0.3">
      <c r="A1643" t="s">
        <v>29</v>
      </c>
      <c r="B1643" s="1">
        <v>45838</v>
      </c>
      <c r="C1643">
        <v>243003</v>
      </c>
      <c r="D1643">
        <v>-7239.7370000000001</v>
      </c>
      <c r="E1643" t="s">
        <v>4</v>
      </c>
      <c r="F1643" t="s">
        <v>43</v>
      </c>
      <c r="G1643" t="s">
        <v>8</v>
      </c>
    </row>
    <row r="1644" spans="1:7" x14ac:dyDescent="0.3">
      <c r="A1644" t="s">
        <v>29</v>
      </c>
      <c r="B1644" s="1">
        <v>45838</v>
      </c>
      <c r="C1644">
        <v>243010</v>
      </c>
      <c r="D1644">
        <v>-231.95099999999999</v>
      </c>
      <c r="E1644" t="s">
        <v>4</v>
      </c>
      <c r="F1644" t="s">
        <v>43</v>
      </c>
      <c r="G1644" t="s">
        <v>8</v>
      </c>
    </row>
    <row r="1645" spans="1:7" x14ac:dyDescent="0.3">
      <c r="A1645" t="s">
        <v>29</v>
      </c>
      <c r="B1645" s="1">
        <v>45838</v>
      </c>
      <c r="C1645">
        <v>245002</v>
      </c>
      <c r="D1645">
        <v>-10.231</v>
      </c>
      <c r="E1645" t="s">
        <v>4</v>
      </c>
      <c r="F1645" t="s">
        <v>43</v>
      </c>
      <c r="G1645" t="s">
        <v>8</v>
      </c>
    </row>
    <row r="1646" spans="1:7" x14ac:dyDescent="0.3">
      <c r="A1646" t="s">
        <v>29</v>
      </c>
      <c r="B1646" s="1">
        <v>45838</v>
      </c>
      <c r="C1646">
        <v>245049</v>
      </c>
      <c r="D1646">
        <v>2130.913</v>
      </c>
      <c r="E1646" t="s">
        <v>4</v>
      </c>
      <c r="F1646" t="s">
        <v>43</v>
      </c>
      <c r="G1646" t="s">
        <v>8</v>
      </c>
    </row>
    <row r="1647" spans="1:7" x14ac:dyDescent="0.3">
      <c r="A1647" t="s">
        <v>29</v>
      </c>
      <c r="B1647" s="1">
        <v>45838</v>
      </c>
      <c r="C1647">
        <v>245055</v>
      </c>
      <c r="D1647">
        <v>0</v>
      </c>
      <c r="E1647" t="s">
        <v>4</v>
      </c>
      <c r="F1647" t="s">
        <v>43</v>
      </c>
      <c r="G1647" t="s">
        <v>8</v>
      </c>
    </row>
    <row r="1648" spans="1:7" x14ac:dyDescent="0.3">
      <c r="A1648" t="s">
        <v>29</v>
      </c>
      <c r="B1648" s="1">
        <v>45838</v>
      </c>
      <c r="C1648">
        <v>245056</v>
      </c>
      <c r="D1648">
        <v>-914.678</v>
      </c>
      <c r="E1648" t="s">
        <v>4</v>
      </c>
      <c r="F1648" t="s">
        <v>49</v>
      </c>
      <c r="G1648" t="s">
        <v>8</v>
      </c>
    </row>
    <row r="1649" spans="1:7" x14ac:dyDescent="0.3">
      <c r="A1649" t="s">
        <v>29</v>
      </c>
      <c r="B1649" s="1">
        <v>45838</v>
      </c>
      <c r="C1649">
        <v>245058</v>
      </c>
      <c r="D1649">
        <v>0</v>
      </c>
      <c r="E1649" t="s">
        <v>4</v>
      </c>
      <c r="F1649" t="s">
        <v>43</v>
      </c>
      <c r="G1649" t="s">
        <v>8</v>
      </c>
    </row>
    <row r="1650" spans="1:7" x14ac:dyDescent="0.3">
      <c r="A1650" t="s">
        <v>29</v>
      </c>
      <c r="B1650" s="1">
        <v>45838</v>
      </c>
      <c r="C1650">
        <v>245062</v>
      </c>
      <c r="D1650">
        <v>-3566.6010000000001</v>
      </c>
      <c r="E1650" t="s">
        <v>4</v>
      </c>
      <c r="F1650" t="s">
        <v>43</v>
      </c>
      <c r="G1650" t="s">
        <v>8</v>
      </c>
    </row>
    <row r="1651" spans="1:7" x14ac:dyDescent="0.3">
      <c r="A1651" t="s">
        <v>29</v>
      </c>
      <c r="B1651" s="1">
        <v>45838</v>
      </c>
      <c r="C1651">
        <v>250007</v>
      </c>
      <c r="D1651">
        <v>-6186.8639999999996</v>
      </c>
      <c r="E1651" t="s">
        <v>4</v>
      </c>
      <c r="F1651" t="s">
        <v>43</v>
      </c>
      <c r="G1651" t="s">
        <v>8</v>
      </c>
    </row>
    <row r="1652" spans="1:7" x14ac:dyDescent="0.3">
      <c r="A1652" t="s">
        <v>29</v>
      </c>
      <c r="B1652" s="1">
        <v>45838</v>
      </c>
      <c r="C1652">
        <v>251002</v>
      </c>
      <c r="D1652">
        <v>-40021.862000000001</v>
      </c>
      <c r="E1652" t="s">
        <v>4</v>
      </c>
      <c r="F1652" t="s">
        <v>45</v>
      </c>
      <c r="G1652" t="s">
        <v>8</v>
      </c>
    </row>
    <row r="1653" spans="1:7" x14ac:dyDescent="0.3">
      <c r="A1653" t="s">
        <v>29</v>
      </c>
      <c r="B1653" s="1">
        <v>45838</v>
      </c>
      <c r="C1653">
        <v>251003</v>
      </c>
      <c r="D1653">
        <v>-2107.7579999999998</v>
      </c>
      <c r="E1653" t="s">
        <v>4</v>
      </c>
      <c r="F1653" t="s">
        <v>45</v>
      </c>
      <c r="G1653" t="s">
        <v>8</v>
      </c>
    </row>
    <row r="1654" spans="1:7" x14ac:dyDescent="0.3">
      <c r="A1654" t="s">
        <v>29</v>
      </c>
      <c r="B1654" s="1">
        <v>45838</v>
      </c>
      <c r="C1654">
        <v>251005</v>
      </c>
      <c r="D1654">
        <v>0</v>
      </c>
      <c r="E1654" t="s">
        <v>4</v>
      </c>
      <c r="F1654" t="s">
        <v>46</v>
      </c>
      <c r="G1654" t="s">
        <v>8</v>
      </c>
    </row>
    <row r="1655" spans="1:7" x14ac:dyDescent="0.3">
      <c r="A1655" t="s">
        <v>29</v>
      </c>
      <c r="B1655" s="1">
        <v>45838</v>
      </c>
      <c r="C1655">
        <v>257005</v>
      </c>
      <c r="D1655">
        <v>-5550.848</v>
      </c>
      <c r="E1655" t="s">
        <v>4</v>
      </c>
      <c r="F1655" t="s">
        <v>45</v>
      </c>
      <c r="G1655" t="s">
        <v>8</v>
      </c>
    </row>
    <row r="1656" spans="1:7" x14ac:dyDescent="0.3">
      <c r="A1656" t="s">
        <v>29</v>
      </c>
      <c r="B1656" s="1">
        <v>45838</v>
      </c>
      <c r="C1656">
        <v>257014</v>
      </c>
      <c r="D1656">
        <v>-21281.882000000001</v>
      </c>
      <c r="E1656" t="s">
        <v>4</v>
      </c>
      <c r="F1656" t="s">
        <v>45</v>
      </c>
      <c r="G1656" t="s">
        <v>8</v>
      </c>
    </row>
    <row r="1657" spans="1:7" x14ac:dyDescent="0.3">
      <c r="A1657" t="s">
        <v>29</v>
      </c>
      <c r="B1657" s="1">
        <v>45838</v>
      </c>
      <c r="C1657">
        <v>257030</v>
      </c>
      <c r="D1657">
        <v>-13083.271000000001</v>
      </c>
      <c r="E1657" t="s">
        <v>4</v>
      </c>
      <c r="F1657" t="s">
        <v>45</v>
      </c>
      <c r="G1657" t="s">
        <v>8</v>
      </c>
    </row>
    <row r="1658" spans="1:7" x14ac:dyDescent="0.3">
      <c r="A1658" t="s">
        <v>29</v>
      </c>
      <c r="B1658" s="1">
        <v>45838</v>
      </c>
      <c r="C1658">
        <v>260004</v>
      </c>
      <c r="D1658">
        <v>-19477.335999999999</v>
      </c>
      <c r="E1658" t="s">
        <v>4</v>
      </c>
      <c r="F1658" t="s">
        <v>45</v>
      </c>
      <c r="G1658" t="s">
        <v>8</v>
      </c>
    </row>
    <row r="1659" spans="1:7" x14ac:dyDescent="0.3">
      <c r="A1659" t="s">
        <v>29</v>
      </c>
      <c r="B1659" s="1">
        <v>45838</v>
      </c>
      <c r="C1659">
        <v>270024</v>
      </c>
      <c r="D1659">
        <v>-68906.013999999996</v>
      </c>
      <c r="E1659" t="s">
        <v>4</v>
      </c>
      <c r="F1659" t="s">
        <v>58</v>
      </c>
      <c r="G1659" t="s">
        <v>8</v>
      </c>
    </row>
    <row r="1660" spans="1:7" x14ac:dyDescent="0.3">
      <c r="A1660" t="s">
        <v>29</v>
      </c>
      <c r="B1660" s="1">
        <v>45838</v>
      </c>
      <c r="C1660">
        <v>270025</v>
      </c>
      <c r="D1660">
        <v>-52991.445</v>
      </c>
      <c r="E1660" t="s">
        <v>4</v>
      </c>
      <c r="F1660" t="s">
        <v>58</v>
      </c>
      <c r="G1660" t="s">
        <v>8</v>
      </c>
    </row>
    <row r="1661" spans="1:7" x14ac:dyDescent="0.3">
      <c r="A1661" t="s">
        <v>29</v>
      </c>
      <c r="B1661" s="1">
        <v>45838</v>
      </c>
      <c r="C1661">
        <v>270027</v>
      </c>
      <c r="D1661">
        <v>-3377.221</v>
      </c>
      <c r="E1661" t="s">
        <v>4</v>
      </c>
      <c r="F1661" t="s">
        <v>58</v>
      </c>
      <c r="G1661" t="s">
        <v>8</v>
      </c>
    </row>
    <row r="1662" spans="1:7" x14ac:dyDescent="0.3">
      <c r="A1662" t="s">
        <v>29</v>
      </c>
      <c r="B1662" s="1">
        <v>45838</v>
      </c>
      <c r="C1662">
        <v>320002</v>
      </c>
      <c r="D1662">
        <v>266810.56300000002</v>
      </c>
      <c r="E1662" t="s">
        <v>4</v>
      </c>
      <c r="F1662" t="s">
        <v>46</v>
      </c>
      <c r="G1662" t="s">
        <v>8</v>
      </c>
    </row>
    <row r="1663" spans="1:7" x14ac:dyDescent="0.3">
      <c r="A1663" t="s">
        <v>29</v>
      </c>
      <c r="B1663" s="1">
        <v>45838</v>
      </c>
      <c r="C1663">
        <v>320003</v>
      </c>
      <c r="D1663">
        <v>-1670.9770000000001</v>
      </c>
      <c r="E1663" t="s">
        <v>4</v>
      </c>
      <c r="F1663" t="s">
        <v>46</v>
      </c>
      <c r="G1663" t="s">
        <v>8</v>
      </c>
    </row>
    <row r="1664" spans="1:7" x14ac:dyDescent="0.3">
      <c r="A1664" t="s">
        <v>29</v>
      </c>
      <c r="B1664" s="1">
        <v>45838</v>
      </c>
      <c r="C1664">
        <v>320004</v>
      </c>
      <c r="D1664">
        <v>-2823.2220000000002</v>
      </c>
      <c r="E1664" t="s">
        <v>4</v>
      </c>
      <c r="F1664" t="s">
        <v>46</v>
      </c>
      <c r="G1664" t="s">
        <v>8</v>
      </c>
    </row>
    <row r="1665" spans="1:7" x14ac:dyDescent="0.3">
      <c r="A1665" t="s">
        <v>29</v>
      </c>
      <c r="B1665" s="1">
        <v>45838</v>
      </c>
      <c r="C1665">
        <v>320024</v>
      </c>
      <c r="D1665">
        <v>0</v>
      </c>
      <c r="E1665" t="s">
        <v>4</v>
      </c>
      <c r="F1665" t="s">
        <v>46</v>
      </c>
      <c r="G1665" t="s">
        <v>8</v>
      </c>
    </row>
    <row r="1666" spans="1:7" x14ac:dyDescent="0.3">
      <c r="A1666" t="s">
        <v>29</v>
      </c>
      <c r="B1666" s="1">
        <v>45838</v>
      </c>
      <c r="C1666">
        <v>321002</v>
      </c>
      <c r="D1666">
        <v>12692.825000000001</v>
      </c>
      <c r="E1666" t="s">
        <v>4</v>
      </c>
      <c r="F1666" t="s">
        <v>46</v>
      </c>
      <c r="G1666" t="s">
        <v>8</v>
      </c>
    </row>
    <row r="1667" spans="1:7" x14ac:dyDescent="0.3">
      <c r="A1667" t="s">
        <v>29</v>
      </c>
      <c r="B1667" s="1">
        <v>45838</v>
      </c>
      <c r="C1667">
        <v>321004</v>
      </c>
      <c r="D1667">
        <v>5700.1790000000001</v>
      </c>
      <c r="E1667" t="s">
        <v>4</v>
      </c>
      <c r="F1667" t="s">
        <v>46</v>
      </c>
      <c r="G1667" t="s">
        <v>8</v>
      </c>
    </row>
    <row r="1668" spans="1:7" x14ac:dyDescent="0.3">
      <c r="A1668" t="s">
        <v>29</v>
      </c>
      <c r="B1668" s="1">
        <v>45838</v>
      </c>
      <c r="C1668">
        <v>321012</v>
      </c>
      <c r="D1668">
        <v>21.565999999999999</v>
      </c>
      <c r="E1668" t="s">
        <v>4</v>
      </c>
      <c r="F1668" t="s">
        <v>46</v>
      </c>
      <c r="G1668" t="s">
        <v>8</v>
      </c>
    </row>
    <row r="1669" spans="1:7" x14ac:dyDescent="0.3">
      <c r="A1669" t="s">
        <v>29</v>
      </c>
      <c r="B1669" s="1">
        <v>45838</v>
      </c>
      <c r="C1669">
        <v>321025</v>
      </c>
      <c r="D1669">
        <v>8011.1509999999998</v>
      </c>
      <c r="E1669" t="s">
        <v>4</v>
      </c>
      <c r="F1669" t="s">
        <v>46</v>
      </c>
      <c r="G1669" t="s">
        <v>8</v>
      </c>
    </row>
    <row r="1670" spans="1:7" x14ac:dyDescent="0.3">
      <c r="A1670" t="s">
        <v>29</v>
      </c>
      <c r="B1670" s="1">
        <v>45838</v>
      </c>
      <c r="C1670">
        <v>321042</v>
      </c>
      <c r="D1670">
        <v>6.4790000000000001</v>
      </c>
      <c r="E1670" t="s">
        <v>4</v>
      </c>
      <c r="F1670" t="s">
        <v>46</v>
      </c>
      <c r="G1670" t="s">
        <v>8</v>
      </c>
    </row>
    <row r="1671" spans="1:7" x14ac:dyDescent="0.3">
      <c r="A1671" t="s">
        <v>29</v>
      </c>
      <c r="B1671" s="1">
        <v>45838</v>
      </c>
      <c r="C1671">
        <v>330125</v>
      </c>
      <c r="D1671">
        <v>0</v>
      </c>
      <c r="E1671" t="s">
        <v>4</v>
      </c>
      <c r="F1671" t="s">
        <v>43</v>
      </c>
      <c r="G1671" t="s">
        <v>8</v>
      </c>
    </row>
    <row r="1672" spans="1:7" x14ac:dyDescent="0.3">
      <c r="A1672" t="s">
        <v>29</v>
      </c>
      <c r="B1672" s="1">
        <v>45838</v>
      </c>
      <c r="C1672">
        <v>330131</v>
      </c>
      <c r="D1672">
        <v>48037.173999999999</v>
      </c>
      <c r="E1672" t="s">
        <v>4</v>
      </c>
      <c r="F1672" t="s">
        <v>43</v>
      </c>
      <c r="G1672" t="s">
        <v>8</v>
      </c>
    </row>
    <row r="1673" spans="1:7" x14ac:dyDescent="0.3">
      <c r="A1673" t="s">
        <v>29</v>
      </c>
      <c r="B1673" s="1">
        <v>45838</v>
      </c>
      <c r="C1673">
        <v>340126</v>
      </c>
      <c r="D1673">
        <v>0</v>
      </c>
      <c r="E1673" t="s">
        <v>4</v>
      </c>
      <c r="F1673" t="s">
        <v>47</v>
      </c>
      <c r="G1673" t="s">
        <v>8</v>
      </c>
    </row>
    <row r="1674" spans="1:7" x14ac:dyDescent="0.3">
      <c r="A1674" t="s">
        <v>29</v>
      </c>
      <c r="B1674" s="1">
        <v>45838</v>
      </c>
      <c r="C1674">
        <v>340243</v>
      </c>
      <c r="D1674">
        <v>165871.53700000001</v>
      </c>
      <c r="E1674" t="s">
        <v>4</v>
      </c>
      <c r="F1674" t="s">
        <v>47</v>
      </c>
      <c r="G1674" t="s">
        <v>8</v>
      </c>
    </row>
    <row r="1675" spans="1:7" x14ac:dyDescent="0.3">
      <c r="A1675" t="s">
        <v>29</v>
      </c>
      <c r="B1675" s="1">
        <v>45838</v>
      </c>
      <c r="C1675">
        <v>340244</v>
      </c>
      <c r="D1675">
        <v>1291976.6170000001</v>
      </c>
      <c r="E1675" t="s">
        <v>4</v>
      </c>
      <c r="F1675" t="s">
        <v>47</v>
      </c>
      <c r="G1675" t="s">
        <v>8</v>
      </c>
    </row>
    <row r="1676" spans="1:7" x14ac:dyDescent="0.3">
      <c r="A1676" t="s">
        <v>29</v>
      </c>
      <c r="B1676" s="1">
        <v>45838</v>
      </c>
      <c r="C1676">
        <v>340245</v>
      </c>
      <c r="D1676">
        <v>-1360405.102</v>
      </c>
      <c r="E1676" t="s">
        <v>4</v>
      </c>
      <c r="F1676" t="s">
        <v>47</v>
      </c>
      <c r="G1676" t="s">
        <v>8</v>
      </c>
    </row>
    <row r="1677" spans="1:7" x14ac:dyDescent="0.3">
      <c r="A1677" t="s">
        <v>29</v>
      </c>
      <c r="B1677" s="1">
        <v>45838</v>
      </c>
      <c r="C1677">
        <v>340246</v>
      </c>
      <c r="D1677">
        <v>254001.67300000001</v>
      </c>
      <c r="E1677" t="s">
        <v>4</v>
      </c>
      <c r="F1677" t="s">
        <v>47</v>
      </c>
      <c r="G1677" t="s">
        <v>8</v>
      </c>
    </row>
    <row r="1678" spans="1:7" x14ac:dyDescent="0.3">
      <c r="A1678" t="s">
        <v>29</v>
      </c>
      <c r="B1678" s="1">
        <v>45838</v>
      </c>
      <c r="C1678">
        <v>340247</v>
      </c>
      <c r="D1678">
        <v>2587520.6669999999</v>
      </c>
      <c r="E1678" t="s">
        <v>4</v>
      </c>
      <c r="F1678" t="s">
        <v>47</v>
      </c>
      <c r="G1678" t="s">
        <v>8</v>
      </c>
    </row>
    <row r="1679" spans="1:7" x14ac:dyDescent="0.3">
      <c r="A1679" t="s">
        <v>29</v>
      </c>
      <c r="B1679" s="1">
        <v>45838</v>
      </c>
      <c r="C1679">
        <v>340248</v>
      </c>
      <c r="D1679">
        <v>-2740811.2650000001</v>
      </c>
      <c r="E1679" t="s">
        <v>4</v>
      </c>
      <c r="F1679" t="s">
        <v>47</v>
      </c>
      <c r="G1679" t="s">
        <v>8</v>
      </c>
    </row>
    <row r="1680" spans="1:7" x14ac:dyDescent="0.3">
      <c r="A1680" t="s">
        <v>29</v>
      </c>
      <c r="B1680" s="1">
        <v>45838</v>
      </c>
      <c r="C1680">
        <v>340249</v>
      </c>
      <c r="D1680">
        <v>2656.0439999999999</v>
      </c>
      <c r="E1680" t="s">
        <v>4</v>
      </c>
      <c r="F1680" t="s">
        <v>47</v>
      </c>
      <c r="G1680" t="s">
        <v>8</v>
      </c>
    </row>
    <row r="1681" spans="1:7" x14ac:dyDescent="0.3">
      <c r="A1681" t="s">
        <v>29</v>
      </c>
      <c r="B1681" s="1">
        <v>45838</v>
      </c>
      <c r="C1681">
        <v>340250</v>
      </c>
      <c r="D1681">
        <v>1220826.8060000001</v>
      </c>
      <c r="E1681" t="s">
        <v>4</v>
      </c>
      <c r="F1681" t="s">
        <v>47</v>
      </c>
      <c r="G1681" t="s">
        <v>8</v>
      </c>
    </row>
    <row r="1682" spans="1:7" x14ac:dyDescent="0.3">
      <c r="A1682" t="s">
        <v>29</v>
      </c>
      <c r="B1682" s="1">
        <v>45838</v>
      </c>
      <c r="C1682">
        <v>340251</v>
      </c>
      <c r="D1682">
        <v>-1044257.4790000001</v>
      </c>
      <c r="E1682" t="s">
        <v>4</v>
      </c>
      <c r="F1682" t="s">
        <v>47</v>
      </c>
      <c r="G1682" t="s">
        <v>8</v>
      </c>
    </row>
    <row r="1683" spans="1:7" x14ac:dyDescent="0.3">
      <c r="A1683" t="s">
        <v>29</v>
      </c>
      <c r="B1683" s="1">
        <v>45838</v>
      </c>
      <c r="C1683">
        <v>350002</v>
      </c>
      <c r="D1683">
        <v>1933.1020000000001</v>
      </c>
      <c r="E1683" t="s">
        <v>4</v>
      </c>
      <c r="F1683" t="s">
        <v>49</v>
      </c>
      <c r="G1683" t="s">
        <v>8</v>
      </c>
    </row>
    <row r="1684" spans="1:7" x14ac:dyDescent="0.3">
      <c r="A1684" t="s">
        <v>29</v>
      </c>
      <c r="B1684" s="1">
        <v>45838</v>
      </c>
      <c r="C1684">
        <v>350003</v>
      </c>
      <c r="D1684">
        <v>-1116.885</v>
      </c>
      <c r="E1684" t="s">
        <v>4</v>
      </c>
      <c r="F1684" t="s">
        <v>49</v>
      </c>
      <c r="G1684" t="s">
        <v>8</v>
      </c>
    </row>
    <row r="1685" spans="1:7" x14ac:dyDescent="0.3">
      <c r="A1685" t="s">
        <v>29</v>
      </c>
      <c r="B1685" s="1">
        <v>45838</v>
      </c>
      <c r="C1685">
        <v>350007</v>
      </c>
      <c r="D1685">
        <v>0</v>
      </c>
      <c r="E1685" t="s">
        <v>4</v>
      </c>
      <c r="F1685" t="s">
        <v>49</v>
      </c>
      <c r="G1685" t="s">
        <v>8</v>
      </c>
    </row>
    <row r="1686" spans="1:7" x14ac:dyDescent="0.3">
      <c r="A1686" t="s">
        <v>29</v>
      </c>
      <c r="B1686" s="1">
        <v>45838</v>
      </c>
      <c r="C1686">
        <v>350034</v>
      </c>
      <c r="D1686">
        <v>914.678</v>
      </c>
      <c r="E1686" t="s">
        <v>4</v>
      </c>
      <c r="F1686" t="s">
        <v>49</v>
      </c>
      <c r="G1686" t="s">
        <v>8</v>
      </c>
    </row>
    <row r="1687" spans="1:7" x14ac:dyDescent="0.3">
      <c r="A1687" t="s">
        <v>29</v>
      </c>
      <c r="B1687" s="1">
        <v>45838</v>
      </c>
      <c r="C1687">
        <v>354006</v>
      </c>
      <c r="D1687">
        <v>0</v>
      </c>
      <c r="E1687" t="s">
        <v>4</v>
      </c>
      <c r="F1687" t="s">
        <v>46</v>
      </c>
      <c r="G1687" t="s">
        <v>8</v>
      </c>
    </row>
    <row r="1688" spans="1:7" x14ac:dyDescent="0.3">
      <c r="A1688" t="s">
        <v>29</v>
      </c>
      <c r="B1688" s="1">
        <v>45838</v>
      </c>
      <c r="C1688">
        <v>354007</v>
      </c>
      <c r="D1688">
        <v>0</v>
      </c>
      <c r="E1688" t="s">
        <v>4</v>
      </c>
      <c r="F1688" t="s">
        <v>46</v>
      </c>
      <c r="G1688" t="s">
        <v>8</v>
      </c>
    </row>
    <row r="1689" spans="1:7" x14ac:dyDescent="0.3">
      <c r="A1689" t="s">
        <v>29</v>
      </c>
      <c r="B1689" s="1">
        <v>45838</v>
      </c>
      <c r="C1689">
        <v>354008</v>
      </c>
      <c r="D1689">
        <v>0</v>
      </c>
      <c r="E1689" t="s">
        <v>4</v>
      </c>
      <c r="F1689" t="s">
        <v>46</v>
      </c>
      <c r="G1689" t="s">
        <v>8</v>
      </c>
    </row>
    <row r="1690" spans="1:7" x14ac:dyDescent="0.3">
      <c r="A1690" t="s">
        <v>29</v>
      </c>
      <c r="B1690" s="1">
        <v>45838</v>
      </c>
      <c r="C1690">
        <v>354011</v>
      </c>
      <c r="D1690">
        <v>0</v>
      </c>
      <c r="E1690" t="s">
        <v>4</v>
      </c>
      <c r="F1690" t="s">
        <v>46</v>
      </c>
      <c r="G1690" t="s">
        <v>8</v>
      </c>
    </row>
    <row r="1691" spans="1:7" x14ac:dyDescent="0.3">
      <c r="A1691" t="s">
        <v>29</v>
      </c>
      <c r="B1691" s="1">
        <v>45838</v>
      </c>
      <c r="C1691">
        <v>354015</v>
      </c>
      <c r="D1691">
        <v>107928.70299999999</v>
      </c>
      <c r="E1691" t="s">
        <v>4</v>
      </c>
      <c r="F1691" t="s">
        <v>46</v>
      </c>
      <c r="G1691" t="s">
        <v>8</v>
      </c>
    </row>
    <row r="1692" spans="1:7" x14ac:dyDescent="0.3">
      <c r="A1692" t="s">
        <v>29</v>
      </c>
      <c r="B1692" s="1">
        <v>45838</v>
      </c>
      <c r="C1692">
        <v>355002</v>
      </c>
      <c r="D1692">
        <v>415.74099999999999</v>
      </c>
      <c r="E1692" t="s">
        <v>4</v>
      </c>
      <c r="F1692" t="s">
        <v>49</v>
      </c>
      <c r="G1692" t="s">
        <v>8</v>
      </c>
    </row>
    <row r="1693" spans="1:7" x14ac:dyDescent="0.3">
      <c r="A1693" t="s">
        <v>29</v>
      </c>
      <c r="B1693" s="1">
        <v>45838</v>
      </c>
      <c r="C1693">
        <v>355013</v>
      </c>
      <c r="D1693">
        <v>24362.469000000001</v>
      </c>
      <c r="E1693" t="s">
        <v>4</v>
      </c>
      <c r="F1693" t="s">
        <v>49</v>
      </c>
      <c r="G1693" t="s">
        <v>8</v>
      </c>
    </row>
    <row r="1694" spans="1:7" x14ac:dyDescent="0.3">
      <c r="A1694" t="s">
        <v>29</v>
      </c>
      <c r="B1694" s="1">
        <v>45838</v>
      </c>
      <c r="C1694">
        <v>360026</v>
      </c>
      <c r="D1694">
        <v>21929.456999999999</v>
      </c>
      <c r="E1694" t="s">
        <v>4</v>
      </c>
      <c r="F1694" t="s">
        <v>58</v>
      </c>
      <c r="G1694" t="s">
        <v>8</v>
      </c>
    </row>
    <row r="1695" spans="1:7" x14ac:dyDescent="0.3">
      <c r="A1695" t="s">
        <v>29</v>
      </c>
      <c r="B1695" s="1">
        <v>45838</v>
      </c>
      <c r="C1695">
        <v>360028</v>
      </c>
      <c r="D1695">
        <v>46177.417000000001</v>
      </c>
      <c r="E1695" t="s">
        <v>4</v>
      </c>
      <c r="F1695" t="s">
        <v>58</v>
      </c>
      <c r="G1695" t="s">
        <v>8</v>
      </c>
    </row>
    <row r="1696" spans="1:7" x14ac:dyDescent="0.3">
      <c r="A1696" t="s">
        <v>29</v>
      </c>
      <c r="B1696" s="1">
        <v>45838</v>
      </c>
      <c r="C1696">
        <v>360030</v>
      </c>
      <c r="D1696">
        <v>18694.758000000002</v>
      </c>
      <c r="E1696" t="s">
        <v>4</v>
      </c>
      <c r="F1696" t="s">
        <v>58</v>
      </c>
      <c r="G1696" t="s">
        <v>8</v>
      </c>
    </row>
    <row r="1697" spans="1:7" x14ac:dyDescent="0.3">
      <c r="A1697" t="s">
        <v>29</v>
      </c>
      <c r="B1697" s="1">
        <v>45838</v>
      </c>
      <c r="C1697">
        <v>372004</v>
      </c>
      <c r="D1697">
        <v>3542.4850000000001</v>
      </c>
      <c r="E1697" t="s">
        <v>4</v>
      </c>
      <c r="F1697" t="s">
        <v>45</v>
      </c>
      <c r="G1697" t="s">
        <v>8</v>
      </c>
    </row>
    <row r="1698" spans="1:7" x14ac:dyDescent="0.3">
      <c r="A1698" t="s">
        <v>29</v>
      </c>
      <c r="B1698" s="1">
        <v>45838</v>
      </c>
      <c r="C1698">
        <v>400002</v>
      </c>
      <c r="D1698">
        <v>-110861.83900000001</v>
      </c>
      <c r="E1698" t="s">
        <v>6</v>
      </c>
      <c r="F1698" t="s">
        <v>50</v>
      </c>
      <c r="G1698" t="s">
        <v>8</v>
      </c>
    </row>
    <row r="1699" spans="1:7" x14ac:dyDescent="0.3">
      <c r="A1699" t="s">
        <v>29</v>
      </c>
      <c r="B1699" s="1">
        <v>45838</v>
      </c>
      <c r="C1699">
        <v>400004</v>
      </c>
      <c r="D1699">
        <v>-301403.73300000001</v>
      </c>
      <c r="E1699" t="s">
        <v>6</v>
      </c>
      <c r="F1699" t="s">
        <v>50</v>
      </c>
      <c r="G1699" t="s">
        <v>8</v>
      </c>
    </row>
    <row r="1700" spans="1:7" x14ac:dyDescent="0.3">
      <c r="A1700" t="s">
        <v>29</v>
      </c>
      <c r="B1700" s="1">
        <v>45838</v>
      </c>
      <c r="C1700">
        <v>410002</v>
      </c>
      <c r="D1700">
        <v>-12390.421</v>
      </c>
      <c r="E1700" t="s">
        <v>6</v>
      </c>
      <c r="F1700" t="s">
        <v>51</v>
      </c>
      <c r="G1700" t="s">
        <v>8</v>
      </c>
    </row>
    <row r="1701" spans="1:7" x14ac:dyDescent="0.3">
      <c r="A1701" t="s">
        <v>29</v>
      </c>
      <c r="B1701" s="1">
        <v>45838</v>
      </c>
      <c r="C1701">
        <v>410005</v>
      </c>
      <c r="D1701">
        <v>-5564.3729999999996</v>
      </c>
      <c r="E1701" t="s">
        <v>6</v>
      </c>
      <c r="F1701" t="s">
        <v>51</v>
      </c>
      <c r="G1701" t="s">
        <v>8</v>
      </c>
    </row>
    <row r="1702" spans="1:7" x14ac:dyDescent="0.3">
      <c r="A1702" t="s">
        <v>29</v>
      </c>
      <c r="B1702" s="1">
        <v>45838</v>
      </c>
      <c r="C1702">
        <v>410032</v>
      </c>
      <c r="D1702">
        <v>-1630.6079999999999</v>
      </c>
      <c r="E1702" t="s">
        <v>6</v>
      </c>
      <c r="F1702" t="s">
        <v>51</v>
      </c>
      <c r="G1702" t="s">
        <v>8</v>
      </c>
    </row>
    <row r="1703" spans="1:7" x14ac:dyDescent="0.3">
      <c r="A1703" t="s">
        <v>29</v>
      </c>
      <c r="B1703" s="1">
        <v>45838</v>
      </c>
      <c r="C1703">
        <v>421002</v>
      </c>
      <c r="D1703">
        <v>-10145.66</v>
      </c>
      <c r="E1703" t="s">
        <v>6</v>
      </c>
      <c r="F1703" t="s">
        <v>52</v>
      </c>
      <c r="G1703" t="s">
        <v>8</v>
      </c>
    </row>
    <row r="1704" spans="1:7" x14ac:dyDescent="0.3">
      <c r="A1704" t="s">
        <v>29</v>
      </c>
      <c r="B1704" s="1">
        <v>45838</v>
      </c>
      <c r="C1704">
        <v>421003</v>
      </c>
      <c r="D1704">
        <v>-2214.0720000000001</v>
      </c>
      <c r="E1704" t="s">
        <v>6</v>
      </c>
      <c r="F1704" t="s">
        <v>52</v>
      </c>
      <c r="G1704" t="s">
        <v>8</v>
      </c>
    </row>
    <row r="1705" spans="1:7" x14ac:dyDescent="0.3">
      <c r="A1705" t="s">
        <v>29</v>
      </c>
      <c r="B1705" s="1">
        <v>45838</v>
      </c>
      <c r="C1705">
        <v>421004</v>
      </c>
      <c r="D1705">
        <v>-7301.8710000000001</v>
      </c>
      <c r="E1705" t="s">
        <v>6</v>
      </c>
      <c r="F1705" t="s">
        <v>52</v>
      </c>
      <c r="G1705" t="s">
        <v>8</v>
      </c>
    </row>
    <row r="1706" spans="1:7" x14ac:dyDescent="0.3">
      <c r="A1706" t="s">
        <v>29</v>
      </c>
      <c r="B1706" s="1">
        <v>45838</v>
      </c>
      <c r="C1706">
        <v>421007</v>
      </c>
      <c r="D1706">
        <v>2257.623</v>
      </c>
      <c r="E1706" t="s">
        <v>6</v>
      </c>
      <c r="F1706" t="s">
        <v>52</v>
      </c>
      <c r="G1706" t="s">
        <v>8</v>
      </c>
    </row>
    <row r="1707" spans="1:7" x14ac:dyDescent="0.3">
      <c r="A1707" t="s">
        <v>29</v>
      </c>
      <c r="B1707" s="1">
        <v>45838</v>
      </c>
      <c r="C1707">
        <v>510002</v>
      </c>
      <c r="D1707">
        <v>90723.83</v>
      </c>
      <c r="E1707" t="s">
        <v>6</v>
      </c>
      <c r="F1707" t="s">
        <v>53</v>
      </c>
      <c r="G1707" t="s">
        <v>8</v>
      </c>
    </row>
    <row r="1708" spans="1:7" x14ac:dyDescent="0.3">
      <c r="A1708" t="s">
        <v>29</v>
      </c>
      <c r="B1708" s="1">
        <v>45838</v>
      </c>
      <c r="C1708">
        <v>510005</v>
      </c>
      <c r="D1708">
        <v>2282.6320000000001</v>
      </c>
      <c r="E1708" t="s">
        <v>6</v>
      </c>
      <c r="F1708" t="s">
        <v>53</v>
      </c>
      <c r="G1708" t="s">
        <v>8</v>
      </c>
    </row>
    <row r="1709" spans="1:7" x14ac:dyDescent="0.3">
      <c r="A1709" t="s">
        <v>29</v>
      </c>
      <c r="B1709" s="1">
        <v>45838</v>
      </c>
      <c r="C1709">
        <v>510007</v>
      </c>
      <c r="D1709">
        <v>671.15300000000002</v>
      </c>
      <c r="E1709" t="s">
        <v>6</v>
      </c>
      <c r="F1709" t="s">
        <v>53</v>
      </c>
      <c r="G1709" t="s">
        <v>8</v>
      </c>
    </row>
    <row r="1710" spans="1:7" x14ac:dyDescent="0.3">
      <c r="A1710" t="s">
        <v>29</v>
      </c>
      <c r="B1710" s="1">
        <v>45838</v>
      </c>
      <c r="C1710">
        <v>510015</v>
      </c>
      <c r="D1710">
        <v>3138.6149999999998</v>
      </c>
      <c r="E1710" t="s">
        <v>6</v>
      </c>
      <c r="F1710" t="s">
        <v>53</v>
      </c>
      <c r="G1710" t="s">
        <v>8</v>
      </c>
    </row>
    <row r="1711" spans="1:7" x14ac:dyDescent="0.3">
      <c r="A1711" t="s">
        <v>29</v>
      </c>
      <c r="B1711" s="1">
        <v>45838</v>
      </c>
      <c r="C1711">
        <v>510018</v>
      </c>
      <c r="D1711">
        <v>4106.2809999999999</v>
      </c>
      <c r="E1711" t="s">
        <v>6</v>
      </c>
      <c r="F1711" t="s">
        <v>53</v>
      </c>
      <c r="G1711" t="s">
        <v>8</v>
      </c>
    </row>
    <row r="1712" spans="1:7" x14ac:dyDescent="0.3">
      <c r="A1712" t="s">
        <v>29</v>
      </c>
      <c r="B1712" s="1">
        <v>45838</v>
      </c>
      <c r="C1712">
        <v>510061</v>
      </c>
      <c r="D1712">
        <v>0</v>
      </c>
      <c r="E1712" t="s">
        <v>6</v>
      </c>
      <c r="F1712" t="s">
        <v>53</v>
      </c>
      <c r="G1712" t="s">
        <v>8</v>
      </c>
    </row>
    <row r="1713" spans="1:7" x14ac:dyDescent="0.3">
      <c r="A1713" t="s">
        <v>29</v>
      </c>
      <c r="B1713" s="1">
        <v>45838</v>
      </c>
      <c r="C1713">
        <v>510062</v>
      </c>
      <c r="D1713">
        <v>-2424.192</v>
      </c>
      <c r="E1713" t="s">
        <v>6</v>
      </c>
      <c r="F1713" t="s">
        <v>53</v>
      </c>
      <c r="G1713" t="s">
        <v>8</v>
      </c>
    </row>
    <row r="1714" spans="1:7" x14ac:dyDescent="0.3">
      <c r="A1714" t="s">
        <v>29</v>
      </c>
      <c r="B1714" s="1">
        <v>45838</v>
      </c>
      <c r="C1714">
        <v>510065</v>
      </c>
      <c r="D1714">
        <v>1156.154</v>
      </c>
      <c r="E1714" t="s">
        <v>6</v>
      </c>
      <c r="F1714" t="s">
        <v>53</v>
      </c>
      <c r="G1714" t="s">
        <v>8</v>
      </c>
    </row>
    <row r="1715" spans="1:7" x14ac:dyDescent="0.3">
      <c r="A1715" t="s">
        <v>29</v>
      </c>
      <c r="B1715" s="1">
        <v>45838</v>
      </c>
      <c r="C1715">
        <v>510066</v>
      </c>
      <c r="D1715">
        <v>0</v>
      </c>
      <c r="E1715" t="s">
        <v>6</v>
      </c>
      <c r="F1715" t="s">
        <v>53</v>
      </c>
      <c r="G1715" t="s">
        <v>8</v>
      </c>
    </row>
    <row r="1716" spans="1:7" x14ac:dyDescent="0.3">
      <c r="A1716" t="s">
        <v>29</v>
      </c>
      <c r="B1716" s="1">
        <v>45838</v>
      </c>
      <c r="C1716">
        <v>520021</v>
      </c>
      <c r="D1716">
        <v>110.227</v>
      </c>
      <c r="E1716" t="s">
        <v>6</v>
      </c>
      <c r="F1716" t="s">
        <v>60</v>
      </c>
      <c r="G1716" t="s">
        <v>8</v>
      </c>
    </row>
    <row r="1717" spans="1:7" x14ac:dyDescent="0.3">
      <c r="A1717" t="s">
        <v>29</v>
      </c>
      <c r="B1717" s="1">
        <v>45838</v>
      </c>
      <c r="C1717">
        <v>521002</v>
      </c>
      <c r="D1717">
        <v>0</v>
      </c>
      <c r="E1717" t="s">
        <v>6</v>
      </c>
      <c r="F1717" t="s">
        <v>53</v>
      </c>
      <c r="G1717" t="s">
        <v>8</v>
      </c>
    </row>
    <row r="1718" spans="1:7" x14ac:dyDescent="0.3">
      <c r="A1718" t="s">
        <v>29</v>
      </c>
      <c r="B1718" s="1">
        <v>45838</v>
      </c>
      <c r="C1718">
        <v>521006</v>
      </c>
      <c r="D1718">
        <v>0</v>
      </c>
      <c r="E1718" t="s">
        <v>6</v>
      </c>
      <c r="F1718" t="s">
        <v>53</v>
      </c>
      <c r="G1718" t="s">
        <v>8</v>
      </c>
    </row>
    <row r="1719" spans="1:7" x14ac:dyDescent="0.3">
      <c r="A1719" t="s">
        <v>29</v>
      </c>
      <c r="B1719" s="1">
        <v>45838</v>
      </c>
      <c r="C1719">
        <v>521007</v>
      </c>
      <c r="D1719">
        <v>0</v>
      </c>
      <c r="E1719" t="s">
        <v>6</v>
      </c>
      <c r="F1719" t="s">
        <v>53</v>
      </c>
      <c r="G1719" t="s">
        <v>8</v>
      </c>
    </row>
    <row r="1720" spans="1:7" x14ac:dyDescent="0.3">
      <c r="A1720" t="s">
        <v>29</v>
      </c>
      <c r="B1720" s="1">
        <v>45838</v>
      </c>
      <c r="C1720">
        <v>521008</v>
      </c>
      <c r="D1720">
        <v>0</v>
      </c>
      <c r="E1720" t="s">
        <v>6</v>
      </c>
      <c r="F1720" t="s">
        <v>53</v>
      </c>
      <c r="G1720" t="s">
        <v>8</v>
      </c>
    </row>
    <row r="1721" spans="1:7" x14ac:dyDescent="0.3">
      <c r="A1721" t="s">
        <v>29</v>
      </c>
      <c r="B1721" s="1">
        <v>45838</v>
      </c>
      <c r="C1721">
        <v>521014</v>
      </c>
      <c r="D1721">
        <v>0</v>
      </c>
      <c r="E1721" t="s">
        <v>6</v>
      </c>
      <c r="F1721" t="s">
        <v>53</v>
      </c>
      <c r="G1721" t="s">
        <v>8</v>
      </c>
    </row>
    <row r="1722" spans="1:7" x14ac:dyDescent="0.3">
      <c r="A1722" t="s">
        <v>29</v>
      </c>
      <c r="B1722" s="1">
        <v>45838</v>
      </c>
      <c r="C1722">
        <v>541004</v>
      </c>
      <c r="D1722">
        <v>1502.5519999999999</v>
      </c>
      <c r="E1722" t="s">
        <v>6</v>
      </c>
      <c r="F1722" t="s">
        <v>61</v>
      </c>
      <c r="G1722" t="s">
        <v>8</v>
      </c>
    </row>
    <row r="1723" spans="1:7" x14ac:dyDescent="0.3">
      <c r="A1723" t="s">
        <v>29</v>
      </c>
      <c r="B1723" s="1">
        <v>45838</v>
      </c>
      <c r="C1723">
        <v>541009</v>
      </c>
      <c r="D1723">
        <v>3.59</v>
      </c>
      <c r="E1723" t="s">
        <v>6</v>
      </c>
      <c r="F1723" t="s">
        <v>61</v>
      </c>
      <c r="G1723" t="s">
        <v>8</v>
      </c>
    </row>
    <row r="1724" spans="1:7" x14ac:dyDescent="0.3">
      <c r="A1724" t="s">
        <v>29</v>
      </c>
      <c r="B1724" s="1">
        <v>45838</v>
      </c>
      <c r="C1724">
        <v>541010</v>
      </c>
      <c r="D1724">
        <v>857.30499999999995</v>
      </c>
      <c r="E1724" t="s">
        <v>6</v>
      </c>
      <c r="F1724" t="s">
        <v>61</v>
      </c>
      <c r="G1724" t="s">
        <v>8</v>
      </c>
    </row>
    <row r="1725" spans="1:7" x14ac:dyDescent="0.3">
      <c r="A1725" t="s">
        <v>29</v>
      </c>
      <c r="B1725" s="1">
        <v>45838</v>
      </c>
      <c r="C1725">
        <v>541013</v>
      </c>
      <c r="D1725">
        <v>301.51799999999997</v>
      </c>
      <c r="E1725" t="s">
        <v>6</v>
      </c>
      <c r="F1725" t="s">
        <v>61</v>
      </c>
      <c r="G1725" t="s">
        <v>8</v>
      </c>
    </row>
    <row r="1726" spans="1:7" x14ac:dyDescent="0.3">
      <c r="A1726" t="s">
        <v>29</v>
      </c>
      <c r="B1726" s="1">
        <v>45838</v>
      </c>
      <c r="C1726">
        <v>546002</v>
      </c>
      <c r="D1726">
        <v>265235.28999999998</v>
      </c>
      <c r="E1726" t="s">
        <v>6</v>
      </c>
      <c r="F1726" t="s">
        <v>51</v>
      </c>
      <c r="G1726" t="s">
        <v>8</v>
      </c>
    </row>
    <row r="1727" spans="1:7" x14ac:dyDescent="0.3">
      <c r="A1727" t="s">
        <v>29</v>
      </c>
      <c r="B1727" s="1">
        <v>45838</v>
      </c>
      <c r="C1727">
        <v>546005</v>
      </c>
      <c r="D1727">
        <v>-3433.3609999999999</v>
      </c>
      <c r="E1727" t="s">
        <v>6</v>
      </c>
      <c r="F1727" t="s">
        <v>51</v>
      </c>
      <c r="G1727" t="s">
        <v>8</v>
      </c>
    </row>
    <row r="1728" spans="1:7" x14ac:dyDescent="0.3">
      <c r="A1728" t="s">
        <v>29</v>
      </c>
      <c r="B1728" s="1">
        <v>45838</v>
      </c>
      <c r="C1728">
        <v>546015</v>
      </c>
      <c r="D1728">
        <v>283.47399999999999</v>
      </c>
      <c r="E1728" t="s">
        <v>6</v>
      </c>
      <c r="F1728" t="s">
        <v>51</v>
      </c>
      <c r="G1728" t="s">
        <v>8</v>
      </c>
    </row>
    <row r="1729" spans="1:7" x14ac:dyDescent="0.3">
      <c r="A1729" t="s">
        <v>29</v>
      </c>
      <c r="B1729" s="1">
        <v>45838</v>
      </c>
      <c r="C1729">
        <v>546016</v>
      </c>
      <c r="D1729">
        <v>89.804000000000002</v>
      </c>
      <c r="E1729" t="s">
        <v>6</v>
      </c>
      <c r="F1729" t="s">
        <v>51</v>
      </c>
      <c r="G1729" t="s">
        <v>8</v>
      </c>
    </row>
    <row r="1730" spans="1:7" x14ac:dyDescent="0.3">
      <c r="A1730" t="s">
        <v>29</v>
      </c>
      <c r="B1730" s="1">
        <v>45838</v>
      </c>
      <c r="C1730">
        <v>546024</v>
      </c>
      <c r="D1730">
        <v>3215.6460000000002</v>
      </c>
      <c r="E1730" t="s">
        <v>6</v>
      </c>
      <c r="F1730" t="s">
        <v>51</v>
      </c>
      <c r="G1730" t="s">
        <v>8</v>
      </c>
    </row>
    <row r="1731" spans="1:7" x14ac:dyDescent="0.3">
      <c r="A1731" t="s">
        <v>29</v>
      </c>
      <c r="B1731" s="1">
        <v>45838</v>
      </c>
      <c r="C1731">
        <v>546035</v>
      </c>
      <c r="D1731">
        <v>1228.768</v>
      </c>
      <c r="E1731" t="s">
        <v>6</v>
      </c>
      <c r="F1731" t="s">
        <v>51</v>
      </c>
      <c r="G1731" t="s">
        <v>8</v>
      </c>
    </row>
    <row r="1732" spans="1:7" x14ac:dyDescent="0.3">
      <c r="A1732" t="s">
        <v>29</v>
      </c>
      <c r="B1732" s="1">
        <v>45838</v>
      </c>
      <c r="C1732">
        <v>546040</v>
      </c>
      <c r="D1732">
        <v>291.08699999999999</v>
      </c>
      <c r="E1732" t="s">
        <v>6</v>
      </c>
      <c r="F1732" t="s">
        <v>51</v>
      </c>
      <c r="G1732" t="s">
        <v>8</v>
      </c>
    </row>
    <row r="1733" spans="1:7" x14ac:dyDescent="0.3">
      <c r="A1733" t="s">
        <v>29</v>
      </c>
      <c r="B1733" s="1">
        <v>45838</v>
      </c>
      <c r="C1733">
        <v>546045</v>
      </c>
      <c r="D1733">
        <v>241.965</v>
      </c>
      <c r="E1733" t="s">
        <v>6</v>
      </c>
      <c r="F1733" t="s">
        <v>51</v>
      </c>
      <c r="G1733" t="s">
        <v>8</v>
      </c>
    </row>
    <row r="1734" spans="1:7" x14ac:dyDescent="0.3">
      <c r="A1734" t="s">
        <v>29</v>
      </c>
      <c r="B1734" s="1">
        <v>45838</v>
      </c>
      <c r="C1734">
        <v>547002</v>
      </c>
      <c r="D1734">
        <v>11044.138000000001</v>
      </c>
      <c r="E1734" t="s">
        <v>6</v>
      </c>
      <c r="F1734" t="s">
        <v>54</v>
      </c>
      <c r="G1734" t="s">
        <v>8</v>
      </c>
    </row>
    <row r="1735" spans="1:7" x14ac:dyDescent="0.3">
      <c r="A1735" t="s">
        <v>29</v>
      </c>
      <c r="B1735" s="1">
        <v>45838</v>
      </c>
      <c r="C1735">
        <v>550002</v>
      </c>
      <c r="D1735">
        <v>20789.27</v>
      </c>
      <c r="E1735" t="s">
        <v>6</v>
      </c>
      <c r="F1735" t="s">
        <v>62</v>
      </c>
      <c r="G1735" t="s">
        <v>8</v>
      </c>
    </row>
    <row r="1736" spans="1:7" x14ac:dyDescent="0.3">
      <c r="A1736" t="s">
        <v>29</v>
      </c>
      <c r="B1736" s="1">
        <v>45838</v>
      </c>
      <c r="C1736">
        <v>556002</v>
      </c>
      <c r="D1736">
        <v>116.14</v>
      </c>
      <c r="E1736" t="s">
        <v>6</v>
      </c>
      <c r="F1736" t="s">
        <v>60</v>
      </c>
      <c r="G1736" t="s">
        <v>8</v>
      </c>
    </row>
    <row r="1737" spans="1:7" x14ac:dyDescent="0.3">
      <c r="A1737" t="s">
        <v>29</v>
      </c>
      <c r="B1737" s="1">
        <v>45838</v>
      </c>
      <c r="C1737">
        <v>557002</v>
      </c>
      <c r="D1737">
        <v>4843.9049999999997</v>
      </c>
      <c r="E1737" t="s">
        <v>6</v>
      </c>
      <c r="F1737" t="s">
        <v>56</v>
      </c>
      <c r="G1737" t="s">
        <v>8</v>
      </c>
    </row>
    <row r="1738" spans="1:7" x14ac:dyDescent="0.3">
      <c r="A1738" t="s">
        <v>29</v>
      </c>
      <c r="B1738" s="1">
        <v>45838</v>
      </c>
      <c r="C1738">
        <v>558012</v>
      </c>
      <c r="D1738">
        <v>108.59399999999999</v>
      </c>
      <c r="E1738" t="s">
        <v>6</v>
      </c>
      <c r="F1738" t="s">
        <v>60</v>
      </c>
      <c r="G1738" t="s">
        <v>8</v>
      </c>
    </row>
    <row r="1739" spans="1:7" x14ac:dyDescent="0.3">
      <c r="A1739" t="s">
        <v>29</v>
      </c>
      <c r="B1739" s="1">
        <v>45838</v>
      </c>
      <c r="C1739">
        <v>564006</v>
      </c>
      <c r="D1739">
        <v>0.107</v>
      </c>
      <c r="E1739" t="s">
        <v>6</v>
      </c>
      <c r="F1739" t="s">
        <v>57</v>
      </c>
      <c r="G1739" t="s">
        <v>8</v>
      </c>
    </row>
    <row r="1740" spans="1:7" x14ac:dyDescent="0.3">
      <c r="A1740" t="s">
        <v>29</v>
      </c>
      <c r="B1740" s="1">
        <v>45838</v>
      </c>
      <c r="C1740">
        <v>564019</v>
      </c>
      <c r="D1740">
        <v>27017.823</v>
      </c>
      <c r="E1740" t="s">
        <v>6</v>
      </c>
      <c r="F1740" t="s">
        <v>51</v>
      </c>
      <c r="G1740" t="s">
        <v>8</v>
      </c>
    </row>
    <row r="1741" spans="1:7" x14ac:dyDescent="0.3">
      <c r="A1741" t="s">
        <v>29</v>
      </c>
      <c r="B1741" s="1">
        <v>45838</v>
      </c>
      <c r="C1741">
        <v>564020</v>
      </c>
      <c r="D1741">
        <v>212.023</v>
      </c>
      <c r="E1741" t="s">
        <v>6</v>
      </c>
      <c r="F1741" t="s">
        <v>57</v>
      </c>
      <c r="G1741" t="s">
        <v>8</v>
      </c>
    </row>
    <row r="1742" spans="1:7" x14ac:dyDescent="0.3">
      <c r="A1742" t="s">
        <v>29</v>
      </c>
      <c r="B1742" s="1">
        <v>45838</v>
      </c>
      <c r="C1742">
        <v>580002</v>
      </c>
      <c r="D1742">
        <v>3296.759</v>
      </c>
      <c r="E1742" t="s">
        <v>6</v>
      </c>
      <c r="F1742" t="s">
        <v>64</v>
      </c>
      <c r="G1742" t="s">
        <v>8</v>
      </c>
    </row>
    <row r="1743" spans="1:7" x14ac:dyDescent="0.3">
      <c r="A1743" t="s">
        <v>30</v>
      </c>
      <c r="B1743" s="1">
        <v>45838</v>
      </c>
      <c r="C1743">
        <v>210002</v>
      </c>
      <c r="D1743">
        <v>-74533.114000000001</v>
      </c>
      <c r="E1743" t="s">
        <v>4</v>
      </c>
      <c r="F1743" t="s">
        <v>42</v>
      </c>
      <c r="G1743" t="s">
        <v>8</v>
      </c>
    </row>
    <row r="1744" spans="1:7" x14ac:dyDescent="0.3">
      <c r="A1744" t="s">
        <v>30</v>
      </c>
      <c r="B1744" s="1">
        <v>45838</v>
      </c>
      <c r="C1744">
        <v>220006</v>
      </c>
      <c r="D1744">
        <v>-294966.10399999999</v>
      </c>
      <c r="E1744" t="s">
        <v>4</v>
      </c>
      <c r="F1744" t="s">
        <v>42</v>
      </c>
      <c r="G1744" t="s">
        <v>8</v>
      </c>
    </row>
    <row r="1745" spans="1:7" x14ac:dyDescent="0.3">
      <c r="A1745" t="s">
        <v>30</v>
      </c>
      <c r="B1745" s="1">
        <v>45838</v>
      </c>
      <c r="C1745">
        <v>240002</v>
      </c>
      <c r="D1745">
        <v>-5897.3220000000001</v>
      </c>
      <c r="E1745" t="s">
        <v>4</v>
      </c>
      <c r="F1745" t="s">
        <v>43</v>
      </c>
      <c r="G1745" t="s">
        <v>8</v>
      </c>
    </row>
    <row r="1746" spans="1:7" x14ac:dyDescent="0.3">
      <c r="A1746" t="s">
        <v>30</v>
      </c>
      <c r="B1746" s="1">
        <v>45838</v>
      </c>
      <c r="C1746">
        <v>240003</v>
      </c>
      <c r="D1746">
        <v>-242.72499999999999</v>
      </c>
      <c r="E1746" t="s">
        <v>4</v>
      </c>
      <c r="F1746" t="s">
        <v>43</v>
      </c>
      <c r="G1746" t="s">
        <v>8</v>
      </c>
    </row>
    <row r="1747" spans="1:7" x14ac:dyDescent="0.3">
      <c r="A1747" t="s">
        <v>30</v>
      </c>
      <c r="B1747" s="1">
        <v>45838</v>
      </c>
      <c r="C1747">
        <v>240009</v>
      </c>
      <c r="D1747">
        <v>-112.40600000000001</v>
      </c>
      <c r="E1747" t="s">
        <v>4</v>
      </c>
      <c r="F1747" t="s">
        <v>43</v>
      </c>
      <c r="G1747" t="s">
        <v>8</v>
      </c>
    </row>
    <row r="1748" spans="1:7" x14ac:dyDescent="0.3">
      <c r="A1748" t="s">
        <v>30</v>
      </c>
      <c r="B1748" s="1">
        <v>45838</v>
      </c>
      <c r="C1748">
        <v>242003</v>
      </c>
      <c r="D1748">
        <v>-825026.46799999999</v>
      </c>
      <c r="E1748" t="s">
        <v>4</v>
      </c>
      <c r="F1748" t="s">
        <v>43</v>
      </c>
      <c r="G1748" t="s">
        <v>8</v>
      </c>
    </row>
    <row r="1749" spans="1:7" x14ac:dyDescent="0.3">
      <c r="A1749" t="s">
        <v>30</v>
      </c>
      <c r="B1749" s="1">
        <v>45838</v>
      </c>
      <c r="C1749">
        <v>242007</v>
      </c>
      <c r="D1749">
        <v>2424.1750000000002</v>
      </c>
      <c r="E1749" t="s">
        <v>4</v>
      </c>
      <c r="F1749" t="s">
        <v>43</v>
      </c>
      <c r="G1749" t="s">
        <v>8</v>
      </c>
    </row>
    <row r="1750" spans="1:7" x14ac:dyDescent="0.3">
      <c r="A1750" t="s">
        <v>30</v>
      </c>
      <c r="B1750" s="1">
        <v>45838</v>
      </c>
      <c r="C1750">
        <v>242011</v>
      </c>
      <c r="D1750">
        <v>-124350.569</v>
      </c>
      <c r="E1750" t="s">
        <v>4</v>
      </c>
      <c r="F1750" t="s">
        <v>43</v>
      </c>
      <c r="G1750" t="s">
        <v>8</v>
      </c>
    </row>
    <row r="1751" spans="1:7" x14ac:dyDescent="0.3">
      <c r="A1751" t="s">
        <v>30</v>
      </c>
      <c r="B1751" s="1">
        <v>45838</v>
      </c>
      <c r="C1751">
        <v>242012</v>
      </c>
      <c r="D1751">
        <v>-46152.607000000004</v>
      </c>
      <c r="E1751" t="s">
        <v>4</v>
      </c>
      <c r="F1751" t="s">
        <v>43</v>
      </c>
      <c r="G1751" t="s">
        <v>8</v>
      </c>
    </row>
    <row r="1752" spans="1:7" x14ac:dyDescent="0.3">
      <c r="A1752" t="s">
        <v>30</v>
      </c>
      <c r="B1752" s="1">
        <v>45838</v>
      </c>
      <c r="C1752">
        <v>242014</v>
      </c>
      <c r="D1752">
        <v>-18888.267</v>
      </c>
      <c r="E1752" t="s">
        <v>4</v>
      </c>
      <c r="F1752" t="s">
        <v>43</v>
      </c>
      <c r="G1752" t="s">
        <v>8</v>
      </c>
    </row>
    <row r="1753" spans="1:7" x14ac:dyDescent="0.3">
      <c r="A1753" t="s">
        <v>30</v>
      </c>
      <c r="B1753" s="1">
        <v>45838</v>
      </c>
      <c r="C1753">
        <v>242019</v>
      </c>
      <c r="D1753">
        <v>6.8319999999999999</v>
      </c>
      <c r="E1753" t="s">
        <v>4</v>
      </c>
      <c r="F1753" t="s">
        <v>43</v>
      </c>
      <c r="G1753" t="s">
        <v>8</v>
      </c>
    </row>
    <row r="1754" spans="1:7" x14ac:dyDescent="0.3">
      <c r="A1754" t="s">
        <v>30</v>
      </c>
      <c r="B1754" s="1">
        <v>45838</v>
      </c>
      <c r="C1754">
        <v>242022</v>
      </c>
      <c r="D1754">
        <v>-7043.2269999999999</v>
      </c>
      <c r="E1754" t="s">
        <v>4</v>
      </c>
      <c r="F1754" t="s">
        <v>43</v>
      </c>
      <c r="G1754" t="s">
        <v>8</v>
      </c>
    </row>
    <row r="1755" spans="1:7" x14ac:dyDescent="0.3">
      <c r="A1755" t="s">
        <v>30</v>
      </c>
      <c r="B1755" s="1">
        <v>45838</v>
      </c>
      <c r="C1755">
        <v>242023</v>
      </c>
      <c r="D1755">
        <v>-22153.47</v>
      </c>
      <c r="E1755" t="s">
        <v>4</v>
      </c>
      <c r="F1755" t="s">
        <v>43</v>
      </c>
      <c r="G1755" t="s">
        <v>8</v>
      </c>
    </row>
    <row r="1756" spans="1:7" x14ac:dyDescent="0.3">
      <c r="A1756" t="s">
        <v>30</v>
      </c>
      <c r="B1756" s="1">
        <v>45838</v>
      </c>
      <c r="C1756">
        <v>242030</v>
      </c>
      <c r="D1756">
        <v>-94245.042000000001</v>
      </c>
      <c r="E1756" t="s">
        <v>4</v>
      </c>
      <c r="F1756" t="s">
        <v>43</v>
      </c>
      <c r="G1756" t="s">
        <v>8</v>
      </c>
    </row>
    <row r="1757" spans="1:7" x14ac:dyDescent="0.3">
      <c r="A1757" t="s">
        <v>30</v>
      </c>
      <c r="B1757" s="1">
        <v>45838</v>
      </c>
      <c r="C1757">
        <v>242036</v>
      </c>
      <c r="D1757">
        <v>-7544.9380000000001</v>
      </c>
      <c r="E1757" t="s">
        <v>4</v>
      </c>
      <c r="F1757" t="s">
        <v>43</v>
      </c>
      <c r="G1757" t="s">
        <v>8</v>
      </c>
    </row>
    <row r="1758" spans="1:7" x14ac:dyDescent="0.3">
      <c r="A1758" t="s">
        <v>30</v>
      </c>
      <c r="B1758" s="1">
        <v>45838</v>
      </c>
      <c r="C1758">
        <v>242038</v>
      </c>
      <c r="D1758">
        <v>-745.65</v>
      </c>
      <c r="E1758" t="s">
        <v>4</v>
      </c>
      <c r="F1758" t="s">
        <v>43</v>
      </c>
      <c r="G1758" t="s">
        <v>8</v>
      </c>
    </row>
    <row r="1759" spans="1:7" x14ac:dyDescent="0.3">
      <c r="A1759" t="s">
        <v>30</v>
      </c>
      <c r="B1759" s="1">
        <v>45838</v>
      </c>
      <c r="C1759">
        <v>242039</v>
      </c>
      <c r="D1759">
        <v>-85461.854000000007</v>
      </c>
      <c r="E1759" t="s">
        <v>4</v>
      </c>
      <c r="F1759" t="s">
        <v>43</v>
      </c>
      <c r="G1759" t="s">
        <v>8</v>
      </c>
    </row>
    <row r="1760" spans="1:7" x14ac:dyDescent="0.3">
      <c r="A1760" t="s">
        <v>30</v>
      </c>
      <c r="B1760" s="1">
        <v>45838</v>
      </c>
      <c r="C1760">
        <v>242041</v>
      </c>
      <c r="D1760">
        <v>-27203.998</v>
      </c>
      <c r="E1760" t="s">
        <v>4</v>
      </c>
      <c r="F1760" t="s">
        <v>43</v>
      </c>
      <c r="G1760" t="s">
        <v>8</v>
      </c>
    </row>
    <row r="1761" spans="1:7" x14ac:dyDescent="0.3">
      <c r="A1761" t="s">
        <v>30</v>
      </c>
      <c r="B1761" s="1">
        <v>45838</v>
      </c>
      <c r="C1761">
        <v>243002</v>
      </c>
      <c r="D1761">
        <v>-3429.4949999999999</v>
      </c>
      <c r="E1761" t="s">
        <v>4</v>
      </c>
      <c r="F1761" t="s">
        <v>43</v>
      </c>
      <c r="G1761" t="s">
        <v>8</v>
      </c>
    </row>
    <row r="1762" spans="1:7" x14ac:dyDescent="0.3">
      <c r="A1762" t="s">
        <v>30</v>
      </c>
      <c r="B1762" s="1">
        <v>45838</v>
      </c>
      <c r="C1762">
        <v>243003</v>
      </c>
      <c r="D1762">
        <v>-45103.195</v>
      </c>
      <c r="E1762" t="s">
        <v>4</v>
      </c>
      <c r="F1762" t="s">
        <v>43</v>
      </c>
      <c r="G1762" t="s">
        <v>8</v>
      </c>
    </row>
    <row r="1763" spans="1:7" x14ac:dyDescent="0.3">
      <c r="A1763" t="s">
        <v>30</v>
      </c>
      <c r="B1763" s="1">
        <v>45838</v>
      </c>
      <c r="C1763">
        <v>243010</v>
      </c>
      <c r="D1763">
        <v>0</v>
      </c>
      <c r="E1763" t="s">
        <v>4</v>
      </c>
      <c r="F1763" t="s">
        <v>43</v>
      </c>
      <c r="G1763" t="s">
        <v>8</v>
      </c>
    </row>
    <row r="1764" spans="1:7" x14ac:dyDescent="0.3">
      <c r="A1764" t="s">
        <v>30</v>
      </c>
      <c r="B1764" s="1">
        <v>45838</v>
      </c>
      <c r="C1764">
        <v>245004</v>
      </c>
      <c r="D1764">
        <v>0</v>
      </c>
      <c r="E1764" t="s">
        <v>4</v>
      </c>
      <c r="F1764" t="s">
        <v>43</v>
      </c>
      <c r="G1764" t="s">
        <v>8</v>
      </c>
    </row>
    <row r="1765" spans="1:7" x14ac:dyDescent="0.3">
      <c r="A1765" t="s">
        <v>30</v>
      </c>
      <c r="B1765" s="1">
        <v>45838</v>
      </c>
      <c r="C1765">
        <v>245010</v>
      </c>
      <c r="D1765">
        <v>-2230.4079999999999</v>
      </c>
      <c r="E1765" t="s">
        <v>4</v>
      </c>
      <c r="F1765" t="s">
        <v>44</v>
      </c>
      <c r="G1765" t="s">
        <v>8</v>
      </c>
    </row>
    <row r="1766" spans="1:7" x14ac:dyDescent="0.3">
      <c r="A1766" t="s">
        <v>30</v>
      </c>
      <c r="B1766" s="1">
        <v>45838</v>
      </c>
      <c r="C1766">
        <v>245049</v>
      </c>
      <c r="D1766">
        <v>-3.6999999999999998E-2</v>
      </c>
      <c r="E1766" t="s">
        <v>4</v>
      </c>
      <c r="F1766" t="s">
        <v>43</v>
      </c>
      <c r="G1766" t="s">
        <v>8</v>
      </c>
    </row>
    <row r="1767" spans="1:7" x14ac:dyDescent="0.3">
      <c r="A1767" t="s">
        <v>30</v>
      </c>
      <c r="B1767" s="1">
        <v>45838</v>
      </c>
      <c r="C1767">
        <v>245055</v>
      </c>
      <c r="D1767">
        <v>0</v>
      </c>
      <c r="E1767" t="s">
        <v>4</v>
      </c>
      <c r="F1767" t="s">
        <v>43</v>
      </c>
      <c r="G1767" t="s">
        <v>8</v>
      </c>
    </row>
    <row r="1768" spans="1:7" x14ac:dyDescent="0.3">
      <c r="A1768" t="s">
        <v>30</v>
      </c>
      <c r="B1768" s="1">
        <v>45838</v>
      </c>
      <c r="C1768">
        <v>245056</v>
      </c>
      <c r="D1768">
        <v>-8.6379999999999999</v>
      </c>
      <c r="E1768" t="s">
        <v>4</v>
      </c>
      <c r="F1768" t="s">
        <v>49</v>
      </c>
      <c r="G1768" t="s">
        <v>8</v>
      </c>
    </row>
    <row r="1769" spans="1:7" x14ac:dyDescent="0.3">
      <c r="A1769" t="s">
        <v>30</v>
      </c>
      <c r="B1769" s="1">
        <v>45838</v>
      </c>
      <c r="C1769">
        <v>245058</v>
      </c>
      <c r="D1769">
        <v>0</v>
      </c>
      <c r="E1769" t="s">
        <v>4</v>
      </c>
      <c r="F1769" t="s">
        <v>43</v>
      </c>
      <c r="G1769" t="s">
        <v>8</v>
      </c>
    </row>
    <row r="1770" spans="1:7" x14ac:dyDescent="0.3">
      <c r="A1770" t="s">
        <v>30</v>
      </c>
      <c r="B1770" s="1">
        <v>45838</v>
      </c>
      <c r="C1770">
        <v>245062</v>
      </c>
      <c r="D1770">
        <v>-824.03800000000001</v>
      </c>
      <c r="E1770" t="s">
        <v>4</v>
      </c>
      <c r="F1770" t="s">
        <v>43</v>
      </c>
      <c r="G1770" t="s">
        <v>8</v>
      </c>
    </row>
    <row r="1771" spans="1:7" x14ac:dyDescent="0.3">
      <c r="A1771" t="s">
        <v>30</v>
      </c>
      <c r="B1771" s="1">
        <v>45838</v>
      </c>
      <c r="C1771">
        <v>250003</v>
      </c>
      <c r="D1771">
        <v>-2167.4720000000002</v>
      </c>
      <c r="E1771" t="s">
        <v>4</v>
      </c>
      <c r="F1771" t="s">
        <v>45</v>
      </c>
      <c r="G1771" t="s">
        <v>8</v>
      </c>
    </row>
    <row r="1772" spans="1:7" x14ac:dyDescent="0.3">
      <c r="A1772" t="s">
        <v>30</v>
      </c>
      <c r="B1772" s="1">
        <v>45838</v>
      </c>
      <c r="C1772">
        <v>250007</v>
      </c>
      <c r="D1772">
        <v>0</v>
      </c>
      <c r="E1772" t="s">
        <v>4</v>
      </c>
      <c r="F1772" t="s">
        <v>43</v>
      </c>
      <c r="G1772" t="s">
        <v>8</v>
      </c>
    </row>
    <row r="1773" spans="1:7" x14ac:dyDescent="0.3">
      <c r="A1773" t="s">
        <v>30</v>
      </c>
      <c r="B1773" s="1">
        <v>45838</v>
      </c>
      <c r="C1773">
        <v>250019</v>
      </c>
      <c r="D1773">
        <v>0</v>
      </c>
      <c r="E1773" t="s">
        <v>4</v>
      </c>
      <c r="F1773" t="s">
        <v>45</v>
      </c>
      <c r="G1773" t="s">
        <v>8</v>
      </c>
    </row>
    <row r="1774" spans="1:7" x14ac:dyDescent="0.3">
      <c r="A1774" t="s">
        <v>30</v>
      </c>
      <c r="B1774" s="1">
        <v>45838</v>
      </c>
      <c r="C1774">
        <v>251002</v>
      </c>
      <c r="D1774">
        <v>-12837.703</v>
      </c>
      <c r="E1774" t="s">
        <v>4</v>
      </c>
      <c r="F1774" t="s">
        <v>45</v>
      </c>
      <c r="G1774" t="s">
        <v>8</v>
      </c>
    </row>
    <row r="1775" spans="1:7" x14ac:dyDescent="0.3">
      <c r="A1775" t="s">
        <v>30</v>
      </c>
      <c r="B1775" s="1">
        <v>45838</v>
      </c>
      <c r="C1775">
        <v>251003</v>
      </c>
      <c r="D1775">
        <v>-5778.375</v>
      </c>
      <c r="E1775" t="s">
        <v>4</v>
      </c>
      <c r="F1775" t="s">
        <v>45</v>
      </c>
      <c r="G1775" t="s">
        <v>8</v>
      </c>
    </row>
    <row r="1776" spans="1:7" x14ac:dyDescent="0.3">
      <c r="A1776" t="s">
        <v>30</v>
      </c>
      <c r="B1776" s="1">
        <v>45838</v>
      </c>
      <c r="C1776">
        <v>251004</v>
      </c>
      <c r="D1776">
        <v>0</v>
      </c>
      <c r="E1776" t="s">
        <v>4</v>
      </c>
      <c r="F1776" t="s">
        <v>46</v>
      </c>
      <c r="G1776" t="s">
        <v>8</v>
      </c>
    </row>
    <row r="1777" spans="1:7" x14ac:dyDescent="0.3">
      <c r="A1777" t="s">
        <v>30</v>
      </c>
      <c r="B1777" s="1">
        <v>45838</v>
      </c>
      <c r="C1777">
        <v>251005</v>
      </c>
      <c r="D1777">
        <v>0</v>
      </c>
      <c r="E1777" t="s">
        <v>4</v>
      </c>
      <c r="F1777" t="s">
        <v>46</v>
      </c>
      <c r="G1777" t="s">
        <v>8</v>
      </c>
    </row>
    <row r="1778" spans="1:7" x14ac:dyDescent="0.3">
      <c r="A1778" t="s">
        <v>30</v>
      </c>
      <c r="B1778" s="1">
        <v>45838</v>
      </c>
      <c r="C1778">
        <v>256027</v>
      </c>
      <c r="D1778">
        <v>23110.18</v>
      </c>
      <c r="E1778" t="s">
        <v>4</v>
      </c>
      <c r="F1778" t="s">
        <v>43</v>
      </c>
      <c r="G1778" t="s">
        <v>8</v>
      </c>
    </row>
    <row r="1779" spans="1:7" x14ac:dyDescent="0.3">
      <c r="A1779" t="s">
        <v>30</v>
      </c>
      <c r="B1779" s="1">
        <v>45838</v>
      </c>
      <c r="C1779">
        <v>256030</v>
      </c>
      <c r="D1779">
        <v>0</v>
      </c>
      <c r="E1779" t="s">
        <v>4</v>
      </c>
      <c r="F1779" t="s">
        <v>43</v>
      </c>
      <c r="G1779" t="s">
        <v>8</v>
      </c>
    </row>
    <row r="1780" spans="1:7" x14ac:dyDescent="0.3">
      <c r="A1780" t="s">
        <v>30</v>
      </c>
      <c r="B1780" s="1">
        <v>45838</v>
      </c>
      <c r="C1780">
        <v>256039</v>
      </c>
      <c r="D1780">
        <v>0</v>
      </c>
      <c r="E1780" t="s">
        <v>4</v>
      </c>
      <c r="F1780" t="s">
        <v>43</v>
      </c>
      <c r="G1780" t="s">
        <v>8</v>
      </c>
    </row>
    <row r="1781" spans="1:7" x14ac:dyDescent="0.3">
      <c r="A1781" t="s">
        <v>30</v>
      </c>
      <c r="B1781" s="1">
        <v>45838</v>
      </c>
      <c r="C1781">
        <v>256040</v>
      </c>
      <c r="D1781">
        <v>-1043463.596</v>
      </c>
      <c r="E1781" t="s">
        <v>4</v>
      </c>
      <c r="F1781" t="s">
        <v>43</v>
      </c>
      <c r="G1781" t="s">
        <v>8</v>
      </c>
    </row>
    <row r="1782" spans="1:7" x14ac:dyDescent="0.3">
      <c r="A1782" t="s">
        <v>30</v>
      </c>
      <c r="B1782" s="1">
        <v>45838</v>
      </c>
      <c r="C1782">
        <v>256041</v>
      </c>
      <c r="D1782">
        <v>-7681.05</v>
      </c>
      <c r="E1782" t="s">
        <v>4</v>
      </c>
      <c r="F1782" t="s">
        <v>43</v>
      </c>
      <c r="G1782" t="s">
        <v>8</v>
      </c>
    </row>
    <row r="1783" spans="1:7" x14ac:dyDescent="0.3">
      <c r="A1783" t="s">
        <v>30</v>
      </c>
      <c r="B1783" s="1">
        <v>45838</v>
      </c>
      <c r="C1783">
        <v>257005</v>
      </c>
      <c r="D1783">
        <v>0</v>
      </c>
      <c r="E1783" t="s">
        <v>4</v>
      </c>
      <c r="F1783" t="s">
        <v>45</v>
      </c>
      <c r="G1783" t="s">
        <v>8</v>
      </c>
    </row>
    <row r="1784" spans="1:7" x14ac:dyDescent="0.3">
      <c r="A1784" t="s">
        <v>30</v>
      </c>
      <c r="B1784" s="1">
        <v>45838</v>
      </c>
      <c r="C1784">
        <v>257022</v>
      </c>
      <c r="D1784">
        <v>0</v>
      </c>
      <c r="E1784" t="s">
        <v>4</v>
      </c>
      <c r="F1784" t="s">
        <v>45</v>
      </c>
      <c r="G1784" t="s">
        <v>8</v>
      </c>
    </row>
    <row r="1785" spans="1:7" x14ac:dyDescent="0.3">
      <c r="A1785" t="s">
        <v>30</v>
      </c>
      <c r="B1785" s="1">
        <v>45838</v>
      </c>
      <c r="C1785">
        <v>257027</v>
      </c>
      <c r="D1785">
        <v>-2311.8679999999999</v>
      </c>
      <c r="E1785" t="s">
        <v>4</v>
      </c>
      <c r="F1785" t="s">
        <v>45</v>
      </c>
      <c r="G1785" t="s">
        <v>8</v>
      </c>
    </row>
    <row r="1786" spans="1:7" x14ac:dyDescent="0.3">
      <c r="A1786" t="s">
        <v>30</v>
      </c>
      <c r="B1786" s="1">
        <v>45838</v>
      </c>
      <c r="C1786">
        <v>260004</v>
      </c>
      <c r="D1786">
        <v>-81534.934999999998</v>
      </c>
      <c r="E1786" t="s">
        <v>4</v>
      </c>
      <c r="F1786" t="s">
        <v>45</v>
      </c>
      <c r="G1786" t="s">
        <v>8</v>
      </c>
    </row>
    <row r="1787" spans="1:7" x14ac:dyDescent="0.3">
      <c r="A1787" t="s">
        <v>30</v>
      </c>
      <c r="B1787" s="1">
        <v>45838</v>
      </c>
      <c r="C1787">
        <v>270020</v>
      </c>
      <c r="D1787">
        <v>0</v>
      </c>
      <c r="E1787" t="s">
        <v>4</v>
      </c>
      <c r="F1787" t="s">
        <v>58</v>
      </c>
      <c r="G1787" t="s">
        <v>8</v>
      </c>
    </row>
    <row r="1788" spans="1:7" x14ac:dyDescent="0.3">
      <c r="A1788" t="s">
        <v>30</v>
      </c>
      <c r="B1788" s="1">
        <v>45838</v>
      </c>
      <c r="C1788">
        <v>270024</v>
      </c>
      <c r="D1788">
        <v>0</v>
      </c>
      <c r="E1788" t="s">
        <v>4</v>
      </c>
      <c r="F1788" t="s">
        <v>58</v>
      </c>
      <c r="G1788" t="s">
        <v>8</v>
      </c>
    </row>
    <row r="1789" spans="1:7" x14ac:dyDescent="0.3">
      <c r="A1789" t="s">
        <v>30</v>
      </c>
      <c r="B1789" s="1">
        <v>45838</v>
      </c>
      <c r="C1789">
        <v>270025</v>
      </c>
      <c r="D1789">
        <v>-29330.718000000001</v>
      </c>
      <c r="E1789" t="s">
        <v>4</v>
      </c>
      <c r="F1789" t="s">
        <v>58</v>
      </c>
      <c r="G1789" t="s">
        <v>8</v>
      </c>
    </row>
    <row r="1790" spans="1:7" x14ac:dyDescent="0.3">
      <c r="A1790" t="s">
        <v>30</v>
      </c>
      <c r="B1790" s="1">
        <v>45838</v>
      </c>
      <c r="C1790">
        <v>270026</v>
      </c>
      <c r="D1790">
        <v>-9917.0779999999995</v>
      </c>
      <c r="E1790" t="s">
        <v>4</v>
      </c>
      <c r="F1790" t="s">
        <v>58</v>
      </c>
      <c r="G1790" t="s">
        <v>8</v>
      </c>
    </row>
    <row r="1791" spans="1:7" x14ac:dyDescent="0.3">
      <c r="A1791" t="s">
        <v>30</v>
      </c>
      <c r="B1791" s="1">
        <v>45838</v>
      </c>
      <c r="C1791">
        <v>270027</v>
      </c>
      <c r="D1791">
        <v>-3747.9720000000002</v>
      </c>
      <c r="E1791" t="s">
        <v>4</v>
      </c>
      <c r="F1791" t="s">
        <v>58</v>
      </c>
      <c r="G1791" t="s">
        <v>8</v>
      </c>
    </row>
    <row r="1792" spans="1:7" x14ac:dyDescent="0.3">
      <c r="A1792" t="s">
        <v>30</v>
      </c>
      <c r="B1792" s="1">
        <v>45838</v>
      </c>
      <c r="C1792">
        <v>275002</v>
      </c>
      <c r="D1792">
        <v>-88.995999999999995</v>
      </c>
      <c r="E1792" t="s">
        <v>4</v>
      </c>
      <c r="F1792" t="s">
        <v>58</v>
      </c>
      <c r="G1792" t="s">
        <v>8</v>
      </c>
    </row>
    <row r="1793" spans="1:7" x14ac:dyDescent="0.3">
      <c r="A1793" t="s">
        <v>30</v>
      </c>
      <c r="B1793" s="1">
        <v>45838</v>
      </c>
      <c r="C1793">
        <v>300008</v>
      </c>
      <c r="D1793">
        <v>2687.0770000000002</v>
      </c>
      <c r="E1793" t="s">
        <v>4</v>
      </c>
      <c r="F1793" t="s">
        <v>65</v>
      </c>
      <c r="G1793" t="s">
        <v>8</v>
      </c>
    </row>
    <row r="1794" spans="1:7" x14ac:dyDescent="0.3">
      <c r="A1794" t="s">
        <v>30</v>
      </c>
      <c r="B1794" s="1">
        <v>45838</v>
      </c>
      <c r="C1794">
        <v>300011</v>
      </c>
      <c r="D1794">
        <v>42.384</v>
      </c>
      <c r="E1794" t="s">
        <v>4</v>
      </c>
      <c r="F1794" t="s">
        <v>65</v>
      </c>
      <c r="G1794" t="s">
        <v>8</v>
      </c>
    </row>
    <row r="1795" spans="1:7" x14ac:dyDescent="0.3">
      <c r="A1795" t="s">
        <v>30</v>
      </c>
      <c r="B1795" s="1">
        <v>45838</v>
      </c>
      <c r="C1795">
        <v>300012</v>
      </c>
      <c r="D1795">
        <v>64.567999999999998</v>
      </c>
      <c r="E1795" t="s">
        <v>4</v>
      </c>
      <c r="F1795" t="s">
        <v>65</v>
      </c>
      <c r="G1795" t="s">
        <v>8</v>
      </c>
    </row>
    <row r="1796" spans="1:7" x14ac:dyDescent="0.3">
      <c r="A1796" t="s">
        <v>30</v>
      </c>
      <c r="B1796" s="1">
        <v>45838</v>
      </c>
      <c r="C1796">
        <v>300508</v>
      </c>
      <c r="D1796">
        <v>-2162.04</v>
      </c>
      <c r="E1796" t="s">
        <v>4</v>
      </c>
      <c r="F1796" t="s">
        <v>65</v>
      </c>
      <c r="G1796" t="s">
        <v>8</v>
      </c>
    </row>
    <row r="1797" spans="1:7" x14ac:dyDescent="0.3">
      <c r="A1797" t="s">
        <v>30</v>
      </c>
      <c r="B1797" s="1">
        <v>45838</v>
      </c>
      <c r="C1797">
        <v>300511</v>
      </c>
      <c r="D1797">
        <v>-34.631</v>
      </c>
      <c r="E1797" t="s">
        <v>4</v>
      </c>
      <c r="F1797" t="s">
        <v>65</v>
      </c>
      <c r="G1797" t="s">
        <v>8</v>
      </c>
    </row>
    <row r="1798" spans="1:7" x14ac:dyDescent="0.3">
      <c r="A1798" t="s">
        <v>30</v>
      </c>
      <c r="B1798" s="1">
        <v>45838</v>
      </c>
      <c r="C1798">
        <v>300512</v>
      </c>
      <c r="D1798">
        <v>-46.277999999999999</v>
      </c>
      <c r="E1798" t="s">
        <v>4</v>
      </c>
      <c r="F1798" t="s">
        <v>65</v>
      </c>
      <c r="G1798" t="s">
        <v>8</v>
      </c>
    </row>
    <row r="1799" spans="1:7" x14ac:dyDescent="0.3">
      <c r="A1799" t="s">
        <v>30</v>
      </c>
      <c r="B1799" s="1">
        <v>45838</v>
      </c>
      <c r="C1799">
        <v>303003</v>
      </c>
      <c r="D1799">
        <v>0</v>
      </c>
      <c r="E1799" t="s">
        <v>4</v>
      </c>
      <c r="F1799" t="s">
        <v>65</v>
      </c>
      <c r="G1799" t="s">
        <v>8</v>
      </c>
    </row>
    <row r="1800" spans="1:7" x14ac:dyDescent="0.3">
      <c r="A1800" t="s">
        <v>30</v>
      </c>
      <c r="B1800" s="1">
        <v>45838</v>
      </c>
      <c r="C1800">
        <v>310022</v>
      </c>
      <c r="D1800">
        <v>1196603.594</v>
      </c>
      <c r="E1800" t="s">
        <v>4</v>
      </c>
      <c r="F1800" t="s">
        <v>42</v>
      </c>
      <c r="G1800" t="s">
        <v>8</v>
      </c>
    </row>
    <row r="1801" spans="1:7" x14ac:dyDescent="0.3">
      <c r="A1801" t="s">
        <v>30</v>
      </c>
      <c r="B1801" s="1">
        <v>45838</v>
      </c>
      <c r="C1801">
        <v>320002</v>
      </c>
      <c r="D1801">
        <v>36758.298000000003</v>
      </c>
      <c r="E1801" t="s">
        <v>4</v>
      </c>
      <c r="F1801" t="s">
        <v>46</v>
      </c>
      <c r="G1801" t="s">
        <v>8</v>
      </c>
    </row>
    <row r="1802" spans="1:7" x14ac:dyDescent="0.3">
      <c r="A1802" t="s">
        <v>30</v>
      </c>
      <c r="B1802" s="1">
        <v>45838</v>
      </c>
      <c r="C1802">
        <v>320003</v>
      </c>
      <c r="D1802">
        <v>356372.18099999998</v>
      </c>
      <c r="E1802" t="s">
        <v>4</v>
      </c>
      <c r="F1802" t="s">
        <v>46</v>
      </c>
      <c r="G1802" t="s">
        <v>8</v>
      </c>
    </row>
    <row r="1803" spans="1:7" x14ac:dyDescent="0.3">
      <c r="A1803" t="s">
        <v>30</v>
      </c>
      <c r="B1803" s="1">
        <v>45838</v>
      </c>
      <c r="C1803">
        <v>320004</v>
      </c>
      <c r="D1803">
        <v>4797.3220000000001</v>
      </c>
      <c r="E1803" t="s">
        <v>4</v>
      </c>
      <c r="F1803" t="s">
        <v>46</v>
      </c>
      <c r="G1803" t="s">
        <v>8</v>
      </c>
    </row>
    <row r="1804" spans="1:7" x14ac:dyDescent="0.3">
      <c r="A1804" t="s">
        <v>30</v>
      </c>
      <c r="B1804" s="1">
        <v>45838</v>
      </c>
      <c r="C1804">
        <v>320018</v>
      </c>
      <c r="D1804">
        <v>1245.0119999999999</v>
      </c>
      <c r="E1804" t="s">
        <v>4</v>
      </c>
      <c r="F1804" t="s">
        <v>46</v>
      </c>
      <c r="G1804" t="s">
        <v>8</v>
      </c>
    </row>
    <row r="1805" spans="1:7" x14ac:dyDescent="0.3">
      <c r="A1805" t="s">
        <v>30</v>
      </c>
      <c r="B1805" s="1">
        <v>45838</v>
      </c>
      <c r="C1805">
        <v>320023</v>
      </c>
      <c r="D1805">
        <v>-5055.9570000000003</v>
      </c>
      <c r="E1805" t="s">
        <v>4</v>
      </c>
      <c r="F1805" t="s">
        <v>46</v>
      </c>
      <c r="G1805" t="s">
        <v>8</v>
      </c>
    </row>
    <row r="1806" spans="1:7" x14ac:dyDescent="0.3">
      <c r="A1806" t="s">
        <v>30</v>
      </c>
      <c r="B1806" s="1">
        <v>45838</v>
      </c>
      <c r="C1806">
        <v>321002</v>
      </c>
      <c r="D1806">
        <v>79918.659</v>
      </c>
      <c r="E1806" t="s">
        <v>4</v>
      </c>
      <c r="F1806" t="s">
        <v>46</v>
      </c>
      <c r="G1806" t="s">
        <v>8</v>
      </c>
    </row>
    <row r="1807" spans="1:7" x14ac:dyDescent="0.3">
      <c r="A1807" t="s">
        <v>30</v>
      </c>
      <c r="B1807" s="1">
        <v>45838</v>
      </c>
      <c r="C1807">
        <v>321004</v>
      </c>
      <c r="D1807">
        <v>3850.9549999999999</v>
      </c>
      <c r="E1807" t="s">
        <v>4</v>
      </c>
      <c r="F1807" t="s">
        <v>46</v>
      </c>
      <c r="G1807" t="s">
        <v>8</v>
      </c>
    </row>
    <row r="1808" spans="1:7" x14ac:dyDescent="0.3">
      <c r="A1808" t="s">
        <v>30</v>
      </c>
      <c r="B1808" s="1">
        <v>45838</v>
      </c>
      <c r="C1808">
        <v>321012</v>
      </c>
      <c r="D1808">
        <v>126048.855</v>
      </c>
      <c r="E1808" t="s">
        <v>4</v>
      </c>
      <c r="F1808" t="s">
        <v>46</v>
      </c>
      <c r="G1808" t="s">
        <v>8</v>
      </c>
    </row>
    <row r="1809" spans="1:7" x14ac:dyDescent="0.3">
      <c r="A1809" t="s">
        <v>30</v>
      </c>
      <c r="B1809" s="1">
        <v>45838</v>
      </c>
      <c r="C1809">
        <v>321013</v>
      </c>
      <c r="D1809">
        <v>3311.953</v>
      </c>
      <c r="E1809" t="s">
        <v>4</v>
      </c>
      <c r="F1809" t="s">
        <v>46</v>
      </c>
      <c r="G1809" t="s">
        <v>8</v>
      </c>
    </row>
    <row r="1810" spans="1:7" x14ac:dyDescent="0.3">
      <c r="A1810" t="s">
        <v>30</v>
      </c>
      <c r="B1810" s="1">
        <v>45838</v>
      </c>
      <c r="C1810">
        <v>321014</v>
      </c>
      <c r="D1810">
        <v>69240.394</v>
      </c>
      <c r="E1810" t="s">
        <v>4</v>
      </c>
      <c r="F1810" t="s">
        <v>46</v>
      </c>
      <c r="G1810" t="s">
        <v>8</v>
      </c>
    </row>
    <row r="1811" spans="1:7" x14ac:dyDescent="0.3">
      <c r="A1811" t="s">
        <v>30</v>
      </c>
      <c r="B1811" s="1">
        <v>45838</v>
      </c>
      <c r="C1811">
        <v>321021</v>
      </c>
      <c r="D1811">
        <v>34241.114999999998</v>
      </c>
      <c r="E1811" t="s">
        <v>4</v>
      </c>
      <c r="F1811" t="s">
        <v>46</v>
      </c>
      <c r="G1811" t="s">
        <v>8</v>
      </c>
    </row>
    <row r="1812" spans="1:7" x14ac:dyDescent="0.3">
      <c r="A1812" t="s">
        <v>30</v>
      </c>
      <c r="B1812" s="1">
        <v>45838</v>
      </c>
      <c r="C1812">
        <v>321028</v>
      </c>
      <c r="D1812">
        <v>2467.0549999999998</v>
      </c>
      <c r="E1812" t="s">
        <v>4</v>
      </c>
      <c r="F1812" t="s">
        <v>46</v>
      </c>
      <c r="G1812" t="s">
        <v>8</v>
      </c>
    </row>
    <row r="1813" spans="1:7" x14ac:dyDescent="0.3">
      <c r="A1813" t="s">
        <v>30</v>
      </c>
      <c r="B1813" s="1">
        <v>45838</v>
      </c>
      <c r="C1813">
        <v>321029</v>
      </c>
      <c r="D1813">
        <v>155812.878</v>
      </c>
      <c r="E1813" t="s">
        <v>4</v>
      </c>
      <c r="F1813" t="s">
        <v>46</v>
      </c>
      <c r="G1813" t="s">
        <v>8</v>
      </c>
    </row>
    <row r="1814" spans="1:7" x14ac:dyDescent="0.3">
      <c r="A1814" t="s">
        <v>30</v>
      </c>
      <c r="B1814" s="1">
        <v>45838</v>
      </c>
      <c r="C1814">
        <v>321030</v>
      </c>
      <c r="D1814">
        <v>2798.194</v>
      </c>
      <c r="E1814" t="s">
        <v>4</v>
      </c>
      <c r="F1814" t="s">
        <v>46</v>
      </c>
      <c r="G1814" t="s">
        <v>8</v>
      </c>
    </row>
    <row r="1815" spans="1:7" x14ac:dyDescent="0.3">
      <c r="A1815" t="s">
        <v>30</v>
      </c>
      <c r="B1815" s="1">
        <v>45838</v>
      </c>
      <c r="C1815">
        <v>321031</v>
      </c>
      <c r="D1815">
        <v>73835.979000000007</v>
      </c>
      <c r="E1815" t="s">
        <v>4</v>
      </c>
      <c r="F1815" t="s">
        <v>46</v>
      </c>
      <c r="G1815" t="s">
        <v>8</v>
      </c>
    </row>
    <row r="1816" spans="1:7" x14ac:dyDescent="0.3">
      <c r="A1816" t="s">
        <v>30</v>
      </c>
      <c r="B1816" s="1">
        <v>45838</v>
      </c>
      <c r="C1816">
        <v>321042</v>
      </c>
      <c r="D1816">
        <v>4821.982</v>
      </c>
      <c r="E1816" t="s">
        <v>4</v>
      </c>
      <c r="F1816" t="s">
        <v>46</v>
      </c>
      <c r="G1816" t="s">
        <v>8</v>
      </c>
    </row>
    <row r="1817" spans="1:7" x14ac:dyDescent="0.3">
      <c r="A1817" t="s">
        <v>30</v>
      </c>
      <c r="B1817" s="1">
        <v>45838</v>
      </c>
      <c r="C1817">
        <v>330044</v>
      </c>
      <c r="D1817">
        <v>2051.1509999999998</v>
      </c>
      <c r="E1817" t="s">
        <v>4</v>
      </c>
      <c r="F1817" t="s">
        <v>43</v>
      </c>
      <c r="G1817" t="s">
        <v>8</v>
      </c>
    </row>
    <row r="1818" spans="1:7" x14ac:dyDescent="0.3">
      <c r="A1818" t="s">
        <v>30</v>
      </c>
      <c r="B1818" s="1">
        <v>45838</v>
      </c>
      <c r="C1818">
        <v>330107</v>
      </c>
      <c r="D1818">
        <v>-1030.346</v>
      </c>
      <c r="E1818" t="s">
        <v>4</v>
      </c>
      <c r="F1818" t="s">
        <v>43</v>
      </c>
      <c r="G1818" t="s">
        <v>8</v>
      </c>
    </row>
    <row r="1819" spans="1:7" x14ac:dyDescent="0.3">
      <c r="A1819" t="s">
        <v>30</v>
      </c>
      <c r="B1819" s="1">
        <v>45838</v>
      </c>
      <c r="C1819">
        <v>330141</v>
      </c>
      <c r="D1819">
        <v>3714.0770000000002</v>
      </c>
      <c r="E1819" t="s">
        <v>4</v>
      </c>
      <c r="F1819" t="s">
        <v>43</v>
      </c>
      <c r="G1819" t="s">
        <v>8</v>
      </c>
    </row>
    <row r="1820" spans="1:7" x14ac:dyDescent="0.3">
      <c r="A1820" t="s">
        <v>30</v>
      </c>
      <c r="B1820" s="1">
        <v>45838</v>
      </c>
      <c r="C1820">
        <v>330143</v>
      </c>
      <c r="D1820">
        <v>2134.5259999999998</v>
      </c>
      <c r="E1820" t="s">
        <v>4</v>
      </c>
      <c r="F1820" t="s">
        <v>43</v>
      </c>
      <c r="G1820" t="s">
        <v>8</v>
      </c>
    </row>
    <row r="1821" spans="1:7" x14ac:dyDescent="0.3">
      <c r="A1821" t="s">
        <v>30</v>
      </c>
      <c r="B1821" s="1">
        <v>45838</v>
      </c>
      <c r="C1821">
        <v>340126</v>
      </c>
      <c r="D1821">
        <v>-6269.2470000000003</v>
      </c>
      <c r="E1821" t="s">
        <v>4</v>
      </c>
      <c r="F1821" t="s">
        <v>47</v>
      </c>
      <c r="G1821" t="s">
        <v>8</v>
      </c>
    </row>
    <row r="1822" spans="1:7" x14ac:dyDescent="0.3">
      <c r="A1822" t="s">
        <v>30</v>
      </c>
      <c r="B1822" s="1">
        <v>45838</v>
      </c>
      <c r="C1822">
        <v>340165</v>
      </c>
      <c r="D1822">
        <v>338098.96</v>
      </c>
      <c r="E1822" t="s">
        <v>4</v>
      </c>
      <c r="F1822" t="s">
        <v>47</v>
      </c>
      <c r="G1822" t="s">
        <v>8</v>
      </c>
    </row>
    <row r="1823" spans="1:7" x14ac:dyDescent="0.3">
      <c r="A1823" t="s">
        <v>30</v>
      </c>
      <c r="B1823" s="1">
        <v>45838</v>
      </c>
      <c r="C1823">
        <v>350002</v>
      </c>
      <c r="D1823">
        <v>540.21600000000001</v>
      </c>
      <c r="E1823" t="s">
        <v>4</v>
      </c>
      <c r="F1823" t="s">
        <v>49</v>
      </c>
      <c r="G1823" t="s">
        <v>8</v>
      </c>
    </row>
    <row r="1824" spans="1:7" x14ac:dyDescent="0.3">
      <c r="A1824" t="s">
        <v>30</v>
      </c>
      <c r="B1824" s="1">
        <v>45838</v>
      </c>
      <c r="C1824">
        <v>350003</v>
      </c>
      <c r="D1824">
        <v>151.56899999999999</v>
      </c>
      <c r="E1824" t="s">
        <v>4</v>
      </c>
      <c r="F1824" t="s">
        <v>49</v>
      </c>
      <c r="G1824" t="s">
        <v>8</v>
      </c>
    </row>
    <row r="1825" spans="1:7" x14ac:dyDescent="0.3">
      <c r="A1825" t="s">
        <v>30</v>
      </c>
      <c r="B1825" s="1">
        <v>45838</v>
      </c>
      <c r="C1825">
        <v>350007</v>
      </c>
      <c r="D1825">
        <v>4.4349999999999996</v>
      </c>
      <c r="E1825" t="s">
        <v>4</v>
      </c>
      <c r="F1825" t="s">
        <v>49</v>
      </c>
      <c r="G1825" t="s">
        <v>8</v>
      </c>
    </row>
    <row r="1826" spans="1:7" x14ac:dyDescent="0.3">
      <c r="A1826" t="s">
        <v>30</v>
      </c>
      <c r="B1826" s="1">
        <v>45838</v>
      </c>
      <c r="C1826">
        <v>350031</v>
      </c>
      <c r="D1826">
        <v>112.40600000000001</v>
      </c>
      <c r="E1826" t="s">
        <v>4</v>
      </c>
      <c r="F1826" t="s">
        <v>43</v>
      </c>
      <c r="G1826" t="s">
        <v>8</v>
      </c>
    </row>
    <row r="1827" spans="1:7" x14ac:dyDescent="0.3">
      <c r="A1827" t="s">
        <v>30</v>
      </c>
      <c r="B1827" s="1">
        <v>45838</v>
      </c>
      <c r="C1827">
        <v>350034</v>
      </c>
      <c r="D1827">
        <v>8.6379999999999999</v>
      </c>
      <c r="E1827" t="s">
        <v>4</v>
      </c>
      <c r="F1827" t="s">
        <v>49</v>
      </c>
      <c r="G1827" t="s">
        <v>8</v>
      </c>
    </row>
    <row r="1828" spans="1:7" x14ac:dyDescent="0.3">
      <c r="A1828" t="s">
        <v>30</v>
      </c>
      <c r="B1828" s="1">
        <v>45838</v>
      </c>
      <c r="C1828">
        <v>354003</v>
      </c>
      <c r="D1828">
        <v>0</v>
      </c>
      <c r="E1828" t="s">
        <v>4</v>
      </c>
      <c r="F1828" t="s">
        <v>46</v>
      </c>
      <c r="G1828" t="s">
        <v>8</v>
      </c>
    </row>
    <row r="1829" spans="1:7" x14ac:dyDescent="0.3">
      <c r="A1829" t="s">
        <v>30</v>
      </c>
      <c r="B1829" s="1">
        <v>45838</v>
      </c>
      <c r="C1829">
        <v>354005</v>
      </c>
      <c r="D1829">
        <v>0</v>
      </c>
      <c r="E1829" t="s">
        <v>4</v>
      </c>
      <c r="F1829" t="s">
        <v>46</v>
      </c>
      <c r="G1829" t="s">
        <v>8</v>
      </c>
    </row>
    <row r="1830" spans="1:7" x14ac:dyDescent="0.3">
      <c r="A1830" t="s">
        <v>30</v>
      </c>
      <c r="B1830" s="1">
        <v>45838</v>
      </c>
      <c r="C1830">
        <v>354006</v>
      </c>
      <c r="D1830">
        <v>0</v>
      </c>
      <c r="E1830" t="s">
        <v>4</v>
      </c>
      <c r="F1830" t="s">
        <v>46</v>
      </c>
      <c r="G1830" t="s">
        <v>8</v>
      </c>
    </row>
    <row r="1831" spans="1:7" x14ac:dyDescent="0.3">
      <c r="A1831" t="s">
        <v>30</v>
      </c>
      <c r="B1831" s="1">
        <v>45838</v>
      </c>
      <c r="C1831">
        <v>354008</v>
      </c>
      <c r="D1831">
        <v>0</v>
      </c>
      <c r="E1831" t="s">
        <v>4</v>
      </c>
      <c r="F1831" t="s">
        <v>46</v>
      </c>
      <c r="G1831" t="s">
        <v>8</v>
      </c>
    </row>
    <row r="1832" spans="1:7" x14ac:dyDescent="0.3">
      <c r="A1832" t="s">
        <v>30</v>
      </c>
      <c r="B1832" s="1">
        <v>45838</v>
      </c>
      <c r="C1832">
        <v>354012</v>
      </c>
      <c r="D1832">
        <v>270376.77500000002</v>
      </c>
      <c r="E1832" t="s">
        <v>4</v>
      </c>
      <c r="F1832" t="s">
        <v>46</v>
      </c>
      <c r="G1832" t="s">
        <v>8</v>
      </c>
    </row>
    <row r="1833" spans="1:7" x14ac:dyDescent="0.3">
      <c r="A1833" t="s">
        <v>30</v>
      </c>
      <c r="B1833" s="1">
        <v>45838</v>
      </c>
      <c r="C1833">
        <v>354014</v>
      </c>
      <c r="D1833">
        <v>42751.135999999999</v>
      </c>
      <c r="E1833" t="s">
        <v>4</v>
      </c>
      <c r="F1833" t="s">
        <v>46</v>
      </c>
      <c r="G1833" t="s">
        <v>8</v>
      </c>
    </row>
    <row r="1834" spans="1:7" x14ac:dyDescent="0.3">
      <c r="A1834" t="s">
        <v>30</v>
      </c>
      <c r="B1834" s="1">
        <v>45838</v>
      </c>
      <c r="C1834">
        <v>354015</v>
      </c>
      <c r="D1834">
        <v>17228.04</v>
      </c>
      <c r="E1834" t="s">
        <v>4</v>
      </c>
      <c r="F1834" t="s">
        <v>46</v>
      </c>
      <c r="G1834" t="s">
        <v>8</v>
      </c>
    </row>
    <row r="1835" spans="1:7" x14ac:dyDescent="0.3">
      <c r="A1835" t="s">
        <v>30</v>
      </c>
      <c r="B1835" s="1">
        <v>45838</v>
      </c>
      <c r="C1835">
        <v>355002</v>
      </c>
      <c r="D1835">
        <v>705.28899999999999</v>
      </c>
      <c r="E1835" t="s">
        <v>4</v>
      </c>
      <c r="F1835" t="s">
        <v>49</v>
      </c>
      <c r="G1835" t="s">
        <v>8</v>
      </c>
    </row>
    <row r="1836" spans="1:7" x14ac:dyDescent="0.3">
      <c r="A1836" t="s">
        <v>30</v>
      </c>
      <c r="B1836" s="1">
        <v>45838</v>
      </c>
      <c r="C1836">
        <v>360022</v>
      </c>
      <c r="D1836">
        <v>0</v>
      </c>
      <c r="E1836" t="s">
        <v>4</v>
      </c>
      <c r="F1836" t="s">
        <v>58</v>
      </c>
      <c r="G1836" t="s">
        <v>8</v>
      </c>
    </row>
    <row r="1837" spans="1:7" x14ac:dyDescent="0.3">
      <c r="A1837" t="s">
        <v>30</v>
      </c>
      <c r="B1837" s="1">
        <v>45838</v>
      </c>
      <c r="C1837">
        <v>360026</v>
      </c>
      <c r="D1837">
        <v>-5738.1580000000004</v>
      </c>
      <c r="E1837" t="s">
        <v>4</v>
      </c>
      <c r="F1837" t="s">
        <v>58</v>
      </c>
      <c r="G1837" t="s">
        <v>8</v>
      </c>
    </row>
    <row r="1838" spans="1:7" x14ac:dyDescent="0.3">
      <c r="A1838" t="s">
        <v>30</v>
      </c>
      <c r="B1838" s="1">
        <v>45838</v>
      </c>
      <c r="C1838">
        <v>360028</v>
      </c>
      <c r="D1838">
        <v>24984.083999999999</v>
      </c>
      <c r="E1838" t="s">
        <v>4</v>
      </c>
      <c r="F1838" t="s">
        <v>58</v>
      </c>
      <c r="G1838" t="s">
        <v>8</v>
      </c>
    </row>
    <row r="1839" spans="1:7" x14ac:dyDescent="0.3">
      <c r="A1839" t="s">
        <v>30</v>
      </c>
      <c r="B1839" s="1">
        <v>45838</v>
      </c>
      <c r="C1839">
        <v>360030</v>
      </c>
      <c r="D1839">
        <v>9206.1810000000005</v>
      </c>
      <c r="E1839" t="s">
        <v>4</v>
      </c>
      <c r="F1839" t="s">
        <v>58</v>
      </c>
      <c r="G1839" t="s">
        <v>8</v>
      </c>
    </row>
    <row r="1840" spans="1:7" x14ac:dyDescent="0.3">
      <c r="A1840" t="s">
        <v>30</v>
      </c>
      <c r="B1840" s="1">
        <v>45838</v>
      </c>
      <c r="C1840">
        <v>360032</v>
      </c>
      <c r="D1840">
        <v>2265.8069999999998</v>
      </c>
      <c r="E1840" t="s">
        <v>4</v>
      </c>
      <c r="F1840" t="s">
        <v>58</v>
      </c>
      <c r="G1840" t="s">
        <v>8</v>
      </c>
    </row>
    <row r="1841" spans="1:7" x14ac:dyDescent="0.3">
      <c r="A1841" t="s">
        <v>30</v>
      </c>
      <c r="B1841" s="1">
        <v>45838</v>
      </c>
      <c r="C1841">
        <v>372004</v>
      </c>
      <c r="D1841">
        <v>25945.625</v>
      </c>
      <c r="E1841" t="s">
        <v>4</v>
      </c>
      <c r="F1841" t="s">
        <v>45</v>
      </c>
      <c r="G1841" t="s">
        <v>8</v>
      </c>
    </row>
    <row r="1842" spans="1:7" x14ac:dyDescent="0.3">
      <c r="A1842" t="s">
        <v>30</v>
      </c>
      <c r="B1842" s="1">
        <v>45838</v>
      </c>
      <c r="C1842">
        <v>400002</v>
      </c>
      <c r="D1842">
        <v>-11541.366</v>
      </c>
      <c r="E1842" t="s">
        <v>6</v>
      </c>
      <c r="F1842" t="s">
        <v>50</v>
      </c>
      <c r="G1842" t="s">
        <v>8</v>
      </c>
    </row>
    <row r="1843" spans="1:7" x14ac:dyDescent="0.3">
      <c r="A1843" t="s">
        <v>30</v>
      </c>
      <c r="B1843" s="1">
        <v>45838</v>
      </c>
      <c r="C1843">
        <v>400004</v>
      </c>
      <c r="D1843">
        <v>-41350.743000000002</v>
      </c>
      <c r="E1843" t="s">
        <v>6</v>
      </c>
      <c r="F1843" t="s">
        <v>50</v>
      </c>
      <c r="G1843" t="s">
        <v>8</v>
      </c>
    </row>
    <row r="1844" spans="1:7" x14ac:dyDescent="0.3">
      <c r="A1844" t="s">
        <v>30</v>
      </c>
      <c r="B1844" s="1">
        <v>45838</v>
      </c>
      <c r="C1844">
        <v>410002</v>
      </c>
      <c r="D1844">
        <v>-10808.118</v>
      </c>
      <c r="E1844" t="s">
        <v>6</v>
      </c>
      <c r="F1844" t="s">
        <v>51</v>
      </c>
      <c r="G1844" t="s">
        <v>8</v>
      </c>
    </row>
    <row r="1845" spans="1:7" x14ac:dyDescent="0.3">
      <c r="A1845" t="s">
        <v>30</v>
      </c>
      <c r="B1845" s="1">
        <v>45838</v>
      </c>
      <c r="C1845">
        <v>410005</v>
      </c>
      <c r="D1845">
        <v>-3872.4169999999999</v>
      </c>
      <c r="E1845" t="s">
        <v>6</v>
      </c>
      <c r="F1845" t="s">
        <v>51</v>
      </c>
      <c r="G1845" t="s">
        <v>8</v>
      </c>
    </row>
    <row r="1846" spans="1:7" x14ac:dyDescent="0.3">
      <c r="A1846" t="s">
        <v>30</v>
      </c>
      <c r="B1846" s="1">
        <v>45838</v>
      </c>
      <c r="C1846">
        <v>410006</v>
      </c>
      <c r="D1846">
        <v>-37964.038</v>
      </c>
      <c r="E1846" t="s">
        <v>6</v>
      </c>
      <c r="F1846" t="s">
        <v>51</v>
      </c>
      <c r="G1846" t="s">
        <v>8</v>
      </c>
    </row>
    <row r="1847" spans="1:7" x14ac:dyDescent="0.3">
      <c r="A1847" t="s">
        <v>30</v>
      </c>
      <c r="B1847" s="1">
        <v>45838</v>
      </c>
      <c r="C1847">
        <v>410009</v>
      </c>
      <c r="D1847">
        <v>-22373.119999999999</v>
      </c>
      <c r="E1847" t="s">
        <v>6</v>
      </c>
      <c r="F1847" t="s">
        <v>51</v>
      </c>
      <c r="G1847" t="s">
        <v>8</v>
      </c>
    </row>
    <row r="1848" spans="1:7" x14ac:dyDescent="0.3">
      <c r="A1848" t="s">
        <v>30</v>
      </c>
      <c r="B1848" s="1">
        <v>45838</v>
      </c>
      <c r="C1848">
        <v>410015</v>
      </c>
      <c r="D1848">
        <v>-2121.6419999999998</v>
      </c>
      <c r="E1848" t="s">
        <v>6</v>
      </c>
      <c r="F1848" t="s">
        <v>51</v>
      </c>
      <c r="G1848" t="s">
        <v>8</v>
      </c>
    </row>
    <row r="1849" spans="1:7" x14ac:dyDescent="0.3">
      <c r="A1849" t="s">
        <v>30</v>
      </c>
      <c r="B1849" s="1">
        <v>45838</v>
      </c>
      <c r="C1849">
        <v>410018</v>
      </c>
      <c r="D1849">
        <v>-3211.989</v>
      </c>
      <c r="E1849" t="s">
        <v>6</v>
      </c>
      <c r="F1849" t="s">
        <v>51</v>
      </c>
      <c r="G1849" t="s">
        <v>8</v>
      </c>
    </row>
    <row r="1850" spans="1:7" x14ac:dyDescent="0.3">
      <c r="A1850" t="s">
        <v>30</v>
      </c>
      <c r="B1850" s="1">
        <v>45838</v>
      </c>
      <c r="C1850">
        <v>410036</v>
      </c>
      <c r="D1850">
        <v>-1206.932</v>
      </c>
      <c r="E1850" t="s">
        <v>6</v>
      </c>
      <c r="F1850" t="s">
        <v>51</v>
      </c>
      <c r="G1850" t="s">
        <v>8</v>
      </c>
    </row>
    <row r="1851" spans="1:7" x14ac:dyDescent="0.3">
      <c r="A1851" t="s">
        <v>30</v>
      </c>
      <c r="B1851" s="1">
        <v>45838</v>
      </c>
      <c r="C1851">
        <v>410037</v>
      </c>
      <c r="D1851">
        <v>-49560.464999999997</v>
      </c>
      <c r="E1851" t="s">
        <v>6</v>
      </c>
      <c r="F1851" t="s">
        <v>51</v>
      </c>
      <c r="G1851" t="s">
        <v>8</v>
      </c>
    </row>
    <row r="1852" spans="1:7" x14ac:dyDescent="0.3">
      <c r="A1852" t="s">
        <v>30</v>
      </c>
      <c r="B1852" s="1">
        <v>45838</v>
      </c>
      <c r="C1852">
        <v>410039</v>
      </c>
      <c r="D1852">
        <v>-14294.27</v>
      </c>
      <c r="E1852" t="s">
        <v>6</v>
      </c>
      <c r="F1852" t="s">
        <v>51</v>
      </c>
      <c r="G1852" t="s">
        <v>8</v>
      </c>
    </row>
    <row r="1853" spans="1:7" x14ac:dyDescent="0.3">
      <c r="A1853" t="s">
        <v>30</v>
      </c>
      <c r="B1853" s="1">
        <v>45838</v>
      </c>
      <c r="C1853">
        <v>410040</v>
      </c>
      <c r="D1853">
        <v>-511.26600000000002</v>
      </c>
      <c r="E1853" t="s">
        <v>6</v>
      </c>
      <c r="F1853" t="s">
        <v>51</v>
      </c>
      <c r="G1853" t="s">
        <v>8</v>
      </c>
    </row>
    <row r="1854" spans="1:7" x14ac:dyDescent="0.3">
      <c r="A1854" t="s">
        <v>30</v>
      </c>
      <c r="B1854" s="1">
        <v>45838</v>
      </c>
      <c r="C1854">
        <v>415002</v>
      </c>
      <c r="D1854">
        <v>-128965.439</v>
      </c>
      <c r="E1854" t="s">
        <v>6</v>
      </c>
      <c r="F1854" t="s">
        <v>50</v>
      </c>
      <c r="G1854" t="s">
        <v>8</v>
      </c>
    </row>
    <row r="1855" spans="1:7" x14ac:dyDescent="0.3">
      <c r="A1855" t="s">
        <v>30</v>
      </c>
      <c r="B1855" s="1">
        <v>45838</v>
      </c>
      <c r="C1855">
        <v>415004</v>
      </c>
      <c r="D1855">
        <v>-282466.85700000002</v>
      </c>
      <c r="E1855" t="s">
        <v>6</v>
      </c>
      <c r="F1855" t="s">
        <v>50</v>
      </c>
      <c r="G1855" t="s">
        <v>8</v>
      </c>
    </row>
    <row r="1856" spans="1:7" x14ac:dyDescent="0.3">
      <c r="A1856" t="s">
        <v>30</v>
      </c>
      <c r="B1856" s="1">
        <v>45838</v>
      </c>
      <c r="C1856">
        <v>418003</v>
      </c>
      <c r="D1856">
        <v>3.0000000000000001E-3</v>
      </c>
      <c r="E1856" t="s">
        <v>6</v>
      </c>
      <c r="F1856" t="s">
        <v>51</v>
      </c>
      <c r="G1856" t="s">
        <v>8</v>
      </c>
    </row>
    <row r="1857" spans="1:7" x14ac:dyDescent="0.3">
      <c r="A1857" t="s">
        <v>30</v>
      </c>
      <c r="B1857" s="1">
        <v>45838</v>
      </c>
      <c r="C1857">
        <v>421002</v>
      </c>
      <c r="D1857">
        <v>-4887.7579999999998</v>
      </c>
      <c r="E1857" t="s">
        <v>6</v>
      </c>
      <c r="F1857" t="s">
        <v>52</v>
      </c>
      <c r="G1857" t="s">
        <v>8</v>
      </c>
    </row>
    <row r="1858" spans="1:7" x14ac:dyDescent="0.3">
      <c r="A1858" t="s">
        <v>30</v>
      </c>
      <c r="B1858" s="1">
        <v>45838</v>
      </c>
      <c r="C1858">
        <v>421003</v>
      </c>
      <c r="D1858">
        <v>22622.019</v>
      </c>
      <c r="E1858" t="s">
        <v>6</v>
      </c>
      <c r="F1858" t="s">
        <v>52</v>
      </c>
      <c r="G1858" t="s">
        <v>8</v>
      </c>
    </row>
    <row r="1859" spans="1:7" x14ac:dyDescent="0.3">
      <c r="A1859" t="s">
        <v>30</v>
      </c>
      <c r="B1859" s="1">
        <v>45838</v>
      </c>
      <c r="C1859">
        <v>421004</v>
      </c>
      <c r="D1859">
        <v>1559.9960000000001</v>
      </c>
      <c r="E1859" t="s">
        <v>6</v>
      </c>
      <c r="F1859" t="s">
        <v>52</v>
      </c>
      <c r="G1859" t="s">
        <v>8</v>
      </c>
    </row>
    <row r="1860" spans="1:7" x14ac:dyDescent="0.3">
      <c r="A1860" t="s">
        <v>30</v>
      </c>
      <c r="B1860" s="1">
        <v>45838</v>
      </c>
      <c r="C1860">
        <v>421007</v>
      </c>
      <c r="D1860">
        <v>-10837.6</v>
      </c>
      <c r="E1860" t="s">
        <v>6</v>
      </c>
      <c r="F1860" t="s">
        <v>52</v>
      </c>
      <c r="G1860" t="s">
        <v>8</v>
      </c>
    </row>
    <row r="1861" spans="1:7" x14ac:dyDescent="0.3">
      <c r="A1861" t="s">
        <v>30</v>
      </c>
      <c r="B1861" s="1">
        <v>45838</v>
      </c>
      <c r="C1861">
        <v>423002</v>
      </c>
      <c r="D1861">
        <v>-5244.348</v>
      </c>
      <c r="E1861" t="s">
        <v>6</v>
      </c>
      <c r="F1861" t="s">
        <v>52</v>
      </c>
      <c r="G1861" t="s">
        <v>8</v>
      </c>
    </row>
    <row r="1862" spans="1:7" x14ac:dyDescent="0.3">
      <c r="A1862" t="s">
        <v>30</v>
      </c>
      <c r="B1862" s="1">
        <v>45838</v>
      </c>
      <c r="C1862">
        <v>510002</v>
      </c>
      <c r="D1862">
        <v>45867.464</v>
      </c>
      <c r="E1862" t="s">
        <v>6</v>
      </c>
      <c r="F1862" t="s">
        <v>53</v>
      </c>
      <c r="G1862" t="s">
        <v>8</v>
      </c>
    </row>
    <row r="1863" spans="1:7" x14ac:dyDescent="0.3">
      <c r="A1863" t="s">
        <v>30</v>
      </c>
      <c r="B1863" s="1">
        <v>45838</v>
      </c>
      <c r="C1863">
        <v>510005</v>
      </c>
      <c r="D1863">
        <v>-850.15</v>
      </c>
      <c r="E1863" t="s">
        <v>6</v>
      </c>
      <c r="F1863" t="s">
        <v>53</v>
      </c>
      <c r="G1863" t="s">
        <v>8</v>
      </c>
    </row>
    <row r="1864" spans="1:7" x14ac:dyDescent="0.3">
      <c r="A1864" t="s">
        <v>30</v>
      </c>
      <c r="B1864" s="1">
        <v>45838</v>
      </c>
      <c r="C1864">
        <v>510007</v>
      </c>
      <c r="D1864">
        <v>-146.38200000000001</v>
      </c>
      <c r="E1864" t="s">
        <v>6</v>
      </c>
      <c r="F1864" t="s">
        <v>53</v>
      </c>
      <c r="G1864" t="s">
        <v>8</v>
      </c>
    </row>
    <row r="1865" spans="1:7" x14ac:dyDescent="0.3">
      <c r="A1865" t="s">
        <v>30</v>
      </c>
      <c r="B1865" s="1">
        <v>45838</v>
      </c>
      <c r="C1865">
        <v>510061</v>
      </c>
      <c r="D1865">
        <v>0</v>
      </c>
      <c r="E1865" t="s">
        <v>6</v>
      </c>
      <c r="F1865" t="s">
        <v>53</v>
      </c>
      <c r="G1865" t="s">
        <v>8</v>
      </c>
    </row>
    <row r="1866" spans="1:7" x14ac:dyDescent="0.3">
      <c r="A1866" t="s">
        <v>30</v>
      </c>
      <c r="B1866" s="1">
        <v>45838</v>
      </c>
      <c r="C1866">
        <v>510062</v>
      </c>
      <c r="D1866">
        <v>0</v>
      </c>
      <c r="E1866" t="s">
        <v>6</v>
      </c>
      <c r="F1866" t="s">
        <v>53</v>
      </c>
      <c r="G1866" t="s">
        <v>8</v>
      </c>
    </row>
    <row r="1867" spans="1:7" x14ac:dyDescent="0.3">
      <c r="A1867" t="s">
        <v>30</v>
      </c>
      <c r="B1867" s="1">
        <v>45838</v>
      </c>
      <c r="C1867">
        <v>510065</v>
      </c>
      <c r="D1867">
        <v>100.92400000000001</v>
      </c>
      <c r="E1867" t="s">
        <v>6</v>
      </c>
      <c r="F1867" t="s">
        <v>53</v>
      </c>
      <c r="G1867" t="s">
        <v>8</v>
      </c>
    </row>
    <row r="1868" spans="1:7" x14ac:dyDescent="0.3">
      <c r="A1868" t="s">
        <v>30</v>
      </c>
      <c r="B1868" s="1">
        <v>45838</v>
      </c>
      <c r="C1868">
        <v>510066</v>
      </c>
      <c r="D1868">
        <v>0</v>
      </c>
      <c r="E1868" t="s">
        <v>6</v>
      </c>
      <c r="F1868" t="s">
        <v>53</v>
      </c>
      <c r="G1868" t="s">
        <v>8</v>
      </c>
    </row>
    <row r="1869" spans="1:7" x14ac:dyDescent="0.3">
      <c r="A1869" t="s">
        <v>30</v>
      </c>
      <c r="B1869" s="1">
        <v>45838</v>
      </c>
      <c r="C1869">
        <v>520011</v>
      </c>
      <c r="D1869">
        <v>3296.9940000000001</v>
      </c>
      <c r="E1869" t="s">
        <v>6</v>
      </c>
      <c r="F1869" t="s">
        <v>53</v>
      </c>
      <c r="G1869" t="s">
        <v>8</v>
      </c>
    </row>
    <row r="1870" spans="1:7" x14ac:dyDescent="0.3">
      <c r="A1870" t="s">
        <v>30</v>
      </c>
      <c r="B1870" s="1">
        <v>45838</v>
      </c>
      <c r="C1870">
        <v>520021</v>
      </c>
      <c r="D1870">
        <v>-0.25</v>
      </c>
      <c r="E1870" t="s">
        <v>6</v>
      </c>
      <c r="F1870" t="s">
        <v>60</v>
      </c>
      <c r="G1870" t="s">
        <v>8</v>
      </c>
    </row>
    <row r="1871" spans="1:7" x14ac:dyDescent="0.3">
      <c r="A1871" t="s">
        <v>30</v>
      </c>
      <c r="B1871" s="1">
        <v>45838</v>
      </c>
      <c r="C1871">
        <v>521002</v>
      </c>
      <c r="D1871">
        <v>0</v>
      </c>
      <c r="E1871" t="s">
        <v>6</v>
      </c>
      <c r="F1871" t="s">
        <v>53</v>
      </c>
      <c r="G1871" t="s">
        <v>8</v>
      </c>
    </row>
    <row r="1872" spans="1:7" x14ac:dyDescent="0.3">
      <c r="A1872" t="s">
        <v>30</v>
      </c>
      <c r="B1872" s="1">
        <v>45838</v>
      </c>
      <c r="C1872">
        <v>521004</v>
      </c>
      <c r="D1872">
        <v>0</v>
      </c>
      <c r="E1872" t="s">
        <v>6</v>
      </c>
      <c r="F1872" t="s">
        <v>53</v>
      </c>
      <c r="G1872" t="s">
        <v>8</v>
      </c>
    </row>
    <row r="1873" spans="1:7" x14ac:dyDescent="0.3">
      <c r="A1873" t="s">
        <v>30</v>
      </c>
      <c r="B1873" s="1">
        <v>45838</v>
      </c>
      <c r="C1873">
        <v>521006</v>
      </c>
      <c r="D1873">
        <v>0</v>
      </c>
      <c r="E1873" t="s">
        <v>6</v>
      </c>
      <c r="F1873" t="s">
        <v>53</v>
      </c>
      <c r="G1873" t="s">
        <v>8</v>
      </c>
    </row>
    <row r="1874" spans="1:7" x14ac:dyDescent="0.3">
      <c r="A1874" t="s">
        <v>30</v>
      </c>
      <c r="B1874" s="1">
        <v>45838</v>
      </c>
      <c r="C1874">
        <v>521007</v>
      </c>
      <c r="D1874">
        <v>0</v>
      </c>
      <c r="E1874" t="s">
        <v>6</v>
      </c>
      <c r="F1874" t="s">
        <v>53</v>
      </c>
      <c r="G1874" t="s">
        <v>8</v>
      </c>
    </row>
    <row r="1875" spans="1:7" x14ac:dyDescent="0.3">
      <c r="A1875" t="s">
        <v>30</v>
      </c>
      <c r="B1875" s="1">
        <v>45838</v>
      </c>
      <c r="C1875">
        <v>540004</v>
      </c>
      <c r="D1875">
        <v>225.00399999999999</v>
      </c>
      <c r="E1875" t="s">
        <v>6</v>
      </c>
      <c r="F1875" t="s">
        <v>67</v>
      </c>
      <c r="G1875" t="s">
        <v>8</v>
      </c>
    </row>
    <row r="1876" spans="1:7" x14ac:dyDescent="0.3">
      <c r="A1876" t="s">
        <v>30</v>
      </c>
      <c r="B1876" s="1">
        <v>45838</v>
      </c>
      <c r="C1876">
        <v>540009</v>
      </c>
      <c r="D1876">
        <v>7723.8590000000004</v>
      </c>
      <c r="E1876" t="s">
        <v>6</v>
      </c>
      <c r="F1876" t="s">
        <v>59</v>
      </c>
      <c r="G1876" t="s">
        <v>8</v>
      </c>
    </row>
    <row r="1877" spans="1:7" x14ac:dyDescent="0.3">
      <c r="A1877" t="s">
        <v>30</v>
      </c>
      <c r="B1877" s="1">
        <v>45838</v>
      </c>
      <c r="C1877">
        <v>541003</v>
      </c>
      <c r="D1877">
        <v>332.50799999999998</v>
      </c>
      <c r="E1877" t="s">
        <v>6</v>
      </c>
      <c r="F1877" t="s">
        <v>61</v>
      </c>
      <c r="G1877" t="s">
        <v>8</v>
      </c>
    </row>
    <row r="1878" spans="1:7" x14ac:dyDescent="0.3">
      <c r="A1878" t="s">
        <v>30</v>
      </c>
      <c r="B1878" s="1">
        <v>45838</v>
      </c>
      <c r="C1878">
        <v>541004</v>
      </c>
      <c r="D1878">
        <v>-179.727</v>
      </c>
      <c r="E1878" t="s">
        <v>6</v>
      </c>
      <c r="F1878" t="s">
        <v>61</v>
      </c>
      <c r="G1878" t="s">
        <v>8</v>
      </c>
    </row>
    <row r="1879" spans="1:7" x14ac:dyDescent="0.3">
      <c r="A1879" t="s">
        <v>30</v>
      </c>
      <c r="B1879" s="1">
        <v>45838</v>
      </c>
      <c r="C1879">
        <v>541009</v>
      </c>
      <c r="D1879">
        <v>2820.3649999999998</v>
      </c>
      <c r="E1879" t="s">
        <v>6</v>
      </c>
      <c r="F1879" t="s">
        <v>61</v>
      </c>
      <c r="G1879" t="s">
        <v>8</v>
      </c>
    </row>
    <row r="1880" spans="1:7" x14ac:dyDescent="0.3">
      <c r="A1880" t="s">
        <v>30</v>
      </c>
      <c r="B1880" s="1">
        <v>45838</v>
      </c>
      <c r="C1880">
        <v>541010</v>
      </c>
      <c r="D1880">
        <v>557.59900000000005</v>
      </c>
      <c r="E1880" t="s">
        <v>6</v>
      </c>
      <c r="F1880" t="s">
        <v>61</v>
      </c>
      <c r="G1880" t="s">
        <v>8</v>
      </c>
    </row>
    <row r="1881" spans="1:7" x14ac:dyDescent="0.3">
      <c r="A1881" t="s">
        <v>30</v>
      </c>
      <c r="B1881" s="1">
        <v>45838</v>
      </c>
      <c r="C1881">
        <v>546002</v>
      </c>
      <c r="D1881">
        <v>284959.45699999999</v>
      </c>
      <c r="E1881" t="s">
        <v>6</v>
      </c>
      <c r="F1881" t="s">
        <v>51</v>
      </c>
      <c r="G1881" t="s">
        <v>8</v>
      </c>
    </row>
    <row r="1882" spans="1:7" x14ac:dyDescent="0.3">
      <c r="A1882" t="s">
        <v>30</v>
      </c>
      <c r="B1882" s="1">
        <v>45838</v>
      </c>
      <c r="C1882">
        <v>546008</v>
      </c>
      <c r="D1882">
        <v>5562.5020000000004</v>
      </c>
      <c r="E1882" t="s">
        <v>6</v>
      </c>
      <c r="F1882" t="s">
        <v>51</v>
      </c>
      <c r="G1882" t="s">
        <v>8</v>
      </c>
    </row>
    <row r="1883" spans="1:7" x14ac:dyDescent="0.3">
      <c r="A1883" t="s">
        <v>30</v>
      </c>
      <c r="B1883" s="1">
        <v>45838</v>
      </c>
      <c r="C1883">
        <v>546013</v>
      </c>
      <c r="D1883">
        <v>38609.358</v>
      </c>
      <c r="E1883" t="s">
        <v>6</v>
      </c>
      <c r="F1883" t="s">
        <v>51</v>
      </c>
      <c r="G1883" t="s">
        <v>8</v>
      </c>
    </row>
    <row r="1884" spans="1:7" x14ac:dyDescent="0.3">
      <c r="A1884" t="s">
        <v>30</v>
      </c>
      <c r="B1884" s="1">
        <v>45838</v>
      </c>
      <c r="C1884">
        <v>546015</v>
      </c>
      <c r="D1884">
        <v>8912.2890000000007</v>
      </c>
      <c r="E1884" t="s">
        <v>6</v>
      </c>
      <c r="F1884" t="s">
        <v>51</v>
      </c>
      <c r="G1884" t="s">
        <v>8</v>
      </c>
    </row>
    <row r="1885" spans="1:7" x14ac:dyDescent="0.3">
      <c r="A1885" t="s">
        <v>30</v>
      </c>
      <c r="B1885" s="1">
        <v>45838</v>
      </c>
      <c r="C1885">
        <v>546022</v>
      </c>
      <c r="D1885">
        <v>11647.498</v>
      </c>
      <c r="E1885" t="s">
        <v>6</v>
      </c>
      <c r="F1885" t="s">
        <v>51</v>
      </c>
      <c r="G1885" t="s">
        <v>8</v>
      </c>
    </row>
    <row r="1886" spans="1:7" x14ac:dyDescent="0.3">
      <c r="A1886" t="s">
        <v>30</v>
      </c>
      <c r="B1886" s="1">
        <v>45838</v>
      </c>
      <c r="C1886">
        <v>546024</v>
      </c>
      <c r="D1886">
        <v>1533.3579999999999</v>
      </c>
      <c r="E1886" t="s">
        <v>6</v>
      </c>
      <c r="F1886" t="s">
        <v>51</v>
      </c>
      <c r="G1886" t="s">
        <v>8</v>
      </c>
    </row>
    <row r="1887" spans="1:7" x14ac:dyDescent="0.3">
      <c r="A1887" t="s">
        <v>30</v>
      </c>
      <c r="B1887" s="1">
        <v>45838</v>
      </c>
      <c r="C1887">
        <v>546040</v>
      </c>
      <c r="D1887">
        <v>27315.183000000001</v>
      </c>
      <c r="E1887" t="s">
        <v>6</v>
      </c>
      <c r="F1887" t="s">
        <v>51</v>
      </c>
      <c r="G1887" t="s">
        <v>8</v>
      </c>
    </row>
    <row r="1888" spans="1:7" x14ac:dyDescent="0.3">
      <c r="A1888" t="s">
        <v>30</v>
      </c>
      <c r="B1888" s="1">
        <v>45838</v>
      </c>
      <c r="C1888">
        <v>546046</v>
      </c>
      <c r="D1888">
        <v>1610.4190000000001</v>
      </c>
      <c r="E1888" t="s">
        <v>6</v>
      </c>
      <c r="F1888" t="s">
        <v>51</v>
      </c>
      <c r="G1888" t="s">
        <v>8</v>
      </c>
    </row>
    <row r="1889" spans="1:7" x14ac:dyDescent="0.3">
      <c r="A1889" t="s">
        <v>30</v>
      </c>
      <c r="B1889" s="1">
        <v>45838</v>
      </c>
      <c r="C1889">
        <v>546047</v>
      </c>
      <c r="D1889">
        <v>342.70499999999998</v>
      </c>
      <c r="E1889" t="s">
        <v>6</v>
      </c>
      <c r="F1889" t="s">
        <v>51</v>
      </c>
      <c r="G1889" t="s">
        <v>8</v>
      </c>
    </row>
    <row r="1890" spans="1:7" x14ac:dyDescent="0.3">
      <c r="A1890" t="s">
        <v>30</v>
      </c>
      <c r="B1890" s="1">
        <v>45838</v>
      </c>
      <c r="C1890">
        <v>550002</v>
      </c>
      <c r="D1890">
        <v>137441.36600000001</v>
      </c>
      <c r="E1890" t="s">
        <v>6</v>
      </c>
      <c r="F1890" t="s">
        <v>62</v>
      </c>
      <c r="G1890" t="s">
        <v>8</v>
      </c>
    </row>
    <row r="1891" spans="1:7" x14ac:dyDescent="0.3">
      <c r="A1891" t="s">
        <v>30</v>
      </c>
      <c r="B1891" s="1">
        <v>45838</v>
      </c>
      <c r="C1891">
        <v>551011</v>
      </c>
      <c r="D1891">
        <v>400.9</v>
      </c>
      <c r="E1891" t="s">
        <v>6</v>
      </c>
      <c r="F1891" t="s">
        <v>61</v>
      </c>
      <c r="G1891" t="s">
        <v>8</v>
      </c>
    </row>
    <row r="1892" spans="1:7" x14ac:dyDescent="0.3">
      <c r="A1892" t="s">
        <v>30</v>
      </c>
      <c r="B1892" s="1">
        <v>45838</v>
      </c>
      <c r="C1892">
        <v>555007</v>
      </c>
      <c r="D1892">
        <v>206.84100000000001</v>
      </c>
      <c r="E1892" t="s">
        <v>6</v>
      </c>
      <c r="F1892" t="s">
        <v>55</v>
      </c>
      <c r="G1892" t="s">
        <v>8</v>
      </c>
    </row>
    <row r="1893" spans="1:7" x14ac:dyDescent="0.3">
      <c r="A1893" t="s">
        <v>30</v>
      </c>
      <c r="B1893" s="1">
        <v>45838</v>
      </c>
      <c r="C1893">
        <v>556002</v>
      </c>
      <c r="D1893">
        <v>5.4889999999999999</v>
      </c>
      <c r="E1893" t="s">
        <v>6</v>
      </c>
      <c r="F1893" t="s">
        <v>60</v>
      </c>
      <c r="G1893" t="s">
        <v>8</v>
      </c>
    </row>
    <row r="1894" spans="1:7" x14ac:dyDescent="0.3">
      <c r="A1894" t="s">
        <v>30</v>
      </c>
      <c r="B1894" s="1">
        <v>45838</v>
      </c>
      <c r="C1894">
        <v>557002</v>
      </c>
      <c r="D1894">
        <v>1190.55</v>
      </c>
      <c r="E1894" t="s">
        <v>6</v>
      </c>
      <c r="F1894" t="s">
        <v>56</v>
      </c>
      <c r="G1894" t="s">
        <v>8</v>
      </c>
    </row>
    <row r="1895" spans="1:7" x14ac:dyDescent="0.3">
      <c r="A1895" t="s">
        <v>30</v>
      </c>
      <c r="B1895" s="1">
        <v>45838</v>
      </c>
      <c r="C1895">
        <v>557003</v>
      </c>
      <c r="D1895">
        <v>373.61799999999999</v>
      </c>
      <c r="E1895" t="s">
        <v>6</v>
      </c>
      <c r="F1895" t="s">
        <v>56</v>
      </c>
      <c r="G1895" t="s">
        <v>8</v>
      </c>
    </row>
    <row r="1896" spans="1:7" x14ac:dyDescent="0.3">
      <c r="A1896" t="s">
        <v>30</v>
      </c>
      <c r="B1896" s="1">
        <v>45838</v>
      </c>
      <c r="C1896">
        <v>560008</v>
      </c>
      <c r="D1896">
        <v>471.95100000000002</v>
      </c>
      <c r="E1896" t="s">
        <v>6</v>
      </c>
      <c r="F1896" t="s">
        <v>56</v>
      </c>
      <c r="G1896" t="s">
        <v>8</v>
      </c>
    </row>
    <row r="1897" spans="1:7" x14ac:dyDescent="0.3">
      <c r="A1897" t="s">
        <v>30</v>
      </c>
      <c r="B1897" s="1">
        <v>45838</v>
      </c>
      <c r="C1897">
        <v>563002</v>
      </c>
      <c r="D1897">
        <v>2756.0970000000002</v>
      </c>
      <c r="E1897" t="s">
        <v>6</v>
      </c>
      <c r="F1897" t="s">
        <v>57</v>
      </c>
      <c r="G1897" t="s">
        <v>8</v>
      </c>
    </row>
    <row r="1898" spans="1:7" x14ac:dyDescent="0.3">
      <c r="A1898" t="s">
        <v>30</v>
      </c>
      <c r="B1898" s="1">
        <v>45838</v>
      </c>
      <c r="C1898">
        <v>564004</v>
      </c>
      <c r="D1898">
        <v>4542.3289999999997</v>
      </c>
      <c r="E1898" t="s">
        <v>6</v>
      </c>
      <c r="F1898" t="s">
        <v>51</v>
      </c>
      <c r="G1898" t="s">
        <v>8</v>
      </c>
    </row>
    <row r="1899" spans="1:7" x14ac:dyDescent="0.3">
      <c r="A1899" t="s">
        <v>30</v>
      </c>
      <c r="B1899" s="1">
        <v>45838</v>
      </c>
      <c r="C1899">
        <v>564008</v>
      </c>
      <c r="D1899">
        <v>47.218000000000004</v>
      </c>
      <c r="E1899" t="s">
        <v>6</v>
      </c>
      <c r="F1899" t="s">
        <v>55</v>
      </c>
      <c r="G1899" t="s">
        <v>8</v>
      </c>
    </row>
    <row r="1900" spans="1:7" x14ac:dyDescent="0.3">
      <c r="A1900" t="s">
        <v>30</v>
      </c>
      <c r="B1900" s="1">
        <v>45838</v>
      </c>
      <c r="C1900">
        <v>564020</v>
      </c>
      <c r="D1900">
        <v>59.097000000000001</v>
      </c>
      <c r="E1900" t="s">
        <v>6</v>
      </c>
      <c r="F1900" t="s">
        <v>57</v>
      </c>
      <c r="G1900" t="s">
        <v>8</v>
      </c>
    </row>
    <row r="1901" spans="1:7" x14ac:dyDescent="0.3">
      <c r="A1901" t="s">
        <v>30</v>
      </c>
      <c r="B1901" s="1">
        <v>45838</v>
      </c>
      <c r="C1901">
        <v>570002</v>
      </c>
      <c r="D1901">
        <v>66.781999999999996</v>
      </c>
      <c r="E1901" t="s">
        <v>6</v>
      </c>
      <c r="F1901" t="s">
        <v>66</v>
      </c>
      <c r="G1901" t="s">
        <v>8</v>
      </c>
    </row>
    <row r="1902" spans="1:7" x14ac:dyDescent="0.3">
      <c r="A1902" t="s">
        <v>30</v>
      </c>
      <c r="B1902" s="1">
        <v>45838</v>
      </c>
      <c r="C1902">
        <v>580002</v>
      </c>
      <c r="D1902">
        <v>3768.8609999999999</v>
      </c>
      <c r="E1902" t="s">
        <v>6</v>
      </c>
      <c r="F1902" t="s">
        <v>64</v>
      </c>
      <c r="G1902" t="s">
        <v>8</v>
      </c>
    </row>
    <row r="1903" spans="1:7" x14ac:dyDescent="0.3">
      <c r="A1903" t="s">
        <v>31</v>
      </c>
      <c r="B1903" s="1">
        <v>45838</v>
      </c>
      <c r="C1903">
        <v>210002</v>
      </c>
      <c r="D1903">
        <v>-22359.934000000001</v>
      </c>
      <c r="E1903" t="s">
        <v>4</v>
      </c>
      <c r="F1903" t="s">
        <v>42</v>
      </c>
      <c r="G1903" t="s">
        <v>8</v>
      </c>
    </row>
    <row r="1904" spans="1:7" x14ac:dyDescent="0.3">
      <c r="A1904" t="s">
        <v>31</v>
      </c>
      <c r="B1904" s="1">
        <v>45838</v>
      </c>
      <c r="C1904">
        <v>220006</v>
      </c>
      <c r="D1904">
        <v>-158405.32</v>
      </c>
      <c r="E1904" t="s">
        <v>4</v>
      </c>
      <c r="F1904" t="s">
        <v>42</v>
      </c>
      <c r="G1904" t="s">
        <v>8</v>
      </c>
    </row>
    <row r="1905" spans="1:7" x14ac:dyDescent="0.3">
      <c r="A1905" t="s">
        <v>31</v>
      </c>
      <c r="B1905" s="1">
        <v>45838</v>
      </c>
      <c r="C1905">
        <v>240002</v>
      </c>
      <c r="D1905">
        <v>-7073.0940000000001</v>
      </c>
      <c r="E1905" t="s">
        <v>4</v>
      </c>
      <c r="F1905" t="s">
        <v>43</v>
      </c>
      <c r="G1905" t="s">
        <v>8</v>
      </c>
    </row>
    <row r="1906" spans="1:7" x14ac:dyDescent="0.3">
      <c r="A1906" t="s">
        <v>31</v>
      </c>
      <c r="B1906" s="1">
        <v>45838</v>
      </c>
      <c r="C1906">
        <v>240003</v>
      </c>
      <c r="D1906">
        <v>-652.63400000000001</v>
      </c>
      <c r="E1906" t="s">
        <v>4</v>
      </c>
      <c r="F1906" t="s">
        <v>43</v>
      </c>
      <c r="G1906" t="s">
        <v>8</v>
      </c>
    </row>
    <row r="1907" spans="1:7" x14ac:dyDescent="0.3">
      <c r="A1907" t="s">
        <v>31</v>
      </c>
      <c r="B1907" s="1">
        <v>45838</v>
      </c>
      <c r="C1907">
        <v>240007</v>
      </c>
      <c r="D1907">
        <v>0</v>
      </c>
      <c r="E1907" t="s">
        <v>4</v>
      </c>
      <c r="F1907" t="s">
        <v>65</v>
      </c>
      <c r="G1907" t="s">
        <v>8</v>
      </c>
    </row>
    <row r="1908" spans="1:7" x14ac:dyDescent="0.3">
      <c r="A1908" t="s">
        <v>31</v>
      </c>
      <c r="B1908" s="1">
        <v>45838</v>
      </c>
      <c r="C1908">
        <v>240009</v>
      </c>
      <c r="D1908">
        <v>-750.80200000000002</v>
      </c>
      <c r="E1908" t="s">
        <v>4</v>
      </c>
      <c r="F1908" t="s">
        <v>43</v>
      </c>
      <c r="G1908" t="s">
        <v>8</v>
      </c>
    </row>
    <row r="1909" spans="1:7" x14ac:dyDescent="0.3">
      <c r="A1909" t="s">
        <v>31</v>
      </c>
      <c r="B1909" s="1">
        <v>45838</v>
      </c>
      <c r="C1909">
        <v>242003</v>
      </c>
      <c r="D1909">
        <v>-256573.79199999999</v>
      </c>
      <c r="E1909" t="s">
        <v>4</v>
      </c>
      <c r="F1909" t="s">
        <v>43</v>
      </c>
      <c r="G1909" t="s">
        <v>8</v>
      </c>
    </row>
    <row r="1910" spans="1:7" x14ac:dyDescent="0.3">
      <c r="A1910" t="s">
        <v>31</v>
      </c>
      <c r="B1910" s="1">
        <v>45838</v>
      </c>
      <c r="C1910">
        <v>242011</v>
      </c>
      <c r="D1910">
        <v>-38093.813000000002</v>
      </c>
      <c r="E1910" t="s">
        <v>4</v>
      </c>
      <c r="F1910" t="s">
        <v>43</v>
      </c>
      <c r="G1910" t="s">
        <v>8</v>
      </c>
    </row>
    <row r="1911" spans="1:7" x14ac:dyDescent="0.3">
      <c r="A1911" t="s">
        <v>31</v>
      </c>
      <c r="B1911" s="1">
        <v>45838</v>
      </c>
      <c r="C1911">
        <v>242014</v>
      </c>
      <c r="D1911">
        <v>-11.119</v>
      </c>
      <c r="E1911" t="s">
        <v>4</v>
      </c>
      <c r="F1911" t="s">
        <v>43</v>
      </c>
      <c r="G1911" t="s">
        <v>8</v>
      </c>
    </row>
    <row r="1912" spans="1:7" x14ac:dyDescent="0.3">
      <c r="A1912" t="s">
        <v>31</v>
      </c>
      <c r="B1912" s="1">
        <v>45838</v>
      </c>
      <c r="C1912">
        <v>242018</v>
      </c>
      <c r="D1912">
        <v>-5712.1970000000001</v>
      </c>
      <c r="E1912" t="s">
        <v>4</v>
      </c>
      <c r="F1912" t="s">
        <v>43</v>
      </c>
      <c r="G1912" t="s">
        <v>8</v>
      </c>
    </row>
    <row r="1913" spans="1:7" x14ac:dyDescent="0.3">
      <c r="A1913" t="s">
        <v>31</v>
      </c>
      <c r="B1913" s="1">
        <v>45838</v>
      </c>
      <c r="C1913">
        <v>242027</v>
      </c>
      <c r="D1913">
        <v>-73849.857000000004</v>
      </c>
      <c r="E1913" t="s">
        <v>4</v>
      </c>
      <c r="F1913" t="s">
        <v>43</v>
      </c>
      <c r="G1913" t="s">
        <v>8</v>
      </c>
    </row>
    <row r="1914" spans="1:7" x14ac:dyDescent="0.3">
      <c r="A1914" t="s">
        <v>31</v>
      </c>
      <c r="B1914" s="1">
        <v>45838</v>
      </c>
      <c r="C1914">
        <v>242030</v>
      </c>
      <c r="D1914">
        <v>-14488.127</v>
      </c>
      <c r="E1914" t="s">
        <v>4</v>
      </c>
      <c r="F1914" t="s">
        <v>43</v>
      </c>
      <c r="G1914" t="s">
        <v>8</v>
      </c>
    </row>
    <row r="1915" spans="1:7" x14ac:dyDescent="0.3">
      <c r="A1915" t="s">
        <v>31</v>
      </c>
      <c r="B1915" s="1">
        <v>45838</v>
      </c>
      <c r="C1915">
        <v>242038</v>
      </c>
      <c r="D1915">
        <v>-880.69100000000003</v>
      </c>
      <c r="E1915" t="s">
        <v>4</v>
      </c>
      <c r="F1915" t="s">
        <v>43</v>
      </c>
      <c r="G1915" t="s">
        <v>8</v>
      </c>
    </row>
    <row r="1916" spans="1:7" x14ac:dyDescent="0.3">
      <c r="A1916" t="s">
        <v>31</v>
      </c>
      <c r="B1916" s="1">
        <v>45838</v>
      </c>
      <c r="C1916">
        <v>242041</v>
      </c>
      <c r="D1916">
        <v>-4859.4030000000002</v>
      </c>
      <c r="E1916" t="s">
        <v>4</v>
      </c>
      <c r="F1916" t="s">
        <v>43</v>
      </c>
      <c r="G1916" t="s">
        <v>8</v>
      </c>
    </row>
    <row r="1917" spans="1:7" x14ac:dyDescent="0.3">
      <c r="A1917" t="s">
        <v>31</v>
      </c>
      <c r="B1917" s="1">
        <v>45838</v>
      </c>
      <c r="C1917">
        <v>243002</v>
      </c>
      <c r="D1917">
        <v>-3523.058</v>
      </c>
      <c r="E1917" t="s">
        <v>4</v>
      </c>
      <c r="F1917" t="s">
        <v>43</v>
      </c>
      <c r="G1917" t="s">
        <v>8</v>
      </c>
    </row>
    <row r="1918" spans="1:7" x14ac:dyDescent="0.3">
      <c r="A1918" t="s">
        <v>31</v>
      </c>
      <c r="B1918" s="1">
        <v>45838</v>
      </c>
      <c r="C1918">
        <v>243010</v>
      </c>
      <c r="D1918">
        <v>-292.392</v>
      </c>
      <c r="E1918" t="s">
        <v>4</v>
      </c>
      <c r="F1918" t="s">
        <v>43</v>
      </c>
      <c r="G1918" t="s">
        <v>8</v>
      </c>
    </row>
    <row r="1919" spans="1:7" x14ac:dyDescent="0.3">
      <c r="A1919" t="s">
        <v>31</v>
      </c>
      <c r="B1919" s="1">
        <v>45838</v>
      </c>
      <c r="C1919">
        <v>245004</v>
      </c>
      <c r="D1919">
        <v>0</v>
      </c>
      <c r="E1919" t="s">
        <v>4</v>
      </c>
      <c r="F1919" t="s">
        <v>43</v>
      </c>
      <c r="G1919" t="s">
        <v>8</v>
      </c>
    </row>
    <row r="1920" spans="1:7" x14ac:dyDescent="0.3">
      <c r="A1920" t="s">
        <v>31</v>
      </c>
      <c r="B1920" s="1">
        <v>45838</v>
      </c>
      <c r="C1920">
        <v>245010</v>
      </c>
      <c r="D1920">
        <v>-11524.233</v>
      </c>
      <c r="E1920" t="s">
        <v>4</v>
      </c>
      <c r="F1920" t="s">
        <v>44</v>
      </c>
      <c r="G1920" t="s">
        <v>8</v>
      </c>
    </row>
    <row r="1921" spans="1:7" x14ac:dyDescent="0.3">
      <c r="A1921" t="s">
        <v>31</v>
      </c>
      <c r="B1921" s="1">
        <v>45838</v>
      </c>
      <c r="C1921">
        <v>245018</v>
      </c>
      <c r="D1921">
        <v>-7091.2730000000001</v>
      </c>
      <c r="E1921" t="s">
        <v>4</v>
      </c>
      <c r="F1921" t="s">
        <v>43</v>
      </c>
      <c r="G1921" t="s">
        <v>8</v>
      </c>
    </row>
    <row r="1922" spans="1:7" x14ac:dyDescent="0.3">
      <c r="A1922" t="s">
        <v>31</v>
      </c>
      <c r="B1922" s="1">
        <v>45838</v>
      </c>
      <c r="C1922">
        <v>245049</v>
      </c>
      <c r="D1922">
        <v>-0.35499999999999998</v>
      </c>
      <c r="E1922" t="s">
        <v>4</v>
      </c>
      <c r="F1922" t="s">
        <v>43</v>
      </c>
      <c r="G1922" t="s">
        <v>8</v>
      </c>
    </row>
    <row r="1923" spans="1:7" x14ac:dyDescent="0.3">
      <c r="A1923" t="s">
        <v>31</v>
      </c>
      <c r="B1923" s="1">
        <v>45838</v>
      </c>
      <c r="C1923">
        <v>245055</v>
      </c>
      <c r="D1923">
        <v>-1459.6310000000001</v>
      </c>
      <c r="E1923" t="s">
        <v>4</v>
      </c>
      <c r="F1923" t="s">
        <v>43</v>
      </c>
      <c r="G1923" t="s">
        <v>8</v>
      </c>
    </row>
    <row r="1924" spans="1:7" x14ac:dyDescent="0.3">
      <c r="A1924" t="s">
        <v>31</v>
      </c>
      <c r="B1924" s="1">
        <v>45838</v>
      </c>
      <c r="C1924">
        <v>245056</v>
      </c>
      <c r="D1924">
        <v>0</v>
      </c>
      <c r="E1924" t="s">
        <v>4</v>
      </c>
      <c r="F1924" t="s">
        <v>49</v>
      </c>
      <c r="G1924" t="s">
        <v>8</v>
      </c>
    </row>
    <row r="1925" spans="1:7" x14ac:dyDescent="0.3">
      <c r="A1925" t="s">
        <v>31</v>
      </c>
      <c r="B1925" s="1">
        <v>45838</v>
      </c>
      <c r="C1925">
        <v>245058</v>
      </c>
      <c r="D1925">
        <v>0</v>
      </c>
      <c r="E1925" t="s">
        <v>4</v>
      </c>
      <c r="F1925" t="s">
        <v>43</v>
      </c>
      <c r="G1925" t="s">
        <v>8</v>
      </c>
    </row>
    <row r="1926" spans="1:7" x14ac:dyDescent="0.3">
      <c r="A1926" t="s">
        <v>31</v>
      </c>
      <c r="B1926" s="1">
        <v>45838</v>
      </c>
      <c r="C1926">
        <v>245062</v>
      </c>
      <c r="D1926">
        <v>-8003.6639999999998</v>
      </c>
      <c r="E1926" t="s">
        <v>4</v>
      </c>
      <c r="F1926" t="s">
        <v>43</v>
      </c>
      <c r="G1926" t="s">
        <v>8</v>
      </c>
    </row>
    <row r="1927" spans="1:7" x14ac:dyDescent="0.3">
      <c r="A1927" t="s">
        <v>31</v>
      </c>
      <c r="B1927" s="1">
        <v>45838</v>
      </c>
      <c r="C1927">
        <v>250003</v>
      </c>
      <c r="D1927">
        <v>-926.524</v>
      </c>
      <c r="E1927" t="s">
        <v>4</v>
      </c>
      <c r="F1927" t="s">
        <v>45</v>
      </c>
      <c r="G1927" t="s">
        <v>8</v>
      </c>
    </row>
    <row r="1928" spans="1:7" x14ac:dyDescent="0.3">
      <c r="A1928" t="s">
        <v>31</v>
      </c>
      <c r="B1928" s="1">
        <v>45838</v>
      </c>
      <c r="C1928">
        <v>250007</v>
      </c>
      <c r="D1928">
        <v>7634.598</v>
      </c>
      <c r="E1928" t="s">
        <v>4</v>
      </c>
      <c r="F1928" t="s">
        <v>43</v>
      </c>
      <c r="G1928" t="s">
        <v>8</v>
      </c>
    </row>
    <row r="1929" spans="1:7" x14ac:dyDescent="0.3">
      <c r="A1929" t="s">
        <v>31</v>
      </c>
      <c r="B1929" s="1">
        <v>45838</v>
      </c>
      <c r="C1929">
        <v>251002</v>
      </c>
      <c r="D1929">
        <v>-57856.180999999997</v>
      </c>
      <c r="E1929" t="s">
        <v>4</v>
      </c>
      <c r="F1929" t="s">
        <v>45</v>
      </c>
      <c r="G1929" t="s">
        <v>8</v>
      </c>
    </row>
    <row r="1930" spans="1:7" x14ac:dyDescent="0.3">
      <c r="A1930" t="s">
        <v>31</v>
      </c>
      <c r="B1930" s="1">
        <v>45838</v>
      </c>
      <c r="C1930">
        <v>251003</v>
      </c>
      <c r="D1930">
        <v>-4452.24</v>
      </c>
      <c r="E1930" t="s">
        <v>4</v>
      </c>
      <c r="F1930" t="s">
        <v>45</v>
      </c>
      <c r="G1930" t="s">
        <v>8</v>
      </c>
    </row>
    <row r="1931" spans="1:7" x14ac:dyDescent="0.3">
      <c r="A1931" t="s">
        <v>31</v>
      </c>
      <c r="B1931" s="1">
        <v>45838</v>
      </c>
      <c r="C1931">
        <v>251005</v>
      </c>
      <c r="D1931">
        <v>729.11900000000003</v>
      </c>
      <c r="E1931" t="s">
        <v>4</v>
      </c>
      <c r="F1931" t="s">
        <v>46</v>
      </c>
      <c r="G1931" t="s">
        <v>8</v>
      </c>
    </row>
    <row r="1932" spans="1:7" x14ac:dyDescent="0.3">
      <c r="A1932" t="s">
        <v>31</v>
      </c>
      <c r="B1932" s="1">
        <v>45838</v>
      </c>
      <c r="C1932">
        <v>257005</v>
      </c>
      <c r="D1932">
        <v>0</v>
      </c>
      <c r="E1932" t="s">
        <v>4</v>
      </c>
      <c r="F1932" t="s">
        <v>45</v>
      </c>
      <c r="G1932" t="s">
        <v>8</v>
      </c>
    </row>
    <row r="1933" spans="1:7" x14ac:dyDescent="0.3">
      <c r="A1933" t="s">
        <v>31</v>
      </c>
      <c r="B1933" s="1">
        <v>45838</v>
      </c>
      <c r="C1933">
        <v>257027</v>
      </c>
      <c r="D1933">
        <v>-20025.863000000001</v>
      </c>
      <c r="E1933" t="s">
        <v>4</v>
      </c>
      <c r="F1933" t="s">
        <v>45</v>
      </c>
      <c r="G1933" t="s">
        <v>8</v>
      </c>
    </row>
    <row r="1934" spans="1:7" x14ac:dyDescent="0.3">
      <c r="A1934" t="s">
        <v>31</v>
      </c>
      <c r="B1934" s="1">
        <v>45838</v>
      </c>
      <c r="C1934">
        <v>260004</v>
      </c>
      <c r="D1934">
        <v>-26388.494999999999</v>
      </c>
      <c r="E1934" t="s">
        <v>4</v>
      </c>
      <c r="F1934" t="s">
        <v>45</v>
      </c>
      <c r="G1934" t="s">
        <v>8</v>
      </c>
    </row>
    <row r="1935" spans="1:7" x14ac:dyDescent="0.3">
      <c r="A1935" t="s">
        <v>31</v>
      </c>
      <c r="B1935" s="1">
        <v>45838</v>
      </c>
      <c r="C1935">
        <v>270027</v>
      </c>
      <c r="D1935">
        <v>-6880.5990000000002</v>
      </c>
      <c r="E1935" t="s">
        <v>4</v>
      </c>
      <c r="F1935" t="s">
        <v>58</v>
      </c>
      <c r="G1935" t="s">
        <v>8</v>
      </c>
    </row>
    <row r="1936" spans="1:7" x14ac:dyDescent="0.3">
      <c r="A1936" t="s">
        <v>31</v>
      </c>
      <c r="B1936" s="1">
        <v>45838</v>
      </c>
      <c r="C1936">
        <v>300008</v>
      </c>
      <c r="D1936">
        <v>5562.53</v>
      </c>
      <c r="E1936" t="s">
        <v>4</v>
      </c>
      <c r="F1936" t="s">
        <v>65</v>
      </c>
      <c r="G1936" t="s">
        <v>8</v>
      </c>
    </row>
    <row r="1937" spans="1:7" x14ac:dyDescent="0.3">
      <c r="A1937" t="s">
        <v>31</v>
      </c>
      <c r="B1937" s="1">
        <v>45838</v>
      </c>
      <c r="C1937">
        <v>300011</v>
      </c>
      <c r="D1937">
        <v>34.993000000000002</v>
      </c>
      <c r="E1937" t="s">
        <v>4</v>
      </c>
      <c r="F1937" t="s">
        <v>65</v>
      </c>
      <c r="G1937" t="s">
        <v>8</v>
      </c>
    </row>
    <row r="1938" spans="1:7" x14ac:dyDescent="0.3">
      <c r="A1938" t="s">
        <v>31</v>
      </c>
      <c r="B1938" s="1">
        <v>45838</v>
      </c>
      <c r="C1938">
        <v>300012</v>
      </c>
      <c r="D1938">
        <v>1677.3510000000001</v>
      </c>
      <c r="E1938" t="s">
        <v>4</v>
      </c>
      <c r="F1938" t="s">
        <v>65</v>
      </c>
      <c r="G1938" t="s">
        <v>8</v>
      </c>
    </row>
    <row r="1939" spans="1:7" x14ac:dyDescent="0.3">
      <c r="A1939" t="s">
        <v>31</v>
      </c>
      <c r="B1939" s="1">
        <v>45838</v>
      </c>
      <c r="C1939">
        <v>300508</v>
      </c>
      <c r="D1939">
        <v>-3323.0219999999999</v>
      </c>
      <c r="E1939" t="s">
        <v>4</v>
      </c>
      <c r="F1939" t="s">
        <v>65</v>
      </c>
      <c r="G1939" t="s">
        <v>8</v>
      </c>
    </row>
    <row r="1940" spans="1:7" x14ac:dyDescent="0.3">
      <c r="A1940" t="s">
        <v>31</v>
      </c>
      <c r="B1940" s="1">
        <v>45838</v>
      </c>
      <c r="C1940">
        <v>300511</v>
      </c>
      <c r="D1940">
        <v>-34.993000000000002</v>
      </c>
      <c r="E1940" t="s">
        <v>4</v>
      </c>
      <c r="F1940" t="s">
        <v>65</v>
      </c>
      <c r="G1940" t="s">
        <v>8</v>
      </c>
    </row>
    <row r="1941" spans="1:7" x14ac:dyDescent="0.3">
      <c r="A1941" t="s">
        <v>31</v>
      </c>
      <c r="B1941" s="1">
        <v>45838</v>
      </c>
      <c r="C1941">
        <v>300512</v>
      </c>
      <c r="D1941">
        <v>-1677.3510000000001</v>
      </c>
      <c r="E1941" t="s">
        <v>4</v>
      </c>
      <c r="F1941" t="s">
        <v>65</v>
      </c>
      <c r="G1941" t="s">
        <v>8</v>
      </c>
    </row>
    <row r="1942" spans="1:7" x14ac:dyDescent="0.3">
      <c r="A1942" t="s">
        <v>31</v>
      </c>
      <c r="B1942" s="1">
        <v>45838</v>
      </c>
      <c r="C1942">
        <v>303003</v>
      </c>
      <c r="D1942">
        <v>0</v>
      </c>
      <c r="E1942" t="s">
        <v>4</v>
      </c>
      <c r="F1942" t="s">
        <v>65</v>
      </c>
      <c r="G1942" t="s">
        <v>8</v>
      </c>
    </row>
    <row r="1943" spans="1:7" x14ac:dyDescent="0.3">
      <c r="A1943" t="s">
        <v>31</v>
      </c>
      <c r="B1943" s="1">
        <v>45838</v>
      </c>
      <c r="C1943">
        <v>320002</v>
      </c>
      <c r="D1943">
        <v>18779.73</v>
      </c>
      <c r="E1943" t="s">
        <v>4</v>
      </c>
      <c r="F1943" t="s">
        <v>46</v>
      </c>
      <c r="G1943" t="s">
        <v>8</v>
      </c>
    </row>
    <row r="1944" spans="1:7" x14ac:dyDescent="0.3">
      <c r="A1944" t="s">
        <v>31</v>
      </c>
      <c r="B1944" s="1">
        <v>45838</v>
      </c>
      <c r="C1944">
        <v>320003</v>
      </c>
      <c r="D1944">
        <v>188414.06400000001</v>
      </c>
      <c r="E1944" t="s">
        <v>4</v>
      </c>
      <c r="F1944" t="s">
        <v>46</v>
      </c>
      <c r="G1944" t="s">
        <v>8</v>
      </c>
    </row>
    <row r="1945" spans="1:7" x14ac:dyDescent="0.3">
      <c r="A1945" t="s">
        <v>31</v>
      </c>
      <c r="B1945" s="1">
        <v>45838</v>
      </c>
      <c r="C1945">
        <v>320004</v>
      </c>
      <c r="D1945">
        <v>2029.6569999999999</v>
      </c>
      <c r="E1945" t="s">
        <v>4</v>
      </c>
      <c r="F1945" t="s">
        <v>46</v>
      </c>
      <c r="G1945" t="s">
        <v>8</v>
      </c>
    </row>
    <row r="1946" spans="1:7" x14ac:dyDescent="0.3">
      <c r="A1946" t="s">
        <v>31</v>
      </c>
      <c r="B1946" s="1">
        <v>45838</v>
      </c>
      <c r="C1946">
        <v>320023</v>
      </c>
      <c r="D1946">
        <v>-1370.2170000000001</v>
      </c>
      <c r="E1946" t="s">
        <v>4</v>
      </c>
      <c r="F1946" t="s">
        <v>46</v>
      </c>
      <c r="G1946" t="s">
        <v>8</v>
      </c>
    </row>
    <row r="1947" spans="1:7" x14ac:dyDescent="0.3">
      <c r="A1947" t="s">
        <v>31</v>
      </c>
      <c r="B1947" s="1">
        <v>45838</v>
      </c>
      <c r="C1947">
        <v>321002</v>
      </c>
      <c r="D1947">
        <v>22633.679</v>
      </c>
      <c r="E1947" t="s">
        <v>4</v>
      </c>
      <c r="F1947" t="s">
        <v>46</v>
      </c>
      <c r="G1947" t="s">
        <v>8</v>
      </c>
    </row>
    <row r="1948" spans="1:7" x14ac:dyDescent="0.3">
      <c r="A1948" t="s">
        <v>31</v>
      </c>
      <c r="B1948" s="1">
        <v>45838</v>
      </c>
      <c r="C1948">
        <v>321004</v>
      </c>
      <c r="D1948">
        <v>7215.2569999999996</v>
      </c>
      <c r="E1948" t="s">
        <v>4</v>
      </c>
      <c r="F1948" t="s">
        <v>46</v>
      </c>
      <c r="G1948" t="s">
        <v>8</v>
      </c>
    </row>
    <row r="1949" spans="1:7" x14ac:dyDescent="0.3">
      <c r="A1949" t="s">
        <v>31</v>
      </c>
      <c r="B1949" s="1">
        <v>45838</v>
      </c>
      <c r="C1949">
        <v>321012</v>
      </c>
      <c r="D1949">
        <v>1234.4960000000001</v>
      </c>
      <c r="E1949" t="s">
        <v>4</v>
      </c>
      <c r="F1949" t="s">
        <v>46</v>
      </c>
      <c r="G1949" t="s">
        <v>8</v>
      </c>
    </row>
    <row r="1950" spans="1:7" x14ac:dyDescent="0.3">
      <c r="A1950" t="s">
        <v>31</v>
      </c>
      <c r="B1950" s="1">
        <v>45838</v>
      </c>
      <c r="C1950">
        <v>321025</v>
      </c>
      <c r="D1950">
        <v>85461.854000000007</v>
      </c>
      <c r="E1950" t="s">
        <v>4</v>
      </c>
      <c r="F1950" t="s">
        <v>46</v>
      </c>
      <c r="G1950" t="s">
        <v>8</v>
      </c>
    </row>
    <row r="1951" spans="1:7" x14ac:dyDescent="0.3">
      <c r="A1951" t="s">
        <v>31</v>
      </c>
      <c r="B1951" s="1">
        <v>45838</v>
      </c>
      <c r="C1951">
        <v>321028</v>
      </c>
      <c r="D1951">
        <v>16806.835999999999</v>
      </c>
      <c r="E1951" t="s">
        <v>4</v>
      </c>
      <c r="F1951" t="s">
        <v>46</v>
      </c>
      <c r="G1951" t="s">
        <v>8</v>
      </c>
    </row>
    <row r="1952" spans="1:7" x14ac:dyDescent="0.3">
      <c r="A1952" t="s">
        <v>31</v>
      </c>
      <c r="B1952" s="1">
        <v>45838</v>
      </c>
      <c r="C1952">
        <v>321029</v>
      </c>
      <c r="D1952">
        <v>28758.308000000001</v>
      </c>
      <c r="E1952" t="s">
        <v>4</v>
      </c>
      <c r="F1952" t="s">
        <v>46</v>
      </c>
      <c r="G1952" t="s">
        <v>8</v>
      </c>
    </row>
    <row r="1953" spans="1:7" x14ac:dyDescent="0.3">
      <c r="A1953" t="s">
        <v>31</v>
      </c>
      <c r="B1953" s="1">
        <v>45838</v>
      </c>
      <c r="C1953">
        <v>321030</v>
      </c>
      <c r="D1953">
        <v>1911.883</v>
      </c>
      <c r="E1953" t="s">
        <v>4</v>
      </c>
      <c r="F1953" t="s">
        <v>46</v>
      </c>
      <c r="G1953" t="s">
        <v>8</v>
      </c>
    </row>
    <row r="1954" spans="1:7" x14ac:dyDescent="0.3">
      <c r="A1954" t="s">
        <v>31</v>
      </c>
      <c r="B1954" s="1">
        <v>45838</v>
      </c>
      <c r="C1954">
        <v>321042</v>
      </c>
      <c r="D1954">
        <v>2.762</v>
      </c>
      <c r="E1954" t="s">
        <v>4</v>
      </c>
      <c r="F1954" t="s">
        <v>46</v>
      </c>
      <c r="G1954" t="s">
        <v>8</v>
      </c>
    </row>
    <row r="1955" spans="1:7" x14ac:dyDescent="0.3">
      <c r="A1955" t="s">
        <v>31</v>
      </c>
      <c r="B1955" s="1">
        <v>45838</v>
      </c>
      <c r="C1955">
        <v>330116</v>
      </c>
      <c r="D1955">
        <v>-2012.2760000000001</v>
      </c>
      <c r="E1955" t="s">
        <v>4</v>
      </c>
      <c r="F1955" t="s">
        <v>43</v>
      </c>
      <c r="G1955" t="s">
        <v>8</v>
      </c>
    </row>
    <row r="1956" spans="1:7" x14ac:dyDescent="0.3">
      <c r="A1956" t="s">
        <v>31</v>
      </c>
      <c r="B1956" s="1">
        <v>45838</v>
      </c>
      <c r="C1956">
        <v>330121</v>
      </c>
      <c r="D1956">
        <v>0</v>
      </c>
      <c r="E1956" t="s">
        <v>4</v>
      </c>
      <c r="F1956" t="s">
        <v>43</v>
      </c>
      <c r="G1956" t="s">
        <v>8</v>
      </c>
    </row>
    <row r="1957" spans="1:7" x14ac:dyDescent="0.3">
      <c r="A1957" t="s">
        <v>31</v>
      </c>
      <c r="B1957" s="1">
        <v>45838</v>
      </c>
      <c r="C1957">
        <v>330124</v>
      </c>
      <c r="D1957">
        <v>2046.0650000000001</v>
      </c>
      <c r="E1957" t="s">
        <v>4</v>
      </c>
      <c r="F1957" t="s">
        <v>43</v>
      </c>
      <c r="G1957" t="s">
        <v>8</v>
      </c>
    </row>
    <row r="1958" spans="1:7" x14ac:dyDescent="0.3">
      <c r="A1958" t="s">
        <v>31</v>
      </c>
      <c r="B1958" s="1">
        <v>45838</v>
      </c>
      <c r="C1958">
        <v>330125</v>
      </c>
      <c r="D1958">
        <v>0</v>
      </c>
      <c r="E1958" t="s">
        <v>4</v>
      </c>
      <c r="F1958" t="s">
        <v>43</v>
      </c>
      <c r="G1958" t="s">
        <v>8</v>
      </c>
    </row>
    <row r="1959" spans="1:7" x14ac:dyDescent="0.3">
      <c r="A1959" t="s">
        <v>31</v>
      </c>
      <c r="B1959" s="1">
        <v>45838</v>
      </c>
      <c r="C1959">
        <v>330126</v>
      </c>
      <c r="D1959">
        <v>-1979.6279999999999</v>
      </c>
      <c r="E1959" t="s">
        <v>4</v>
      </c>
      <c r="F1959" t="s">
        <v>43</v>
      </c>
      <c r="G1959" t="s">
        <v>8</v>
      </c>
    </row>
    <row r="1960" spans="1:7" x14ac:dyDescent="0.3">
      <c r="A1960" t="s">
        <v>31</v>
      </c>
      <c r="B1960" s="1">
        <v>45838</v>
      </c>
      <c r="C1960">
        <v>330128</v>
      </c>
      <c r="D1960">
        <v>0</v>
      </c>
      <c r="E1960" t="s">
        <v>4</v>
      </c>
      <c r="F1960" t="s">
        <v>43</v>
      </c>
      <c r="G1960" t="s">
        <v>8</v>
      </c>
    </row>
    <row r="1961" spans="1:7" x14ac:dyDescent="0.3">
      <c r="A1961" t="s">
        <v>31</v>
      </c>
      <c r="B1961" s="1">
        <v>45838</v>
      </c>
      <c r="C1961">
        <v>330140</v>
      </c>
      <c r="D1961">
        <v>0</v>
      </c>
      <c r="E1961" t="s">
        <v>4</v>
      </c>
      <c r="F1961" t="s">
        <v>43</v>
      </c>
      <c r="G1961" t="s">
        <v>8</v>
      </c>
    </row>
    <row r="1962" spans="1:7" x14ac:dyDescent="0.3">
      <c r="A1962" t="s">
        <v>31</v>
      </c>
      <c r="B1962" s="1">
        <v>45838</v>
      </c>
      <c r="C1962">
        <v>340126</v>
      </c>
      <c r="D1962">
        <v>0</v>
      </c>
      <c r="E1962" t="s">
        <v>4</v>
      </c>
      <c r="F1962" t="s">
        <v>47</v>
      </c>
      <c r="G1962" t="s">
        <v>8</v>
      </c>
    </row>
    <row r="1963" spans="1:7" x14ac:dyDescent="0.3">
      <c r="A1963" t="s">
        <v>31</v>
      </c>
      <c r="B1963" s="1">
        <v>45838</v>
      </c>
      <c r="C1963">
        <v>340210</v>
      </c>
      <c r="D1963">
        <v>160721.46100000001</v>
      </c>
      <c r="E1963" t="s">
        <v>4</v>
      </c>
      <c r="F1963" t="s">
        <v>47</v>
      </c>
      <c r="G1963" t="s">
        <v>8</v>
      </c>
    </row>
    <row r="1964" spans="1:7" x14ac:dyDescent="0.3">
      <c r="A1964" t="s">
        <v>31</v>
      </c>
      <c r="B1964" s="1">
        <v>45838</v>
      </c>
      <c r="C1964">
        <v>340211</v>
      </c>
      <c r="D1964">
        <v>616203.10699999996</v>
      </c>
      <c r="E1964" t="s">
        <v>4</v>
      </c>
      <c r="F1964" t="s">
        <v>47</v>
      </c>
      <c r="G1964" t="s">
        <v>8</v>
      </c>
    </row>
    <row r="1965" spans="1:7" x14ac:dyDescent="0.3">
      <c r="A1965" t="s">
        <v>31</v>
      </c>
      <c r="B1965" s="1">
        <v>45838</v>
      </c>
      <c r="C1965">
        <v>340212</v>
      </c>
      <c r="D1965">
        <v>-776924.56900000002</v>
      </c>
      <c r="E1965" t="s">
        <v>4</v>
      </c>
      <c r="F1965" t="s">
        <v>47</v>
      </c>
      <c r="G1965" t="s">
        <v>8</v>
      </c>
    </row>
    <row r="1966" spans="1:7" x14ac:dyDescent="0.3">
      <c r="A1966" t="s">
        <v>31</v>
      </c>
      <c r="B1966" s="1">
        <v>45838</v>
      </c>
      <c r="C1966">
        <v>340213</v>
      </c>
      <c r="D1966">
        <v>-53.557000000000002</v>
      </c>
      <c r="E1966" t="s">
        <v>4</v>
      </c>
      <c r="F1966" t="s">
        <v>47</v>
      </c>
      <c r="G1966" t="s">
        <v>8</v>
      </c>
    </row>
    <row r="1967" spans="1:7" x14ac:dyDescent="0.3">
      <c r="A1967" t="s">
        <v>31</v>
      </c>
      <c r="B1967" s="1">
        <v>45838</v>
      </c>
      <c r="C1967">
        <v>340214</v>
      </c>
      <c r="D1967">
        <v>55.767000000000003</v>
      </c>
      <c r="E1967" t="s">
        <v>4</v>
      </c>
      <c r="F1967" t="s">
        <v>47</v>
      </c>
      <c r="G1967" t="s">
        <v>8</v>
      </c>
    </row>
    <row r="1968" spans="1:7" x14ac:dyDescent="0.3">
      <c r="A1968" t="s">
        <v>31</v>
      </c>
      <c r="B1968" s="1">
        <v>45838</v>
      </c>
      <c r="C1968">
        <v>340215</v>
      </c>
      <c r="D1968">
        <v>-2.2109999999999999</v>
      </c>
      <c r="E1968" t="s">
        <v>4</v>
      </c>
      <c r="F1968" t="s">
        <v>47</v>
      </c>
      <c r="G1968" t="s">
        <v>8</v>
      </c>
    </row>
    <row r="1969" spans="1:7" x14ac:dyDescent="0.3">
      <c r="A1969" t="s">
        <v>31</v>
      </c>
      <c r="B1969" s="1">
        <v>45838</v>
      </c>
      <c r="C1969">
        <v>340216</v>
      </c>
      <c r="D1969">
        <v>17009.774000000001</v>
      </c>
      <c r="E1969" t="s">
        <v>4</v>
      </c>
      <c r="F1969" t="s">
        <v>47</v>
      </c>
      <c r="G1969" t="s">
        <v>8</v>
      </c>
    </row>
    <row r="1970" spans="1:7" x14ac:dyDescent="0.3">
      <c r="A1970" t="s">
        <v>31</v>
      </c>
      <c r="B1970" s="1">
        <v>45838</v>
      </c>
      <c r="C1970">
        <v>340218</v>
      </c>
      <c r="D1970">
        <v>-16618.832999999999</v>
      </c>
      <c r="E1970" t="s">
        <v>4</v>
      </c>
      <c r="F1970" t="s">
        <v>47</v>
      </c>
      <c r="G1970" t="s">
        <v>8</v>
      </c>
    </row>
    <row r="1971" spans="1:7" x14ac:dyDescent="0.3">
      <c r="A1971" t="s">
        <v>31</v>
      </c>
      <c r="B1971" s="1">
        <v>45838</v>
      </c>
      <c r="C1971">
        <v>340219</v>
      </c>
      <c r="D1971">
        <v>35842.357000000004</v>
      </c>
      <c r="E1971" t="s">
        <v>4</v>
      </c>
      <c r="F1971" t="s">
        <v>47</v>
      </c>
      <c r="G1971" t="s">
        <v>8</v>
      </c>
    </row>
    <row r="1972" spans="1:7" x14ac:dyDescent="0.3">
      <c r="A1972" t="s">
        <v>31</v>
      </c>
      <c r="B1972" s="1">
        <v>45838</v>
      </c>
      <c r="C1972">
        <v>340220</v>
      </c>
      <c r="D1972">
        <v>1593814.6769999999</v>
      </c>
      <c r="E1972" t="s">
        <v>4</v>
      </c>
      <c r="F1972" t="s">
        <v>47</v>
      </c>
      <c r="G1972" t="s">
        <v>8</v>
      </c>
    </row>
    <row r="1973" spans="1:7" x14ac:dyDescent="0.3">
      <c r="A1973" t="s">
        <v>31</v>
      </c>
      <c r="B1973" s="1">
        <v>45838</v>
      </c>
      <c r="C1973">
        <v>340221</v>
      </c>
      <c r="D1973">
        <v>-1535037.4790000001</v>
      </c>
      <c r="E1973" t="s">
        <v>4</v>
      </c>
      <c r="F1973" t="s">
        <v>47</v>
      </c>
      <c r="G1973" t="s">
        <v>8</v>
      </c>
    </row>
    <row r="1974" spans="1:7" x14ac:dyDescent="0.3">
      <c r="A1974" t="s">
        <v>31</v>
      </c>
      <c r="B1974" s="1">
        <v>45838</v>
      </c>
      <c r="C1974">
        <v>340222</v>
      </c>
      <c r="D1974">
        <v>612.14</v>
      </c>
      <c r="E1974" t="s">
        <v>4</v>
      </c>
      <c r="F1974" t="s">
        <v>47</v>
      </c>
      <c r="G1974" t="s">
        <v>8</v>
      </c>
    </row>
    <row r="1975" spans="1:7" x14ac:dyDescent="0.3">
      <c r="A1975" t="s">
        <v>31</v>
      </c>
      <c r="B1975" s="1">
        <v>45838</v>
      </c>
      <c r="C1975">
        <v>340223</v>
      </c>
      <c r="D1975">
        <v>1307852.753</v>
      </c>
      <c r="E1975" t="s">
        <v>4</v>
      </c>
      <c r="F1975" t="s">
        <v>47</v>
      </c>
      <c r="G1975" t="s">
        <v>8</v>
      </c>
    </row>
    <row r="1976" spans="1:7" x14ac:dyDescent="0.3">
      <c r="A1976" t="s">
        <v>31</v>
      </c>
      <c r="B1976" s="1">
        <v>45838</v>
      </c>
      <c r="C1976">
        <v>340224</v>
      </c>
      <c r="D1976">
        <v>-1307852.75</v>
      </c>
      <c r="E1976" t="s">
        <v>4</v>
      </c>
      <c r="F1976" t="s">
        <v>47</v>
      </c>
      <c r="G1976" t="s">
        <v>8</v>
      </c>
    </row>
    <row r="1977" spans="1:7" x14ac:dyDescent="0.3">
      <c r="A1977" t="s">
        <v>31</v>
      </c>
      <c r="B1977" s="1">
        <v>45838</v>
      </c>
      <c r="C1977">
        <v>340225</v>
      </c>
      <c r="D1977">
        <v>641.17100000000005</v>
      </c>
      <c r="E1977" t="s">
        <v>4</v>
      </c>
      <c r="F1977" t="s">
        <v>47</v>
      </c>
      <c r="G1977" t="s">
        <v>8</v>
      </c>
    </row>
    <row r="1978" spans="1:7" x14ac:dyDescent="0.3">
      <c r="A1978" t="s">
        <v>31</v>
      </c>
      <c r="B1978" s="1">
        <v>45838</v>
      </c>
      <c r="C1978">
        <v>340226</v>
      </c>
      <c r="D1978">
        <v>484187.16200000001</v>
      </c>
      <c r="E1978" t="s">
        <v>4</v>
      </c>
      <c r="F1978" t="s">
        <v>47</v>
      </c>
      <c r="G1978" t="s">
        <v>8</v>
      </c>
    </row>
    <row r="1979" spans="1:7" x14ac:dyDescent="0.3">
      <c r="A1979" t="s">
        <v>31</v>
      </c>
      <c r="B1979" s="1">
        <v>45838</v>
      </c>
      <c r="C1979">
        <v>340227</v>
      </c>
      <c r="D1979">
        <v>-484187.158</v>
      </c>
      <c r="E1979" t="s">
        <v>4</v>
      </c>
      <c r="F1979" t="s">
        <v>47</v>
      </c>
      <c r="G1979" t="s">
        <v>8</v>
      </c>
    </row>
    <row r="1980" spans="1:7" x14ac:dyDescent="0.3">
      <c r="A1980" t="s">
        <v>31</v>
      </c>
      <c r="B1980" s="1">
        <v>45838</v>
      </c>
      <c r="C1980">
        <v>340228</v>
      </c>
      <c r="D1980">
        <v>105290.447</v>
      </c>
      <c r="E1980" t="s">
        <v>4</v>
      </c>
      <c r="F1980" t="s">
        <v>47</v>
      </c>
      <c r="G1980" t="s">
        <v>8</v>
      </c>
    </row>
    <row r="1981" spans="1:7" x14ac:dyDescent="0.3">
      <c r="A1981" t="s">
        <v>31</v>
      </c>
      <c r="B1981" s="1">
        <v>45838</v>
      </c>
      <c r="C1981">
        <v>340229</v>
      </c>
      <c r="D1981">
        <v>799776.44400000002</v>
      </c>
      <c r="E1981" t="s">
        <v>4</v>
      </c>
      <c r="F1981" t="s">
        <v>47</v>
      </c>
      <c r="G1981" t="s">
        <v>8</v>
      </c>
    </row>
    <row r="1982" spans="1:7" x14ac:dyDescent="0.3">
      <c r="A1982" t="s">
        <v>31</v>
      </c>
      <c r="B1982" s="1">
        <v>45838</v>
      </c>
      <c r="C1982">
        <v>340230</v>
      </c>
      <c r="D1982">
        <v>-802966.15599999996</v>
      </c>
      <c r="E1982" t="s">
        <v>4</v>
      </c>
      <c r="F1982" t="s">
        <v>47</v>
      </c>
      <c r="G1982" t="s">
        <v>8</v>
      </c>
    </row>
    <row r="1983" spans="1:7" x14ac:dyDescent="0.3">
      <c r="A1983" t="s">
        <v>31</v>
      </c>
      <c r="B1983" s="1">
        <v>45838</v>
      </c>
      <c r="C1983">
        <v>340231</v>
      </c>
      <c r="D1983">
        <v>93618.479000000007</v>
      </c>
      <c r="E1983" t="s">
        <v>4</v>
      </c>
      <c r="F1983" t="s">
        <v>47</v>
      </c>
      <c r="G1983" t="s">
        <v>8</v>
      </c>
    </row>
    <row r="1984" spans="1:7" x14ac:dyDescent="0.3">
      <c r="A1984" t="s">
        <v>31</v>
      </c>
      <c r="B1984" s="1">
        <v>45838</v>
      </c>
      <c r="C1984">
        <v>340232</v>
      </c>
      <c r="D1984">
        <v>448680.91499999998</v>
      </c>
      <c r="E1984" t="s">
        <v>4</v>
      </c>
      <c r="F1984" t="s">
        <v>47</v>
      </c>
      <c r="G1984" t="s">
        <v>8</v>
      </c>
    </row>
    <row r="1985" spans="1:7" x14ac:dyDescent="0.3">
      <c r="A1985" t="s">
        <v>31</v>
      </c>
      <c r="B1985" s="1">
        <v>45838</v>
      </c>
      <c r="C1985">
        <v>340233</v>
      </c>
      <c r="D1985">
        <v>-431457.08500000002</v>
      </c>
      <c r="E1985" t="s">
        <v>4</v>
      </c>
      <c r="F1985" t="s">
        <v>47</v>
      </c>
      <c r="G1985" t="s">
        <v>8</v>
      </c>
    </row>
    <row r="1986" spans="1:7" x14ac:dyDescent="0.3">
      <c r="A1986" t="s">
        <v>31</v>
      </c>
      <c r="B1986" s="1">
        <v>45838</v>
      </c>
      <c r="C1986">
        <v>350002</v>
      </c>
      <c r="D1986">
        <v>706.57399999999996</v>
      </c>
      <c r="E1986" t="s">
        <v>4</v>
      </c>
      <c r="F1986" t="s">
        <v>49</v>
      </c>
      <c r="G1986" t="s">
        <v>8</v>
      </c>
    </row>
    <row r="1987" spans="1:7" x14ac:dyDescent="0.3">
      <c r="A1987" t="s">
        <v>31</v>
      </c>
      <c r="B1987" s="1">
        <v>45838</v>
      </c>
      <c r="C1987">
        <v>350003</v>
      </c>
      <c r="D1987">
        <v>-272.80900000000003</v>
      </c>
      <c r="E1987" t="s">
        <v>4</v>
      </c>
      <c r="F1987" t="s">
        <v>49</v>
      </c>
      <c r="G1987" t="s">
        <v>8</v>
      </c>
    </row>
    <row r="1988" spans="1:7" x14ac:dyDescent="0.3">
      <c r="A1988" t="s">
        <v>31</v>
      </c>
      <c r="B1988" s="1">
        <v>45838</v>
      </c>
      <c r="C1988">
        <v>350007</v>
      </c>
      <c r="D1988">
        <v>-1.778</v>
      </c>
      <c r="E1988" t="s">
        <v>4</v>
      </c>
      <c r="F1988" t="s">
        <v>49</v>
      </c>
      <c r="G1988" t="s">
        <v>8</v>
      </c>
    </row>
    <row r="1989" spans="1:7" x14ac:dyDescent="0.3">
      <c r="A1989" t="s">
        <v>31</v>
      </c>
      <c r="B1989" s="1">
        <v>45838</v>
      </c>
      <c r="C1989">
        <v>350031</v>
      </c>
      <c r="D1989">
        <v>750.80200000000002</v>
      </c>
      <c r="E1989" t="s">
        <v>4</v>
      </c>
      <c r="F1989" t="s">
        <v>43</v>
      </c>
      <c r="G1989" t="s">
        <v>8</v>
      </c>
    </row>
    <row r="1990" spans="1:7" x14ac:dyDescent="0.3">
      <c r="A1990" t="s">
        <v>31</v>
      </c>
      <c r="B1990" s="1">
        <v>45838</v>
      </c>
      <c r="C1990">
        <v>350034</v>
      </c>
      <c r="D1990">
        <v>0</v>
      </c>
      <c r="E1990" t="s">
        <v>4</v>
      </c>
      <c r="F1990" t="s">
        <v>49</v>
      </c>
      <c r="G1990" t="s">
        <v>8</v>
      </c>
    </row>
    <row r="1991" spans="1:7" x14ac:dyDescent="0.3">
      <c r="A1991" t="s">
        <v>31</v>
      </c>
      <c r="B1991" s="1">
        <v>45838</v>
      </c>
      <c r="C1991">
        <v>354003</v>
      </c>
      <c r="D1991">
        <v>0</v>
      </c>
      <c r="E1991" t="s">
        <v>4</v>
      </c>
      <c r="F1991" t="s">
        <v>46</v>
      </c>
      <c r="G1991" t="s">
        <v>8</v>
      </c>
    </row>
    <row r="1992" spans="1:7" x14ac:dyDescent="0.3">
      <c r="A1992" t="s">
        <v>31</v>
      </c>
      <c r="B1992" s="1">
        <v>45838</v>
      </c>
      <c r="C1992">
        <v>354005</v>
      </c>
      <c r="D1992">
        <v>0</v>
      </c>
      <c r="E1992" t="s">
        <v>4</v>
      </c>
      <c r="F1992" t="s">
        <v>46</v>
      </c>
      <c r="G1992" t="s">
        <v>8</v>
      </c>
    </row>
    <row r="1993" spans="1:7" x14ac:dyDescent="0.3">
      <c r="A1993" t="s">
        <v>31</v>
      </c>
      <c r="B1993" s="1">
        <v>45838</v>
      </c>
      <c r="C1993">
        <v>354006</v>
      </c>
      <c r="D1993">
        <v>0</v>
      </c>
      <c r="E1993" t="s">
        <v>4</v>
      </c>
      <c r="F1993" t="s">
        <v>46</v>
      </c>
      <c r="G1993" t="s">
        <v>8</v>
      </c>
    </row>
    <row r="1994" spans="1:7" x14ac:dyDescent="0.3">
      <c r="A1994" t="s">
        <v>31</v>
      </c>
      <c r="B1994" s="1">
        <v>45838</v>
      </c>
      <c r="C1994">
        <v>354012</v>
      </c>
      <c r="D1994">
        <v>7546.0680000000002</v>
      </c>
      <c r="E1994" t="s">
        <v>4</v>
      </c>
      <c r="F1994" t="s">
        <v>46</v>
      </c>
      <c r="G1994" t="s">
        <v>8</v>
      </c>
    </row>
    <row r="1995" spans="1:7" x14ac:dyDescent="0.3">
      <c r="A1995" t="s">
        <v>31</v>
      </c>
      <c r="B1995" s="1">
        <v>45838</v>
      </c>
      <c r="C1995">
        <v>354013</v>
      </c>
      <c r="D1995">
        <v>301.995</v>
      </c>
      <c r="E1995" t="s">
        <v>4</v>
      </c>
      <c r="F1995" t="s">
        <v>46</v>
      </c>
      <c r="G1995" t="s">
        <v>8</v>
      </c>
    </row>
    <row r="1996" spans="1:7" x14ac:dyDescent="0.3">
      <c r="A1996" t="s">
        <v>31</v>
      </c>
      <c r="B1996" s="1">
        <v>45838</v>
      </c>
      <c r="C1996">
        <v>354014</v>
      </c>
      <c r="D1996">
        <v>43915.455000000002</v>
      </c>
      <c r="E1996" t="s">
        <v>4</v>
      </c>
      <c r="F1996" t="s">
        <v>46</v>
      </c>
      <c r="G1996" t="s">
        <v>8</v>
      </c>
    </row>
    <row r="1997" spans="1:7" x14ac:dyDescent="0.3">
      <c r="A1997" t="s">
        <v>31</v>
      </c>
      <c r="B1997" s="1">
        <v>45838</v>
      </c>
      <c r="C1997">
        <v>354015</v>
      </c>
      <c r="D1997">
        <v>6945.165</v>
      </c>
      <c r="E1997" t="s">
        <v>4</v>
      </c>
      <c r="F1997" t="s">
        <v>46</v>
      </c>
      <c r="G1997" t="s">
        <v>8</v>
      </c>
    </row>
    <row r="1998" spans="1:7" x14ac:dyDescent="0.3">
      <c r="A1998" t="s">
        <v>31</v>
      </c>
      <c r="B1998" s="1">
        <v>45838</v>
      </c>
      <c r="C1998">
        <v>355002</v>
      </c>
      <c r="D1998">
        <v>554.27</v>
      </c>
      <c r="E1998" t="s">
        <v>4</v>
      </c>
      <c r="F1998" t="s">
        <v>49</v>
      </c>
      <c r="G1998" t="s">
        <v>8</v>
      </c>
    </row>
    <row r="1999" spans="1:7" x14ac:dyDescent="0.3">
      <c r="A1999" t="s">
        <v>31</v>
      </c>
      <c r="B1999" s="1">
        <v>45838</v>
      </c>
      <c r="C1999">
        <v>355013</v>
      </c>
      <c r="D1999">
        <v>1390.338</v>
      </c>
      <c r="E1999" t="s">
        <v>4</v>
      </c>
      <c r="F1999" t="s">
        <v>49</v>
      </c>
      <c r="G1999" t="s">
        <v>8</v>
      </c>
    </row>
    <row r="2000" spans="1:7" x14ac:dyDescent="0.3">
      <c r="A2000" t="s">
        <v>31</v>
      </c>
      <c r="B2000" s="1">
        <v>45838</v>
      </c>
      <c r="C2000">
        <v>355014</v>
      </c>
      <c r="D2000">
        <v>327.36700000000002</v>
      </c>
      <c r="E2000" t="s">
        <v>4</v>
      </c>
      <c r="F2000" t="s">
        <v>49</v>
      </c>
      <c r="G2000" t="s">
        <v>8</v>
      </c>
    </row>
    <row r="2001" spans="1:7" x14ac:dyDescent="0.3">
      <c r="A2001" t="s">
        <v>31</v>
      </c>
      <c r="B2001" s="1">
        <v>45838</v>
      </c>
      <c r="C2001">
        <v>360022</v>
      </c>
      <c r="D2001">
        <v>3992.3319999999999</v>
      </c>
      <c r="E2001" t="s">
        <v>4</v>
      </c>
      <c r="F2001" t="s">
        <v>58</v>
      </c>
      <c r="G2001" t="s">
        <v>8</v>
      </c>
    </row>
    <row r="2002" spans="1:7" x14ac:dyDescent="0.3">
      <c r="A2002" t="s">
        <v>31</v>
      </c>
      <c r="B2002" s="1">
        <v>45838</v>
      </c>
      <c r="C2002">
        <v>372004</v>
      </c>
      <c r="D2002">
        <v>6470.451</v>
      </c>
      <c r="E2002" t="s">
        <v>4</v>
      </c>
      <c r="F2002" t="s">
        <v>45</v>
      </c>
      <c r="G2002" t="s">
        <v>8</v>
      </c>
    </row>
    <row r="2003" spans="1:7" x14ac:dyDescent="0.3">
      <c r="A2003" t="s">
        <v>31</v>
      </c>
      <c r="B2003" s="1">
        <v>45838</v>
      </c>
      <c r="C2003">
        <v>400002</v>
      </c>
      <c r="D2003">
        <v>-6670.7790000000005</v>
      </c>
      <c r="E2003" t="s">
        <v>6</v>
      </c>
      <c r="F2003" t="s">
        <v>50</v>
      </c>
      <c r="G2003" t="s">
        <v>8</v>
      </c>
    </row>
    <row r="2004" spans="1:7" x14ac:dyDescent="0.3">
      <c r="A2004" t="s">
        <v>31</v>
      </c>
      <c r="B2004" s="1">
        <v>45838</v>
      </c>
      <c r="C2004">
        <v>400004</v>
      </c>
      <c r="D2004">
        <v>-32498.350999999999</v>
      </c>
      <c r="E2004" t="s">
        <v>6</v>
      </c>
      <c r="F2004" t="s">
        <v>50</v>
      </c>
      <c r="G2004" t="s">
        <v>8</v>
      </c>
    </row>
    <row r="2005" spans="1:7" x14ac:dyDescent="0.3">
      <c r="A2005" t="s">
        <v>31</v>
      </c>
      <c r="B2005" s="1">
        <v>45838</v>
      </c>
      <c r="C2005">
        <v>410002</v>
      </c>
      <c r="D2005">
        <v>-11285.72</v>
      </c>
      <c r="E2005" t="s">
        <v>6</v>
      </c>
      <c r="F2005" t="s">
        <v>51</v>
      </c>
      <c r="G2005" t="s">
        <v>8</v>
      </c>
    </row>
    <row r="2006" spans="1:7" x14ac:dyDescent="0.3">
      <c r="A2006" t="s">
        <v>31</v>
      </c>
      <c r="B2006" s="1">
        <v>45838</v>
      </c>
      <c r="C2006">
        <v>410005</v>
      </c>
      <c r="D2006">
        <v>-1276.58</v>
      </c>
      <c r="E2006" t="s">
        <v>6</v>
      </c>
      <c r="F2006" t="s">
        <v>51</v>
      </c>
      <c r="G2006" t="s">
        <v>8</v>
      </c>
    </row>
    <row r="2007" spans="1:7" x14ac:dyDescent="0.3">
      <c r="A2007" t="s">
        <v>31</v>
      </c>
      <c r="B2007" s="1">
        <v>45838</v>
      </c>
      <c r="C2007">
        <v>410006</v>
      </c>
      <c r="D2007">
        <v>-1241.377</v>
      </c>
      <c r="E2007" t="s">
        <v>6</v>
      </c>
      <c r="F2007" t="s">
        <v>51</v>
      </c>
      <c r="G2007" t="s">
        <v>8</v>
      </c>
    </row>
    <row r="2008" spans="1:7" x14ac:dyDescent="0.3">
      <c r="A2008" t="s">
        <v>31</v>
      </c>
      <c r="B2008" s="1">
        <v>45838</v>
      </c>
      <c r="C2008">
        <v>410036</v>
      </c>
      <c r="D2008">
        <v>-238.92099999999999</v>
      </c>
      <c r="E2008" t="s">
        <v>6</v>
      </c>
      <c r="F2008" t="s">
        <v>51</v>
      </c>
      <c r="G2008" t="s">
        <v>8</v>
      </c>
    </row>
    <row r="2009" spans="1:7" x14ac:dyDescent="0.3">
      <c r="A2009" t="s">
        <v>31</v>
      </c>
      <c r="B2009" s="1">
        <v>45838</v>
      </c>
      <c r="C2009">
        <v>410037</v>
      </c>
      <c r="D2009">
        <v>-13405.666999999999</v>
      </c>
      <c r="E2009" t="s">
        <v>6</v>
      </c>
      <c r="F2009" t="s">
        <v>51</v>
      </c>
      <c r="G2009" t="s">
        <v>8</v>
      </c>
    </row>
    <row r="2010" spans="1:7" x14ac:dyDescent="0.3">
      <c r="A2010" t="s">
        <v>31</v>
      </c>
      <c r="B2010" s="1">
        <v>45838</v>
      </c>
      <c r="C2010">
        <v>410040</v>
      </c>
      <c r="D2010">
        <v>99.236000000000004</v>
      </c>
      <c r="E2010" t="s">
        <v>6</v>
      </c>
      <c r="F2010" t="s">
        <v>51</v>
      </c>
      <c r="G2010" t="s">
        <v>8</v>
      </c>
    </row>
    <row r="2011" spans="1:7" x14ac:dyDescent="0.3">
      <c r="A2011" t="s">
        <v>31</v>
      </c>
      <c r="B2011" s="1">
        <v>45838</v>
      </c>
      <c r="C2011">
        <v>415002</v>
      </c>
      <c r="D2011">
        <v>-81611.134000000005</v>
      </c>
      <c r="E2011" t="s">
        <v>6</v>
      </c>
      <c r="F2011" t="s">
        <v>50</v>
      </c>
      <c r="G2011" t="s">
        <v>8</v>
      </c>
    </row>
    <row r="2012" spans="1:7" x14ac:dyDescent="0.3">
      <c r="A2012" t="s">
        <v>31</v>
      </c>
      <c r="B2012" s="1">
        <v>45838</v>
      </c>
      <c r="C2012">
        <v>415004</v>
      </c>
      <c r="D2012">
        <v>-213129.07</v>
      </c>
      <c r="E2012" t="s">
        <v>6</v>
      </c>
      <c r="F2012" t="s">
        <v>50</v>
      </c>
      <c r="G2012" t="s">
        <v>8</v>
      </c>
    </row>
    <row r="2013" spans="1:7" x14ac:dyDescent="0.3">
      <c r="A2013" t="s">
        <v>31</v>
      </c>
      <c r="B2013" s="1">
        <v>45838</v>
      </c>
      <c r="C2013">
        <v>418003</v>
      </c>
      <c r="D2013">
        <v>49.054000000000002</v>
      </c>
      <c r="E2013" t="s">
        <v>6</v>
      </c>
      <c r="F2013" t="s">
        <v>51</v>
      </c>
      <c r="G2013" t="s">
        <v>8</v>
      </c>
    </row>
    <row r="2014" spans="1:7" x14ac:dyDescent="0.3">
      <c r="A2014" t="s">
        <v>31</v>
      </c>
      <c r="B2014" s="1">
        <v>45838</v>
      </c>
      <c r="C2014">
        <v>421002</v>
      </c>
      <c r="D2014">
        <v>-7402.7169999999996</v>
      </c>
      <c r="E2014" t="s">
        <v>6</v>
      </c>
      <c r="F2014" t="s">
        <v>52</v>
      </c>
      <c r="G2014" t="s">
        <v>8</v>
      </c>
    </row>
    <row r="2015" spans="1:7" x14ac:dyDescent="0.3">
      <c r="A2015" t="s">
        <v>31</v>
      </c>
      <c r="B2015" s="1">
        <v>45838</v>
      </c>
      <c r="C2015">
        <v>421003</v>
      </c>
      <c r="D2015">
        <v>4180.4319999999998</v>
      </c>
      <c r="E2015" t="s">
        <v>6</v>
      </c>
      <c r="F2015" t="s">
        <v>52</v>
      </c>
      <c r="G2015" t="s">
        <v>8</v>
      </c>
    </row>
    <row r="2016" spans="1:7" x14ac:dyDescent="0.3">
      <c r="A2016" t="s">
        <v>31</v>
      </c>
      <c r="B2016" s="1">
        <v>45838</v>
      </c>
      <c r="C2016">
        <v>421004</v>
      </c>
      <c r="D2016">
        <v>-9324.1479999999992</v>
      </c>
      <c r="E2016" t="s">
        <v>6</v>
      </c>
      <c r="F2016" t="s">
        <v>52</v>
      </c>
      <c r="G2016" t="s">
        <v>8</v>
      </c>
    </row>
    <row r="2017" spans="1:7" x14ac:dyDescent="0.3">
      <c r="A2017" t="s">
        <v>31</v>
      </c>
      <c r="B2017" s="1">
        <v>45838</v>
      </c>
      <c r="C2017">
        <v>421007</v>
      </c>
      <c r="D2017">
        <v>-855.15800000000002</v>
      </c>
      <c r="E2017" t="s">
        <v>6</v>
      </c>
      <c r="F2017" t="s">
        <v>52</v>
      </c>
      <c r="G2017" t="s">
        <v>8</v>
      </c>
    </row>
    <row r="2018" spans="1:7" x14ac:dyDescent="0.3">
      <c r="A2018" t="s">
        <v>31</v>
      </c>
      <c r="B2018" s="1">
        <v>45838</v>
      </c>
      <c r="C2018">
        <v>510002</v>
      </c>
      <c r="D2018">
        <v>30822.625</v>
      </c>
      <c r="E2018" t="s">
        <v>6</v>
      </c>
      <c r="F2018" t="s">
        <v>53</v>
      </c>
      <c r="G2018" t="s">
        <v>8</v>
      </c>
    </row>
    <row r="2019" spans="1:7" x14ac:dyDescent="0.3">
      <c r="A2019" t="s">
        <v>31</v>
      </c>
      <c r="B2019" s="1">
        <v>45838</v>
      </c>
      <c r="C2019">
        <v>510005</v>
      </c>
      <c r="D2019">
        <v>-1337.548</v>
      </c>
      <c r="E2019" t="s">
        <v>6</v>
      </c>
      <c r="F2019" t="s">
        <v>53</v>
      </c>
      <c r="G2019" t="s">
        <v>8</v>
      </c>
    </row>
    <row r="2020" spans="1:7" x14ac:dyDescent="0.3">
      <c r="A2020" t="s">
        <v>31</v>
      </c>
      <c r="B2020" s="1">
        <v>45838</v>
      </c>
      <c r="C2020">
        <v>510007</v>
      </c>
      <c r="D2020">
        <v>3993.6419999999998</v>
      </c>
      <c r="E2020" t="s">
        <v>6</v>
      </c>
      <c r="F2020" t="s">
        <v>53</v>
      </c>
      <c r="G2020" t="s">
        <v>8</v>
      </c>
    </row>
    <row r="2021" spans="1:7" x14ac:dyDescent="0.3">
      <c r="A2021" t="s">
        <v>31</v>
      </c>
      <c r="B2021" s="1">
        <v>45838</v>
      </c>
      <c r="C2021">
        <v>510012</v>
      </c>
      <c r="D2021">
        <v>2430.2350000000001</v>
      </c>
      <c r="E2021" t="s">
        <v>6</v>
      </c>
      <c r="F2021" t="s">
        <v>53</v>
      </c>
      <c r="G2021" t="s">
        <v>8</v>
      </c>
    </row>
    <row r="2022" spans="1:7" x14ac:dyDescent="0.3">
      <c r="A2022" t="s">
        <v>31</v>
      </c>
      <c r="B2022" s="1">
        <v>45838</v>
      </c>
      <c r="C2022">
        <v>510018</v>
      </c>
      <c r="D2022">
        <v>574.57299999999998</v>
      </c>
      <c r="E2022" t="s">
        <v>6</v>
      </c>
      <c r="F2022" t="s">
        <v>53</v>
      </c>
      <c r="G2022" t="s">
        <v>8</v>
      </c>
    </row>
    <row r="2023" spans="1:7" x14ac:dyDescent="0.3">
      <c r="A2023" t="s">
        <v>31</v>
      </c>
      <c r="B2023" s="1">
        <v>45838</v>
      </c>
      <c r="C2023">
        <v>510059</v>
      </c>
      <c r="D2023">
        <v>1547.73</v>
      </c>
      <c r="E2023" t="s">
        <v>6</v>
      </c>
      <c r="F2023" t="s">
        <v>53</v>
      </c>
      <c r="G2023" t="s">
        <v>8</v>
      </c>
    </row>
    <row r="2024" spans="1:7" x14ac:dyDescent="0.3">
      <c r="A2024" t="s">
        <v>31</v>
      </c>
      <c r="B2024" s="1">
        <v>45838</v>
      </c>
      <c r="C2024">
        <v>510060</v>
      </c>
      <c r="D2024">
        <v>-344.81700000000001</v>
      </c>
      <c r="E2024" t="s">
        <v>6</v>
      </c>
      <c r="F2024" t="s">
        <v>53</v>
      </c>
      <c r="G2024" t="s">
        <v>8</v>
      </c>
    </row>
    <row r="2025" spans="1:7" x14ac:dyDescent="0.3">
      <c r="A2025" t="s">
        <v>31</v>
      </c>
      <c r="B2025" s="1">
        <v>45838</v>
      </c>
      <c r="C2025">
        <v>510061</v>
      </c>
      <c r="D2025">
        <v>0</v>
      </c>
      <c r="E2025" t="s">
        <v>6</v>
      </c>
      <c r="F2025" t="s">
        <v>53</v>
      </c>
      <c r="G2025" t="s">
        <v>8</v>
      </c>
    </row>
    <row r="2026" spans="1:7" x14ac:dyDescent="0.3">
      <c r="A2026" t="s">
        <v>31</v>
      </c>
      <c r="B2026" s="1">
        <v>45838</v>
      </c>
      <c r="C2026">
        <v>510062</v>
      </c>
      <c r="D2026">
        <v>9423.4590000000007</v>
      </c>
      <c r="E2026" t="s">
        <v>6</v>
      </c>
      <c r="F2026" t="s">
        <v>53</v>
      </c>
      <c r="G2026" t="s">
        <v>8</v>
      </c>
    </row>
    <row r="2027" spans="1:7" x14ac:dyDescent="0.3">
      <c r="A2027" t="s">
        <v>31</v>
      </c>
      <c r="B2027" s="1">
        <v>45838</v>
      </c>
      <c r="C2027">
        <v>510064</v>
      </c>
      <c r="D2027">
        <v>744.06</v>
      </c>
      <c r="E2027" t="s">
        <v>6</v>
      </c>
      <c r="F2027" t="s">
        <v>53</v>
      </c>
      <c r="G2027" t="s">
        <v>8</v>
      </c>
    </row>
    <row r="2028" spans="1:7" x14ac:dyDescent="0.3">
      <c r="A2028" t="s">
        <v>31</v>
      </c>
      <c r="B2028" s="1">
        <v>45838</v>
      </c>
      <c r="C2028">
        <v>510065</v>
      </c>
      <c r="D2028">
        <v>799.35900000000004</v>
      </c>
      <c r="E2028" t="s">
        <v>6</v>
      </c>
      <c r="F2028" t="s">
        <v>53</v>
      </c>
      <c r="G2028" t="s">
        <v>8</v>
      </c>
    </row>
    <row r="2029" spans="1:7" x14ac:dyDescent="0.3">
      <c r="A2029" t="s">
        <v>31</v>
      </c>
      <c r="B2029" s="1">
        <v>45838</v>
      </c>
      <c r="C2029">
        <v>510066</v>
      </c>
      <c r="D2029">
        <v>0</v>
      </c>
      <c r="E2029" t="s">
        <v>6</v>
      </c>
      <c r="F2029" t="s">
        <v>53</v>
      </c>
      <c r="G2029" t="s">
        <v>8</v>
      </c>
    </row>
    <row r="2030" spans="1:7" x14ac:dyDescent="0.3">
      <c r="A2030" t="s">
        <v>31</v>
      </c>
      <c r="B2030" s="1">
        <v>45838</v>
      </c>
      <c r="C2030">
        <v>520011</v>
      </c>
      <c r="D2030">
        <v>16712.004000000001</v>
      </c>
      <c r="E2030" t="s">
        <v>6</v>
      </c>
      <c r="F2030" t="s">
        <v>53</v>
      </c>
      <c r="G2030" t="s">
        <v>8</v>
      </c>
    </row>
    <row r="2031" spans="1:7" x14ac:dyDescent="0.3">
      <c r="A2031" t="s">
        <v>31</v>
      </c>
      <c r="B2031" s="1">
        <v>45838</v>
      </c>
      <c r="C2031">
        <v>520020</v>
      </c>
      <c r="D2031">
        <v>-1677.6849999999999</v>
      </c>
      <c r="E2031" t="s">
        <v>6</v>
      </c>
      <c r="F2031" t="s">
        <v>53</v>
      </c>
      <c r="G2031" t="s">
        <v>8</v>
      </c>
    </row>
    <row r="2032" spans="1:7" x14ac:dyDescent="0.3">
      <c r="A2032" t="s">
        <v>31</v>
      </c>
      <c r="B2032" s="1">
        <v>45838</v>
      </c>
      <c r="C2032">
        <v>520021</v>
      </c>
      <c r="D2032">
        <v>79.027000000000001</v>
      </c>
      <c r="E2032" t="s">
        <v>6</v>
      </c>
      <c r="F2032" t="s">
        <v>60</v>
      </c>
      <c r="G2032" t="s">
        <v>8</v>
      </c>
    </row>
    <row r="2033" spans="1:7" x14ac:dyDescent="0.3">
      <c r="A2033" t="s">
        <v>31</v>
      </c>
      <c r="B2033" s="1">
        <v>45838</v>
      </c>
      <c r="C2033">
        <v>521002</v>
      </c>
      <c r="D2033">
        <v>0</v>
      </c>
      <c r="E2033" t="s">
        <v>6</v>
      </c>
      <c r="F2033" t="s">
        <v>53</v>
      </c>
      <c r="G2033" t="s">
        <v>8</v>
      </c>
    </row>
    <row r="2034" spans="1:7" x14ac:dyDescent="0.3">
      <c r="A2034" t="s">
        <v>31</v>
      </c>
      <c r="B2034" s="1">
        <v>45838</v>
      </c>
      <c r="C2034">
        <v>521004</v>
      </c>
      <c r="D2034">
        <v>0</v>
      </c>
      <c r="E2034" t="s">
        <v>6</v>
      </c>
      <c r="F2034" t="s">
        <v>53</v>
      </c>
      <c r="G2034" t="s">
        <v>8</v>
      </c>
    </row>
    <row r="2035" spans="1:7" x14ac:dyDescent="0.3">
      <c r="A2035" t="s">
        <v>31</v>
      </c>
      <c r="B2035" s="1">
        <v>45838</v>
      </c>
      <c r="C2035">
        <v>521006</v>
      </c>
      <c r="D2035">
        <v>0</v>
      </c>
      <c r="E2035" t="s">
        <v>6</v>
      </c>
      <c r="F2035" t="s">
        <v>53</v>
      </c>
      <c r="G2035" t="s">
        <v>8</v>
      </c>
    </row>
    <row r="2036" spans="1:7" x14ac:dyDescent="0.3">
      <c r="A2036" t="s">
        <v>31</v>
      </c>
      <c r="B2036" s="1">
        <v>45838</v>
      </c>
      <c r="C2036">
        <v>521007</v>
      </c>
      <c r="D2036">
        <v>0</v>
      </c>
      <c r="E2036" t="s">
        <v>6</v>
      </c>
      <c r="F2036" t="s">
        <v>53</v>
      </c>
      <c r="G2036" t="s">
        <v>8</v>
      </c>
    </row>
    <row r="2037" spans="1:7" x14ac:dyDescent="0.3">
      <c r="A2037" t="s">
        <v>31</v>
      </c>
      <c r="B2037" s="1">
        <v>45838</v>
      </c>
      <c r="C2037">
        <v>521009</v>
      </c>
      <c r="D2037">
        <v>0</v>
      </c>
      <c r="E2037" t="s">
        <v>6</v>
      </c>
      <c r="F2037" t="s">
        <v>53</v>
      </c>
      <c r="G2037" t="s">
        <v>8</v>
      </c>
    </row>
    <row r="2038" spans="1:7" x14ac:dyDescent="0.3">
      <c r="A2038" t="s">
        <v>31</v>
      </c>
      <c r="B2038" s="1">
        <v>45838</v>
      </c>
      <c r="C2038">
        <v>521010</v>
      </c>
      <c r="D2038">
        <v>0</v>
      </c>
      <c r="E2038" t="s">
        <v>6</v>
      </c>
      <c r="F2038" t="s">
        <v>53</v>
      </c>
      <c r="G2038" t="s">
        <v>8</v>
      </c>
    </row>
    <row r="2039" spans="1:7" x14ac:dyDescent="0.3">
      <c r="A2039" t="s">
        <v>31</v>
      </c>
      <c r="B2039" s="1">
        <v>45838</v>
      </c>
      <c r="C2039">
        <v>521014</v>
      </c>
      <c r="D2039">
        <v>0</v>
      </c>
      <c r="E2039" t="s">
        <v>6</v>
      </c>
      <c r="F2039" t="s">
        <v>53</v>
      </c>
      <c r="G2039" t="s">
        <v>8</v>
      </c>
    </row>
    <row r="2040" spans="1:7" x14ac:dyDescent="0.3">
      <c r="A2040" t="s">
        <v>31</v>
      </c>
      <c r="B2040" s="1">
        <v>45838</v>
      </c>
      <c r="C2040">
        <v>530012</v>
      </c>
      <c r="D2040">
        <v>1341.3710000000001</v>
      </c>
      <c r="E2040" t="s">
        <v>6</v>
      </c>
      <c r="F2040" t="s">
        <v>53</v>
      </c>
      <c r="G2040" t="s">
        <v>8</v>
      </c>
    </row>
    <row r="2041" spans="1:7" x14ac:dyDescent="0.3">
      <c r="A2041" t="s">
        <v>31</v>
      </c>
      <c r="B2041" s="1">
        <v>45838</v>
      </c>
      <c r="C2041">
        <v>541004</v>
      </c>
      <c r="D2041">
        <v>808.38</v>
      </c>
      <c r="E2041" t="s">
        <v>6</v>
      </c>
      <c r="F2041" t="s">
        <v>61</v>
      </c>
      <c r="G2041" t="s">
        <v>8</v>
      </c>
    </row>
    <row r="2042" spans="1:7" x14ac:dyDescent="0.3">
      <c r="A2042" t="s">
        <v>31</v>
      </c>
      <c r="B2042" s="1">
        <v>45838</v>
      </c>
      <c r="C2042">
        <v>541009</v>
      </c>
      <c r="D2042">
        <v>299.137</v>
      </c>
      <c r="E2042" t="s">
        <v>6</v>
      </c>
      <c r="F2042" t="s">
        <v>61</v>
      </c>
      <c r="G2042" t="s">
        <v>8</v>
      </c>
    </row>
    <row r="2043" spans="1:7" x14ac:dyDescent="0.3">
      <c r="A2043" t="s">
        <v>31</v>
      </c>
      <c r="B2043" s="1">
        <v>45838</v>
      </c>
      <c r="C2043">
        <v>541010</v>
      </c>
      <c r="D2043">
        <v>3434.9589999999998</v>
      </c>
      <c r="E2043" t="s">
        <v>6</v>
      </c>
      <c r="F2043" t="s">
        <v>61</v>
      </c>
      <c r="G2043" t="s">
        <v>8</v>
      </c>
    </row>
    <row r="2044" spans="1:7" x14ac:dyDescent="0.3">
      <c r="A2044" t="s">
        <v>31</v>
      </c>
      <c r="B2044" s="1">
        <v>45838</v>
      </c>
      <c r="C2044">
        <v>541012</v>
      </c>
      <c r="D2044">
        <v>280.30700000000002</v>
      </c>
      <c r="E2044" t="s">
        <v>6</v>
      </c>
      <c r="F2044" t="s">
        <v>61</v>
      </c>
      <c r="G2044" t="s">
        <v>8</v>
      </c>
    </row>
    <row r="2045" spans="1:7" x14ac:dyDescent="0.3">
      <c r="A2045" t="s">
        <v>31</v>
      </c>
      <c r="B2045" s="1">
        <v>45838</v>
      </c>
      <c r="C2045">
        <v>541013</v>
      </c>
      <c r="D2045">
        <v>57.631999999999998</v>
      </c>
      <c r="E2045" t="s">
        <v>6</v>
      </c>
      <c r="F2045" t="s">
        <v>61</v>
      </c>
      <c r="G2045" t="s">
        <v>8</v>
      </c>
    </row>
    <row r="2046" spans="1:7" x14ac:dyDescent="0.3">
      <c r="A2046" t="s">
        <v>31</v>
      </c>
      <c r="B2046" s="1">
        <v>45838</v>
      </c>
      <c r="C2046">
        <v>544006</v>
      </c>
      <c r="D2046">
        <v>224.517</v>
      </c>
      <c r="E2046" t="s">
        <v>6</v>
      </c>
      <c r="F2046" t="s">
        <v>61</v>
      </c>
      <c r="G2046" t="s">
        <v>8</v>
      </c>
    </row>
    <row r="2047" spans="1:7" x14ac:dyDescent="0.3">
      <c r="A2047" t="s">
        <v>31</v>
      </c>
      <c r="B2047" s="1">
        <v>45838</v>
      </c>
      <c r="C2047">
        <v>546002</v>
      </c>
      <c r="D2047">
        <v>216152.13200000001</v>
      </c>
      <c r="E2047" t="s">
        <v>6</v>
      </c>
      <c r="F2047" t="s">
        <v>51</v>
      </c>
      <c r="G2047" t="s">
        <v>8</v>
      </c>
    </row>
    <row r="2048" spans="1:7" x14ac:dyDescent="0.3">
      <c r="A2048" t="s">
        <v>31</v>
      </c>
      <c r="B2048" s="1">
        <v>45838</v>
      </c>
      <c r="C2048">
        <v>546008</v>
      </c>
      <c r="D2048">
        <v>11.180999999999999</v>
      </c>
      <c r="E2048" t="s">
        <v>6</v>
      </c>
      <c r="F2048" t="s">
        <v>51</v>
      </c>
      <c r="G2048" t="s">
        <v>8</v>
      </c>
    </row>
    <row r="2049" spans="1:7" x14ac:dyDescent="0.3">
      <c r="A2049" t="s">
        <v>31</v>
      </c>
      <c r="B2049" s="1">
        <v>45838</v>
      </c>
      <c r="C2049">
        <v>546013</v>
      </c>
      <c r="D2049">
        <v>15281.772000000001</v>
      </c>
      <c r="E2049" t="s">
        <v>6</v>
      </c>
      <c r="F2049" t="s">
        <v>51</v>
      </c>
      <c r="G2049" t="s">
        <v>8</v>
      </c>
    </row>
    <row r="2050" spans="1:7" x14ac:dyDescent="0.3">
      <c r="A2050" t="s">
        <v>31</v>
      </c>
      <c r="B2050" s="1">
        <v>45838</v>
      </c>
      <c r="C2050">
        <v>546019</v>
      </c>
      <c r="D2050">
        <v>2322.9389999999999</v>
      </c>
      <c r="E2050" t="s">
        <v>6</v>
      </c>
      <c r="F2050" t="s">
        <v>51</v>
      </c>
      <c r="G2050" t="s">
        <v>8</v>
      </c>
    </row>
    <row r="2051" spans="1:7" x14ac:dyDescent="0.3">
      <c r="A2051" t="s">
        <v>31</v>
      </c>
      <c r="B2051" s="1">
        <v>45838</v>
      </c>
      <c r="C2051">
        <v>546035</v>
      </c>
      <c r="D2051">
        <v>14294.27</v>
      </c>
      <c r="E2051" t="s">
        <v>6</v>
      </c>
      <c r="F2051" t="s">
        <v>51</v>
      </c>
      <c r="G2051" t="s">
        <v>8</v>
      </c>
    </row>
    <row r="2052" spans="1:7" x14ac:dyDescent="0.3">
      <c r="A2052" t="s">
        <v>31</v>
      </c>
      <c r="B2052" s="1">
        <v>45838</v>
      </c>
      <c r="C2052">
        <v>546040</v>
      </c>
      <c r="D2052">
        <v>4716.366</v>
      </c>
      <c r="E2052" t="s">
        <v>6</v>
      </c>
      <c r="F2052" t="s">
        <v>51</v>
      </c>
      <c r="G2052" t="s">
        <v>8</v>
      </c>
    </row>
    <row r="2053" spans="1:7" x14ac:dyDescent="0.3">
      <c r="A2053" t="s">
        <v>31</v>
      </c>
      <c r="B2053" s="1">
        <v>45838</v>
      </c>
      <c r="C2053">
        <v>546047</v>
      </c>
      <c r="D2053">
        <v>468.685</v>
      </c>
      <c r="E2053" t="s">
        <v>6</v>
      </c>
      <c r="F2053" t="s">
        <v>51</v>
      </c>
      <c r="G2053" t="s">
        <v>8</v>
      </c>
    </row>
    <row r="2054" spans="1:7" x14ac:dyDescent="0.3">
      <c r="A2054" t="s">
        <v>31</v>
      </c>
      <c r="B2054" s="1">
        <v>45838</v>
      </c>
      <c r="C2054">
        <v>547002</v>
      </c>
      <c r="D2054">
        <v>377.49799999999999</v>
      </c>
      <c r="E2054" t="s">
        <v>6</v>
      </c>
      <c r="F2054" t="s">
        <v>54</v>
      </c>
      <c r="G2054" t="s">
        <v>8</v>
      </c>
    </row>
    <row r="2055" spans="1:7" x14ac:dyDescent="0.3">
      <c r="A2055" t="s">
        <v>31</v>
      </c>
      <c r="B2055" s="1">
        <v>45838</v>
      </c>
      <c r="C2055">
        <v>547006</v>
      </c>
      <c r="D2055">
        <v>275.81099999999998</v>
      </c>
      <c r="E2055" t="s">
        <v>6</v>
      </c>
      <c r="F2055" t="s">
        <v>54</v>
      </c>
      <c r="G2055" t="s">
        <v>8</v>
      </c>
    </row>
    <row r="2056" spans="1:7" x14ac:dyDescent="0.3">
      <c r="A2056" t="s">
        <v>31</v>
      </c>
      <c r="B2056" s="1">
        <v>45838</v>
      </c>
      <c r="C2056">
        <v>547011</v>
      </c>
      <c r="D2056">
        <v>48.106000000000002</v>
      </c>
      <c r="E2056" t="s">
        <v>6</v>
      </c>
      <c r="F2056" t="s">
        <v>54</v>
      </c>
      <c r="G2056" t="s">
        <v>8</v>
      </c>
    </row>
    <row r="2057" spans="1:7" x14ac:dyDescent="0.3">
      <c r="A2057" t="s">
        <v>31</v>
      </c>
      <c r="B2057" s="1">
        <v>45838</v>
      </c>
      <c r="C2057">
        <v>551003</v>
      </c>
      <c r="D2057">
        <v>5243.3980000000001</v>
      </c>
      <c r="E2057" t="s">
        <v>6</v>
      </c>
      <c r="F2057" t="s">
        <v>63</v>
      </c>
      <c r="G2057" t="s">
        <v>8</v>
      </c>
    </row>
    <row r="2058" spans="1:7" x14ac:dyDescent="0.3">
      <c r="A2058" t="s">
        <v>31</v>
      </c>
      <c r="B2058" s="1">
        <v>45838</v>
      </c>
      <c r="C2058">
        <v>551008</v>
      </c>
      <c r="D2058">
        <v>28.765000000000001</v>
      </c>
      <c r="E2058" t="s">
        <v>6</v>
      </c>
      <c r="F2058" t="s">
        <v>63</v>
      </c>
      <c r="G2058" t="s">
        <v>8</v>
      </c>
    </row>
    <row r="2059" spans="1:7" x14ac:dyDescent="0.3">
      <c r="A2059" t="s">
        <v>31</v>
      </c>
      <c r="B2059" s="1">
        <v>45838</v>
      </c>
      <c r="C2059">
        <v>552502</v>
      </c>
      <c r="D2059">
        <v>1657.884</v>
      </c>
      <c r="E2059" t="s">
        <v>6</v>
      </c>
      <c r="F2059" t="s">
        <v>55</v>
      </c>
      <c r="G2059" t="s">
        <v>8</v>
      </c>
    </row>
    <row r="2060" spans="1:7" x14ac:dyDescent="0.3">
      <c r="A2060" t="s">
        <v>31</v>
      </c>
      <c r="B2060" s="1">
        <v>45838</v>
      </c>
      <c r="C2060">
        <v>556002</v>
      </c>
      <c r="D2060">
        <v>-606.53599999999994</v>
      </c>
      <c r="E2060" t="s">
        <v>6</v>
      </c>
      <c r="F2060" t="s">
        <v>60</v>
      </c>
      <c r="G2060" t="s">
        <v>8</v>
      </c>
    </row>
    <row r="2061" spans="1:7" x14ac:dyDescent="0.3">
      <c r="A2061" t="s">
        <v>31</v>
      </c>
      <c r="B2061" s="1">
        <v>45838</v>
      </c>
      <c r="C2061">
        <v>556004</v>
      </c>
      <c r="D2061">
        <v>10.156000000000001</v>
      </c>
      <c r="E2061" t="s">
        <v>6</v>
      </c>
      <c r="F2061" t="s">
        <v>55</v>
      </c>
      <c r="G2061" t="s">
        <v>8</v>
      </c>
    </row>
    <row r="2062" spans="1:7" x14ac:dyDescent="0.3">
      <c r="A2062" t="s">
        <v>31</v>
      </c>
      <c r="B2062" s="1">
        <v>45838</v>
      </c>
      <c r="C2062">
        <v>557002</v>
      </c>
      <c r="D2062">
        <v>913.14700000000005</v>
      </c>
      <c r="E2062" t="s">
        <v>6</v>
      </c>
      <c r="F2062" t="s">
        <v>56</v>
      </c>
      <c r="G2062" t="s">
        <v>8</v>
      </c>
    </row>
    <row r="2063" spans="1:7" x14ac:dyDescent="0.3">
      <c r="A2063" t="s">
        <v>31</v>
      </c>
      <c r="B2063" s="1">
        <v>45838</v>
      </c>
      <c r="C2063">
        <v>558006</v>
      </c>
      <c r="D2063">
        <v>286.59899999999999</v>
      </c>
      <c r="E2063" t="s">
        <v>6</v>
      </c>
      <c r="F2063" t="s">
        <v>57</v>
      </c>
      <c r="G2063" t="s">
        <v>8</v>
      </c>
    </row>
    <row r="2064" spans="1:7" x14ac:dyDescent="0.3">
      <c r="A2064" t="s">
        <v>31</v>
      </c>
      <c r="B2064" s="1">
        <v>45838</v>
      </c>
      <c r="C2064">
        <v>558012</v>
      </c>
      <c r="D2064">
        <v>88.028999999999996</v>
      </c>
      <c r="E2064" t="s">
        <v>6</v>
      </c>
      <c r="F2064" t="s">
        <v>60</v>
      </c>
      <c r="G2064" t="s">
        <v>8</v>
      </c>
    </row>
    <row r="2065" spans="1:7" x14ac:dyDescent="0.3">
      <c r="A2065" t="s">
        <v>31</v>
      </c>
      <c r="B2065" s="1">
        <v>45838</v>
      </c>
      <c r="C2065">
        <v>559002</v>
      </c>
      <c r="D2065">
        <v>185.595</v>
      </c>
      <c r="E2065" t="s">
        <v>6</v>
      </c>
      <c r="F2065" t="s">
        <v>60</v>
      </c>
      <c r="G2065" t="s">
        <v>8</v>
      </c>
    </row>
    <row r="2066" spans="1:7" x14ac:dyDescent="0.3">
      <c r="A2066" t="s">
        <v>31</v>
      </c>
      <c r="B2066" s="1">
        <v>45838</v>
      </c>
      <c r="C2066">
        <v>560008</v>
      </c>
      <c r="D2066">
        <v>412.21699999999998</v>
      </c>
      <c r="E2066" t="s">
        <v>6</v>
      </c>
      <c r="F2066" t="s">
        <v>56</v>
      </c>
      <c r="G2066" t="s">
        <v>8</v>
      </c>
    </row>
    <row r="2067" spans="1:7" x14ac:dyDescent="0.3">
      <c r="A2067" t="s">
        <v>31</v>
      </c>
      <c r="B2067" s="1">
        <v>45838</v>
      </c>
      <c r="C2067">
        <v>564004</v>
      </c>
      <c r="D2067">
        <v>4525.3909999999996</v>
      </c>
      <c r="E2067" t="s">
        <v>6</v>
      </c>
      <c r="F2067" t="s">
        <v>51</v>
      </c>
      <c r="G2067" t="s">
        <v>8</v>
      </c>
    </row>
    <row r="2068" spans="1:7" x14ac:dyDescent="0.3">
      <c r="A2068" t="s">
        <v>31</v>
      </c>
      <c r="B2068" s="1">
        <v>45838</v>
      </c>
      <c r="C2068">
        <v>564008</v>
      </c>
      <c r="D2068">
        <v>15.739000000000001</v>
      </c>
      <c r="E2068" t="s">
        <v>6</v>
      </c>
      <c r="F2068" t="s">
        <v>55</v>
      </c>
      <c r="G2068" t="s">
        <v>8</v>
      </c>
    </row>
    <row r="2069" spans="1:7" x14ac:dyDescent="0.3">
      <c r="A2069" t="s">
        <v>31</v>
      </c>
      <c r="B2069" s="1">
        <v>45838</v>
      </c>
      <c r="C2069">
        <v>564020</v>
      </c>
      <c r="D2069">
        <v>167.25200000000001</v>
      </c>
      <c r="E2069" t="s">
        <v>6</v>
      </c>
      <c r="F2069" t="s">
        <v>57</v>
      </c>
      <c r="G2069" t="s">
        <v>8</v>
      </c>
    </row>
    <row r="2070" spans="1:7" x14ac:dyDescent="0.3">
      <c r="A2070" t="s">
        <v>31</v>
      </c>
      <c r="B2070" s="1">
        <v>45838</v>
      </c>
      <c r="C2070">
        <v>570002</v>
      </c>
      <c r="D2070">
        <v>200.63399999999999</v>
      </c>
      <c r="E2070" t="s">
        <v>6</v>
      </c>
      <c r="F2070" t="s">
        <v>66</v>
      </c>
      <c r="G2070" t="s">
        <v>8</v>
      </c>
    </row>
    <row r="2071" spans="1:7" x14ac:dyDescent="0.3">
      <c r="A2071" t="s">
        <v>31</v>
      </c>
      <c r="B2071" s="1">
        <v>45838</v>
      </c>
      <c r="C2071">
        <v>580002</v>
      </c>
      <c r="D2071">
        <v>6918.9470000000001</v>
      </c>
      <c r="E2071" t="s">
        <v>6</v>
      </c>
      <c r="F2071" t="s">
        <v>64</v>
      </c>
      <c r="G2071" t="s">
        <v>8</v>
      </c>
    </row>
    <row r="2072" spans="1:7" x14ac:dyDescent="0.3">
      <c r="A2072" t="s">
        <v>32</v>
      </c>
      <c r="B2072" s="1">
        <v>45838</v>
      </c>
      <c r="C2072">
        <v>210002</v>
      </c>
      <c r="D2072">
        <v>-6819003.3990000002</v>
      </c>
      <c r="E2072" t="s">
        <v>4</v>
      </c>
      <c r="F2072" t="s">
        <v>42</v>
      </c>
      <c r="G2072" t="s">
        <v>7</v>
      </c>
    </row>
    <row r="2073" spans="1:7" x14ac:dyDescent="0.3">
      <c r="A2073" t="s">
        <v>32</v>
      </c>
      <c r="B2073" s="1">
        <v>45838</v>
      </c>
      <c r="C2073">
        <v>220003</v>
      </c>
      <c r="D2073">
        <v>4157423.4649999999</v>
      </c>
      <c r="E2073" t="s">
        <v>4</v>
      </c>
      <c r="F2073" t="s">
        <v>42</v>
      </c>
      <c r="G2073" t="s">
        <v>7</v>
      </c>
    </row>
    <row r="2074" spans="1:7" x14ac:dyDescent="0.3">
      <c r="A2074" t="s">
        <v>32</v>
      </c>
      <c r="B2074" s="1">
        <v>45838</v>
      </c>
      <c r="C2074">
        <v>220004</v>
      </c>
      <c r="D2074">
        <v>-3889.9389999999999</v>
      </c>
      <c r="E2074" t="s">
        <v>4</v>
      </c>
      <c r="F2074" t="s">
        <v>42</v>
      </c>
      <c r="G2074" t="s">
        <v>7</v>
      </c>
    </row>
    <row r="2075" spans="1:7" x14ac:dyDescent="0.3">
      <c r="A2075" t="s">
        <v>32</v>
      </c>
      <c r="B2075" s="1">
        <v>45838</v>
      </c>
      <c r="C2075">
        <v>220006</v>
      </c>
      <c r="D2075">
        <v>-7002404.9749999996</v>
      </c>
      <c r="E2075" t="s">
        <v>4</v>
      </c>
      <c r="F2075" t="s">
        <v>42</v>
      </c>
      <c r="G2075" t="s">
        <v>7</v>
      </c>
    </row>
    <row r="2076" spans="1:7" x14ac:dyDescent="0.3">
      <c r="A2076" t="s">
        <v>32</v>
      </c>
      <c r="B2076" s="1">
        <v>45838</v>
      </c>
      <c r="C2076">
        <v>234003</v>
      </c>
      <c r="D2076">
        <v>-212128.25200000001</v>
      </c>
      <c r="E2076" t="s">
        <v>4</v>
      </c>
      <c r="F2076" t="s">
        <v>43</v>
      </c>
      <c r="G2076" t="s">
        <v>7</v>
      </c>
    </row>
    <row r="2077" spans="1:7" x14ac:dyDescent="0.3">
      <c r="A2077" t="s">
        <v>32</v>
      </c>
      <c r="B2077" s="1">
        <v>45838</v>
      </c>
      <c r="C2077">
        <v>240002</v>
      </c>
      <c r="D2077">
        <v>-41342.686000000002</v>
      </c>
      <c r="E2077" t="s">
        <v>4</v>
      </c>
      <c r="F2077" t="s">
        <v>43</v>
      </c>
      <c r="G2077" t="s">
        <v>7</v>
      </c>
    </row>
    <row r="2078" spans="1:7" x14ac:dyDescent="0.3">
      <c r="A2078" t="s">
        <v>32</v>
      </c>
      <c r="B2078" s="1">
        <v>45838</v>
      </c>
      <c r="C2078">
        <v>240003</v>
      </c>
      <c r="D2078">
        <v>0</v>
      </c>
      <c r="E2078" t="s">
        <v>4</v>
      </c>
      <c r="F2078" t="s">
        <v>43</v>
      </c>
      <c r="G2078" t="s">
        <v>7</v>
      </c>
    </row>
    <row r="2079" spans="1:7" x14ac:dyDescent="0.3">
      <c r="A2079" t="s">
        <v>32</v>
      </c>
      <c r="B2079" s="1">
        <v>45838</v>
      </c>
      <c r="C2079">
        <v>240007</v>
      </c>
      <c r="D2079">
        <v>0</v>
      </c>
      <c r="E2079" t="s">
        <v>4</v>
      </c>
      <c r="F2079" t="s">
        <v>65</v>
      </c>
      <c r="G2079" t="s">
        <v>7</v>
      </c>
    </row>
    <row r="2080" spans="1:7" x14ac:dyDescent="0.3">
      <c r="A2080" t="s">
        <v>32</v>
      </c>
      <c r="B2080" s="1">
        <v>45838</v>
      </c>
      <c r="C2080">
        <v>240008</v>
      </c>
      <c r="D2080">
        <v>0</v>
      </c>
      <c r="E2080" t="s">
        <v>4</v>
      </c>
      <c r="F2080" t="s">
        <v>43</v>
      </c>
      <c r="G2080" t="s">
        <v>7</v>
      </c>
    </row>
    <row r="2081" spans="1:7" x14ac:dyDescent="0.3">
      <c r="A2081" t="s">
        <v>32</v>
      </c>
      <c r="B2081" s="1">
        <v>45838</v>
      </c>
      <c r="C2081">
        <v>240009</v>
      </c>
      <c r="D2081">
        <v>-51513.197999999997</v>
      </c>
      <c r="E2081" t="s">
        <v>4</v>
      </c>
      <c r="F2081" t="s">
        <v>43</v>
      </c>
      <c r="G2081" t="s">
        <v>7</v>
      </c>
    </row>
    <row r="2082" spans="1:7" x14ac:dyDescent="0.3">
      <c r="A2082" t="s">
        <v>32</v>
      </c>
      <c r="B2082" s="1">
        <v>45838</v>
      </c>
      <c r="C2082">
        <v>242003</v>
      </c>
      <c r="D2082">
        <v>-1985037.3829999999</v>
      </c>
      <c r="E2082" t="s">
        <v>4</v>
      </c>
      <c r="F2082" t="s">
        <v>43</v>
      </c>
      <c r="G2082" t="s">
        <v>7</v>
      </c>
    </row>
    <row r="2083" spans="1:7" x14ac:dyDescent="0.3">
      <c r="A2083" t="s">
        <v>32</v>
      </c>
      <c r="B2083" s="1">
        <v>45838</v>
      </c>
      <c r="C2083">
        <v>242007</v>
      </c>
      <c r="D2083">
        <v>-4077.1689999999999</v>
      </c>
      <c r="E2083" t="s">
        <v>4</v>
      </c>
      <c r="F2083" t="s">
        <v>43</v>
      </c>
      <c r="G2083" t="s">
        <v>7</v>
      </c>
    </row>
    <row r="2084" spans="1:7" x14ac:dyDescent="0.3">
      <c r="A2084" t="s">
        <v>32</v>
      </c>
      <c r="B2084" s="1">
        <v>45838</v>
      </c>
      <c r="C2084">
        <v>242011</v>
      </c>
      <c r="D2084">
        <v>0</v>
      </c>
      <c r="E2084" t="s">
        <v>4</v>
      </c>
      <c r="F2084" t="s">
        <v>43</v>
      </c>
      <c r="G2084" t="s">
        <v>7</v>
      </c>
    </row>
    <row r="2085" spans="1:7" x14ac:dyDescent="0.3">
      <c r="A2085" t="s">
        <v>32</v>
      </c>
      <c r="B2085" s="1">
        <v>45838</v>
      </c>
      <c r="C2085">
        <v>242012</v>
      </c>
      <c r="D2085">
        <v>-1100571.7169999999</v>
      </c>
      <c r="E2085" t="s">
        <v>4</v>
      </c>
      <c r="F2085" t="s">
        <v>43</v>
      </c>
      <c r="G2085" t="s">
        <v>7</v>
      </c>
    </row>
    <row r="2086" spans="1:7" x14ac:dyDescent="0.3">
      <c r="A2086" t="s">
        <v>32</v>
      </c>
      <c r="B2086" s="1">
        <v>45838</v>
      </c>
      <c r="C2086">
        <v>242013</v>
      </c>
      <c r="D2086">
        <v>-211011.17</v>
      </c>
      <c r="E2086" t="s">
        <v>4</v>
      </c>
      <c r="F2086" t="s">
        <v>43</v>
      </c>
      <c r="G2086" t="s">
        <v>7</v>
      </c>
    </row>
    <row r="2087" spans="1:7" x14ac:dyDescent="0.3">
      <c r="A2087" t="s">
        <v>32</v>
      </c>
      <c r="B2087" s="1">
        <v>45838</v>
      </c>
      <c r="C2087">
        <v>242014</v>
      </c>
      <c r="D2087">
        <v>-254130.27100000001</v>
      </c>
      <c r="E2087" t="s">
        <v>4</v>
      </c>
      <c r="F2087" t="s">
        <v>43</v>
      </c>
      <c r="G2087" t="s">
        <v>7</v>
      </c>
    </row>
    <row r="2088" spans="1:7" x14ac:dyDescent="0.3">
      <c r="A2088" t="s">
        <v>32</v>
      </c>
      <c r="B2088" s="1">
        <v>45838</v>
      </c>
      <c r="C2088">
        <v>242017</v>
      </c>
      <c r="D2088">
        <v>6105.6719999999996</v>
      </c>
      <c r="E2088" t="s">
        <v>4</v>
      </c>
      <c r="F2088" t="s">
        <v>43</v>
      </c>
      <c r="G2088" t="s">
        <v>7</v>
      </c>
    </row>
    <row r="2089" spans="1:7" x14ac:dyDescent="0.3">
      <c r="A2089" t="s">
        <v>32</v>
      </c>
      <c r="B2089" s="1">
        <v>45838</v>
      </c>
      <c r="C2089">
        <v>242019</v>
      </c>
      <c r="D2089">
        <v>-4277.1239999999998</v>
      </c>
      <c r="E2089" t="s">
        <v>4</v>
      </c>
      <c r="F2089" t="s">
        <v>43</v>
      </c>
      <c r="G2089" t="s">
        <v>7</v>
      </c>
    </row>
    <row r="2090" spans="1:7" x14ac:dyDescent="0.3">
      <c r="A2090" t="s">
        <v>32</v>
      </c>
      <c r="B2090" s="1">
        <v>45838</v>
      </c>
      <c r="C2090">
        <v>242022</v>
      </c>
      <c r="D2090">
        <v>-12215.453</v>
      </c>
      <c r="E2090" t="s">
        <v>4</v>
      </c>
      <c r="F2090" t="s">
        <v>43</v>
      </c>
      <c r="G2090" t="s">
        <v>7</v>
      </c>
    </row>
    <row r="2091" spans="1:7" x14ac:dyDescent="0.3">
      <c r="A2091" t="s">
        <v>32</v>
      </c>
      <c r="B2091" s="1">
        <v>45838</v>
      </c>
      <c r="C2091">
        <v>242023</v>
      </c>
      <c r="D2091">
        <v>-3638.3649999999998</v>
      </c>
      <c r="E2091" t="s">
        <v>4</v>
      </c>
      <c r="F2091" t="s">
        <v>43</v>
      </c>
      <c r="G2091" t="s">
        <v>7</v>
      </c>
    </row>
    <row r="2092" spans="1:7" x14ac:dyDescent="0.3">
      <c r="A2092" t="s">
        <v>32</v>
      </c>
      <c r="B2092" s="1">
        <v>45838</v>
      </c>
      <c r="C2092">
        <v>242027</v>
      </c>
      <c r="D2092">
        <v>-88485.373999999996</v>
      </c>
      <c r="E2092" t="s">
        <v>4</v>
      </c>
      <c r="F2092" t="s">
        <v>43</v>
      </c>
      <c r="G2092" t="s">
        <v>7</v>
      </c>
    </row>
    <row r="2093" spans="1:7" x14ac:dyDescent="0.3">
      <c r="A2093" t="s">
        <v>32</v>
      </c>
      <c r="B2093" s="1">
        <v>45838</v>
      </c>
      <c r="C2093">
        <v>242030</v>
      </c>
      <c r="D2093">
        <v>-113800.55</v>
      </c>
      <c r="E2093" t="s">
        <v>4</v>
      </c>
      <c r="F2093" t="s">
        <v>43</v>
      </c>
      <c r="G2093" t="s">
        <v>7</v>
      </c>
    </row>
    <row r="2094" spans="1:7" x14ac:dyDescent="0.3">
      <c r="A2094" t="s">
        <v>32</v>
      </c>
      <c r="B2094" s="1">
        <v>45838</v>
      </c>
      <c r="C2094">
        <v>242032</v>
      </c>
      <c r="D2094">
        <v>-1107.7529999999999</v>
      </c>
      <c r="E2094" t="s">
        <v>4</v>
      </c>
      <c r="F2094" t="s">
        <v>43</v>
      </c>
      <c r="G2094" t="s">
        <v>7</v>
      </c>
    </row>
    <row r="2095" spans="1:7" x14ac:dyDescent="0.3">
      <c r="A2095" t="s">
        <v>32</v>
      </c>
      <c r="B2095" s="1">
        <v>45838</v>
      </c>
      <c r="C2095">
        <v>242036</v>
      </c>
      <c r="D2095">
        <v>-12594.073</v>
      </c>
      <c r="E2095" t="s">
        <v>4</v>
      </c>
      <c r="F2095" t="s">
        <v>43</v>
      </c>
      <c r="G2095" t="s">
        <v>7</v>
      </c>
    </row>
    <row r="2096" spans="1:7" x14ac:dyDescent="0.3">
      <c r="A2096" t="s">
        <v>32</v>
      </c>
      <c r="B2096" s="1">
        <v>45838</v>
      </c>
      <c r="C2096">
        <v>242037</v>
      </c>
      <c r="D2096">
        <v>-28500.595000000001</v>
      </c>
      <c r="E2096" t="s">
        <v>4</v>
      </c>
      <c r="F2096" t="s">
        <v>43</v>
      </c>
      <c r="G2096" t="s">
        <v>7</v>
      </c>
    </row>
    <row r="2097" spans="1:7" x14ac:dyDescent="0.3">
      <c r="A2097" t="s">
        <v>32</v>
      </c>
      <c r="B2097" s="1">
        <v>45838</v>
      </c>
      <c r="C2097">
        <v>242038</v>
      </c>
      <c r="D2097">
        <v>-4093.527</v>
      </c>
      <c r="E2097" t="s">
        <v>4</v>
      </c>
      <c r="F2097" t="s">
        <v>43</v>
      </c>
      <c r="G2097" t="s">
        <v>7</v>
      </c>
    </row>
    <row r="2098" spans="1:7" x14ac:dyDescent="0.3">
      <c r="A2098" t="s">
        <v>32</v>
      </c>
      <c r="B2098" s="1">
        <v>45838</v>
      </c>
      <c r="C2098">
        <v>242039</v>
      </c>
      <c r="D2098">
        <v>-24424.954000000002</v>
      </c>
      <c r="E2098" t="s">
        <v>4</v>
      </c>
      <c r="F2098" t="s">
        <v>43</v>
      </c>
      <c r="G2098" t="s">
        <v>7</v>
      </c>
    </row>
    <row r="2099" spans="1:7" x14ac:dyDescent="0.3">
      <c r="A2099" t="s">
        <v>32</v>
      </c>
      <c r="B2099" s="1">
        <v>45838</v>
      </c>
      <c r="C2099">
        <v>242041</v>
      </c>
      <c r="D2099">
        <v>13761.531999999999</v>
      </c>
      <c r="E2099" t="s">
        <v>4</v>
      </c>
      <c r="F2099" t="s">
        <v>43</v>
      </c>
      <c r="G2099" t="s">
        <v>7</v>
      </c>
    </row>
    <row r="2100" spans="1:7" x14ac:dyDescent="0.3">
      <c r="A2100" t="s">
        <v>32</v>
      </c>
      <c r="B2100" s="1">
        <v>45838</v>
      </c>
      <c r="C2100">
        <v>242044</v>
      </c>
      <c r="D2100">
        <v>-29934.885999999999</v>
      </c>
      <c r="E2100" t="s">
        <v>4</v>
      </c>
      <c r="F2100" t="s">
        <v>43</v>
      </c>
      <c r="G2100" t="s">
        <v>7</v>
      </c>
    </row>
    <row r="2101" spans="1:7" x14ac:dyDescent="0.3">
      <c r="A2101" t="s">
        <v>32</v>
      </c>
      <c r="B2101" s="1">
        <v>45838</v>
      </c>
      <c r="C2101">
        <v>243002</v>
      </c>
      <c r="D2101">
        <v>-220314.72399999999</v>
      </c>
      <c r="E2101" t="s">
        <v>4</v>
      </c>
      <c r="F2101" t="s">
        <v>43</v>
      </c>
      <c r="G2101" t="s">
        <v>7</v>
      </c>
    </row>
    <row r="2102" spans="1:7" x14ac:dyDescent="0.3">
      <c r="A2102" t="s">
        <v>32</v>
      </c>
      <c r="B2102" s="1">
        <v>45838</v>
      </c>
      <c r="C2102">
        <v>243003</v>
      </c>
      <c r="D2102">
        <v>-358326.01</v>
      </c>
      <c r="E2102" t="s">
        <v>4</v>
      </c>
      <c r="F2102" t="s">
        <v>43</v>
      </c>
      <c r="G2102" t="s">
        <v>7</v>
      </c>
    </row>
    <row r="2103" spans="1:7" x14ac:dyDescent="0.3">
      <c r="A2103" t="s">
        <v>32</v>
      </c>
      <c r="B2103" s="1">
        <v>45838</v>
      </c>
      <c r="C2103">
        <v>243009</v>
      </c>
      <c r="D2103">
        <v>-1502.8530000000001</v>
      </c>
      <c r="E2103" t="s">
        <v>4</v>
      </c>
      <c r="F2103" t="s">
        <v>43</v>
      </c>
      <c r="G2103" t="s">
        <v>7</v>
      </c>
    </row>
    <row r="2104" spans="1:7" x14ac:dyDescent="0.3">
      <c r="A2104" t="s">
        <v>32</v>
      </c>
      <c r="B2104" s="1">
        <v>45838</v>
      </c>
      <c r="C2104">
        <v>245004</v>
      </c>
      <c r="D2104">
        <v>0</v>
      </c>
      <c r="E2104" t="s">
        <v>4</v>
      </c>
      <c r="F2104" t="s">
        <v>43</v>
      </c>
      <c r="G2104" t="s">
        <v>7</v>
      </c>
    </row>
    <row r="2105" spans="1:7" x14ac:dyDescent="0.3">
      <c r="A2105" t="s">
        <v>32</v>
      </c>
      <c r="B2105" s="1">
        <v>45838</v>
      </c>
      <c r="C2105">
        <v>245010</v>
      </c>
      <c r="D2105">
        <v>-153419.73000000001</v>
      </c>
      <c r="E2105" t="s">
        <v>4</v>
      </c>
      <c r="F2105" t="s">
        <v>44</v>
      </c>
      <c r="G2105" t="s">
        <v>7</v>
      </c>
    </row>
    <row r="2106" spans="1:7" x14ac:dyDescent="0.3">
      <c r="A2106" t="s">
        <v>32</v>
      </c>
      <c r="B2106" s="1">
        <v>45838</v>
      </c>
      <c r="C2106">
        <v>245018</v>
      </c>
      <c r="D2106">
        <v>-25103.330999999998</v>
      </c>
      <c r="E2106" t="s">
        <v>4</v>
      </c>
      <c r="F2106" t="s">
        <v>43</v>
      </c>
      <c r="G2106" t="s">
        <v>7</v>
      </c>
    </row>
    <row r="2107" spans="1:7" x14ac:dyDescent="0.3">
      <c r="A2107" t="s">
        <v>32</v>
      </c>
      <c r="B2107" s="1">
        <v>45838</v>
      </c>
      <c r="C2107">
        <v>245049</v>
      </c>
      <c r="D2107">
        <v>-136723.15100000001</v>
      </c>
      <c r="E2107" t="s">
        <v>4</v>
      </c>
      <c r="F2107" t="s">
        <v>43</v>
      </c>
      <c r="G2107" t="s">
        <v>7</v>
      </c>
    </row>
    <row r="2108" spans="1:7" x14ac:dyDescent="0.3">
      <c r="A2108" t="s">
        <v>32</v>
      </c>
      <c r="B2108" s="1">
        <v>45838</v>
      </c>
      <c r="C2108">
        <v>245055</v>
      </c>
      <c r="D2108">
        <v>-11743.013000000001</v>
      </c>
      <c r="E2108" t="s">
        <v>4</v>
      </c>
      <c r="F2108" t="s">
        <v>43</v>
      </c>
      <c r="G2108" t="s">
        <v>7</v>
      </c>
    </row>
    <row r="2109" spans="1:7" x14ac:dyDescent="0.3">
      <c r="A2109" t="s">
        <v>32</v>
      </c>
      <c r="B2109" s="1">
        <v>45838</v>
      </c>
      <c r="C2109">
        <v>245056</v>
      </c>
      <c r="D2109">
        <v>-7617.2449999999999</v>
      </c>
      <c r="E2109" t="s">
        <v>4</v>
      </c>
      <c r="F2109" t="s">
        <v>49</v>
      </c>
      <c r="G2109" t="s">
        <v>7</v>
      </c>
    </row>
    <row r="2110" spans="1:7" x14ac:dyDescent="0.3">
      <c r="A2110" t="s">
        <v>32</v>
      </c>
      <c r="B2110" s="1">
        <v>45838</v>
      </c>
      <c r="C2110">
        <v>245058</v>
      </c>
      <c r="D2110">
        <v>0</v>
      </c>
      <c r="E2110" t="s">
        <v>4</v>
      </c>
      <c r="F2110" t="s">
        <v>43</v>
      </c>
      <c r="G2110" t="s">
        <v>7</v>
      </c>
    </row>
    <row r="2111" spans="1:7" x14ac:dyDescent="0.3">
      <c r="A2111" t="s">
        <v>32</v>
      </c>
      <c r="B2111" s="1">
        <v>45838</v>
      </c>
      <c r="C2111">
        <v>245062</v>
      </c>
      <c r="D2111">
        <v>-82657.652000000002</v>
      </c>
      <c r="E2111" t="s">
        <v>4</v>
      </c>
      <c r="F2111" t="s">
        <v>43</v>
      </c>
      <c r="G2111" t="s">
        <v>7</v>
      </c>
    </row>
    <row r="2112" spans="1:7" x14ac:dyDescent="0.3">
      <c r="A2112" t="s">
        <v>32</v>
      </c>
      <c r="B2112" s="1">
        <v>45838</v>
      </c>
      <c r="C2112">
        <v>250003</v>
      </c>
      <c r="D2112">
        <v>-58790.927000000003</v>
      </c>
      <c r="E2112" t="s">
        <v>4</v>
      </c>
      <c r="F2112" t="s">
        <v>45</v>
      </c>
      <c r="G2112" t="s">
        <v>7</v>
      </c>
    </row>
    <row r="2113" spans="1:7" x14ac:dyDescent="0.3">
      <c r="A2113" t="s">
        <v>32</v>
      </c>
      <c r="B2113" s="1">
        <v>45838</v>
      </c>
      <c r="C2113">
        <v>250007</v>
      </c>
      <c r="D2113">
        <v>-103153.22100000001</v>
      </c>
      <c r="E2113" t="s">
        <v>4</v>
      </c>
      <c r="F2113" t="s">
        <v>43</v>
      </c>
      <c r="G2113" t="s">
        <v>7</v>
      </c>
    </row>
    <row r="2114" spans="1:7" x14ac:dyDescent="0.3">
      <c r="A2114" t="s">
        <v>32</v>
      </c>
      <c r="B2114" s="1">
        <v>45838</v>
      </c>
      <c r="C2114">
        <v>250009</v>
      </c>
      <c r="D2114">
        <v>-1095.009</v>
      </c>
      <c r="E2114" t="s">
        <v>4</v>
      </c>
      <c r="F2114" t="s">
        <v>43</v>
      </c>
      <c r="G2114" t="s">
        <v>7</v>
      </c>
    </row>
    <row r="2115" spans="1:7" x14ac:dyDescent="0.3">
      <c r="A2115" t="s">
        <v>32</v>
      </c>
      <c r="B2115" s="1">
        <v>45838</v>
      </c>
      <c r="C2115">
        <v>250020</v>
      </c>
      <c r="D2115">
        <v>0</v>
      </c>
      <c r="E2115" t="s">
        <v>4</v>
      </c>
      <c r="F2115" t="s">
        <v>45</v>
      </c>
      <c r="G2115" t="s">
        <v>7</v>
      </c>
    </row>
    <row r="2116" spans="1:7" x14ac:dyDescent="0.3">
      <c r="A2116" t="s">
        <v>32</v>
      </c>
      <c r="B2116" s="1">
        <v>45838</v>
      </c>
      <c r="C2116">
        <v>251002</v>
      </c>
      <c r="D2116">
        <v>-15722.444</v>
      </c>
      <c r="E2116" t="s">
        <v>4</v>
      </c>
      <c r="F2116" t="s">
        <v>45</v>
      </c>
      <c r="G2116" t="s">
        <v>7</v>
      </c>
    </row>
    <row r="2117" spans="1:7" x14ac:dyDescent="0.3">
      <c r="A2117" t="s">
        <v>32</v>
      </c>
      <c r="B2117" s="1">
        <v>45838</v>
      </c>
      <c r="C2117">
        <v>251003</v>
      </c>
      <c r="D2117">
        <v>-468503.897</v>
      </c>
      <c r="E2117" t="s">
        <v>4</v>
      </c>
      <c r="F2117" t="s">
        <v>45</v>
      </c>
      <c r="G2117" t="s">
        <v>7</v>
      </c>
    </row>
    <row r="2118" spans="1:7" x14ac:dyDescent="0.3">
      <c r="A2118" t="s">
        <v>32</v>
      </c>
      <c r="B2118" s="1">
        <v>45838</v>
      </c>
      <c r="C2118">
        <v>256037</v>
      </c>
      <c r="D2118">
        <v>-16100.976000000001</v>
      </c>
      <c r="E2118" t="s">
        <v>4</v>
      </c>
      <c r="F2118" t="s">
        <v>43</v>
      </c>
      <c r="G2118" t="s">
        <v>7</v>
      </c>
    </row>
    <row r="2119" spans="1:7" x14ac:dyDescent="0.3">
      <c r="A2119" t="s">
        <v>32</v>
      </c>
      <c r="B2119" s="1">
        <v>45838</v>
      </c>
      <c r="C2119">
        <v>257008</v>
      </c>
      <c r="D2119">
        <v>-9571.1849999999995</v>
      </c>
      <c r="E2119" t="s">
        <v>4</v>
      </c>
      <c r="F2119" t="s">
        <v>45</v>
      </c>
      <c r="G2119" t="s">
        <v>7</v>
      </c>
    </row>
    <row r="2120" spans="1:7" x14ac:dyDescent="0.3">
      <c r="A2120" t="s">
        <v>32</v>
      </c>
      <c r="B2120" s="1">
        <v>45838</v>
      </c>
      <c r="C2120">
        <v>257009</v>
      </c>
      <c r="D2120">
        <v>-19316.012999999999</v>
      </c>
      <c r="E2120" t="s">
        <v>4</v>
      </c>
      <c r="F2120" t="s">
        <v>45</v>
      </c>
      <c r="G2120" t="s">
        <v>7</v>
      </c>
    </row>
    <row r="2121" spans="1:7" x14ac:dyDescent="0.3">
      <c r="A2121" t="s">
        <v>32</v>
      </c>
      <c r="B2121" s="1">
        <v>45838</v>
      </c>
      <c r="C2121">
        <v>257011</v>
      </c>
      <c r="D2121">
        <v>-10920.58</v>
      </c>
      <c r="E2121" t="s">
        <v>4</v>
      </c>
      <c r="F2121" t="s">
        <v>45</v>
      </c>
      <c r="G2121" t="s">
        <v>7</v>
      </c>
    </row>
    <row r="2122" spans="1:7" x14ac:dyDescent="0.3">
      <c r="A2122" t="s">
        <v>32</v>
      </c>
      <c r="B2122" s="1">
        <v>45838</v>
      </c>
      <c r="C2122">
        <v>257022</v>
      </c>
      <c r="D2122">
        <v>5991.0929999999998</v>
      </c>
      <c r="E2122" t="s">
        <v>4</v>
      </c>
      <c r="F2122" t="s">
        <v>45</v>
      </c>
      <c r="G2122" t="s">
        <v>7</v>
      </c>
    </row>
    <row r="2123" spans="1:7" x14ac:dyDescent="0.3">
      <c r="A2123" t="s">
        <v>32</v>
      </c>
      <c r="B2123" s="1">
        <v>45838</v>
      </c>
      <c r="C2123">
        <v>257028</v>
      </c>
      <c r="D2123">
        <v>-119161.473</v>
      </c>
      <c r="E2123" t="s">
        <v>4</v>
      </c>
      <c r="F2123" t="s">
        <v>45</v>
      </c>
      <c r="G2123" t="s">
        <v>7</v>
      </c>
    </row>
    <row r="2124" spans="1:7" x14ac:dyDescent="0.3">
      <c r="A2124" t="s">
        <v>32</v>
      </c>
      <c r="B2124" s="1">
        <v>45838</v>
      </c>
      <c r="C2124">
        <v>260004</v>
      </c>
      <c r="D2124">
        <v>-3041.0590000000002</v>
      </c>
      <c r="E2124" t="s">
        <v>4</v>
      </c>
      <c r="F2124" t="s">
        <v>45</v>
      </c>
      <c r="G2124" t="s">
        <v>7</v>
      </c>
    </row>
    <row r="2125" spans="1:7" x14ac:dyDescent="0.3">
      <c r="A2125" t="s">
        <v>32</v>
      </c>
      <c r="B2125" s="1">
        <v>45838</v>
      </c>
      <c r="C2125">
        <v>270024</v>
      </c>
      <c r="D2125">
        <v>-28417.851999999999</v>
      </c>
      <c r="E2125" t="s">
        <v>4</v>
      </c>
      <c r="F2125" t="s">
        <v>58</v>
      </c>
      <c r="G2125" t="s">
        <v>7</v>
      </c>
    </row>
    <row r="2126" spans="1:7" x14ac:dyDescent="0.3">
      <c r="A2126" t="s">
        <v>32</v>
      </c>
      <c r="B2126" s="1">
        <v>45838</v>
      </c>
      <c r="C2126">
        <v>270025</v>
      </c>
      <c r="D2126">
        <v>-211460.53</v>
      </c>
      <c r="E2126" t="s">
        <v>4</v>
      </c>
      <c r="F2126" t="s">
        <v>58</v>
      </c>
      <c r="G2126" t="s">
        <v>7</v>
      </c>
    </row>
    <row r="2127" spans="1:7" x14ac:dyDescent="0.3">
      <c r="A2127" t="s">
        <v>32</v>
      </c>
      <c r="B2127" s="1">
        <v>45838</v>
      </c>
      <c r="C2127">
        <v>270026</v>
      </c>
      <c r="D2127">
        <v>-84328.93</v>
      </c>
      <c r="E2127" t="s">
        <v>4</v>
      </c>
      <c r="F2127" t="s">
        <v>58</v>
      </c>
      <c r="G2127" t="s">
        <v>7</v>
      </c>
    </row>
    <row r="2128" spans="1:7" x14ac:dyDescent="0.3">
      <c r="A2128" t="s">
        <v>32</v>
      </c>
      <c r="B2128" s="1">
        <v>45838</v>
      </c>
      <c r="C2128">
        <v>270027</v>
      </c>
      <c r="D2128">
        <v>-28285.29</v>
      </c>
      <c r="E2128" t="s">
        <v>4</v>
      </c>
      <c r="F2128" t="s">
        <v>58</v>
      </c>
      <c r="G2128" t="s">
        <v>7</v>
      </c>
    </row>
    <row r="2129" spans="1:7" x14ac:dyDescent="0.3">
      <c r="A2129" t="s">
        <v>32</v>
      </c>
      <c r="B2129" s="1">
        <v>45838</v>
      </c>
      <c r="C2129">
        <v>300004</v>
      </c>
      <c r="D2129">
        <v>13564.084000000001</v>
      </c>
      <c r="E2129" t="s">
        <v>4</v>
      </c>
      <c r="F2129" t="s">
        <v>65</v>
      </c>
      <c r="G2129" t="s">
        <v>7</v>
      </c>
    </row>
    <row r="2130" spans="1:7" x14ac:dyDescent="0.3">
      <c r="A2130" t="s">
        <v>32</v>
      </c>
      <c r="B2130" s="1">
        <v>45838</v>
      </c>
      <c r="C2130">
        <v>300005</v>
      </c>
      <c r="D2130">
        <v>59140.663999999997</v>
      </c>
      <c r="E2130" t="s">
        <v>4</v>
      </c>
      <c r="F2130" t="s">
        <v>65</v>
      </c>
      <c r="G2130" t="s">
        <v>7</v>
      </c>
    </row>
    <row r="2131" spans="1:7" x14ac:dyDescent="0.3">
      <c r="A2131" t="s">
        <v>32</v>
      </c>
      <c r="B2131" s="1">
        <v>45838</v>
      </c>
      <c r="C2131">
        <v>300008</v>
      </c>
      <c r="D2131">
        <v>218656.25200000001</v>
      </c>
      <c r="E2131" t="s">
        <v>4</v>
      </c>
      <c r="F2131" t="s">
        <v>65</v>
      </c>
      <c r="G2131" t="s">
        <v>7</v>
      </c>
    </row>
    <row r="2132" spans="1:7" x14ac:dyDescent="0.3">
      <c r="A2132" t="s">
        <v>32</v>
      </c>
      <c r="B2132" s="1">
        <v>45838</v>
      </c>
      <c r="C2132">
        <v>300009</v>
      </c>
      <c r="D2132">
        <v>4951.0280000000002</v>
      </c>
      <c r="E2132" t="s">
        <v>4</v>
      </c>
      <c r="F2132" t="s">
        <v>65</v>
      </c>
      <c r="G2132" t="s">
        <v>7</v>
      </c>
    </row>
    <row r="2133" spans="1:7" x14ac:dyDescent="0.3">
      <c r="A2133" t="s">
        <v>32</v>
      </c>
      <c r="B2133" s="1">
        <v>45838</v>
      </c>
      <c r="C2133">
        <v>300011</v>
      </c>
      <c r="D2133">
        <v>1054.307</v>
      </c>
      <c r="E2133" t="s">
        <v>4</v>
      </c>
      <c r="F2133" t="s">
        <v>65</v>
      </c>
      <c r="G2133" t="s">
        <v>7</v>
      </c>
    </row>
    <row r="2134" spans="1:7" x14ac:dyDescent="0.3">
      <c r="A2134" t="s">
        <v>32</v>
      </c>
      <c r="B2134" s="1">
        <v>45838</v>
      </c>
      <c r="C2134">
        <v>300012</v>
      </c>
      <c r="D2134">
        <v>55745.947</v>
      </c>
      <c r="E2134" t="s">
        <v>4</v>
      </c>
      <c r="F2134" t="s">
        <v>65</v>
      </c>
      <c r="G2134" t="s">
        <v>7</v>
      </c>
    </row>
    <row r="2135" spans="1:7" x14ac:dyDescent="0.3">
      <c r="A2135" t="s">
        <v>32</v>
      </c>
      <c r="B2135" s="1">
        <v>45838</v>
      </c>
      <c r="C2135">
        <v>300014</v>
      </c>
      <c r="D2135">
        <v>22400.561000000002</v>
      </c>
      <c r="E2135" t="s">
        <v>4</v>
      </c>
      <c r="F2135" t="s">
        <v>65</v>
      </c>
      <c r="G2135" t="s">
        <v>7</v>
      </c>
    </row>
    <row r="2136" spans="1:7" x14ac:dyDescent="0.3">
      <c r="A2136" t="s">
        <v>32</v>
      </c>
      <c r="B2136" s="1">
        <v>45838</v>
      </c>
      <c r="C2136">
        <v>300504</v>
      </c>
      <c r="D2136">
        <v>-12624.146000000001</v>
      </c>
      <c r="E2136" t="s">
        <v>4</v>
      </c>
      <c r="F2136" t="s">
        <v>65</v>
      </c>
      <c r="G2136" t="s">
        <v>7</v>
      </c>
    </row>
    <row r="2137" spans="1:7" x14ac:dyDescent="0.3">
      <c r="A2137" t="s">
        <v>32</v>
      </c>
      <c r="B2137" s="1">
        <v>45838</v>
      </c>
      <c r="C2137">
        <v>300505</v>
      </c>
      <c r="D2137">
        <v>-50223.09</v>
      </c>
      <c r="E2137" t="s">
        <v>4</v>
      </c>
      <c r="F2137" t="s">
        <v>65</v>
      </c>
      <c r="G2137" t="s">
        <v>7</v>
      </c>
    </row>
    <row r="2138" spans="1:7" x14ac:dyDescent="0.3">
      <c r="A2138" t="s">
        <v>32</v>
      </c>
      <c r="B2138" s="1">
        <v>45838</v>
      </c>
      <c r="C2138">
        <v>300508</v>
      </c>
      <c r="D2138">
        <v>-159824.19</v>
      </c>
      <c r="E2138" t="s">
        <v>4</v>
      </c>
      <c r="F2138" t="s">
        <v>65</v>
      </c>
      <c r="G2138" t="s">
        <v>7</v>
      </c>
    </row>
    <row r="2139" spans="1:7" x14ac:dyDescent="0.3">
      <c r="A2139" t="s">
        <v>32</v>
      </c>
      <c r="B2139" s="1">
        <v>45838</v>
      </c>
      <c r="C2139">
        <v>300509</v>
      </c>
      <c r="D2139">
        <v>-4930.7820000000002</v>
      </c>
      <c r="E2139" t="s">
        <v>4</v>
      </c>
      <c r="F2139" t="s">
        <v>65</v>
      </c>
      <c r="G2139" t="s">
        <v>7</v>
      </c>
    </row>
    <row r="2140" spans="1:7" x14ac:dyDescent="0.3">
      <c r="A2140" t="s">
        <v>32</v>
      </c>
      <c r="B2140" s="1">
        <v>45838</v>
      </c>
      <c r="C2140">
        <v>300511</v>
      </c>
      <c r="D2140">
        <v>-1039.779</v>
      </c>
      <c r="E2140" t="s">
        <v>4</v>
      </c>
      <c r="F2140" t="s">
        <v>65</v>
      </c>
      <c r="G2140" t="s">
        <v>7</v>
      </c>
    </row>
    <row r="2141" spans="1:7" x14ac:dyDescent="0.3">
      <c r="A2141" t="s">
        <v>32</v>
      </c>
      <c r="B2141" s="1">
        <v>45838</v>
      </c>
      <c r="C2141">
        <v>300512</v>
      </c>
      <c r="D2141">
        <v>-54132.156999999999</v>
      </c>
      <c r="E2141" t="s">
        <v>4</v>
      </c>
      <c r="F2141" t="s">
        <v>65</v>
      </c>
      <c r="G2141" t="s">
        <v>7</v>
      </c>
    </row>
    <row r="2142" spans="1:7" x14ac:dyDescent="0.3">
      <c r="A2142" t="s">
        <v>32</v>
      </c>
      <c r="B2142" s="1">
        <v>45838</v>
      </c>
      <c r="C2142">
        <v>300514</v>
      </c>
      <c r="D2142">
        <v>-21727.084999999999</v>
      </c>
      <c r="E2142" t="s">
        <v>4</v>
      </c>
      <c r="F2142" t="s">
        <v>65</v>
      </c>
      <c r="G2142" t="s">
        <v>7</v>
      </c>
    </row>
    <row r="2143" spans="1:7" x14ac:dyDescent="0.3">
      <c r="A2143" t="s">
        <v>32</v>
      </c>
      <c r="B2143" s="1">
        <v>45838</v>
      </c>
      <c r="C2143">
        <v>301002</v>
      </c>
      <c r="D2143">
        <v>37701.769</v>
      </c>
      <c r="E2143" t="s">
        <v>4</v>
      </c>
      <c r="F2143" t="s">
        <v>68</v>
      </c>
      <c r="G2143" t="s">
        <v>7</v>
      </c>
    </row>
    <row r="2144" spans="1:7" x14ac:dyDescent="0.3">
      <c r="A2144" t="s">
        <v>32</v>
      </c>
      <c r="B2144" s="1">
        <v>45838</v>
      </c>
      <c r="C2144">
        <v>301004</v>
      </c>
      <c r="D2144">
        <v>79066.210000000006</v>
      </c>
      <c r="E2144" t="s">
        <v>4</v>
      </c>
      <c r="F2144" t="s">
        <v>65</v>
      </c>
      <c r="G2144" t="s">
        <v>7</v>
      </c>
    </row>
    <row r="2145" spans="1:7" x14ac:dyDescent="0.3">
      <c r="A2145" t="s">
        <v>32</v>
      </c>
      <c r="B2145" s="1">
        <v>45838</v>
      </c>
      <c r="C2145">
        <v>301005</v>
      </c>
      <c r="D2145">
        <v>30644.989000000001</v>
      </c>
      <c r="E2145" t="s">
        <v>4</v>
      </c>
      <c r="F2145" t="s">
        <v>65</v>
      </c>
      <c r="G2145" t="s">
        <v>7</v>
      </c>
    </row>
    <row r="2146" spans="1:7" x14ac:dyDescent="0.3">
      <c r="A2146" t="s">
        <v>32</v>
      </c>
      <c r="B2146" s="1">
        <v>45838</v>
      </c>
      <c r="C2146">
        <v>301502</v>
      </c>
      <c r="D2146">
        <v>-37701.769</v>
      </c>
      <c r="E2146" t="s">
        <v>4</v>
      </c>
      <c r="F2146" t="s">
        <v>68</v>
      </c>
      <c r="G2146" t="s">
        <v>7</v>
      </c>
    </row>
    <row r="2147" spans="1:7" x14ac:dyDescent="0.3">
      <c r="A2147" t="s">
        <v>32</v>
      </c>
      <c r="B2147" s="1">
        <v>45838</v>
      </c>
      <c r="C2147">
        <v>301504</v>
      </c>
      <c r="D2147">
        <v>-79066.210000000006</v>
      </c>
      <c r="E2147" t="s">
        <v>4</v>
      </c>
      <c r="F2147" t="s">
        <v>65</v>
      </c>
      <c r="G2147" t="s">
        <v>7</v>
      </c>
    </row>
    <row r="2148" spans="1:7" x14ac:dyDescent="0.3">
      <c r="A2148" t="s">
        <v>32</v>
      </c>
      <c r="B2148" s="1">
        <v>45838</v>
      </c>
      <c r="C2148">
        <v>301505</v>
      </c>
      <c r="D2148">
        <v>-30644.989000000001</v>
      </c>
      <c r="E2148" t="s">
        <v>4</v>
      </c>
      <c r="F2148" t="s">
        <v>65</v>
      </c>
      <c r="G2148" t="s">
        <v>7</v>
      </c>
    </row>
    <row r="2149" spans="1:7" x14ac:dyDescent="0.3">
      <c r="A2149" t="s">
        <v>32</v>
      </c>
      <c r="B2149" s="1">
        <v>45838</v>
      </c>
      <c r="C2149">
        <v>303002</v>
      </c>
      <c r="D2149">
        <v>6475.5190000000002</v>
      </c>
      <c r="E2149" t="s">
        <v>4</v>
      </c>
      <c r="F2149" t="s">
        <v>65</v>
      </c>
      <c r="G2149" t="s">
        <v>7</v>
      </c>
    </row>
    <row r="2150" spans="1:7" x14ac:dyDescent="0.3">
      <c r="A2150" t="s">
        <v>32</v>
      </c>
      <c r="B2150" s="1">
        <v>45838</v>
      </c>
      <c r="C2150">
        <v>303004</v>
      </c>
      <c r="D2150">
        <v>0</v>
      </c>
      <c r="E2150" t="s">
        <v>4</v>
      </c>
      <c r="F2150" t="s">
        <v>65</v>
      </c>
      <c r="G2150" t="s">
        <v>7</v>
      </c>
    </row>
    <row r="2151" spans="1:7" x14ac:dyDescent="0.3">
      <c r="A2151" t="s">
        <v>32</v>
      </c>
      <c r="B2151" s="1">
        <v>45838</v>
      </c>
      <c r="C2151">
        <v>304002</v>
      </c>
      <c r="D2151">
        <v>323556.19799999997</v>
      </c>
      <c r="E2151" t="s">
        <v>4</v>
      </c>
      <c r="F2151" t="s">
        <v>65</v>
      </c>
      <c r="G2151" t="s">
        <v>7</v>
      </c>
    </row>
    <row r="2152" spans="1:7" x14ac:dyDescent="0.3">
      <c r="A2152" t="s">
        <v>32</v>
      </c>
      <c r="B2152" s="1">
        <v>45838</v>
      </c>
      <c r="C2152">
        <v>304502</v>
      </c>
      <c r="D2152">
        <v>-134066.95699999999</v>
      </c>
      <c r="E2152" t="s">
        <v>4</v>
      </c>
      <c r="F2152" t="s">
        <v>65</v>
      </c>
      <c r="G2152" t="s">
        <v>7</v>
      </c>
    </row>
    <row r="2153" spans="1:7" x14ac:dyDescent="0.3">
      <c r="A2153" t="s">
        <v>32</v>
      </c>
      <c r="B2153" s="1">
        <v>45838</v>
      </c>
      <c r="C2153">
        <v>310010</v>
      </c>
      <c r="D2153">
        <v>4663377.193</v>
      </c>
      <c r="E2153" t="s">
        <v>4</v>
      </c>
      <c r="F2153" t="s">
        <v>42</v>
      </c>
      <c r="G2153" t="s">
        <v>7</v>
      </c>
    </row>
    <row r="2154" spans="1:7" x14ac:dyDescent="0.3">
      <c r="A2154" t="s">
        <v>32</v>
      </c>
      <c r="B2154" s="1">
        <v>45838</v>
      </c>
      <c r="C2154">
        <v>310021</v>
      </c>
      <c r="D2154">
        <v>179931.09400000001</v>
      </c>
      <c r="E2154" t="s">
        <v>4</v>
      </c>
      <c r="F2154" t="s">
        <v>42</v>
      </c>
      <c r="G2154" t="s">
        <v>7</v>
      </c>
    </row>
    <row r="2155" spans="1:7" x14ac:dyDescent="0.3">
      <c r="A2155" t="s">
        <v>32</v>
      </c>
      <c r="B2155" s="1">
        <v>45838</v>
      </c>
      <c r="C2155">
        <v>310032</v>
      </c>
      <c r="D2155">
        <v>303.06400000000002</v>
      </c>
      <c r="E2155" t="s">
        <v>4</v>
      </c>
      <c r="F2155" t="s">
        <v>42</v>
      </c>
      <c r="G2155" t="s">
        <v>7</v>
      </c>
    </row>
    <row r="2156" spans="1:7" x14ac:dyDescent="0.3">
      <c r="A2156" t="s">
        <v>32</v>
      </c>
      <c r="B2156" s="1">
        <v>45838</v>
      </c>
      <c r="C2156">
        <v>320002</v>
      </c>
      <c r="D2156">
        <v>169560.821</v>
      </c>
      <c r="E2156" t="s">
        <v>4</v>
      </c>
      <c r="F2156" t="s">
        <v>46</v>
      </c>
      <c r="G2156" t="s">
        <v>7</v>
      </c>
    </row>
    <row r="2157" spans="1:7" x14ac:dyDescent="0.3">
      <c r="A2157" t="s">
        <v>32</v>
      </c>
      <c r="B2157" s="1">
        <v>45838</v>
      </c>
      <c r="C2157">
        <v>320003</v>
      </c>
      <c r="D2157">
        <v>4439287.4649999999</v>
      </c>
      <c r="E2157" t="s">
        <v>4</v>
      </c>
      <c r="F2157" t="s">
        <v>46</v>
      </c>
      <c r="G2157" t="s">
        <v>7</v>
      </c>
    </row>
    <row r="2158" spans="1:7" x14ac:dyDescent="0.3">
      <c r="A2158" t="s">
        <v>32</v>
      </c>
      <c r="B2158" s="1">
        <v>45838</v>
      </c>
      <c r="C2158">
        <v>320013</v>
      </c>
      <c r="D2158">
        <v>36483.872000000003</v>
      </c>
      <c r="E2158" t="s">
        <v>4</v>
      </c>
      <c r="F2158" t="s">
        <v>46</v>
      </c>
      <c r="G2158" t="s">
        <v>7</v>
      </c>
    </row>
    <row r="2159" spans="1:7" x14ac:dyDescent="0.3">
      <c r="A2159" t="s">
        <v>32</v>
      </c>
      <c r="B2159" s="1">
        <v>45838</v>
      </c>
      <c r="C2159">
        <v>320023</v>
      </c>
      <c r="D2159">
        <v>-81322.434999999998</v>
      </c>
      <c r="E2159" t="s">
        <v>4</v>
      </c>
      <c r="F2159" t="s">
        <v>46</v>
      </c>
      <c r="G2159" t="s">
        <v>7</v>
      </c>
    </row>
    <row r="2160" spans="1:7" x14ac:dyDescent="0.3">
      <c r="A2160" t="s">
        <v>32</v>
      </c>
      <c r="B2160" s="1">
        <v>45838</v>
      </c>
      <c r="C2160">
        <v>320024</v>
      </c>
      <c r="D2160">
        <v>0</v>
      </c>
      <c r="E2160" t="s">
        <v>4</v>
      </c>
      <c r="F2160" t="s">
        <v>46</v>
      </c>
      <c r="G2160" t="s">
        <v>7</v>
      </c>
    </row>
    <row r="2161" spans="1:7" x14ac:dyDescent="0.3">
      <c r="A2161" t="s">
        <v>32</v>
      </c>
      <c r="B2161" s="1">
        <v>45838</v>
      </c>
      <c r="C2161">
        <v>321004</v>
      </c>
      <c r="D2161">
        <v>279.93700000000001</v>
      </c>
      <c r="E2161" t="s">
        <v>4</v>
      </c>
      <c r="F2161" t="s">
        <v>46</v>
      </c>
      <c r="G2161" t="s">
        <v>7</v>
      </c>
    </row>
    <row r="2162" spans="1:7" x14ac:dyDescent="0.3">
      <c r="A2162" t="s">
        <v>32</v>
      </c>
      <c r="B2162" s="1">
        <v>45838</v>
      </c>
      <c r="C2162">
        <v>321010</v>
      </c>
      <c r="D2162">
        <v>253.34700000000001</v>
      </c>
      <c r="E2162" t="s">
        <v>4</v>
      </c>
      <c r="F2162" t="s">
        <v>46</v>
      </c>
      <c r="G2162" t="s">
        <v>7</v>
      </c>
    </row>
    <row r="2163" spans="1:7" x14ac:dyDescent="0.3">
      <c r="A2163" t="s">
        <v>32</v>
      </c>
      <c r="B2163" s="1">
        <v>45838</v>
      </c>
      <c r="C2163">
        <v>321012</v>
      </c>
      <c r="D2163">
        <v>450229.29200000002</v>
      </c>
      <c r="E2163" t="s">
        <v>4</v>
      </c>
      <c r="F2163" t="s">
        <v>46</v>
      </c>
      <c r="G2163" t="s">
        <v>7</v>
      </c>
    </row>
    <row r="2164" spans="1:7" x14ac:dyDescent="0.3">
      <c r="A2164" t="s">
        <v>32</v>
      </c>
      <c r="B2164" s="1">
        <v>45838</v>
      </c>
      <c r="C2164">
        <v>321013</v>
      </c>
      <c r="D2164">
        <v>27026.971000000001</v>
      </c>
      <c r="E2164" t="s">
        <v>4</v>
      </c>
      <c r="F2164" t="s">
        <v>46</v>
      </c>
      <c r="G2164" t="s">
        <v>7</v>
      </c>
    </row>
    <row r="2165" spans="1:7" x14ac:dyDescent="0.3">
      <c r="A2165" t="s">
        <v>32</v>
      </c>
      <c r="B2165" s="1">
        <v>45838</v>
      </c>
      <c r="C2165">
        <v>321014</v>
      </c>
      <c r="D2165">
        <v>32361.896000000001</v>
      </c>
      <c r="E2165" t="s">
        <v>4</v>
      </c>
      <c r="F2165" t="s">
        <v>46</v>
      </c>
      <c r="G2165" t="s">
        <v>7</v>
      </c>
    </row>
    <row r="2166" spans="1:7" x14ac:dyDescent="0.3">
      <c r="A2166" t="s">
        <v>32</v>
      </c>
      <c r="B2166" s="1">
        <v>45838</v>
      </c>
      <c r="C2166">
        <v>321021</v>
      </c>
      <c r="D2166">
        <v>-210.5</v>
      </c>
      <c r="E2166" t="s">
        <v>4</v>
      </c>
      <c r="F2166" t="s">
        <v>46</v>
      </c>
      <c r="G2166" t="s">
        <v>7</v>
      </c>
    </row>
    <row r="2167" spans="1:7" x14ac:dyDescent="0.3">
      <c r="A2167" t="s">
        <v>32</v>
      </c>
      <c r="B2167" s="1">
        <v>45838</v>
      </c>
      <c r="C2167">
        <v>321025</v>
      </c>
      <c r="D2167">
        <v>136304.63200000001</v>
      </c>
      <c r="E2167" t="s">
        <v>4</v>
      </c>
      <c r="F2167" t="s">
        <v>46</v>
      </c>
      <c r="G2167" t="s">
        <v>7</v>
      </c>
    </row>
    <row r="2168" spans="1:7" x14ac:dyDescent="0.3">
      <c r="A2168" t="s">
        <v>32</v>
      </c>
      <c r="B2168" s="1">
        <v>45838</v>
      </c>
      <c r="C2168">
        <v>321029</v>
      </c>
      <c r="D2168">
        <v>101983.90399999999</v>
      </c>
      <c r="E2168" t="s">
        <v>4</v>
      </c>
      <c r="F2168" t="s">
        <v>46</v>
      </c>
      <c r="G2168" t="s">
        <v>7</v>
      </c>
    </row>
    <row r="2169" spans="1:7" x14ac:dyDescent="0.3">
      <c r="A2169" t="s">
        <v>32</v>
      </c>
      <c r="B2169" s="1">
        <v>45838</v>
      </c>
      <c r="C2169">
        <v>321030</v>
      </c>
      <c r="D2169">
        <v>998.96600000000001</v>
      </c>
      <c r="E2169" t="s">
        <v>4</v>
      </c>
      <c r="F2169" t="s">
        <v>46</v>
      </c>
      <c r="G2169" t="s">
        <v>7</v>
      </c>
    </row>
    <row r="2170" spans="1:7" x14ac:dyDescent="0.3">
      <c r="A2170" t="s">
        <v>32</v>
      </c>
      <c r="B2170" s="1">
        <v>45838</v>
      </c>
      <c r="C2170">
        <v>321031</v>
      </c>
      <c r="D2170">
        <v>41002.222999999998</v>
      </c>
      <c r="E2170" t="s">
        <v>4</v>
      </c>
      <c r="F2170" t="s">
        <v>46</v>
      </c>
      <c r="G2170" t="s">
        <v>7</v>
      </c>
    </row>
    <row r="2171" spans="1:7" x14ac:dyDescent="0.3">
      <c r="A2171" t="s">
        <v>32</v>
      </c>
      <c r="B2171" s="1">
        <v>45838</v>
      </c>
      <c r="C2171">
        <v>321036</v>
      </c>
      <c r="D2171">
        <v>199.27199999999999</v>
      </c>
      <c r="E2171" t="s">
        <v>4</v>
      </c>
      <c r="F2171" t="s">
        <v>46</v>
      </c>
      <c r="G2171" t="s">
        <v>7</v>
      </c>
    </row>
    <row r="2172" spans="1:7" x14ac:dyDescent="0.3">
      <c r="A2172" t="s">
        <v>32</v>
      </c>
      <c r="B2172" s="1">
        <v>45838</v>
      </c>
      <c r="C2172">
        <v>321041</v>
      </c>
      <c r="D2172">
        <v>17308.871999999999</v>
      </c>
      <c r="E2172" t="s">
        <v>4</v>
      </c>
      <c r="F2172" t="s">
        <v>46</v>
      </c>
      <c r="G2172" t="s">
        <v>7</v>
      </c>
    </row>
    <row r="2173" spans="1:7" x14ac:dyDescent="0.3">
      <c r="A2173" t="s">
        <v>32</v>
      </c>
      <c r="B2173" s="1">
        <v>45838</v>
      </c>
      <c r="C2173">
        <v>321042</v>
      </c>
      <c r="D2173">
        <v>-33.994</v>
      </c>
      <c r="E2173" t="s">
        <v>4</v>
      </c>
      <c r="F2173" t="s">
        <v>46</v>
      </c>
      <c r="G2173" t="s">
        <v>7</v>
      </c>
    </row>
    <row r="2174" spans="1:7" x14ac:dyDescent="0.3">
      <c r="A2174" t="s">
        <v>32</v>
      </c>
      <c r="B2174" s="1">
        <v>45838</v>
      </c>
      <c r="C2174">
        <v>330002</v>
      </c>
      <c r="D2174">
        <v>-12799.5</v>
      </c>
      <c r="E2174" t="s">
        <v>4</v>
      </c>
      <c r="F2174" t="s">
        <v>43</v>
      </c>
      <c r="G2174" t="s">
        <v>7</v>
      </c>
    </row>
    <row r="2175" spans="1:7" x14ac:dyDescent="0.3">
      <c r="A2175" t="s">
        <v>32</v>
      </c>
      <c r="B2175" s="1">
        <v>45838</v>
      </c>
      <c r="C2175">
        <v>330034</v>
      </c>
      <c r="D2175">
        <v>353.27</v>
      </c>
      <c r="E2175" t="s">
        <v>4</v>
      </c>
      <c r="F2175" t="s">
        <v>43</v>
      </c>
      <c r="G2175" t="s">
        <v>7</v>
      </c>
    </row>
    <row r="2176" spans="1:7" x14ac:dyDescent="0.3">
      <c r="A2176" t="s">
        <v>32</v>
      </c>
      <c r="B2176" s="1">
        <v>45838</v>
      </c>
      <c r="C2176">
        <v>330040</v>
      </c>
      <c r="D2176">
        <v>-2915.741</v>
      </c>
      <c r="E2176" t="s">
        <v>4</v>
      </c>
      <c r="F2176" t="s">
        <v>43</v>
      </c>
      <c r="G2176" t="s">
        <v>7</v>
      </c>
    </row>
    <row r="2177" spans="1:7" x14ac:dyDescent="0.3">
      <c r="A2177" t="s">
        <v>32</v>
      </c>
      <c r="B2177" s="1">
        <v>45838</v>
      </c>
      <c r="C2177">
        <v>330061</v>
      </c>
      <c r="D2177">
        <v>0</v>
      </c>
      <c r="E2177" t="s">
        <v>4</v>
      </c>
      <c r="F2177" t="s">
        <v>43</v>
      </c>
      <c r="G2177" t="s">
        <v>7</v>
      </c>
    </row>
    <row r="2178" spans="1:7" x14ac:dyDescent="0.3">
      <c r="A2178" t="s">
        <v>32</v>
      </c>
      <c r="B2178" s="1">
        <v>45838</v>
      </c>
      <c r="C2178">
        <v>330115</v>
      </c>
      <c r="D2178">
        <v>-15106.165000000001</v>
      </c>
      <c r="E2178" t="s">
        <v>4</v>
      </c>
      <c r="F2178" t="s">
        <v>43</v>
      </c>
      <c r="G2178" t="s">
        <v>7</v>
      </c>
    </row>
    <row r="2179" spans="1:7" x14ac:dyDescent="0.3">
      <c r="A2179" t="s">
        <v>32</v>
      </c>
      <c r="B2179" s="1">
        <v>45838</v>
      </c>
      <c r="C2179">
        <v>330120</v>
      </c>
      <c r="D2179">
        <v>0</v>
      </c>
      <c r="E2179" t="s">
        <v>4</v>
      </c>
      <c r="F2179" t="s">
        <v>43</v>
      </c>
      <c r="G2179" t="s">
        <v>7</v>
      </c>
    </row>
    <row r="2180" spans="1:7" x14ac:dyDescent="0.3">
      <c r="A2180" t="s">
        <v>32</v>
      </c>
      <c r="B2180" s="1">
        <v>45838</v>
      </c>
      <c r="C2180">
        <v>340003</v>
      </c>
      <c r="D2180">
        <v>5003.7979999999998</v>
      </c>
      <c r="E2180" t="s">
        <v>4</v>
      </c>
      <c r="F2180" t="s">
        <v>47</v>
      </c>
      <c r="G2180" t="s">
        <v>7</v>
      </c>
    </row>
    <row r="2181" spans="1:7" x14ac:dyDescent="0.3">
      <c r="A2181" t="s">
        <v>32</v>
      </c>
      <c r="B2181" s="1">
        <v>45838</v>
      </c>
      <c r="C2181">
        <v>340053</v>
      </c>
      <c r="D2181">
        <v>2838691.4270000001</v>
      </c>
      <c r="E2181" t="s">
        <v>4</v>
      </c>
      <c r="F2181" t="s">
        <v>47</v>
      </c>
      <c r="G2181" t="s">
        <v>7</v>
      </c>
    </row>
    <row r="2182" spans="1:7" x14ac:dyDescent="0.3">
      <c r="A2182" t="s">
        <v>32</v>
      </c>
      <c r="B2182" s="1">
        <v>45838</v>
      </c>
      <c r="C2182">
        <v>340054</v>
      </c>
      <c r="D2182">
        <v>-2826451.216</v>
      </c>
      <c r="E2182" t="s">
        <v>4</v>
      </c>
      <c r="F2182" t="s">
        <v>47</v>
      </c>
      <c r="G2182" t="s">
        <v>7</v>
      </c>
    </row>
    <row r="2183" spans="1:7" x14ac:dyDescent="0.3">
      <c r="A2183" t="s">
        <v>32</v>
      </c>
      <c r="B2183" s="1">
        <v>45838</v>
      </c>
      <c r="C2183">
        <v>340102</v>
      </c>
      <c r="D2183">
        <v>496020.26799999998</v>
      </c>
      <c r="E2183" t="s">
        <v>4</v>
      </c>
      <c r="F2183" t="s">
        <v>47</v>
      </c>
      <c r="G2183" t="s">
        <v>7</v>
      </c>
    </row>
    <row r="2184" spans="1:7" x14ac:dyDescent="0.3">
      <c r="A2184" t="s">
        <v>32</v>
      </c>
      <c r="B2184" s="1">
        <v>45838</v>
      </c>
      <c r="C2184">
        <v>340103</v>
      </c>
      <c r="D2184">
        <v>91518601.978</v>
      </c>
      <c r="E2184" t="s">
        <v>4</v>
      </c>
      <c r="F2184" t="s">
        <v>47</v>
      </c>
      <c r="G2184" t="s">
        <v>7</v>
      </c>
    </row>
    <row r="2185" spans="1:7" x14ac:dyDescent="0.3">
      <c r="A2185" t="s">
        <v>32</v>
      </c>
      <c r="B2185" s="1">
        <v>45838</v>
      </c>
      <c r="C2185">
        <v>340104</v>
      </c>
      <c r="D2185">
        <v>-91663031.022</v>
      </c>
      <c r="E2185" t="s">
        <v>4</v>
      </c>
      <c r="F2185" t="s">
        <v>47</v>
      </c>
      <c r="G2185" t="s">
        <v>7</v>
      </c>
    </row>
    <row r="2186" spans="1:7" x14ac:dyDescent="0.3">
      <c r="A2186" t="s">
        <v>32</v>
      </c>
      <c r="B2186" s="1">
        <v>45838</v>
      </c>
      <c r="C2186">
        <v>345019</v>
      </c>
      <c r="D2186">
        <v>50189.627999999997</v>
      </c>
      <c r="E2186" t="s">
        <v>4</v>
      </c>
      <c r="F2186" t="s">
        <v>47</v>
      </c>
      <c r="G2186" t="s">
        <v>7</v>
      </c>
    </row>
    <row r="2187" spans="1:7" x14ac:dyDescent="0.3">
      <c r="A2187" t="s">
        <v>32</v>
      </c>
      <c r="B2187" s="1">
        <v>45838</v>
      </c>
      <c r="C2187">
        <v>345020</v>
      </c>
      <c r="D2187">
        <v>5195797.8439999996</v>
      </c>
      <c r="E2187" t="s">
        <v>4</v>
      </c>
      <c r="F2187" t="s">
        <v>47</v>
      </c>
      <c r="G2187" t="s">
        <v>7</v>
      </c>
    </row>
    <row r="2188" spans="1:7" x14ac:dyDescent="0.3">
      <c r="A2188" t="s">
        <v>32</v>
      </c>
      <c r="B2188" s="1">
        <v>45838</v>
      </c>
      <c r="C2188">
        <v>345021</v>
      </c>
      <c r="D2188">
        <v>-4265986.0870000003</v>
      </c>
      <c r="E2188" t="s">
        <v>4</v>
      </c>
      <c r="F2188" t="s">
        <v>47</v>
      </c>
      <c r="G2188" t="s">
        <v>7</v>
      </c>
    </row>
    <row r="2189" spans="1:7" x14ac:dyDescent="0.3">
      <c r="A2189" t="s">
        <v>32</v>
      </c>
      <c r="B2189" s="1">
        <v>45838</v>
      </c>
      <c r="C2189">
        <v>345022</v>
      </c>
      <c r="D2189">
        <v>12089.111000000001</v>
      </c>
      <c r="E2189" t="s">
        <v>4</v>
      </c>
      <c r="F2189" t="s">
        <v>47</v>
      </c>
      <c r="G2189" t="s">
        <v>7</v>
      </c>
    </row>
    <row r="2190" spans="1:7" x14ac:dyDescent="0.3">
      <c r="A2190" t="s">
        <v>32</v>
      </c>
      <c r="B2190" s="1">
        <v>45838</v>
      </c>
      <c r="C2190">
        <v>350002</v>
      </c>
      <c r="D2190">
        <v>4566.5349999999999</v>
      </c>
      <c r="E2190" t="s">
        <v>4</v>
      </c>
      <c r="F2190" t="s">
        <v>49</v>
      </c>
      <c r="G2190" t="s">
        <v>7</v>
      </c>
    </row>
    <row r="2191" spans="1:7" x14ac:dyDescent="0.3">
      <c r="A2191" t="s">
        <v>32</v>
      </c>
      <c r="B2191" s="1">
        <v>45838</v>
      </c>
      <c r="C2191">
        <v>350003</v>
      </c>
      <c r="D2191">
        <v>-1454.1969999999999</v>
      </c>
      <c r="E2191" t="s">
        <v>4</v>
      </c>
      <c r="F2191" t="s">
        <v>49</v>
      </c>
      <c r="G2191" t="s">
        <v>7</v>
      </c>
    </row>
    <row r="2192" spans="1:7" x14ac:dyDescent="0.3">
      <c r="A2192" t="s">
        <v>32</v>
      </c>
      <c r="B2192" s="1">
        <v>45838</v>
      </c>
      <c r="C2192">
        <v>350007</v>
      </c>
      <c r="D2192">
        <v>-15.523</v>
      </c>
      <c r="E2192" t="s">
        <v>4</v>
      </c>
      <c r="F2192" t="s">
        <v>49</v>
      </c>
      <c r="G2192" t="s">
        <v>7</v>
      </c>
    </row>
    <row r="2193" spans="1:7" x14ac:dyDescent="0.3">
      <c r="A2193" t="s">
        <v>32</v>
      </c>
      <c r="B2193" s="1">
        <v>45838</v>
      </c>
      <c r="C2193">
        <v>350031</v>
      </c>
      <c r="D2193">
        <v>51513.197999999997</v>
      </c>
      <c r="E2193" t="s">
        <v>4</v>
      </c>
      <c r="F2193" t="s">
        <v>43</v>
      </c>
      <c r="G2193" t="s">
        <v>7</v>
      </c>
    </row>
    <row r="2194" spans="1:7" x14ac:dyDescent="0.3">
      <c r="A2194" t="s">
        <v>32</v>
      </c>
      <c r="B2194" s="1">
        <v>45838</v>
      </c>
      <c r="C2194">
        <v>350034</v>
      </c>
      <c r="D2194">
        <v>7617.2449999999999</v>
      </c>
      <c r="E2194" t="s">
        <v>4</v>
      </c>
      <c r="F2194" t="s">
        <v>49</v>
      </c>
      <c r="G2194" t="s">
        <v>7</v>
      </c>
    </row>
    <row r="2195" spans="1:7" x14ac:dyDescent="0.3">
      <c r="A2195" t="s">
        <v>32</v>
      </c>
      <c r="B2195" s="1">
        <v>45838</v>
      </c>
      <c r="C2195">
        <v>351004</v>
      </c>
      <c r="D2195">
        <v>4952.99</v>
      </c>
      <c r="E2195" t="s">
        <v>4</v>
      </c>
      <c r="F2195" t="s">
        <v>45</v>
      </c>
      <c r="G2195" t="s">
        <v>7</v>
      </c>
    </row>
    <row r="2196" spans="1:7" x14ac:dyDescent="0.3">
      <c r="A2196" t="s">
        <v>32</v>
      </c>
      <c r="B2196" s="1">
        <v>45838</v>
      </c>
      <c r="C2196">
        <v>352002</v>
      </c>
      <c r="D2196">
        <v>1612.893</v>
      </c>
      <c r="E2196" t="s">
        <v>4</v>
      </c>
      <c r="F2196" t="s">
        <v>48</v>
      </c>
      <c r="G2196" t="s">
        <v>7</v>
      </c>
    </row>
    <row r="2197" spans="1:7" x14ac:dyDescent="0.3">
      <c r="A2197" t="s">
        <v>32</v>
      </c>
      <c r="B2197" s="1">
        <v>45838</v>
      </c>
      <c r="C2197">
        <v>352006</v>
      </c>
      <c r="D2197">
        <v>-3.19</v>
      </c>
      <c r="E2197" t="s">
        <v>4</v>
      </c>
      <c r="F2197" t="s">
        <v>48</v>
      </c>
      <c r="G2197" t="s">
        <v>7</v>
      </c>
    </row>
    <row r="2198" spans="1:7" x14ac:dyDescent="0.3">
      <c r="A2198" t="s">
        <v>32</v>
      </c>
      <c r="B2198" s="1">
        <v>45838</v>
      </c>
      <c r="C2198">
        <v>354003</v>
      </c>
      <c r="D2198">
        <v>0</v>
      </c>
      <c r="E2198" t="s">
        <v>4</v>
      </c>
      <c r="F2198" t="s">
        <v>46</v>
      </c>
      <c r="G2198" t="s">
        <v>7</v>
      </c>
    </row>
    <row r="2199" spans="1:7" x14ac:dyDescent="0.3">
      <c r="A2199" t="s">
        <v>32</v>
      </c>
      <c r="B2199" s="1">
        <v>45838</v>
      </c>
      <c r="C2199">
        <v>354004</v>
      </c>
      <c r="D2199">
        <v>0</v>
      </c>
      <c r="E2199" t="s">
        <v>4</v>
      </c>
      <c r="F2199" t="s">
        <v>46</v>
      </c>
      <c r="G2199" t="s">
        <v>7</v>
      </c>
    </row>
    <row r="2200" spans="1:7" x14ac:dyDescent="0.3">
      <c r="A2200" t="s">
        <v>32</v>
      </c>
      <c r="B2200" s="1">
        <v>45838</v>
      </c>
      <c r="C2200">
        <v>354005</v>
      </c>
      <c r="D2200">
        <v>0</v>
      </c>
      <c r="E2200" t="s">
        <v>4</v>
      </c>
      <c r="F2200" t="s">
        <v>46</v>
      </c>
      <c r="G2200" t="s">
        <v>7</v>
      </c>
    </row>
    <row r="2201" spans="1:7" x14ac:dyDescent="0.3">
      <c r="A2201" t="s">
        <v>32</v>
      </c>
      <c r="B2201" s="1">
        <v>45838</v>
      </c>
      <c r="C2201">
        <v>354006</v>
      </c>
      <c r="D2201">
        <v>0</v>
      </c>
      <c r="E2201" t="s">
        <v>4</v>
      </c>
      <c r="F2201" t="s">
        <v>46</v>
      </c>
      <c r="G2201" t="s">
        <v>7</v>
      </c>
    </row>
    <row r="2202" spans="1:7" x14ac:dyDescent="0.3">
      <c r="A2202" t="s">
        <v>32</v>
      </c>
      <c r="B2202" s="1">
        <v>45838</v>
      </c>
      <c r="C2202">
        <v>354011</v>
      </c>
      <c r="D2202">
        <v>0</v>
      </c>
      <c r="E2202" t="s">
        <v>4</v>
      </c>
      <c r="F2202" t="s">
        <v>46</v>
      </c>
      <c r="G2202" t="s">
        <v>7</v>
      </c>
    </row>
    <row r="2203" spans="1:7" x14ac:dyDescent="0.3">
      <c r="A2203" t="s">
        <v>32</v>
      </c>
      <c r="B2203" s="1">
        <v>45838</v>
      </c>
      <c r="C2203">
        <v>354012</v>
      </c>
      <c r="D2203">
        <v>2727818.4130000002</v>
      </c>
      <c r="E2203" t="s">
        <v>4</v>
      </c>
      <c r="F2203" t="s">
        <v>46</v>
      </c>
      <c r="G2203" t="s">
        <v>7</v>
      </c>
    </row>
    <row r="2204" spans="1:7" x14ac:dyDescent="0.3">
      <c r="A2204" t="s">
        <v>32</v>
      </c>
      <c r="B2204" s="1">
        <v>45838</v>
      </c>
      <c r="C2204">
        <v>354013</v>
      </c>
      <c r="D2204">
        <v>50993.627999999997</v>
      </c>
      <c r="E2204" t="s">
        <v>4</v>
      </c>
      <c r="F2204" t="s">
        <v>46</v>
      </c>
      <c r="G2204" t="s">
        <v>7</v>
      </c>
    </row>
    <row r="2205" spans="1:7" x14ac:dyDescent="0.3">
      <c r="A2205" t="s">
        <v>32</v>
      </c>
      <c r="B2205" s="1">
        <v>45838</v>
      </c>
      <c r="C2205">
        <v>354014</v>
      </c>
      <c r="D2205">
        <v>547921.24199999997</v>
      </c>
      <c r="E2205" t="s">
        <v>4</v>
      </c>
      <c r="F2205" t="s">
        <v>46</v>
      </c>
      <c r="G2205" t="s">
        <v>7</v>
      </c>
    </row>
    <row r="2206" spans="1:7" x14ac:dyDescent="0.3">
      <c r="A2206" t="s">
        <v>32</v>
      </c>
      <c r="B2206" s="1">
        <v>45838</v>
      </c>
      <c r="C2206">
        <v>354015</v>
      </c>
      <c r="D2206">
        <v>16502.007000000001</v>
      </c>
      <c r="E2206" t="s">
        <v>4</v>
      </c>
      <c r="F2206" t="s">
        <v>46</v>
      </c>
      <c r="G2206" t="s">
        <v>7</v>
      </c>
    </row>
    <row r="2207" spans="1:7" x14ac:dyDescent="0.3">
      <c r="A2207" t="s">
        <v>32</v>
      </c>
      <c r="B2207" s="1">
        <v>45838</v>
      </c>
      <c r="C2207">
        <v>355002</v>
      </c>
      <c r="D2207">
        <v>13044.134</v>
      </c>
      <c r="E2207" t="s">
        <v>4</v>
      </c>
      <c r="F2207" t="s">
        <v>49</v>
      </c>
      <c r="G2207" t="s">
        <v>7</v>
      </c>
    </row>
    <row r="2208" spans="1:7" x14ac:dyDescent="0.3">
      <c r="A2208" t="s">
        <v>32</v>
      </c>
      <c r="B2208" s="1">
        <v>45838</v>
      </c>
      <c r="C2208">
        <v>355013</v>
      </c>
      <c r="D2208">
        <v>231289.734</v>
      </c>
      <c r="E2208" t="s">
        <v>4</v>
      </c>
      <c r="F2208" t="s">
        <v>49</v>
      </c>
      <c r="G2208" t="s">
        <v>7</v>
      </c>
    </row>
    <row r="2209" spans="1:7" x14ac:dyDescent="0.3">
      <c r="A2209" t="s">
        <v>32</v>
      </c>
      <c r="B2209" s="1">
        <v>45838</v>
      </c>
      <c r="C2209">
        <v>355014</v>
      </c>
      <c r="D2209">
        <v>98315.501000000004</v>
      </c>
      <c r="E2209" t="s">
        <v>4</v>
      </c>
      <c r="F2209" t="s">
        <v>49</v>
      </c>
      <c r="G2209" t="s">
        <v>7</v>
      </c>
    </row>
    <row r="2210" spans="1:7" x14ac:dyDescent="0.3">
      <c r="A2210" t="s">
        <v>32</v>
      </c>
      <c r="B2210" s="1">
        <v>45838</v>
      </c>
      <c r="C2210">
        <v>360019</v>
      </c>
      <c r="D2210">
        <v>0</v>
      </c>
      <c r="E2210" t="s">
        <v>4</v>
      </c>
      <c r="F2210" t="s">
        <v>58</v>
      </c>
      <c r="G2210" t="s">
        <v>7</v>
      </c>
    </row>
    <row r="2211" spans="1:7" x14ac:dyDescent="0.3">
      <c r="A2211" t="s">
        <v>32</v>
      </c>
      <c r="B2211" s="1">
        <v>45838</v>
      </c>
      <c r="C2211">
        <v>360021</v>
      </c>
      <c r="D2211">
        <v>-53.978999999999999</v>
      </c>
      <c r="E2211" t="s">
        <v>4</v>
      </c>
      <c r="F2211" t="s">
        <v>45</v>
      </c>
      <c r="G2211" t="s">
        <v>7</v>
      </c>
    </row>
    <row r="2212" spans="1:7" x14ac:dyDescent="0.3">
      <c r="A2212" t="s">
        <v>32</v>
      </c>
      <c r="B2212" s="1">
        <v>45838</v>
      </c>
      <c r="C2212">
        <v>360022</v>
      </c>
      <c r="D2212">
        <v>0</v>
      </c>
      <c r="E2212" t="s">
        <v>4</v>
      </c>
      <c r="F2212" t="s">
        <v>58</v>
      </c>
      <c r="G2212" t="s">
        <v>7</v>
      </c>
    </row>
    <row r="2213" spans="1:7" x14ac:dyDescent="0.3">
      <c r="A2213" t="s">
        <v>32</v>
      </c>
      <c r="B2213" s="1">
        <v>45838</v>
      </c>
      <c r="C2213">
        <v>360026</v>
      </c>
      <c r="D2213">
        <v>252096.31099999999</v>
      </c>
      <c r="E2213" t="s">
        <v>4</v>
      </c>
      <c r="F2213" t="s">
        <v>58</v>
      </c>
      <c r="G2213" t="s">
        <v>7</v>
      </c>
    </row>
    <row r="2214" spans="1:7" x14ac:dyDescent="0.3">
      <c r="A2214" t="s">
        <v>32</v>
      </c>
      <c r="B2214" s="1">
        <v>45838</v>
      </c>
      <c r="C2214">
        <v>360028</v>
      </c>
      <c r="D2214">
        <v>115487.101</v>
      </c>
      <c r="E2214" t="s">
        <v>4</v>
      </c>
      <c r="F2214" t="s">
        <v>58</v>
      </c>
      <c r="G2214" t="s">
        <v>7</v>
      </c>
    </row>
    <row r="2215" spans="1:7" x14ac:dyDescent="0.3">
      <c r="A2215" t="s">
        <v>32</v>
      </c>
      <c r="B2215" s="1">
        <v>45838</v>
      </c>
      <c r="C2215">
        <v>360030</v>
      </c>
      <c r="D2215">
        <v>72608.929000000004</v>
      </c>
      <c r="E2215" t="s">
        <v>4</v>
      </c>
      <c r="F2215" t="s">
        <v>58</v>
      </c>
      <c r="G2215" t="s">
        <v>7</v>
      </c>
    </row>
    <row r="2216" spans="1:7" x14ac:dyDescent="0.3">
      <c r="A2216" t="s">
        <v>32</v>
      </c>
      <c r="B2216" s="1">
        <v>45838</v>
      </c>
      <c r="C2216">
        <v>364502</v>
      </c>
      <c r="D2216">
        <v>142601.45199999999</v>
      </c>
      <c r="E2216" t="s">
        <v>4</v>
      </c>
      <c r="F2216" t="s">
        <v>58</v>
      </c>
      <c r="G2216" t="s">
        <v>7</v>
      </c>
    </row>
    <row r="2217" spans="1:7" x14ac:dyDescent="0.3">
      <c r="A2217" t="s">
        <v>32</v>
      </c>
      <c r="B2217" s="1">
        <v>45838</v>
      </c>
      <c r="C2217">
        <v>372004</v>
      </c>
      <c r="D2217">
        <v>0</v>
      </c>
      <c r="E2217" t="s">
        <v>4</v>
      </c>
      <c r="F2217" t="s">
        <v>45</v>
      </c>
      <c r="G2217" t="s">
        <v>7</v>
      </c>
    </row>
    <row r="2218" spans="1:7" x14ac:dyDescent="0.3">
      <c r="A2218" t="s">
        <v>32</v>
      </c>
      <c r="B2218" s="1">
        <v>45838</v>
      </c>
      <c r="C2218">
        <v>400002</v>
      </c>
      <c r="D2218">
        <v>-82066.981</v>
      </c>
      <c r="E2218" t="s">
        <v>6</v>
      </c>
      <c r="F2218" t="s">
        <v>50</v>
      </c>
      <c r="G2218" t="s">
        <v>7</v>
      </c>
    </row>
    <row r="2219" spans="1:7" x14ac:dyDescent="0.3">
      <c r="A2219" t="s">
        <v>32</v>
      </c>
      <c r="B2219" s="1">
        <v>45838</v>
      </c>
      <c r="C2219">
        <v>400004</v>
      </c>
      <c r="D2219">
        <v>-46701.235999999997</v>
      </c>
      <c r="E2219" t="s">
        <v>6</v>
      </c>
      <c r="F2219" t="s">
        <v>50</v>
      </c>
      <c r="G2219" t="s">
        <v>7</v>
      </c>
    </row>
    <row r="2220" spans="1:7" x14ac:dyDescent="0.3">
      <c r="A2220" t="s">
        <v>32</v>
      </c>
      <c r="B2220" s="1">
        <v>45838</v>
      </c>
      <c r="C2220">
        <v>410005</v>
      </c>
      <c r="D2220">
        <v>-275.39</v>
      </c>
      <c r="E2220" t="s">
        <v>6</v>
      </c>
      <c r="F2220" t="s">
        <v>51</v>
      </c>
      <c r="G2220" t="s">
        <v>7</v>
      </c>
    </row>
    <row r="2221" spans="1:7" x14ac:dyDescent="0.3">
      <c r="A2221" t="s">
        <v>32</v>
      </c>
      <c r="B2221" s="1">
        <v>45838</v>
      </c>
      <c r="C2221">
        <v>410006</v>
      </c>
      <c r="D2221">
        <v>-90573.42</v>
      </c>
      <c r="E2221" t="s">
        <v>6</v>
      </c>
      <c r="F2221" t="s">
        <v>51</v>
      </c>
      <c r="G2221" t="s">
        <v>7</v>
      </c>
    </row>
    <row r="2222" spans="1:7" x14ac:dyDescent="0.3">
      <c r="A2222" t="s">
        <v>32</v>
      </c>
      <c r="B2222" s="1">
        <v>45838</v>
      </c>
      <c r="C2222">
        <v>410009</v>
      </c>
      <c r="D2222">
        <v>-7291.085</v>
      </c>
      <c r="E2222" t="s">
        <v>6</v>
      </c>
      <c r="F2222" t="s">
        <v>51</v>
      </c>
      <c r="G2222" t="s">
        <v>7</v>
      </c>
    </row>
    <row r="2223" spans="1:7" x14ac:dyDescent="0.3">
      <c r="A2223" t="s">
        <v>32</v>
      </c>
      <c r="B2223" s="1">
        <v>45838</v>
      </c>
      <c r="C2223">
        <v>410015</v>
      </c>
      <c r="D2223">
        <v>-76581.672999999995</v>
      </c>
      <c r="E2223" t="s">
        <v>6</v>
      </c>
      <c r="F2223" t="s">
        <v>51</v>
      </c>
      <c r="G2223" t="s">
        <v>7</v>
      </c>
    </row>
    <row r="2224" spans="1:7" x14ac:dyDescent="0.3">
      <c r="A2224" t="s">
        <v>32</v>
      </c>
      <c r="B2224" s="1">
        <v>45838</v>
      </c>
      <c r="C2224">
        <v>410018</v>
      </c>
      <c r="D2224">
        <v>-12.896000000000001</v>
      </c>
      <c r="E2224" t="s">
        <v>6</v>
      </c>
      <c r="F2224" t="s">
        <v>51</v>
      </c>
      <c r="G2224" t="s">
        <v>7</v>
      </c>
    </row>
    <row r="2225" spans="1:7" x14ac:dyDescent="0.3">
      <c r="A2225" t="s">
        <v>32</v>
      </c>
      <c r="B2225" s="1">
        <v>45838</v>
      </c>
      <c r="C2225">
        <v>410019</v>
      </c>
      <c r="D2225">
        <v>194.63300000000001</v>
      </c>
      <c r="E2225" t="s">
        <v>6</v>
      </c>
      <c r="F2225" t="s">
        <v>51</v>
      </c>
      <c r="G2225" t="s">
        <v>7</v>
      </c>
    </row>
    <row r="2226" spans="1:7" x14ac:dyDescent="0.3">
      <c r="A2226" t="s">
        <v>32</v>
      </c>
      <c r="B2226" s="1">
        <v>45838</v>
      </c>
      <c r="C2226">
        <v>410032</v>
      </c>
      <c r="D2226">
        <v>-39467.534</v>
      </c>
      <c r="E2226" t="s">
        <v>6</v>
      </c>
      <c r="F2226" t="s">
        <v>51</v>
      </c>
      <c r="G2226" t="s">
        <v>7</v>
      </c>
    </row>
    <row r="2227" spans="1:7" x14ac:dyDescent="0.3">
      <c r="A2227" t="s">
        <v>32</v>
      </c>
      <c r="B2227" s="1">
        <v>45838</v>
      </c>
      <c r="C2227">
        <v>410037</v>
      </c>
      <c r="D2227">
        <v>-401364.42300000001</v>
      </c>
      <c r="E2227" t="s">
        <v>6</v>
      </c>
      <c r="F2227" t="s">
        <v>51</v>
      </c>
      <c r="G2227" t="s">
        <v>7</v>
      </c>
    </row>
    <row r="2228" spans="1:7" x14ac:dyDescent="0.3">
      <c r="A2228" t="s">
        <v>32</v>
      </c>
      <c r="B2228" s="1">
        <v>45838</v>
      </c>
      <c r="C2228">
        <v>410039</v>
      </c>
      <c r="D2228">
        <v>-15461.953</v>
      </c>
      <c r="E2228" t="s">
        <v>6</v>
      </c>
      <c r="F2228" t="s">
        <v>51</v>
      </c>
      <c r="G2228" t="s">
        <v>7</v>
      </c>
    </row>
    <row r="2229" spans="1:7" x14ac:dyDescent="0.3">
      <c r="A2229" t="s">
        <v>32</v>
      </c>
      <c r="B2229" s="1">
        <v>45838</v>
      </c>
      <c r="C2229">
        <v>410040</v>
      </c>
      <c r="D2229">
        <v>-94.825999999999993</v>
      </c>
      <c r="E2229" t="s">
        <v>6</v>
      </c>
      <c r="F2229" t="s">
        <v>51</v>
      </c>
      <c r="G2229" t="s">
        <v>7</v>
      </c>
    </row>
    <row r="2230" spans="1:7" x14ac:dyDescent="0.3">
      <c r="A2230" t="s">
        <v>32</v>
      </c>
      <c r="B2230" s="1">
        <v>45838</v>
      </c>
      <c r="C2230">
        <v>415002</v>
      </c>
      <c r="D2230">
        <v>-2919428.1409999998</v>
      </c>
      <c r="E2230" t="s">
        <v>6</v>
      </c>
      <c r="F2230" t="s">
        <v>50</v>
      </c>
      <c r="G2230" t="s">
        <v>7</v>
      </c>
    </row>
    <row r="2231" spans="1:7" x14ac:dyDescent="0.3">
      <c r="A2231" t="s">
        <v>32</v>
      </c>
      <c r="B2231" s="1">
        <v>45838</v>
      </c>
      <c r="C2231">
        <v>415003</v>
      </c>
      <c r="D2231">
        <v>-2368.6559999999999</v>
      </c>
      <c r="E2231" t="s">
        <v>6</v>
      </c>
      <c r="F2231" t="s">
        <v>50</v>
      </c>
      <c r="G2231" t="s">
        <v>7</v>
      </c>
    </row>
    <row r="2232" spans="1:7" x14ac:dyDescent="0.3">
      <c r="A2232" t="s">
        <v>32</v>
      </c>
      <c r="B2232" s="1">
        <v>45838</v>
      </c>
      <c r="C2232">
        <v>415004</v>
      </c>
      <c r="D2232">
        <v>-2785287.5060000001</v>
      </c>
      <c r="E2232" t="s">
        <v>6</v>
      </c>
      <c r="F2232" t="s">
        <v>50</v>
      </c>
      <c r="G2232" t="s">
        <v>7</v>
      </c>
    </row>
    <row r="2233" spans="1:7" x14ac:dyDescent="0.3">
      <c r="A2233" t="s">
        <v>32</v>
      </c>
      <c r="B2233" s="1">
        <v>45838</v>
      </c>
      <c r="C2233">
        <v>418002</v>
      </c>
      <c r="D2233">
        <v>0</v>
      </c>
      <c r="E2233" t="s">
        <v>6</v>
      </c>
      <c r="F2233" t="s">
        <v>50</v>
      </c>
      <c r="G2233" t="s">
        <v>7</v>
      </c>
    </row>
    <row r="2234" spans="1:7" x14ac:dyDescent="0.3">
      <c r="A2234" t="s">
        <v>32</v>
      </c>
      <c r="B2234" s="1">
        <v>45838</v>
      </c>
      <c r="C2234">
        <v>418003</v>
      </c>
      <c r="D2234">
        <v>0</v>
      </c>
      <c r="E2234" t="s">
        <v>6</v>
      </c>
      <c r="F2234" t="s">
        <v>51</v>
      </c>
      <c r="G2234" t="s">
        <v>7</v>
      </c>
    </row>
    <row r="2235" spans="1:7" x14ac:dyDescent="0.3">
      <c r="A2235" t="s">
        <v>32</v>
      </c>
      <c r="B2235" s="1">
        <v>45838</v>
      </c>
      <c r="C2235">
        <v>420003</v>
      </c>
      <c r="D2235">
        <v>-402.33699999999999</v>
      </c>
      <c r="E2235" t="s">
        <v>6</v>
      </c>
      <c r="F2235" t="s">
        <v>52</v>
      </c>
      <c r="G2235" t="s">
        <v>7</v>
      </c>
    </row>
    <row r="2236" spans="1:7" x14ac:dyDescent="0.3">
      <c r="A2236" t="s">
        <v>32</v>
      </c>
      <c r="B2236" s="1">
        <v>45838</v>
      </c>
      <c r="C2236">
        <v>420004</v>
      </c>
      <c r="D2236">
        <v>-76.936000000000007</v>
      </c>
      <c r="E2236" t="s">
        <v>6</v>
      </c>
      <c r="F2236" t="s">
        <v>52</v>
      </c>
      <c r="G2236" t="s">
        <v>7</v>
      </c>
    </row>
    <row r="2237" spans="1:7" x14ac:dyDescent="0.3">
      <c r="A2237" t="s">
        <v>32</v>
      </c>
      <c r="B2237" s="1">
        <v>45838</v>
      </c>
      <c r="C2237">
        <v>421003</v>
      </c>
      <c r="D2237">
        <v>-10689.947</v>
      </c>
      <c r="E2237" t="s">
        <v>6</v>
      </c>
      <c r="F2237" t="s">
        <v>52</v>
      </c>
      <c r="G2237" t="s">
        <v>7</v>
      </c>
    </row>
    <row r="2238" spans="1:7" x14ac:dyDescent="0.3">
      <c r="A2238" t="s">
        <v>32</v>
      </c>
      <c r="B2238" s="1">
        <v>45838</v>
      </c>
      <c r="C2238">
        <v>421007</v>
      </c>
      <c r="D2238">
        <v>55.158999999999999</v>
      </c>
      <c r="E2238" t="s">
        <v>6</v>
      </c>
      <c r="F2238" t="s">
        <v>52</v>
      </c>
      <c r="G2238" t="s">
        <v>7</v>
      </c>
    </row>
    <row r="2239" spans="1:7" x14ac:dyDescent="0.3">
      <c r="A2239" t="s">
        <v>32</v>
      </c>
      <c r="B2239" s="1">
        <v>45838</v>
      </c>
      <c r="C2239">
        <v>510002</v>
      </c>
      <c r="D2239">
        <v>1010137.031</v>
      </c>
      <c r="E2239" t="s">
        <v>6</v>
      </c>
      <c r="F2239" t="s">
        <v>53</v>
      </c>
      <c r="G2239" t="s">
        <v>7</v>
      </c>
    </row>
    <row r="2240" spans="1:7" x14ac:dyDescent="0.3">
      <c r="A2240" t="s">
        <v>32</v>
      </c>
      <c r="B2240" s="1">
        <v>45838</v>
      </c>
      <c r="C2240">
        <v>510005</v>
      </c>
      <c r="D2240">
        <v>49590.921999999999</v>
      </c>
      <c r="E2240" t="s">
        <v>6</v>
      </c>
      <c r="F2240" t="s">
        <v>53</v>
      </c>
      <c r="G2240" t="s">
        <v>7</v>
      </c>
    </row>
    <row r="2241" spans="1:7" x14ac:dyDescent="0.3">
      <c r="A2241" t="s">
        <v>32</v>
      </c>
      <c r="B2241" s="1">
        <v>45838</v>
      </c>
      <c r="C2241">
        <v>510007</v>
      </c>
      <c r="D2241">
        <v>69353.316999999995</v>
      </c>
      <c r="E2241" t="s">
        <v>6</v>
      </c>
      <c r="F2241" t="s">
        <v>53</v>
      </c>
      <c r="G2241" t="s">
        <v>7</v>
      </c>
    </row>
    <row r="2242" spans="1:7" x14ac:dyDescent="0.3">
      <c r="A2242" t="s">
        <v>32</v>
      </c>
      <c r="B2242" s="1">
        <v>45838</v>
      </c>
      <c r="C2242">
        <v>510008</v>
      </c>
      <c r="D2242">
        <v>646.63</v>
      </c>
      <c r="E2242" t="s">
        <v>6</v>
      </c>
      <c r="F2242" t="s">
        <v>53</v>
      </c>
      <c r="G2242" t="s">
        <v>7</v>
      </c>
    </row>
    <row r="2243" spans="1:7" x14ac:dyDescent="0.3">
      <c r="A2243" t="s">
        <v>32</v>
      </c>
      <c r="B2243" s="1">
        <v>45838</v>
      </c>
      <c r="C2243">
        <v>510010</v>
      </c>
      <c r="D2243">
        <v>10926.892</v>
      </c>
      <c r="E2243" t="s">
        <v>6</v>
      </c>
      <c r="F2243" t="s">
        <v>53</v>
      </c>
      <c r="G2243" t="s">
        <v>7</v>
      </c>
    </row>
    <row r="2244" spans="1:7" x14ac:dyDescent="0.3">
      <c r="A2244" t="s">
        <v>32</v>
      </c>
      <c r="B2244" s="1">
        <v>45838</v>
      </c>
      <c r="C2244">
        <v>510012</v>
      </c>
      <c r="D2244">
        <v>12143.322</v>
      </c>
      <c r="E2244" t="s">
        <v>6</v>
      </c>
      <c r="F2244" t="s">
        <v>53</v>
      </c>
      <c r="G2244" t="s">
        <v>7</v>
      </c>
    </row>
    <row r="2245" spans="1:7" x14ac:dyDescent="0.3">
      <c r="A2245" t="s">
        <v>32</v>
      </c>
      <c r="B2245" s="1">
        <v>45838</v>
      </c>
      <c r="C2245">
        <v>510015</v>
      </c>
      <c r="D2245">
        <v>93125.922999999995</v>
      </c>
      <c r="E2245" t="s">
        <v>6</v>
      </c>
      <c r="F2245" t="s">
        <v>53</v>
      </c>
      <c r="G2245" t="s">
        <v>7</v>
      </c>
    </row>
    <row r="2246" spans="1:7" x14ac:dyDescent="0.3">
      <c r="A2246" t="s">
        <v>32</v>
      </c>
      <c r="B2246" s="1">
        <v>45838</v>
      </c>
      <c r="C2246">
        <v>510018</v>
      </c>
      <c r="D2246">
        <v>93600.611999999994</v>
      </c>
      <c r="E2246" t="s">
        <v>6</v>
      </c>
      <c r="F2246" t="s">
        <v>53</v>
      </c>
      <c r="G2246" t="s">
        <v>7</v>
      </c>
    </row>
    <row r="2247" spans="1:7" x14ac:dyDescent="0.3">
      <c r="A2247" t="s">
        <v>32</v>
      </c>
      <c r="B2247" s="1">
        <v>45838</v>
      </c>
      <c r="C2247">
        <v>510048</v>
      </c>
      <c r="D2247">
        <v>34.317999999999998</v>
      </c>
      <c r="E2247" t="s">
        <v>6</v>
      </c>
      <c r="F2247" t="s">
        <v>61</v>
      </c>
      <c r="G2247" t="s">
        <v>7</v>
      </c>
    </row>
    <row r="2248" spans="1:7" x14ac:dyDescent="0.3">
      <c r="A2248" t="s">
        <v>32</v>
      </c>
      <c r="B2248" s="1">
        <v>45838</v>
      </c>
      <c r="C2248">
        <v>510059</v>
      </c>
      <c r="D2248">
        <v>6328.4660000000003</v>
      </c>
      <c r="E2248" t="s">
        <v>6</v>
      </c>
      <c r="F2248" t="s">
        <v>53</v>
      </c>
      <c r="G2248" t="s">
        <v>7</v>
      </c>
    </row>
    <row r="2249" spans="1:7" x14ac:dyDescent="0.3">
      <c r="A2249" t="s">
        <v>32</v>
      </c>
      <c r="B2249" s="1">
        <v>45838</v>
      </c>
      <c r="C2249">
        <v>510061</v>
      </c>
      <c r="D2249">
        <v>0</v>
      </c>
      <c r="E2249" t="s">
        <v>6</v>
      </c>
      <c r="F2249" t="s">
        <v>53</v>
      </c>
      <c r="G2249" t="s">
        <v>7</v>
      </c>
    </row>
    <row r="2250" spans="1:7" x14ac:dyDescent="0.3">
      <c r="A2250" t="s">
        <v>32</v>
      </c>
      <c r="B2250" s="1">
        <v>45838</v>
      </c>
      <c r="C2250">
        <v>510062</v>
      </c>
      <c r="D2250">
        <v>21197.8</v>
      </c>
      <c r="E2250" t="s">
        <v>6</v>
      </c>
      <c r="F2250" t="s">
        <v>53</v>
      </c>
      <c r="G2250" t="s">
        <v>7</v>
      </c>
    </row>
    <row r="2251" spans="1:7" x14ac:dyDescent="0.3">
      <c r="A2251" t="s">
        <v>32</v>
      </c>
      <c r="B2251" s="1">
        <v>45838</v>
      </c>
      <c r="C2251">
        <v>510064</v>
      </c>
      <c r="D2251">
        <v>1328.9860000000001</v>
      </c>
      <c r="E2251" t="s">
        <v>6</v>
      </c>
      <c r="F2251" t="s">
        <v>53</v>
      </c>
      <c r="G2251" t="s">
        <v>7</v>
      </c>
    </row>
    <row r="2252" spans="1:7" x14ac:dyDescent="0.3">
      <c r="A2252" t="s">
        <v>32</v>
      </c>
      <c r="B2252" s="1">
        <v>45838</v>
      </c>
      <c r="C2252">
        <v>510065</v>
      </c>
      <c r="D2252">
        <v>17168.449000000001</v>
      </c>
      <c r="E2252" t="s">
        <v>6</v>
      </c>
      <c r="F2252" t="s">
        <v>53</v>
      </c>
      <c r="G2252" t="s">
        <v>7</v>
      </c>
    </row>
    <row r="2253" spans="1:7" x14ac:dyDescent="0.3">
      <c r="A2253" t="s">
        <v>32</v>
      </c>
      <c r="B2253" s="1">
        <v>45838</v>
      </c>
      <c r="C2253">
        <v>510066</v>
      </c>
      <c r="D2253">
        <v>0</v>
      </c>
      <c r="E2253" t="s">
        <v>6</v>
      </c>
      <c r="F2253" t="s">
        <v>53</v>
      </c>
      <c r="G2253" t="s">
        <v>7</v>
      </c>
    </row>
    <row r="2254" spans="1:7" x14ac:dyDescent="0.3">
      <c r="A2254" t="s">
        <v>32</v>
      </c>
      <c r="B2254" s="1">
        <v>45838</v>
      </c>
      <c r="C2254">
        <v>520020</v>
      </c>
      <c r="D2254">
        <v>2473.9009999999998</v>
      </c>
      <c r="E2254" t="s">
        <v>6</v>
      </c>
      <c r="F2254" t="s">
        <v>53</v>
      </c>
      <c r="G2254" t="s">
        <v>7</v>
      </c>
    </row>
    <row r="2255" spans="1:7" x14ac:dyDescent="0.3">
      <c r="A2255" t="s">
        <v>32</v>
      </c>
      <c r="B2255" s="1">
        <v>45838</v>
      </c>
      <c r="C2255">
        <v>520021</v>
      </c>
      <c r="D2255">
        <v>1291.288</v>
      </c>
      <c r="E2255" t="s">
        <v>6</v>
      </c>
      <c r="F2255" t="s">
        <v>60</v>
      </c>
      <c r="G2255" t="s">
        <v>7</v>
      </c>
    </row>
    <row r="2256" spans="1:7" x14ac:dyDescent="0.3">
      <c r="A2256" t="s">
        <v>32</v>
      </c>
      <c r="B2256" s="1">
        <v>45838</v>
      </c>
      <c r="C2256">
        <v>521002</v>
      </c>
      <c r="D2256">
        <v>0</v>
      </c>
      <c r="E2256" t="s">
        <v>6</v>
      </c>
      <c r="F2256" t="s">
        <v>53</v>
      </c>
      <c r="G2256" t="s">
        <v>7</v>
      </c>
    </row>
    <row r="2257" spans="1:7" x14ac:dyDescent="0.3">
      <c r="A2257" t="s">
        <v>32</v>
      </c>
      <c r="B2257" s="1">
        <v>45838</v>
      </c>
      <c r="C2257">
        <v>521004</v>
      </c>
      <c r="D2257">
        <v>0</v>
      </c>
      <c r="E2257" t="s">
        <v>6</v>
      </c>
      <c r="F2257" t="s">
        <v>53</v>
      </c>
      <c r="G2257" t="s">
        <v>7</v>
      </c>
    </row>
    <row r="2258" spans="1:7" x14ac:dyDescent="0.3">
      <c r="A2258" t="s">
        <v>32</v>
      </c>
      <c r="B2258" s="1">
        <v>45838</v>
      </c>
      <c r="C2258">
        <v>521006</v>
      </c>
      <c r="D2258">
        <v>0</v>
      </c>
      <c r="E2258" t="s">
        <v>6</v>
      </c>
      <c r="F2258" t="s">
        <v>53</v>
      </c>
      <c r="G2258" t="s">
        <v>7</v>
      </c>
    </row>
    <row r="2259" spans="1:7" x14ac:dyDescent="0.3">
      <c r="A2259" t="s">
        <v>32</v>
      </c>
      <c r="B2259" s="1">
        <v>45838</v>
      </c>
      <c r="C2259">
        <v>521007</v>
      </c>
      <c r="D2259">
        <v>0</v>
      </c>
      <c r="E2259" t="s">
        <v>6</v>
      </c>
      <c r="F2259" t="s">
        <v>53</v>
      </c>
      <c r="G2259" t="s">
        <v>7</v>
      </c>
    </row>
    <row r="2260" spans="1:7" x14ac:dyDescent="0.3">
      <c r="A2260" t="s">
        <v>32</v>
      </c>
      <c r="B2260" s="1">
        <v>45838</v>
      </c>
      <c r="C2260">
        <v>521008</v>
      </c>
      <c r="D2260">
        <v>0</v>
      </c>
      <c r="E2260" t="s">
        <v>6</v>
      </c>
      <c r="F2260" t="s">
        <v>53</v>
      </c>
      <c r="G2260" t="s">
        <v>7</v>
      </c>
    </row>
    <row r="2261" spans="1:7" x14ac:dyDescent="0.3">
      <c r="A2261" t="s">
        <v>32</v>
      </c>
      <c r="B2261" s="1">
        <v>45838</v>
      </c>
      <c r="C2261">
        <v>521009</v>
      </c>
      <c r="D2261">
        <v>0</v>
      </c>
      <c r="E2261" t="s">
        <v>6</v>
      </c>
      <c r="F2261" t="s">
        <v>53</v>
      </c>
      <c r="G2261" t="s">
        <v>7</v>
      </c>
    </row>
    <row r="2262" spans="1:7" x14ac:dyDescent="0.3">
      <c r="A2262" t="s">
        <v>32</v>
      </c>
      <c r="B2262" s="1">
        <v>45838</v>
      </c>
      <c r="C2262">
        <v>521012</v>
      </c>
      <c r="D2262">
        <v>0</v>
      </c>
      <c r="E2262" t="s">
        <v>6</v>
      </c>
      <c r="F2262" t="s">
        <v>53</v>
      </c>
      <c r="G2262" t="s">
        <v>7</v>
      </c>
    </row>
    <row r="2263" spans="1:7" x14ac:dyDescent="0.3">
      <c r="A2263" t="s">
        <v>32</v>
      </c>
      <c r="B2263" s="1">
        <v>45838</v>
      </c>
      <c r="C2263">
        <v>521014</v>
      </c>
      <c r="D2263">
        <v>0</v>
      </c>
      <c r="E2263" t="s">
        <v>6</v>
      </c>
      <c r="F2263" t="s">
        <v>53</v>
      </c>
      <c r="G2263" t="s">
        <v>7</v>
      </c>
    </row>
    <row r="2264" spans="1:7" x14ac:dyDescent="0.3">
      <c r="A2264" t="s">
        <v>32</v>
      </c>
      <c r="B2264" s="1">
        <v>45838</v>
      </c>
      <c r="C2264">
        <v>530012</v>
      </c>
      <c r="D2264">
        <v>11302.236999999999</v>
      </c>
      <c r="E2264" t="s">
        <v>6</v>
      </c>
      <c r="F2264" t="s">
        <v>53</v>
      </c>
      <c r="G2264" t="s">
        <v>7</v>
      </c>
    </row>
    <row r="2265" spans="1:7" x14ac:dyDescent="0.3">
      <c r="A2265" t="s">
        <v>32</v>
      </c>
      <c r="B2265" s="1">
        <v>45838</v>
      </c>
      <c r="C2265">
        <v>540004</v>
      </c>
      <c r="D2265">
        <v>67.397999999999996</v>
      </c>
      <c r="E2265" t="s">
        <v>6</v>
      </c>
      <c r="F2265" t="s">
        <v>67</v>
      </c>
      <c r="G2265" t="s">
        <v>7</v>
      </c>
    </row>
    <row r="2266" spans="1:7" x14ac:dyDescent="0.3">
      <c r="A2266" t="s">
        <v>32</v>
      </c>
      <c r="B2266" s="1">
        <v>45838</v>
      </c>
      <c r="C2266">
        <v>540008</v>
      </c>
      <c r="D2266">
        <v>1816.05</v>
      </c>
      <c r="E2266" t="s">
        <v>6</v>
      </c>
      <c r="F2266" t="s">
        <v>67</v>
      </c>
      <c r="G2266" t="s">
        <v>7</v>
      </c>
    </row>
    <row r="2267" spans="1:7" x14ac:dyDescent="0.3">
      <c r="A2267" t="s">
        <v>32</v>
      </c>
      <c r="B2267" s="1">
        <v>45838</v>
      </c>
      <c r="C2267">
        <v>541002</v>
      </c>
      <c r="D2267">
        <v>10591.812</v>
      </c>
      <c r="E2267" t="s">
        <v>6</v>
      </c>
      <c r="F2267" t="s">
        <v>61</v>
      </c>
      <c r="G2267" t="s">
        <v>7</v>
      </c>
    </row>
    <row r="2268" spans="1:7" x14ac:dyDescent="0.3">
      <c r="A2268" t="s">
        <v>32</v>
      </c>
      <c r="B2268" s="1">
        <v>45838</v>
      </c>
      <c r="C2268">
        <v>541004</v>
      </c>
      <c r="D2268">
        <v>17731.973999999998</v>
      </c>
      <c r="E2268" t="s">
        <v>6</v>
      </c>
      <c r="F2268" t="s">
        <v>61</v>
      </c>
      <c r="G2268" t="s">
        <v>7</v>
      </c>
    </row>
    <row r="2269" spans="1:7" x14ac:dyDescent="0.3">
      <c r="A2269" t="s">
        <v>32</v>
      </c>
      <c r="B2269" s="1">
        <v>45838</v>
      </c>
      <c r="C2269">
        <v>541009</v>
      </c>
      <c r="D2269">
        <v>19662.039000000001</v>
      </c>
      <c r="E2269" t="s">
        <v>6</v>
      </c>
      <c r="F2269" t="s">
        <v>61</v>
      </c>
      <c r="G2269" t="s">
        <v>7</v>
      </c>
    </row>
    <row r="2270" spans="1:7" x14ac:dyDescent="0.3">
      <c r="A2270" t="s">
        <v>32</v>
      </c>
      <c r="B2270" s="1">
        <v>45838</v>
      </c>
      <c r="C2270">
        <v>541010</v>
      </c>
      <c r="D2270">
        <v>8285.5329999999994</v>
      </c>
      <c r="E2270" t="s">
        <v>6</v>
      </c>
      <c r="F2270" t="s">
        <v>61</v>
      </c>
      <c r="G2270" t="s">
        <v>7</v>
      </c>
    </row>
    <row r="2271" spans="1:7" x14ac:dyDescent="0.3">
      <c r="A2271" t="s">
        <v>32</v>
      </c>
      <c r="B2271" s="1">
        <v>45838</v>
      </c>
      <c r="C2271">
        <v>541013</v>
      </c>
      <c r="D2271">
        <v>3867.9749999999999</v>
      </c>
      <c r="E2271" t="s">
        <v>6</v>
      </c>
      <c r="F2271" t="s">
        <v>61</v>
      </c>
      <c r="G2271" t="s">
        <v>7</v>
      </c>
    </row>
    <row r="2272" spans="1:7" x14ac:dyDescent="0.3">
      <c r="A2272" t="s">
        <v>32</v>
      </c>
      <c r="B2272" s="1">
        <v>45838</v>
      </c>
      <c r="C2272">
        <v>544006</v>
      </c>
      <c r="D2272">
        <v>17969.583999999999</v>
      </c>
      <c r="E2272" t="s">
        <v>6</v>
      </c>
      <c r="F2272" t="s">
        <v>61</v>
      </c>
      <c r="G2272" t="s">
        <v>7</v>
      </c>
    </row>
    <row r="2273" spans="1:7" x14ac:dyDescent="0.3">
      <c r="A2273" t="s">
        <v>32</v>
      </c>
      <c r="B2273" s="1">
        <v>45838</v>
      </c>
      <c r="C2273">
        <v>546002</v>
      </c>
      <c r="D2273">
        <v>2690389.3459999999</v>
      </c>
      <c r="E2273" t="s">
        <v>6</v>
      </c>
      <c r="F2273" t="s">
        <v>51</v>
      </c>
      <c r="G2273" t="s">
        <v>7</v>
      </c>
    </row>
    <row r="2274" spans="1:7" x14ac:dyDescent="0.3">
      <c r="A2274" t="s">
        <v>32</v>
      </c>
      <c r="B2274" s="1">
        <v>45838</v>
      </c>
      <c r="C2274">
        <v>546005</v>
      </c>
      <c r="D2274">
        <v>11891.717000000001</v>
      </c>
      <c r="E2274" t="s">
        <v>6</v>
      </c>
      <c r="F2274" t="s">
        <v>51</v>
      </c>
      <c r="G2274" t="s">
        <v>7</v>
      </c>
    </row>
    <row r="2275" spans="1:7" x14ac:dyDescent="0.3">
      <c r="A2275" t="s">
        <v>32</v>
      </c>
      <c r="B2275" s="1">
        <v>45838</v>
      </c>
      <c r="C2275">
        <v>546008</v>
      </c>
      <c r="D2275">
        <v>68008.153999999995</v>
      </c>
      <c r="E2275" t="s">
        <v>6</v>
      </c>
      <c r="F2275" t="s">
        <v>51</v>
      </c>
      <c r="G2275" t="s">
        <v>7</v>
      </c>
    </row>
    <row r="2276" spans="1:7" x14ac:dyDescent="0.3">
      <c r="A2276" t="s">
        <v>32</v>
      </c>
      <c r="B2276" s="1">
        <v>45838</v>
      </c>
      <c r="C2276">
        <v>546012</v>
      </c>
      <c r="D2276">
        <v>165226.87</v>
      </c>
      <c r="E2276" t="s">
        <v>6</v>
      </c>
      <c r="F2276" t="s">
        <v>51</v>
      </c>
      <c r="G2276" t="s">
        <v>7</v>
      </c>
    </row>
    <row r="2277" spans="1:7" x14ac:dyDescent="0.3">
      <c r="A2277" t="s">
        <v>32</v>
      </c>
      <c r="B2277" s="1">
        <v>45838</v>
      </c>
      <c r="C2277">
        <v>546013</v>
      </c>
      <c r="D2277">
        <v>0</v>
      </c>
      <c r="E2277" t="s">
        <v>6</v>
      </c>
      <c r="F2277" t="s">
        <v>51</v>
      </c>
      <c r="G2277" t="s">
        <v>7</v>
      </c>
    </row>
    <row r="2278" spans="1:7" x14ac:dyDescent="0.3">
      <c r="A2278" t="s">
        <v>32</v>
      </c>
      <c r="B2278" s="1">
        <v>45838</v>
      </c>
      <c r="C2278">
        <v>546015</v>
      </c>
      <c r="D2278">
        <v>240243.20300000001</v>
      </c>
      <c r="E2278" t="s">
        <v>6</v>
      </c>
      <c r="F2278" t="s">
        <v>51</v>
      </c>
      <c r="G2278" t="s">
        <v>7</v>
      </c>
    </row>
    <row r="2279" spans="1:7" x14ac:dyDescent="0.3">
      <c r="A2279" t="s">
        <v>32</v>
      </c>
      <c r="B2279" s="1">
        <v>45838</v>
      </c>
      <c r="C2279">
        <v>546016</v>
      </c>
      <c r="D2279">
        <v>151713.848</v>
      </c>
      <c r="E2279" t="s">
        <v>6</v>
      </c>
      <c r="F2279" t="s">
        <v>51</v>
      </c>
      <c r="G2279" t="s">
        <v>7</v>
      </c>
    </row>
    <row r="2280" spans="1:7" x14ac:dyDescent="0.3">
      <c r="A2280" t="s">
        <v>32</v>
      </c>
      <c r="B2280" s="1">
        <v>45838</v>
      </c>
      <c r="C2280">
        <v>546018</v>
      </c>
      <c r="D2280">
        <v>5160.5680000000002</v>
      </c>
      <c r="E2280" t="s">
        <v>6</v>
      </c>
      <c r="F2280" t="s">
        <v>51</v>
      </c>
      <c r="G2280" t="s">
        <v>7</v>
      </c>
    </row>
    <row r="2281" spans="1:7" x14ac:dyDescent="0.3">
      <c r="A2281" t="s">
        <v>32</v>
      </c>
      <c r="B2281" s="1">
        <v>45838</v>
      </c>
      <c r="C2281">
        <v>546022</v>
      </c>
      <c r="D2281">
        <v>37984.561999999998</v>
      </c>
      <c r="E2281" t="s">
        <v>6</v>
      </c>
      <c r="F2281" t="s">
        <v>51</v>
      </c>
      <c r="G2281" t="s">
        <v>7</v>
      </c>
    </row>
    <row r="2282" spans="1:7" x14ac:dyDescent="0.3">
      <c r="A2282" t="s">
        <v>32</v>
      </c>
      <c r="B2282" s="1">
        <v>45838</v>
      </c>
      <c r="C2282">
        <v>546024</v>
      </c>
      <c r="D2282">
        <v>3567.203</v>
      </c>
      <c r="E2282" t="s">
        <v>6</v>
      </c>
      <c r="F2282" t="s">
        <v>51</v>
      </c>
      <c r="G2282" t="s">
        <v>7</v>
      </c>
    </row>
    <row r="2283" spans="1:7" x14ac:dyDescent="0.3">
      <c r="A2283" t="s">
        <v>32</v>
      </c>
      <c r="B2283" s="1">
        <v>45838</v>
      </c>
      <c r="C2283">
        <v>546035</v>
      </c>
      <c r="D2283">
        <v>11017.429</v>
      </c>
      <c r="E2283" t="s">
        <v>6</v>
      </c>
      <c r="F2283" t="s">
        <v>51</v>
      </c>
      <c r="G2283" t="s">
        <v>7</v>
      </c>
    </row>
    <row r="2284" spans="1:7" x14ac:dyDescent="0.3">
      <c r="A2284" t="s">
        <v>32</v>
      </c>
      <c r="B2284" s="1">
        <v>45838</v>
      </c>
      <c r="C2284">
        <v>546038</v>
      </c>
      <c r="D2284">
        <v>7678.1819999999998</v>
      </c>
      <c r="E2284" t="s">
        <v>6</v>
      </c>
      <c r="F2284" t="s">
        <v>51</v>
      </c>
      <c r="G2284" t="s">
        <v>7</v>
      </c>
    </row>
    <row r="2285" spans="1:7" x14ac:dyDescent="0.3">
      <c r="A2285" t="s">
        <v>32</v>
      </c>
      <c r="B2285" s="1">
        <v>45838</v>
      </c>
      <c r="C2285">
        <v>546040</v>
      </c>
      <c r="D2285">
        <v>159817.18299999999</v>
      </c>
      <c r="E2285" t="s">
        <v>6</v>
      </c>
      <c r="F2285" t="s">
        <v>51</v>
      </c>
      <c r="G2285" t="s">
        <v>7</v>
      </c>
    </row>
    <row r="2286" spans="1:7" x14ac:dyDescent="0.3">
      <c r="A2286" t="s">
        <v>32</v>
      </c>
      <c r="B2286" s="1">
        <v>45838</v>
      </c>
      <c r="C2286">
        <v>546042</v>
      </c>
      <c r="D2286">
        <v>1089.7570000000001</v>
      </c>
      <c r="E2286" t="s">
        <v>6</v>
      </c>
      <c r="F2286" t="s">
        <v>51</v>
      </c>
      <c r="G2286" t="s">
        <v>7</v>
      </c>
    </row>
    <row r="2287" spans="1:7" x14ac:dyDescent="0.3">
      <c r="A2287" t="s">
        <v>32</v>
      </c>
      <c r="B2287" s="1">
        <v>45838</v>
      </c>
      <c r="C2287">
        <v>546045</v>
      </c>
      <c r="D2287">
        <v>11574.904</v>
      </c>
      <c r="E2287" t="s">
        <v>6</v>
      </c>
      <c r="F2287" t="s">
        <v>51</v>
      </c>
      <c r="G2287" t="s">
        <v>7</v>
      </c>
    </row>
    <row r="2288" spans="1:7" x14ac:dyDescent="0.3">
      <c r="A2288" t="s">
        <v>32</v>
      </c>
      <c r="B2288" s="1">
        <v>45838</v>
      </c>
      <c r="C2288">
        <v>546046</v>
      </c>
      <c r="D2288">
        <v>12389.48</v>
      </c>
      <c r="E2288" t="s">
        <v>6</v>
      </c>
      <c r="F2288" t="s">
        <v>51</v>
      </c>
      <c r="G2288" t="s">
        <v>7</v>
      </c>
    </row>
    <row r="2289" spans="1:7" x14ac:dyDescent="0.3">
      <c r="A2289" t="s">
        <v>32</v>
      </c>
      <c r="B2289" s="1">
        <v>45838</v>
      </c>
      <c r="C2289">
        <v>546047</v>
      </c>
      <c r="D2289">
        <v>5634.7889999999998</v>
      </c>
      <c r="E2289" t="s">
        <v>6</v>
      </c>
      <c r="F2289" t="s">
        <v>51</v>
      </c>
      <c r="G2289" t="s">
        <v>7</v>
      </c>
    </row>
    <row r="2290" spans="1:7" x14ac:dyDescent="0.3">
      <c r="A2290" t="s">
        <v>32</v>
      </c>
      <c r="B2290" s="1">
        <v>45838</v>
      </c>
      <c r="C2290">
        <v>546050</v>
      </c>
      <c r="D2290">
        <v>19498.776999999998</v>
      </c>
      <c r="E2290" t="s">
        <v>6</v>
      </c>
      <c r="F2290" t="s">
        <v>51</v>
      </c>
      <c r="G2290" t="s">
        <v>7</v>
      </c>
    </row>
    <row r="2291" spans="1:7" x14ac:dyDescent="0.3">
      <c r="A2291" t="s">
        <v>32</v>
      </c>
      <c r="B2291" s="1">
        <v>45838</v>
      </c>
      <c r="C2291">
        <v>547002</v>
      </c>
      <c r="D2291">
        <v>309015.83899999998</v>
      </c>
      <c r="E2291" t="s">
        <v>6</v>
      </c>
      <c r="F2291" t="s">
        <v>54</v>
      </c>
      <c r="G2291" t="s">
        <v>7</v>
      </c>
    </row>
    <row r="2292" spans="1:7" x14ac:dyDescent="0.3">
      <c r="A2292" t="s">
        <v>32</v>
      </c>
      <c r="B2292" s="1">
        <v>45838</v>
      </c>
      <c r="C2292">
        <v>547006</v>
      </c>
      <c r="D2292">
        <v>14379.549000000001</v>
      </c>
      <c r="E2292" t="s">
        <v>6</v>
      </c>
      <c r="F2292" t="s">
        <v>54</v>
      </c>
      <c r="G2292" t="s">
        <v>7</v>
      </c>
    </row>
    <row r="2293" spans="1:7" x14ac:dyDescent="0.3">
      <c r="A2293" t="s">
        <v>32</v>
      </c>
      <c r="B2293" s="1">
        <v>45838</v>
      </c>
      <c r="C2293">
        <v>547011</v>
      </c>
      <c r="D2293">
        <v>785.57600000000002</v>
      </c>
      <c r="E2293" t="s">
        <v>6</v>
      </c>
      <c r="F2293" t="s">
        <v>54</v>
      </c>
      <c r="G2293" t="s">
        <v>7</v>
      </c>
    </row>
    <row r="2294" spans="1:7" x14ac:dyDescent="0.3">
      <c r="A2294" t="s">
        <v>32</v>
      </c>
      <c r="B2294" s="1">
        <v>45838</v>
      </c>
      <c r="C2294">
        <v>550002</v>
      </c>
      <c r="D2294">
        <v>-4294.2520000000004</v>
      </c>
      <c r="E2294" t="s">
        <v>6</v>
      </c>
      <c r="F2294" t="s">
        <v>62</v>
      </c>
      <c r="G2294" t="s">
        <v>7</v>
      </c>
    </row>
    <row r="2295" spans="1:7" x14ac:dyDescent="0.3">
      <c r="A2295" t="s">
        <v>32</v>
      </c>
      <c r="B2295" s="1">
        <v>45838</v>
      </c>
      <c r="C2295">
        <v>550003</v>
      </c>
      <c r="D2295">
        <v>657364.14</v>
      </c>
      <c r="E2295" t="s">
        <v>6</v>
      </c>
      <c r="F2295" t="s">
        <v>62</v>
      </c>
      <c r="G2295" t="s">
        <v>7</v>
      </c>
    </row>
    <row r="2296" spans="1:7" x14ac:dyDescent="0.3">
      <c r="A2296" t="s">
        <v>32</v>
      </c>
      <c r="B2296" s="1">
        <v>45838</v>
      </c>
      <c r="C2296">
        <v>551002</v>
      </c>
      <c r="D2296">
        <v>9387.6149999999998</v>
      </c>
      <c r="E2296" t="s">
        <v>6</v>
      </c>
      <c r="F2296" t="s">
        <v>63</v>
      </c>
      <c r="G2296" t="s">
        <v>7</v>
      </c>
    </row>
    <row r="2297" spans="1:7" x14ac:dyDescent="0.3">
      <c r="A2297" t="s">
        <v>32</v>
      </c>
      <c r="B2297" s="1">
        <v>45838</v>
      </c>
      <c r="C2297">
        <v>551003</v>
      </c>
      <c r="D2297">
        <v>37691.851000000002</v>
      </c>
      <c r="E2297" t="s">
        <v>6</v>
      </c>
      <c r="F2297" t="s">
        <v>63</v>
      </c>
      <c r="G2297" t="s">
        <v>7</v>
      </c>
    </row>
    <row r="2298" spans="1:7" x14ac:dyDescent="0.3">
      <c r="A2298" t="s">
        <v>32</v>
      </c>
      <c r="B2298" s="1">
        <v>45838</v>
      </c>
      <c r="C2298">
        <v>551011</v>
      </c>
      <c r="D2298">
        <v>278.43</v>
      </c>
      <c r="E2298" t="s">
        <v>6</v>
      </c>
      <c r="F2298" t="s">
        <v>61</v>
      </c>
      <c r="G2298" t="s">
        <v>7</v>
      </c>
    </row>
    <row r="2299" spans="1:7" x14ac:dyDescent="0.3">
      <c r="A2299" t="s">
        <v>32</v>
      </c>
      <c r="B2299" s="1">
        <v>45838</v>
      </c>
      <c r="C2299">
        <v>552002</v>
      </c>
      <c r="D2299">
        <v>977.64</v>
      </c>
      <c r="E2299" t="s">
        <v>6</v>
      </c>
      <c r="F2299" t="s">
        <v>55</v>
      </c>
      <c r="G2299" t="s">
        <v>7</v>
      </c>
    </row>
    <row r="2300" spans="1:7" x14ac:dyDescent="0.3">
      <c r="A2300" t="s">
        <v>32</v>
      </c>
      <c r="B2300" s="1">
        <v>45838</v>
      </c>
      <c r="C2300">
        <v>552502</v>
      </c>
      <c r="D2300">
        <v>1.851</v>
      </c>
      <c r="E2300" t="s">
        <v>6</v>
      </c>
      <c r="F2300" t="s">
        <v>55</v>
      </c>
      <c r="G2300" t="s">
        <v>7</v>
      </c>
    </row>
    <row r="2301" spans="1:7" x14ac:dyDescent="0.3">
      <c r="A2301" t="s">
        <v>32</v>
      </c>
      <c r="B2301" s="1">
        <v>45838</v>
      </c>
      <c r="C2301">
        <v>552504</v>
      </c>
      <c r="D2301">
        <v>1439.6210000000001</v>
      </c>
      <c r="E2301" t="s">
        <v>6</v>
      </c>
      <c r="F2301" t="s">
        <v>55</v>
      </c>
      <c r="G2301" t="s">
        <v>7</v>
      </c>
    </row>
    <row r="2302" spans="1:7" x14ac:dyDescent="0.3">
      <c r="A2302" t="s">
        <v>32</v>
      </c>
      <c r="B2302" s="1">
        <v>45838</v>
      </c>
      <c r="C2302">
        <v>554005</v>
      </c>
      <c r="D2302">
        <v>652.31200000000001</v>
      </c>
      <c r="E2302" t="s">
        <v>6</v>
      </c>
      <c r="F2302" t="s">
        <v>55</v>
      </c>
      <c r="G2302" t="s">
        <v>7</v>
      </c>
    </row>
    <row r="2303" spans="1:7" x14ac:dyDescent="0.3">
      <c r="A2303" t="s">
        <v>32</v>
      </c>
      <c r="B2303" s="1">
        <v>45838</v>
      </c>
      <c r="C2303">
        <v>554007</v>
      </c>
      <c r="D2303">
        <v>17.219000000000001</v>
      </c>
      <c r="E2303" t="s">
        <v>6</v>
      </c>
      <c r="F2303" t="s">
        <v>55</v>
      </c>
      <c r="G2303" t="s">
        <v>7</v>
      </c>
    </row>
    <row r="2304" spans="1:7" x14ac:dyDescent="0.3">
      <c r="A2304" t="s">
        <v>32</v>
      </c>
      <c r="B2304" s="1">
        <v>45838</v>
      </c>
      <c r="C2304">
        <v>555007</v>
      </c>
      <c r="D2304">
        <v>5879.0240000000003</v>
      </c>
      <c r="E2304" t="s">
        <v>6</v>
      </c>
      <c r="F2304" t="s">
        <v>55</v>
      </c>
      <c r="G2304" t="s">
        <v>7</v>
      </c>
    </row>
    <row r="2305" spans="1:7" x14ac:dyDescent="0.3">
      <c r="A2305" t="s">
        <v>32</v>
      </c>
      <c r="B2305" s="1">
        <v>45838</v>
      </c>
      <c r="C2305">
        <v>555502</v>
      </c>
      <c r="D2305">
        <v>5956.0050000000001</v>
      </c>
      <c r="E2305" t="s">
        <v>6</v>
      </c>
      <c r="F2305" t="s">
        <v>55</v>
      </c>
      <c r="G2305" t="s">
        <v>7</v>
      </c>
    </row>
    <row r="2306" spans="1:7" x14ac:dyDescent="0.3">
      <c r="A2306" t="s">
        <v>32</v>
      </c>
      <c r="B2306" s="1">
        <v>45838</v>
      </c>
      <c r="C2306">
        <v>555508</v>
      </c>
      <c r="D2306">
        <v>232.52199999999999</v>
      </c>
      <c r="E2306" t="s">
        <v>6</v>
      </c>
      <c r="F2306" t="s">
        <v>55</v>
      </c>
      <c r="G2306" t="s">
        <v>7</v>
      </c>
    </row>
    <row r="2307" spans="1:7" x14ac:dyDescent="0.3">
      <c r="A2307" t="s">
        <v>32</v>
      </c>
      <c r="B2307" s="1">
        <v>45838</v>
      </c>
      <c r="C2307">
        <v>556002</v>
      </c>
      <c r="D2307">
        <v>-5822.9939999999997</v>
      </c>
      <c r="E2307" t="s">
        <v>6</v>
      </c>
      <c r="F2307" t="s">
        <v>60</v>
      </c>
      <c r="G2307" t="s">
        <v>7</v>
      </c>
    </row>
    <row r="2308" spans="1:7" x14ac:dyDescent="0.3">
      <c r="A2308" t="s">
        <v>32</v>
      </c>
      <c r="B2308" s="1">
        <v>45838</v>
      </c>
      <c r="C2308">
        <v>556004</v>
      </c>
      <c r="D2308">
        <v>3232.442</v>
      </c>
      <c r="E2308" t="s">
        <v>6</v>
      </c>
      <c r="F2308" t="s">
        <v>55</v>
      </c>
      <c r="G2308" t="s">
        <v>7</v>
      </c>
    </row>
    <row r="2309" spans="1:7" x14ac:dyDescent="0.3">
      <c r="A2309" t="s">
        <v>32</v>
      </c>
      <c r="B2309" s="1">
        <v>45838</v>
      </c>
      <c r="C2309">
        <v>557002</v>
      </c>
      <c r="D2309">
        <v>39493.252999999997</v>
      </c>
      <c r="E2309" t="s">
        <v>6</v>
      </c>
      <c r="F2309" t="s">
        <v>56</v>
      </c>
      <c r="G2309" t="s">
        <v>7</v>
      </c>
    </row>
    <row r="2310" spans="1:7" x14ac:dyDescent="0.3">
      <c r="A2310" t="s">
        <v>32</v>
      </c>
      <c r="B2310" s="1">
        <v>45838</v>
      </c>
      <c r="C2310">
        <v>557003</v>
      </c>
      <c r="D2310">
        <v>9343.31</v>
      </c>
      <c r="E2310" t="s">
        <v>6</v>
      </c>
      <c r="F2310" t="s">
        <v>56</v>
      </c>
      <c r="G2310" t="s">
        <v>7</v>
      </c>
    </row>
    <row r="2311" spans="1:7" x14ac:dyDescent="0.3">
      <c r="A2311" t="s">
        <v>32</v>
      </c>
      <c r="B2311" s="1">
        <v>45838</v>
      </c>
      <c r="C2311">
        <v>558003</v>
      </c>
      <c r="D2311">
        <v>2950.1350000000002</v>
      </c>
      <c r="E2311" t="s">
        <v>6</v>
      </c>
      <c r="F2311" t="s">
        <v>57</v>
      </c>
      <c r="G2311" t="s">
        <v>7</v>
      </c>
    </row>
    <row r="2312" spans="1:7" x14ac:dyDescent="0.3">
      <c r="A2312" t="s">
        <v>32</v>
      </c>
      <c r="B2312" s="1">
        <v>45838</v>
      </c>
      <c r="C2312">
        <v>558006</v>
      </c>
      <c r="D2312">
        <v>1717.5409999999999</v>
      </c>
      <c r="E2312" t="s">
        <v>6</v>
      </c>
      <c r="F2312" t="s">
        <v>57</v>
      </c>
      <c r="G2312" t="s">
        <v>7</v>
      </c>
    </row>
    <row r="2313" spans="1:7" x14ac:dyDescent="0.3">
      <c r="A2313" t="s">
        <v>32</v>
      </c>
      <c r="B2313" s="1">
        <v>45838</v>
      </c>
      <c r="C2313">
        <v>558007</v>
      </c>
      <c r="D2313">
        <v>219.56800000000001</v>
      </c>
      <c r="E2313" t="s">
        <v>6</v>
      </c>
      <c r="F2313" t="s">
        <v>60</v>
      </c>
      <c r="G2313" t="s">
        <v>7</v>
      </c>
    </row>
    <row r="2314" spans="1:7" x14ac:dyDescent="0.3">
      <c r="A2314" t="s">
        <v>32</v>
      </c>
      <c r="B2314" s="1">
        <v>45838</v>
      </c>
      <c r="C2314">
        <v>558012</v>
      </c>
      <c r="D2314">
        <v>1717.2909999999999</v>
      </c>
      <c r="E2314" t="s">
        <v>6</v>
      </c>
      <c r="F2314" t="s">
        <v>60</v>
      </c>
      <c r="G2314" t="s">
        <v>7</v>
      </c>
    </row>
    <row r="2315" spans="1:7" x14ac:dyDescent="0.3">
      <c r="A2315" t="s">
        <v>32</v>
      </c>
      <c r="B2315" s="1">
        <v>45838</v>
      </c>
      <c r="C2315">
        <v>559002</v>
      </c>
      <c r="D2315">
        <v>139.983</v>
      </c>
      <c r="E2315" t="s">
        <v>6</v>
      </c>
      <c r="F2315" t="s">
        <v>60</v>
      </c>
      <c r="G2315" t="s">
        <v>7</v>
      </c>
    </row>
    <row r="2316" spans="1:7" x14ac:dyDescent="0.3">
      <c r="A2316" t="s">
        <v>32</v>
      </c>
      <c r="B2316" s="1">
        <v>45838</v>
      </c>
      <c r="C2316">
        <v>563002</v>
      </c>
      <c r="D2316">
        <v>-5.6109999999999998</v>
      </c>
      <c r="E2316" t="s">
        <v>6</v>
      </c>
      <c r="F2316" t="s">
        <v>57</v>
      </c>
      <c r="G2316" t="s">
        <v>7</v>
      </c>
    </row>
    <row r="2317" spans="1:7" x14ac:dyDescent="0.3">
      <c r="A2317" t="s">
        <v>32</v>
      </c>
      <c r="B2317" s="1">
        <v>45838</v>
      </c>
      <c r="C2317">
        <v>564004</v>
      </c>
      <c r="D2317">
        <v>100577.197</v>
      </c>
      <c r="E2317" t="s">
        <v>6</v>
      </c>
      <c r="F2317" t="s">
        <v>51</v>
      </c>
      <c r="G2317" t="s">
        <v>7</v>
      </c>
    </row>
    <row r="2318" spans="1:7" x14ac:dyDescent="0.3">
      <c r="A2318" t="s">
        <v>32</v>
      </c>
      <c r="B2318" s="1">
        <v>45838</v>
      </c>
      <c r="C2318">
        <v>564006</v>
      </c>
      <c r="D2318">
        <v>-1.5469999999999999</v>
      </c>
      <c r="E2318" t="s">
        <v>6</v>
      </c>
      <c r="F2318" t="s">
        <v>57</v>
      </c>
      <c r="G2318" t="s">
        <v>7</v>
      </c>
    </row>
    <row r="2319" spans="1:7" x14ac:dyDescent="0.3">
      <c r="A2319" t="s">
        <v>32</v>
      </c>
      <c r="B2319" s="1">
        <v>45838</v>
      </c>
      <c r="C2319">
        <v>564007</v>
      </c>
      <c r="D2319">
        <v>1E-3</v>
      </c>
      <c r="E2319" t="s">
        <v>6</v>
      </c>
      <c r="F2319" t="s">
        <v>57</v>
      </c>
      <c r="G2319" t="s">
        <v>7</v>
      </c>
    </row>
    <row r="2320" spans="1:7" x14ac:dyDescent="0.3">
      <c r="A2320" t="s">
        <v>32</v>
      </c>
      <c r="B2320" s="1">
        <v>45838</v>
      </c>
      <c r="C2320">
        <v>564008</v>
      </c>
      <c r="D2320">
        <v>328.98599999999999</v>
      </c>
      <c r="E2320" t="s">
        <v>6</v>
      </c>
      <c r="F2320" t="s">
        <v>55</v>
      </c>
      <c r="G2320" t="s">
        <v>7</v>
      </c>
    </row>
    <row r="2321" spans="1:7" x14ac:dyDescent="0.3">
      <c r="A2321" t="s">
        <v>32</v>
      </c>
      <c r="B2321" s="1">
        <v>45838</v>
      </c>
      <c r="C2321">
        <v>564020</v>
      </c>
      <c r="D2321">
        <v>614.04300000000001</v>
      </c>
      <c r="E2321" t="s">
        <v>6</v>
      </c>
      <c r="F2321" t="s">
        <v>57</v>
      </c>
      <c r="G2321" t="s">
        <v>7</v>
      </c>
    </row>
    <row r="2322" spans="1:7" x14ac:dyDescent="0.3">
      <c r="A2322" t="s">
        <v>32</v>
      </c>
      <c r="B2322" s="1">
        <v>45838</v>
      </c>
      <c r="C2322">
        <v>564021</v>
      </c>
      <c r="D2322">
        <v>190.63800000000001</v>
      </c>
      <c r="E2322" t="s">
        <v>6</v>
      </c>
      <c r="F2322" t="s">
        <v>57</v>
      </c>
      <c r="G2322" t="s">
        <v>7</v>
      </c>
    </row>
    <row r="2323" spans="1:7" x14ac:dyDescent="0.3">
      <c r="A2323" t="s">
        <v>32</v>
      </c>
      <c r="B2323" s="1">
        <v>45838</v>
      </c>
      <c r="C2323">
        <v>564022</v>
      </c>
      <c r="D2323">
        <v>4405.8469999999998</v>
      </c>
      <c r="E2323" t="s">
        <v>6</v>
      </c>
      <c r="F2323" t="s">
        <v>67</v>
      </c>
      <c r="G2323" t="s">
        <v>7</v>
      </c>
    </row>
    <row r="2324" spans="1:7" x14ac:dyDescent="0.3">
      <c r="A2324" t="s">
        <v>32</v>
      </c>
      <c r="B2324" s="1">
        <v>45838</v>
      </c>
      <c r="C2324">
        <v>570002</v>
      </c>
      <c r="D2324">
        <v>7760.0010000000002</v>
      </c>
      <c r="E2324" t="s">
        <v>6</v>
      </c>
      <c r="F2324" t="s">
        <v>66</v>
      </c>
      <c r="G2324" t="s">
        <v>7</v>
      </c>
    </row>
    <row r="2325" spans="1:7" x14ac:dyDescent="0.3">
      <c r="A2325" t="s">
        <v>32</v>
      </c>
      <c r="B2325" s="1">
        <v>45838</v>
      </c>
      <c r="C2325">
        <v>570004</v>
      </c>
      <c r="D2325">
        <v>12283.268</v>
      </c>
      <c r="E2325" t="s">
        <v>6</v>
      </c>
      <c r="F2325" t="s">
        <v>66</v>
      </c>
      <c r="G2325" t="s">
        <v>7</v>
      </c>
    </row>
    <row r="2326" spans="1:7" x14ac:dyDescent="0.3">
      <c r="A2326" t="s">
        <v>32</v>
      </c>
      <c r="B2326" s="1">
        <v>45838</v>
      </c>
      <c r="C2326">
        <v>580002</v>
      </c>
      <c r="D2326">
        <v>27825.791000000001</v>
      </c>
      <c r="E2326" t="s">
        <v>6</v>
      </c>
      <c r="F2326" t="s">
        <v>64</v>
      </c>
      <c r="G2326" t="s">
        <v>7</v>
      </c>
    </row>
    <row r="2327" spans="1:7" x14ac:dyDescent="0.3">
      <c r="A2327" t="s">
        <v>32</v>
      </c>
      <c r="B2327" s="1">
        <v>45838</v>
      </c>
      <c r="C2327">
        <v>580003</v>
      </c>
      <c r="D2327">
        <v>38734.305</v>
      </c>
      <c r="E2327" t="s">
        <v>6</v>
      </c>
      <c r="F2327" t="s">
        <v>64</v>
      </c>
      <c r="G2327" t="s">
        <v>7</v>
      </c>
    </row>
    <row r="2328" spans="1:7" x14ac:dyDescent="0.3">
      <c r="A2328" t="s">
        <v>32</v>
      </c>
      <c r="B2328" s="1">
        <v>45838</v>
      </c>
      <c r="C2328">
        <v>580005</v>
      </c>
      <c r="D2328">
        <v>-38661.093999999997</v>
      </c>
      <c r="E2328" t="s">
        <v>6</v>
      </c>
      <c r="F2328" t="s">
        <v>64</v>
      </c>
      <c r="G2328" t="s">
        <v>7</v>
      </c>
    </row>
    <row r="2329" spans="1:7" x14ac:dyDescent="0.3">
      <c r="A2329" t="s">
        <v>33</v>
      </c>
      <c r="B2329" s="1">
        <v>45838</v>
      </c>
      <c r="C2329">
        <v>210002</v>
      </c>
      <c r="D2329">
        <v>-624887.22600000002</v>
      </c>
      <c r="E2329" t="s">
        <v>4</v>
      </c>
      <c r="F2329" t="s">
        <v>42</v>
      </c>
      <c r="G2329" t="s">
        <v>7</v>
      </c>
    </row>
    <row r="2330" spans="1:7" x14ac:dyDescent="0.3">
      <c r="A2330" t="s">
        <v>33</v>
      </c>
      <c r="B2330" s="1">
        <v>45838</v>
      </c>
      <c r="C2330">
        <v>220006</v>
      </c>
      <c r="D2330">
        <v>-317287.304</v>
      </c>
      <c r="E2330" t="s">
        <v>4</v>
      </c>
      <c r="F2330" t="s">
        <v>42</v>
      </c>
      <c r="G2330" t="s">
        <v>7</v>
      </c>
    </row>
    <row r="2331" spans="1:7" x14ac:dyDescent="0.3">
      <c r="A2331" t="s">
        <v>33</v>
      </c>
      <c r="B2331" s="1">
        <v>45838</v>
      </c>
      <c r="C2331">
        <v>220011</v>
      </c>
      <c r="D2331">
        <v>652072.23100000003</v>
      </c>
      <c r="E2331" t="s">
        <v>4</v>
      </c>
      <c r="F2331" t="s">
        <v>42</v>
      </c>
      <c r="G2331" t="s">
        <v>7</v>
      </c>
    </row>
    <row r="2332" spans="1:7" x14ac:dyDescent="0.3">
      <c r="A2332" t="s">
        <v>33</v>
      </c>
      <c r="B2332" s="1">
        <v>45838</v>
      </c>
      <c r="C2332">
        <v>240002</v>
      </c>
      <c r="D2332">
        <v>155.726</v>
      </c>
      <c r="E2332" t="s">
        <v>4</v>
      </c>
      <c r="F2332" t="s">
        <v>43</v>
      </c>
      <c r="G2332" t="s">
        <v>7</v>
      </c>
    </row>
    <row r="2333" spans="1:7" x14ac:dyDescent="0.3">
      <c r="A2333" t="s">
        <v>33</v>
      </c>
      <c r="B2333" s="1">
        <v>45838</v>
      </c>
      <c r="C2333">
        <v>240009</v>
      </c>
      <c r="D2333">
        <v>-155.726</v>
      </c>
      <c r="E2333" t="s">
        <v>4</v>
      </c>
      <c r="F2333" t="s">
        <v>43</v>
      </c>
      <c r="G2333" t="s">
        <v>7</v>
      </c>
    </row>
    <row r="2334" spans="1:7" x14ac:dyDescent="0.3">
      <c r="A2334" t="s">
        <v>33</v>
      </c>
      <c r="B2334" s="1">
        <v>45838</v>
      </c>
      <c r="C2334">
        <v>242003</v>
      </c>
      <c r="D2334">
        <v>-621847.31799999997</v>
      </c>
      <c r="E2334" t="s">
        <v>4</v>
      </c>
      <c r="F2334" t="s">
        <v>43</v>
      </c>
      <c r="G2334" t="s">
        <v>7</v>
      </c>
    </row>
    <row r="2335" spans="1:7" x14ac:dyDescent="0.3">
      <c r="A2335" t="s">
        <v>33</v>
      </c>
      <c r="B2335" s="1">
        <v>45838</v>
      </c>
      <c r="C2335">
        <v>242007</v>
      </c>
      <c r="D2335">
        <v>657.95</v>
      </c>
      <c r="E2335" t="s">
        <v>4</v>
      </c>
      <c r="F2335" t="s">
        <v>43</v>
      </c>
      <c r="G2335" t="s">
        <v>7</v>
      </c>
    </row>
    <row r="2336" spans="1:7" x14ac:dyDescent="0.3">
      <c r="A2336" t="s">
        <v>33</v>
      </c>
      <c r="B2336" s="1">
        <v>45838</v>
      </c>
      <c r="C2336">
        <v>242011</v>
      </c>
      <c r="D2336">
        <v>-27026.971000000001</v>
      </c>
      <c r="E2336" t="s">
        <v>4</v>
      </c>
      <c r="F2336" t="s">
        <v>43</v>
      </c>
      <c r="G2336" t="s">
        <v>7</v>
      </c>
    </row>
    <row r="2337" spans="1:7" x14ac:dyDescent="0.3">
      <c r="A2337" t="s">
        <v>33</v>
      </c>
      <c r="B2337" s="1">
        <v>45838</v>
      </c>
      <c r="C2337">
        <v>242012</v>
      </c>
      <c r="D2337">
        <v>-920.75900000000001</v>
      </c>
      <c r="E2337" t="s">
        <v>4</v>
      </c>
      <c r="F2337" t="s">
        <v>43</v>
      </c>
      <c r="G2337" t="s">
        <v>7</v>
      </c>
    </row>
    <row r="2338" spans="1:7" x14ac:dyDescent="0.3">
      <c r="A2338" t="s">
        <v>33</v>
      </c>
      <c r="B2338" s="1">
        <v>45838</v>
      </c>
      <c r="C2338">
        <v>242014</v>
      </c>
      <c r="D2338">
        <v>-22937.366000000002</v>
      </c>
      <c r="E2338" t="s">
        <v>4</v>
      </c>
      <c r="F2338" t="s">
        <v>43</v>
      </c>
      <c r="G2338" t="s">
        <v>7</v>
      </c>
    </row>
    <row r="2339" spans="1:7" x14ac:dyDescent="0.3">
      <c r="A2339" t="s">
        <v>33</v>
      </c>
      <c r="B2339" s="1">
        <v>45838</v>
      </c>
      <c r="C2339">
        <v>242027</v>
      </c>
      <c r="D2339">
        <v>-3493.7220000000002</v>
      </c>
      <c r="E2339" t="s">
        <v>4</v>
      </c>
      <c r="F2339" t="s">
        <v>43</v>
      </c>
      <c r="G2339" t="s">
        <v>7</v>
      </c>
    </row>
    <row r="2340" spans="1:7" x14ac:dyDescent="0.3">
      <c r="A2340" t="s">
        <v>33</v>
      </c>
      <c r="B2340" s="1">
        <v>45838</v>
      </c>
      <c r="C2340">
        <v>242030</v>
      </c>
      <c r="D2340">
        <v>-56122.993999999999</v>
      </c>
      <c r="E2340" t="s">
        <v>4</v>
      </c>
      <c r="F2340" t="s">
        <v>43</v>
      </c>
      <c r="G2340" t="s">
        <v>7</v>
      </c>
    </row>
    <row r="2341" spans="1:7" x14ac:dyDescent="0.3">
      <c r="A2341" t="s">
        <v>33</v>
      </c>
      <c r="B2341" s="1">
        <v>45838</v>
      </c>
      <c r="C2341">
        <v>242038</v>
      </c>
      <c r="D2341">
        <v>-26.529</v>
      </c>
      <c r="E2341" t="s">
        <v>4</v>
      </c>
      <c r="F2341" t="s">
        <v>43</v>
      </c>
      <c r="G2341" t="s">
        <v>7</v>
      </c>
    </row>
    <row r="2342" spans="1:7" x14ac:dyDescent="0.3">
      <c r="A2342" t="s">
        <v>33</v>
      </c>
      <c r="B2342" s="1">
        <v>45838</v>
      </c>
      <c r="C2342">
        <v>242041</v>
      </c>
      <c r="D2342">
        <v>657.96799999999996</v>
      </c>
      <c r="E2342" t="s">
        <v>4</v>
      </c>
      <c r="F2342" t="s">
        <v>43</v>
      </c>
      <c r="G2342" t="s">
        <v>7</v>
      </c>
    </row>
    <row r="2343" spans="1:7" x14ac:dyDescent="0.3">
      <c r="A2343" t="s">
        <v>33</v>
      </c>
      <c r="B2343" s="1">
        <v>45838</v>
      </c>
      <c r="C2343">
        <v>243002</v>
      </c>
      <c r="D2343">
        <v>-3127.3739999999998</v>
      </c>
      <c r="E2343" t="s">
        <v>4</v>
      </c>
      <c r="F2343" t="s">
        <v>43</v>
      </c>
      <c r="G2343" t="s">
        <v>7</v>
      </c>
    </row>
    <row r="2344" spans="1:7" x14ac:dyDescent="0.3">
      <c r="A2344" t="s">
        <v>33</v>
      </c>
      <c r="B2344" s="1">
        <v>45838</v>
      </c>
      <c r="C2344">
        <v>243003</v>
      </c>
      <c r="D2344">
        <v>-19556.919000000002</v>
      </c>
      <c r="E2344" t="s">
        <v>4</v>
      </c>
      <c r="F2344" t="s">
        <v>43</v>
      </c>
      <c r="G2344" t="s">
        <v>7</v>
      </c>
    </row>
    <row r="2345" spans="1:7" x14ac:dyDescent="0.3">
      <c r="A2345" t="s">
        <v>33</v>
      </c>
      <c r="B2345" s="1">
        <v>45838</v>
      </c>
      <c r="C2345">
        <v>243009</v>
      </c>
      <c r="D2345">
        <v>-137.947</v>
      </c>
      <c r="E2345" t="s">
        <v>4</v>
      </c>
      <c r="F2345" t="s">
        <v>43</v>
      </c>
      <c r="G2345" t="s">
        <v>7</v>
      </c>
    </row>
    <row r="2346" spans="1:7" x14ac:dyDescent="0.3">
      <c r="A2346" t="s">
        <v>33</v>
      </c>
      <c r="B2346" s="1">
        <v>45838</v>
      </c>
      <c r="C2346">
        <v>245010</v>
      </c>
      <c r="D2346">
        <v>-42855.362999999998</v>
      </c>
      <c r="E2346" t="s">
        <v>4</v>
      </c>
      <c r="F2346" t="s">
        <v>44</v>
      </c>
      <c r="G2346" t="s">
        <v>7</v>
      </c>
    </row>
    <row r="2347" spans="1:7" x14ac:dyDescent="0.3">
      <c r="A2347" t="s">
        <v>33</v>
      </c>
      <c r="B2347" s="1">
        <v>45838</v>
      </c>
      <c r="C2347">
        <v>245018</v>
      </c>
      <c r="D2347">
        <v>-8842.3539999999994</v>
      </c>
      <c r="E2347" t="s">
        <v>4</v>
      </c>
      <c r="F2347" t="s">
        <v>43</v>
      </c>
      <c r="G2347" t="s">
        <v>7</v>
      </c>
    </row>
    <row r="2348" spans="1:7" x14ac:dyDescent="0.3">
      <c r="A2348" t="s">
        <v>33</v>
      </c>
      <c r="B2348" s="1">
        <v>45838</v>
      </c>
      <c r="C2348">
        <v>245055</v>
      </c>
      <c r="D2348">
        <v>0</v>
      </c>
      <c r="E2348" t="s">
        <v>4</v>
      </c>
      <c r="F2348" t="s">
        <v>43</v>
      </c>
      <c r="G2348" t="s">
        <v>7</v>
      </c>
    </row>
    <row r="2349" spans="1:7" x14ac:dyDescent="0.3">
      <c r="A2349" t="s">
        <v>33</v>
      </c>
      <c r="B2349" s="1">
        <v>45838</v>
      </c>
      <c r="C2349">
        <v>245056</v>
      </c>
      <c r="D2349">
        <v>-186.071</v>
      </c>
      <c r="E2349" t="s">
        <v>4</v>
      </c>
      <c r="F2349" t="s">
        <v>49</v>
      </c>
      <c r="G2349" t="s">
        <v>7</v>
      </c>
    </row>
    <row r="2350" spans="1:7" x14ac:dyDescent="0.3">
      <c r="A2350" t="s">
        <v>33</v>
      </c>
      <c r="B2350" s="1">
        <v>45838</v>
      </c>
      <c r="C2350">
        <v>245058</v>
      </c>
      <c r="D2350">
        <v>0</v>
      </c>
      <c r="E2350" t="s">
        <v>4</v>
      </c>
      <c r="F2350" t="s">
        <v>43</v>
      </c>
      <c r="G2350" t="s">
        <v>7</v>
      </c>
    </row>
    <row r="2351" spans="1:7" x14ac:dyDescent="0.3">
      <c r="A2351" t="s">
        <v>33</v>
      </c>
      <c r="B2351" s="1">
        <v>45838</v>
      </c>
      <c r="C2351">
        <v>245062</v>
      </c>
      <c r="D2351">
        <v>-23894.115000000002</v>
      </c>
      <c r="E2351" t="s">
        <v>4</v>
      </c>
      <c r="F2351" t="s">
        <v>43</v>
      </c>
      <c r="G2351" t="s">
        <v>7</v>
      </c>
    </row>
    <row r="2352" spans="1:7" x14ac:dyDescent="0.3">
      <c r="A2352" t="s">
        <v>33</v>
      </c>
      <c r="B2352" s="1">
        <v>45838</v>
      </c>
      <c r="C2352">
        <v>250003</v>
      </c>
      <c r="D2352">
        <v>-9947.8590000000004</v>
      </c>
      <c r="E2352" t="s">
        <v>4</v>
      </c>
      <c r="F2352" t="s">
        <v>45</v>
      </c>
      <c r="G2352" t="s">
        <v>7</v>
      </c>
    </row>
    <row r="2353" spans="1:7" x14ac:dyDescent="0.3">
      <c r="A2353" t="s">
        <v>33</v>
      </c>
      <c r="B2353" s="1">
        <v>45838</v>
      </c>
      <c r="C2353">
        <v>250007</v>
      </c>
      <c r="D2353">
        <v>39431.281000000003</v>
      </c>
      <c r="E2353" t="s">
        <v>4</v>
      </c>
      <c r="F2353" t="s">
        <v>43</v>
      </c>
      <c r="G2353" t="s">
        <v>7</v>
      </c>
    </row>
    <row r="2354" spans="1:7" x14ac:dyDescent="0.3">
      <c r="A2354" t="s">
        <v>33</v>
      </c>
      <c r="B2354" s="1">
        <v>45838</v>
      </c>
      <c r="C2354">
        <v>250020</v>
      </c>
      <c r="D2354">
        <v>0</v>
      </c>
      <c r="E2354" t="s">
        <v>4</v>
      </c>
      <c r="F2354" t="s">
        <v>45</v>
      </c>
      <c r="G2354" t="s">
        <v>7</v>
      </c>
    </row>
    <row r="2355" spans="1:7" x14ac:dyDescent="0.3">
      <c r="A2355" t="s">
        <v>33</v>
      </c>
      <c r="B2355" s="1">
        <v>45838</v>
      </c>
      <c r="C2355">
        <v>251002</v>
      </c>
      <c r="D2355">
        <v>0</v>
      </c>
      <c r="E2355" t="s">
        <v>4</v>
      </c>
      <c r="F2355" t="s">
        <v>45</v>
      </c>
      <c r="G2355" t="s">
        <v>7</v>
      </c>
    </row>
    <row r="2356" spans="1:7" x14ac:dyDescent="0.3">
      <c r="A2356" t="s">
        <v>33</v>
      </c>
      <c r="B2356" s="1">
        <v>45838</v>
      </c>
      <c r="C2356">
        <v>251003</v>
      </c>
      <c r="D2356">
        <v>223202.87400000001</v>
      </c>
      <c r="E2356" t="s">
        <v>4</v>
      </c>
      <c r="F2356" t="s">
        <v>45</v>
      </c>
      <c r="G2356" t="s">
        <v>7</v>
      </c>
    </row>
    <row r="2357" spans="1:7" x14ac:dyDescent="0.3">
      <c r="A2357" t="s">
        <v>33</v>
      </c>
      <c r="B2357" s="1">
        <v>45838</v>
      </c>
      <c r="C2357">
        <v>257008</v>
      </c>
      <c r="D2357">
        <v>-8448.2900000000009</v>
      </c>
      <c r="E2357" t="s">
        <v>4</v>
      </c>
      <c r="F2357" t="s">
        <v>45</v>
      </c>
      <c r="G2357" t="s">
        <v>7</v>
      </c>
    </row>
    <row r="2358" spans="1:7" x14ac:dyDescent="0.3">
      <c r="A2358" t="s">
        <v>33</v>
      </c>
      <c r="B2358" s="1">
        <v>45838</v>
      </c>
      <c r="C2358">
        <v>257009</v>
      </c>
      <c r="D2358">
        <v>-10173.004999999999</v>
      </c>
      <c r="E2358" t="s">
        <v>4</v>
      </c>
      <c r="F2358" t="s">
        <v>45</v>
      </c>
      <c r="G2358" t="s">
        <v>7</v>
      </c>
    </row>
    <row r="2359" spans="1:7" x14ac:dyDescent="0.3">
      <c r="A2359" t="s">
        <v>33</v>
      </c>
      <c r="B2359" s="1">
        <v>45838</v>
      </c>
      <c r="C2359">
        <v>257011</v>
      </c>
      <c r="D2359">
        <v>-5147.0659999999998</v>
      </c>
      <c r="E2359" t="s">
        <v>4</v>
      </c>
      <c r="F2359" t="s">
        <v>45</v>
      </c>
      <c r="G2359" t="s">
        <v>7</v>
      </c>
    </row>
    <row r="2360" spans="1:7" x14ac:dyDescent="0.3">
      <c r="A2360" t="s">
        <v>33</v>
      </c>
      <c r="B2360" s="1">
        <v>45838</v>
      </c>
      <c r="C2360">
        <v>257028</v>
      </c>
      <c r="D2360">
        <v>-31674.552</v>
      </c>
      <c r="E2360" t="s">
        <v>4</v>
      </c>
      <c r="F2360" t="s">
        <v>45</v>
      </c>
      <c r="G2360" t="s">
        <v>7</v>
      </c>
    </row>
    <row r="2361" spans="1:7" x14ac:dyDescent="0.3">
      <c r="A2361" t="s">
        <v>33</v>
      </c>
      <c r="B2361" s="1">
        <v>45838</v>
      </c>
      <c r="C2361">
        <v>260004</v>
      </c>
      <c r="D2361">
        <v>9013.5779999999995</v>
      </c>
      <c r="E2361" t="s">
        <v>4</v>
      </c>
      <c r="F2361" t="s">
        <v>45</v>
      </c>
      <c r="G2361" t="s">
        <v>7</v>
      </c>
    </row>
    <row r="2362" spans="1:7" x14ac:dyDescent="0.3">
      <c r="A2362" t="s">
        <v>33</v>
      </c>
      <c r="B2362" s="1">
        <v>45838</v>
      </c>
      <c r="C2362">
        <v>270024</v>
      </c>
      <c r="D2362">
        <v>-106.735</v>
      </c>
      <c r="E2362" t="s">
        <v>4</v>
      </c>
      <c r="F2362" t="s">
        <v>58</v>
      </c>
      <c r="G2362" t="s">
        <v>7</v>
      </c>
    </row>
    <row r="2363" spans="1:7" x14ac:dyDescent="0.3">
      <c r="A2363" t="s">
        <v>33</v>
      </c>
      <c r="B2363" s="1">
        <v>45838</v>
      </c>
      <c r="C2363">
        <v>270025</v>
      </c>
      <c r="D2363">
        <v>-67.320999999999998</v>
      </c>
      <c r="E2363" t="s">
        <v>4</v>
      </c>
      <c r="F2363" t="s">
        <v>58</v>
      </c>
      <c r="G2363" t="s">
        <v>7</v>
      </c>
    </row>
    <row r="2364" spans="1:7" x14ac:dyDescent="0.3">
      <c r="A2364" t="s">
        <v>33</v>
      </c>
      <c r="B2364" s="1">
        <v>45838</v>
      </c>
      <c r="C2364">
        <v>270026</v>
      </c>
      <c r="D2364">
        <v>-75.888999999999996</v>
      </c>
      <c r="E2364" t="s">
        <v>4</v>
      </c>
      <c r="F2364" t="s">
        <v>58</v>
      </c>
      <c r="G2364" t="s">
        <v>7</v>
      </c>
    </row>
    <row r="2365" spans="1:7" x14ac:dyDescent="0.3">
      <c r="A2365" t="s">
        <v>33</v>
      </c>
      <c r="B2365" s="1">
        <v>45838</v>
      </c>
      <c r="C2365">
        <v>270027</v>
      </c>
      <c r="D2365">
        <v>-16.890999999999998</v>
      </c>
      <c r="E2365" t="s">
        <v>4</v>
      </c>
      <c r="F2365" t="s">
        <v>58</v>
      </c>
      <c r="G2365" t="s">
        <v>7</v>
      </c>
    </row>
    <row r="2366" spans="1:7" x14ac:dyDescent="0.3">
      <c r="A2366" t="s">
        <v>33</v>
      </c>
      <c r="B2366" s="1">
        <v>45838</v>
      </c>
      <c r="C2366">
        <v>300004</v>
      </c>
      <c r="D2366">
        <v>92084.171000000002</v>
      </c>
      <c r="E2366" t="s">
        <v>4</v>
      </c>
      <c r="F2366" t="s">
        <v>65</v>
      </c>
      <c r="G2366" t="s">
        <v>7</v>
      </c>
    </row>
    <row r="2367" spans="1:7" x14ac:dyDescent="0.3">
      <c r="A2367" t="s">
        <v>33</v>
      </c>
      <c r="B2367" s="1">
        <v>45838</v>
      </c>
      <c r="C2367">
        <v>300005</v>
      </c>
      <c r="D2367">
        <v>15348.261</v>
      </c>
      <c r="E2367" t="s">
        <v>4</v>
      </c>
      <c r="F2367" t="s">
        <v>65</v>
      </c>
      <c r="G2367" t="s">
        <v>7</v>
      </c>
    </row>
    <row r="2368" spans="1:7" x14ac:dyDescent="0.3">
      <c r="A2368" t="s">
        <v>33</v>
      </c>
      <c r="B2368" s="1">
        <v>45838</v>
      </c>
      <c r="C2368">
        <v>300008</v>
      </c>
      <c r="D2368">
        <v>19546.071</v>
      </c>
      <c r="E2368" t="s">
        <v>4</v>
      </c>
      <c r="F2368" t="s">
        <v>65</v>
      </c>
      <c r="G2368" t="s">
        <v>7</v>
      </c>
    </row>
    <row r="2369" spans="1:7" x14ac:dyDescent="0.3">
      <c r="A2369" t="s">
        <v>33</v>
      </c>
      <c r="B2369" s="1">
        <v>45838</v>
      </c>
      <c r="C2369">
        <v>300009</v>
      </c>
      <c r="D2369">
        <v>1348.4490000000001</v>
      </c>
      <c r="E2369" t="s">
        <v>4</v>
      </c>
      <c r="F2369" t="s">
        <v>65</v>
      </c>
      <c r="G2369" t="s">
        <v>7</v>
      </c>
    </row>
    <row r="2370" spans="1:7" x14ac:dyDescent="0.3">
      <c r="A2370" t="s">
        <v>33</v>
      </c>
      <c r="B2370" s="1">
        <v>45838</v>
      </c>
      <c r="C2370">
        <v>300011</v>
      </c>
      <c r="D2370">
        <v>2364.712</v>
      </c>
      <c r="E2370" t="s">
        <v>4</v>
      </c>
      <c r="F2370" t="s">
        <v>65</v>
      </c>
      <c r="G2370" t="s">
        <v>7</v>
      </c>
    </row>
    <row r="2371" spans="1:7" x14ac:dyDescent="0.3">
      <c r="A2371" t="s">
        <v>33</v>
      </c>
      <c r="B2371" s="1">
        <v>45838</v>
      </c>
      <c r="C2371">
        <v>300012</v>
      </c>
      <c r="D2371">
        <v>22959</v>
      </c>
      <c r="E2371" t="s">
        <v>4</v>
      </c>
      <c r="F2371" t="s">
        <v>65</v>
      </c>
      <c r="G2371" t="s">
        <v>7</v>
      </c>
    </row>
    <row r="2372" spans="1:7" x14ac:dyDescent="0.3">
      <c r="A2372" t="s">
        <v>33</v>
      </c>
      <c r="B2372" s="1">
        <v>45838</v>
      </c>
      <c r="C2372">
        <v>300014</v>
      </c>
      <c r="D2372">
        <v>3995.6289999999999</v>
      </c>
      <c r="E2372" t="s">
        <v>4</v>
      </c>
      <c r="F2372" t="s">
        <v>65</v>
      </c>
      <c r="G2372" t="s">
        <v>7</v>
      </c>
    </row>
    <row r="2373" spans="1:7" x14ac:dyDescent="0.3">
      <c r="A2373" t="s">
        <v>33</v>
      </c>
      <c r="B2373" s="1">
        <v>45838</v>
      </c>
      <c r="C2373">
        <v>300504</v>
      </c>
      <c r="D2373">
        <v>-90066.611999999994</v>
      </c>
      <c r="E2373" t="s">
        <v>4</v>
      </c>
      <c r="F2373" t="s">
        <v>65</v>
      </c>
      <c r="G2373" t="s">
        <v>7</v>
      </c>
    </row>
    <row r="2374" spans="1:7" x14ac:dyDescent="0.3">
      <c r="A2374" t="s">
        <v>33</v>
      </c>
      <c r="B2374" s="1">
        <v>45838</v>
      </c>
      <c r="C2374">
        <v>300505</v>
      </c>
      <c r="D2374">
        <v>-15225.281000000001</v>
      </c>
      <c r="E2374" t="s">
        <v>4</v>
      </c>
      <c r="F2374" t="s">
        <v>65</v>
      </c>
      <c r="G2374" t="s">
        <v>7</v>
      </c>
    </row>
    <row r="2375" spans="1:7" x14ac:dyDescent="0.3">
      <c r="A2375" t="s">
        <v>33</v>
      </c>
      <c r="B2375" s="1">
        <v>45838</v>
      </c>
      <c r="C2375">
        <v>300508</v>
      </c>
      <c r="D2375">
        <v>-19546.071</v>
      </c>
      <c r="E2375" t="s">
        <v>4</v>
      </c>
      <c r="F2375" t="s">
        <v>65</v>
      </c>
      <c r="G2375" t="s">
        <v>7</v>
      </c>
    </row>
    <row r="2376" spans="1:7" x14ac:dyDescent="0.3">
      <c r="A2376" t="s">
        <v>33</v>
      </c>
      <c r="B2376" s="1">
        <v>45838</v>
      </c>
      <c r="C2376">
        <v>300509</v>
      </c>
      <c r="D2376">
        <v>-1348.4490000000001</v>
      </c>
      <c r="E2376" t="s">
        <v>4</v>
      </c>
      <c r="F2376" t="s">
        <v>65</v>
      </c>
      <c r="G2376" t="s">
        <v>7</v>
      </c>
    </row>
    <row r="2377" spans="1:7" x14ac:dyDescent="0.3">
      <c r="A2377" t="s">
        <v>33</v>
      </c>
      <c r="B2377" s="1">
        <v>45838</v>
      </c>
      <c r="C2377">
        <v>300511</v>
      </c>
      <c r="D2377">
        <v>-2361.3910000000001</v>
      </c>
      <c r="E2377" t="s">
        <v>4</v>
      </c>
      <c r="F2377" t="s">
        <v>65</v>
      </c>
      <c r="G2377" t="s">
        <v>7</v>
      </c>
    </row>
    <row r="2378" spans="1:7" x14ac:dyDescent="0.3">
      <c r="A2378" t="s">
        <v>33</v>
      </c>
      <c r="B2378" s="1">
        <v>45838</v>
      </c>
      <c r="C2378">
        <v>300512</v>
      </c>
      <c r="D2378">
        <v>-22928.817999999999</v>
      </c>
      <c r="E2378" t="s">
        <v>4</v>
      </c>
      <c r="F2378" t="s">
        <v>65</v>
      </c>
      <c r="G2378" t="s">
        <v>7</v>
      </c>
    </row>
    <row r="2379" spans="1:7" x14ac:dyDescent="0.3">
      <c r="A2379" t="s">
        <v>33</v>
      </c>
      <c r="B2379" s="1">
        <v>45838</v>
      </c>
      <c r="C2379">
        <v>300514</v>
      </c>
      <c r="D2379">
        <v>-3995.6289999999999</v>
      </c>
      <c r="E2379" t="s">
        <v>4</v>
      </c>
      <c r="F2379" t="s">
        <v>65</v>
      </c>
      <c r="G2379" t="s">
        <v>7</v>
      </c>
    </row>
    <row r="2380" spans="1:7" x14ac:dyDescent="0.3">
      <c r="A2380" t="s">
        <v>33</v>
      </c>
      <c r="B2380" s="1">
        <v>45838</v>
      </c>
      <c r="C2380">
        <v>301002</v>
      </c>
      <c r="D2380">
        <v>378186.07</v>
      </c>
      <c r="E2380" t="s">
        <v>4</v>
      </c>
      <c r="F2380" t="s">
        <v>68</v>
      </c>
      <c r="G2380" t="s">
        <v>7</v>
      </c>
    </row>
    <row r="2381" spans="1:7" x14ac:dyDescent="0.3">
      <c r="A2381" t="s">
        <v>33</v>
      </c>
      <c r="B2381" s="1">
        <v>45838</v>
      </c>
      <c r="C2381">
        <v>301004</v>
      </c>
      <c r="D2381">
        <v>26363.555</v>
      </c>
      <c r="E2381" t="s">
        <v>4</v>
      </c>
      <c r="F2381" t="s">
        <v>65</v>
      </c>
      <c r="G2381" t="s">
        <v>7</v>
      </c>
    </row>
    <row r="2382" spans="1:7" x14ac:dyDescent="0.3">
      <c r="A2382" t="s">
        <v>33</v>
      </c>
      <c r="B2382" s="1">
        <v>45838</v>
      </c>
      <c r="C2382">
        <v>301005</v>
      </c>
      <c r="D2382">
        <v>456530.06300000002</v>
      </c>
      <c r="E2382" t="s">
        <v>4</v>
      </c>
      <c r="F2382" t="s">
        <v>65</v>
      </c>
      <c r="G2382" t="s">
        <v>7</v>
      </c>
    </row>
    <row r="2383" spans="1:7" x14ac:dyDescent="0.3">
      <c r="A2383" t="s">
        <v>33</v>
      </c>
      <c r="B2383" s="1">
        <v>45838</v>
      </c>
      <c r="C2383">
        <v>301502</v>
      </c>
      <c r="D2383">
        <v>-378186.07</v>
      </c>
      <c r="E2383" t="s">
        <v>4</v>
      </c>
      <c r="F2383" t="s">
        <v>68</v>
      </c>
      <c r="G2383" t="s">
        <v>7</v>
      </c>
    </row>
    <row r="2384" spans="1:7" x14ac:dyDescent="0.3">
      <c r="A2384" t="s">
        <v>33</v>
      </c>
      <c r="B2384" s="1">
        <v>45838</v>
      </c>
      <c r="C2384">
        <v>301504</v>
      </c>
      <c r="D2384">
        <v>-26363.555</v>
      </c>
      <c r="E2384" t="s">
        <v>4</v>
      </c>
      <c r="F2384" t="s">
        <v>65</v>
      </c>
      <c r="G2384" t="s">
        <v>7</v>
      </c>
    </row>
    <row r="2385" spans="1:7" x14ac:dyDescent="0.3">
      <c r="A2385" t="s">
        <v>33</v>
      </c>
      <c r="B2385" s="1">
        <v>45838</v>
      </c>
      <c r="C2385">
        <v>301505</v>
      </c>
      <c r="D2385">
        <v>-456530.06300000002</v>
      </c>
      <c r="E2385" t="s">
        <v>4</v>
      </c>
      <c r="F2385" t="s">
        <v>65</v>
      </c>
      <c r="G2385" t="s">
        <v>7</v>
      </c>
    </row>
    <row r="2386" spans="1:7" x14ac:dyDescent="0.3">
      <c r="A2386" t="s">
        <v>33</v>
      </c>
      <c r="B2386" s="1">
        <v>45838</v>
      </c>
      <c r="C2386">
        <v>303004</v>
      </c>
      <c r="D2386">
        <v>0</v>
      </c>
      <c r="E2386" t="s">
        <v>4</v>
      </c>
      <c r="F2386" t="s">
        <v>65</v>
      </c>
      <c r="G2386" t="s">
        <v>7</v>
      </c>
    </row>
    <row r="2387" spans="1:7" x14ac:dyDescent="0.3">
      <c r="A2387" t="s">
        <v>33</v>
      </c>
      <c r="B2387" s="1">
        <v>45838</v>
      </c>
      <c r="C2387">
        <v>310032</v>
      </c>
      <c r="D2387">
        <v>6.1849999999999996</v>
      </c>
      <c r="E2387" t="s">
        <v>4</v>
      </c>
      <c r="F2387" t="s">
        <v>42</v>
      </c>
      <c r="G2387" t="s">
        <v>7</v>
      </c>
    </row>
    <row r="2388" spans="1:7" x14ac:dyDescent="0.3">
      <c r="A2388" t="s">
        <v>33</v>
      </c>
      <c r="B2388" s="1">
        <v>45838</v>
      </c>
      <c r="C2388">
        <v>320003</v>
      </c>
      <c r="D2388">
        <v>659149.06200000003</v>
      </c>
      <c r="E2388" t="s">
        <v>4</v>
      </c>
      <c r="F2388" t="s">
        <v>46</v>
      </c>
      <c r="G2388" t="s">
        <v>7</v>
      </c>
    </row>
    <row r="2389" spans="1:7" x14ac:dyDescent="0.3">
      <c r="A2389" t="s">
        <v>33</v>
      </c>
      <c r="B2389" s="1">
        <v>45838</v>
      </c>
      <c r="C2389">
        <v>320010</v>
      </c>
      <c r="D2389">
        <v>82831.978000000003</v>
      </c>
      <c r="E2389" t="s">
        <v>4</v>
      </c>
      <c r="F2389" t="s">
        <v>46</v>
      </c>
      <c r="G2389" t="s">
        <v>7</v>
      </c>
    </row>
    <row r="2390" spans="1:7" x14ac:dyDescent="0.3">
      <c r="A2390" t="s">
        <v>33</v>
      </c>
      <c r="B2390" s="1">
        <v>45838</v>
      </c>
      <c r="C2390">
        <v>320023</v>
      </c>
      <c r="D2390">
        <v>-301175.52299999999</v>
      </c>
      <c r="E2390" t="s">
        <v>4</v>
      </c>
      <c r="F2390" t="s">
        <v>46</v>
      </c>
      <c r="G2390" t="s">
        <v>7</v>
      </c>
    </row>
    <row r="2391" spans="1:7" x14ac:dyDescent="0.3">
      <c r="A2391" t="s">
        <v>33</v>
      </c>
      <c r="B2391" s="1">
        <v>45838</v>
      </c>
      <c r="C2391">
        <v>320024</v>
      </c>
      <c r="D2391">
        <v>0</v>
      </c>
      <c r="E2391" t="s">
        <v>4</v>
      </c>
      <c r="F2391" t="s">
        <v>46</v>
      </c>
      <c r="G2391" t="s">
        <v>7</v>
      </c>
    </row>
    <row r="2392" spans="1:7" x14ac:dyDescent="0.3">
      <c r="A2392" t="s">
        <v>33</v>
      </c>
      <c r="B2392" s="1">
        <v>45838</v>
      </c>
      <c r="C2392">
        <v>321002</v>
      </c>
      <c r="D2392">
        <v>211011.117</v>
      </c>
      <c r="E2392" t="s">
        <v>4</v>
      </c>
      <c r="F2392" t="s">
        <v>46</v>
      </c>
      <c r="G2392" t="s">
        <v>7</v>
      </c>
    </row>
    <row r="2393" spans="1:7" x14ac:dyDescent="0.3">
      <c r="A2393" t="s">
        <v>33</v>
      </c>
      <c r="B2393" s="1">
        <v>45838</v>
      </c>
      <c r="C2393">
        <v>321004</v>
      </c>
      <c r="D2393">
        <v>0</v>
      </c>
      <c r="E2393" t="s">
        <v>4</v>
      </c>
      <c r="F2393" t="s">
        <v>46</v>
      </c>
      <c r="G2393" t="s">
        <v>7</v>
      </c>
    </row>
    <row r="2394" spans="1:7" x14ac:dyDescent="0.3">
      <c r="A2394" t="s">
        <v>33</v>
      </c>
      <c r="B2394" s="1">
        <v>45838</v>
      </c>
      <c r="C2394">
        <v>321012</v>
      </c>
      <c r="D2394">
        <v>63115.002999999997</v>
      </c>
      <c r="E2394" t="s">
        <v>4</v>
      </c>
      <c r="F2394" t="s">
        <v>46</v>
      </c>
      <c r="G2394" t="s">
        <v>7</v>
      </c>
    </row>
    <row r="2395" spans="1:7" x14ac:dyDescent="0.3">
      <c r="A2395" t="s">
        <v>33</v>
      </c>
      <c r="B2395" s="1">
        <v>45838</v>
      </c>
      <c r="C2395">
        <v>321014</v>
      </c>
      <c r="D2395">
        <v>12029.679</v>
      </c>
      <c r="E2395" t="s">
        <v>4</v>
      </c>
      <c r="F2395" t="s">
        <v>46</v>
      </c>
      <c r="G2395" t="s">
        <v>7</v>
      </c>
    </row>
    <row r="2396" spans="1:7" x14ac:dyDescent="0.3">
      <c r="A2396" t="s">
        <v>33</v>
      </c>
      <c r="B2396" s="1">
        <v>45838</v>
      </c>
      <c r="C2396">
        <v>321021</v>
      </c>
      <c r="D2396">
        <v>11376.632</v>
      </c>
      <c r="E2396" t="s">
        <v>4</v>
      </c>
      <c r="F2396" t="s">
        <v>46</v>
      </c>
      <c r="G2396" t="s">
        <v>7</v>
      </c>
    </row>
    <row r="2397" spans="1:7" x14ac:dyDescent="0.3">
      <c r="A2397" t="s">
        <v>33</v>
      </c>
      <c r="B2397" s="1">
        <v>45838</v>
      </c>
      <c r="C2397">
        <v>321028</v>
      </c>
      <c r="D2397">
        <v>271.37400000000002</v>
      </c>
      <c r="E2397" t="s">
        <v>4</v>
      </c>
      <c r="F2397" t="s">
        <v>46</v>
      </c>
      <c r="G2397" t="s">
        <v>7</v>
      </c>
    </row>
    <row r="2398" spans="1:7" x14ac:dyDescent="0.3">
      <c r="A2398" t="s">
        <v>33</v>
      </c>
      <c r="B2398" s="1">
        <v>45838</v>
      </c>
      <c r="C2398">
        <v>321029</v>
      </c>
      <c r="D2398">
        <v>105462.076</v>
      </c>
      <c r="E2398" t="s">
        <v>4</v>
      </c>
      <c r="F2398" t="s">
        <v>46</v>
      </c>
      <c r="G2398" t="s">
        <v>7</v>
      </c>
    </row>
    <row r="2399" spans="1:7" x14ac:dyDescent="0.3">
      <c r="A2399" t="s">
        <v>33</v>
      </c>
      <c r="B2399" s="1">
        <v>45838</v>
      </c>
      <c r="C2399">
        <v>321036</v>
      </c>
      <c r="D2399">
        <v>-199.27199999999999</v>
      </c>
      <c r="E2399" t="s">
        <v>4</v>
      </c>
      <c r="F2399" t="s">
        <v>46</v>
      </c>
      <c r="G2399" t="s">
        <v>7</v>
      </c>
    </row>
    <row r="2400" spans="1:7" x14ac:dyDescent="0.3">
      <c r="A2400" t="s">
        <v>33</v>
      </c>
      <c r="B2400" s="1">
        <v>45838</v>
      </c>
      <c r="C2400">
        <v>321042</v>
      </c>
      <c r="D2400">
        <v>0</v>
      </c>
      <c r="E2400" t="s">
        <v>4</v>
      </c>
      <c r="F2400" t="s">
        <v>46</v>
      </c>
      <c r="G2400" t="s">
        <v>7</v>
      </c>
    </row>
    <row r="2401" spans="1:7" x14ac:dyDescent="0.3">
      <c r="A2401" t="s">
        <v>33</v>
      </c>
      <c r="B2401" s="1">
        <v>45838</v>
      </c>
      <c r="C2401">
        <v>330034</v>
      </c>
      <c r="D2401">
        <v>-353.27</v>
      </c>
      <c r="E2401" t="s">
        <v>4</v>
      </c>
      <c r="F2401" t="s">
        <v>43</v>
      </c>
      <c r="G2401" t="s">
        <v>7</v>
      </c>
    </row>
    <row r="2402" spans="1:7" x14ac:dyDescent="0.3">
      <c r="A2402" t="s">
        <v>33</v>
      </c>
      <c r="B2402" s="1">
        <v>45838</v>
      </c>
      <c r="C2402">
        <v>330052</v>
      </c>
      <c r="D2402">
        <v>-664.84500000000003</v>
      </c>
      <c r="E2402" t="s">
        <v>4</v>
      </c>
      <c r="F2402" t="s">
        <v>43</v>
      </c>
      <c r="G2402" t="s">
        <v>7</v>
      </c>
    </row>
    <row r="2403" spans="1:7" x14ac:dyDescent="0.3">
      <c r="A2403" t="s">
        <v>33</v>
      </c>
      <c r="B2403" s="1">
        <v>45838</v>
      </c>
      <c r="C2403">
        <v>330065</v>
      </c>
      <c r="D2403">
        <v>-283.26499999999999</v>
      </c>
      <c r="E2403" t="s">
        <v>4</v>
      </c>
      <c r="F2403" t="s">
        <v>43</v>
      </c>
      <c r="G2403" t="s">
        <v>7</v>
      </c>
    </row>
    <row r="2404" spans="1:7" x14ac:dyDescent="0.3">
      <c r="A2404" t="s">
        <v>33</v>
      </c>
      <c r="B2404" s="1">
        <v>45838</v>
      </c>
      <c r="C2404">
        <v>330136</v>
      </c>
      <c r="D2404">
        <v>-6074.18</v>
      </c>
      <c r="E2404" t="s">
        <v>4</v>
      </c>
      <c r="F2404" t="s">
        <v>43</v>
      </c>
      <c r="G2404" t="s">
        <v>7</v>
      </c>
    </row>
    <row r="2405" spans="1:7" x14ac:dyDescent="0.3">
      <c r="A2405" t="s">
        <v>33</v>
      </c>
      <c r="B2405" s="1">
        <v>45838</v>
      </c>
      <c r="C2405">
        <v>340156</v>
      </c>
      <c r="D2405">
        <v>79350.415999999997</v>
      </c>
      <c r="E2405" t="s">
        <v>4</v>
      </c>
      <c r="F2405" t="s">
        <v>47</v>
      </c>
      <c r="G2405" t="s">
        <v>7</v>
      </c>
    </row>
    <row r="2406" spans="1:7" x14ac:dyDescent="0.3">
      <c r="A2406" t="s">
        <v>33</v>
      </c>
      <c r="B2406" s="1">
        <v>45838</v>
      </c>
      <c r="C2406">
        <v>340157</v>
      </c>
      <c r="D2406">
        <v>18067290.741999999</v>
      </c>
      <c r="E2406" t="s">
        <v>4</v>
      </c>
      <c r="F2406" t="s">
        <v>47</v>
      </c>
      <c r="G2406" t="s">
        <v>7</v>
      </c>
    </row>
    <row r="2407" spans="1:7" x14ac:dyDescent="0.3">
      <c r="A2407" t="s">
        <v>33</v>
      </c>
      <c r="B2407" s="1">
        <v>45838</v>
      </c>
      <c r="C2407">
        <v>340158</v>
      </c>
      <c r="D2407">
        <v>-17919003.359999999</v>
      </c>
      <c r="E2407" t="s">
        <v>4</v>
      </c>
      <c r="F2407" t="s">
        <v>47</v>
      </c>
      <c r="G2407" t="s">
        <v>7</v>
      </c>
    </row>
    <row r="2408" spans="1:7" x14ac:dyDescent="0.3">
      <c r="A2408" t="s">
        <v>33</v>
      </c>
      <c r="B2408" s="1">
        <v>45838</v>
      </c>
      <c r="C2408">
        <v>350002</v>
      </c>
      <c r="D2408">
        <v>876.70500000000004</v>
      </c>
      <c r="E2408" t="s">
        <v>4</v>
      </c>
      <c r="F2408" t="s">
        <v>49</v>
      </c>
      <c r="G2408" t="s">
        <v>7</v>
      </c>
    </row>
    <row r="2409" spans="1:7" x14ac:dyDescent="0.3">
      <c r="A2409" t="s">
        <v>33</v>
      </c>
      <c r="B2409" s="1">
        <v>45838</v>
      </c>
      <c r="C2409">
        <v>350003</v>
      </c>
      <c r="D2409">
        <v>26.716999999999999</v>
      </c>
      <c r="E2409" t="s">
        <v>4</v>
      </c>
      <c r="F2409" t="s">
        <v>49</v>
      </c>
      <c r="G2409" t="s">
        <v>7</v>
      </c>
    </row>
    <row r="2410" spans="1:7" x14ac:dyDescent="0.3">
      <c r="A2410" t="s">
        <v>33</v>
      </c>
      <c r="B2410" s="1">
        <v>45838</v>
      </c>
      <c r="C2410">
        <v>350005</v>
      </c>
      <c r="D2410">
        <v>-150.608</v>
      </c>
      <c r="E2410" t="s">
        <v>4</v>
      </c>
      <c r="F2410" t="s">
        <v>49</v>
      </c>
      <c r="G2410" t="s">
        <v>7</v>
      </c>
    </row>
    <row r="2411" spans="1:7" x14ac:dyDescent="0.3">
      <c r="A2411" t="s">
        <v>33</v>
      </c>
      <c r="B2411" s="1">
        <v>45838</v>
      </c>
      <c r="C2411">
        <v>350007</v>
      </c>
      <c r="D2411">
        <v>0</v>
      </c>
      <c r="E2411" t="s">
        <v>4</v>
      </c>
      <c r="F2411" t="s">
        <v>49</v>
      </c>
      <c r="G2411" t="s">
        <v>7</v>
      </c>
    </row>
    <row r="2412" spans="1:7" x14ac:dyDescent="0.3">
      <c r="A2412" t="s">
        <v>33</v>
      </c>
      <c r="B2412" s="1">
        <v>45838</v>
      </c>
      <c r="C2412">
        <v>350031</v>
      </c>
      <c r="D2412">
        <v>155.726</v>
      </c>
      <c r="E2412" t="s">
        <v>4</v>
      </c>
      <c r="F2412" t="s">
        <v>43</v>
      </c>
      <c r="G2412" t="s">
        <v>7</v>
      </c>
    </row>
    <row r="2413" spans="1:7" x14ac:dyDescent="0.3">
      <c r="A2413" t="s">
        <v>33</v>
      </c>
      <c r="B2413" s="1">
        <v>45838</v>
      </c>
      <c r="C2413">
        <v>350034</v>
      </c>
      <c r="D2413">
        <v>186.071</v>
      </c>
      <c r="E2413" t="s">
        <v>4</v>
      </c>
      <c r="F2413" t="s">
        <v>49</v>
      </c>
      <c r="G2413" t="s">
        <v>7</v>
      </c>
    </row>
    <row r="2414" spans="1:7" x14ac:dyDescent="0.3">
      <c r="A2414" t="s">
        <v>33</v>
      </c>
      <c r="B2414" s="1">
        <v>45838</v>
      </c>
      <c r="C2414">
        <v>351004</v>
      </c>
      <c r="D2414">
        <v>6879.8530000000001</v>
      </c>
      <c r="E2414" t="s">
        <v>4</v>
      </c>
      <c r="F2414" t="s">
        <v>45</v>
      </c>
      <c r="G2414" t="s">
        <v>7</v>
      </c>
    </row>
    <row r="2415" spans="1:7" x14ac:dyDescent="0.3">
      <c r="A2415" t="s">
        <v>33</v>
      </c>
      <c r="B2415" s="1">
        <v>45838</v>
      </c>
      <c r="C2415">
        <v>352002</v>
      </c>
      <c r="D2415">
        <v>1261.9059999999999</v>
      </c>
      <c r="E2415" t="s">
        <v>4</v>
      </c>
      <c r="F2415" t="s">
        <v>48</v>
      </c>
      <c r="G2415" t="s">
        <v>7</v>
      </c>
    </row>
    <row r="2416" spans="1:7" x14ac:dyDescent="0.3">
      <c r="A2416" t="s">
        <v>33</v>
      </c>
      <c r="B2416" s="1">
        <v>45838</v>
      </c>
      <c r="C2416">
        <v>354005</v>
      </c>
      <c r="D2416">
        <v>0</v>
      </c>
      <c r="E2416" t="s">
        <v>4</v>
      </c>
      <c r="F2416" t="s">
        <v>46</v>
      </c>
      <c r="G2416" t="s">
        <v>7</v>
      </c>
    </row>
    <row r="2417" spans="1:7" x14ac:dyDescent="0.3">
      <c r="A2417" t="s">
        <v>33</v>
      </c>
      <c r="B2417" s="1">
        <v>45838</v>
      </c>
      <c r="C2417">
        <v>354011</v>
      </c>
      <c r="D2417">
        <v>0</v>
      </c>
      <c r="E2417" t="s">
        <v>4</v>
      </c>
      <c r="F2417" t="s">
        <v>46</v>
      </c>
      <c r="G2417" t="s">
        <v>7</v>
      </c>
    </row>
    <row r="2418" spans="1:7" x14ac:dyDescent="0.3">
      <c r="A2418" t="s">
        <v>33</v>
      </c>
      <c r="B2418" s="1">
        <v>45838</v>
      </c>
      <c r="C2418">
        <v>354012</v>
      </c>
      <c r="D2418">
        <v>-226143.549</v>
      </c>
      <c r="E2418" t="s">
        <v>4</v>
      </c>
      <c r="F2418" t="s">
        <v>46</v>
      </c>
      <c r="G2418" t="s">
        <v>7</v>
      </c>
    </row>
    <row r="2419" spans="1:7" x14ac:dyDescent="0.3">
      <c r="A2419" t="s">
        <v>33</v>
      </c>
      <c r="B2419" s="1">
        <v>45838</v>
      </c>
      <c r="C2419">
        <v>354014</v>
      </c>
      <c r="D2419">
        <v>65765.06</v>
      </c>
      <c r="E2419" t="s">
        <v>4</v>
      </c>
      <c r="F2419" t="s">
        <v>46</v>
      </c>
      <c r="G2419" t="s">
        <v>7</v>
      </c>
    </row>
    <row r="2420" spans="1:7" x14ac:dyDescent="0.3">
      <c r="A2420" t="s">
        <v>33</v>
      </c>
      <c r="B2420" s="1">
        <v>45838</v>
      </c>
      <c r="C2420">
        <v>355002</v>
      </c>
      <c r="D2420">
        <v>642.63599999999997</v>
      </c>
      <c r="E2420" t="s">
        <v>4</v>
      </c>
      <c r="F2420" t="s">
        <v>49</v>
      </c>
      <c r="G2420" t="s">
        <v>7</v>
      </c>
    </row>
    <row r="2421" spans="1:7" x14ac:dyDescent="0.3">
      <c r="A2421" t="s">
        <v>33</v>
      </c>
      <c r="B2421" s="1">
        <v>45838</v>
      </c>
      <c r="C2421">
        <v>355014</v>
      </c>
      <c r="D2421">
        <v>14.154999999999999</v>
      </c>
      <c r="E2421" t="s">
        <v>4</v>
      </c>
      <c r="F2421" t="s">
        <v>49</v>
      </c>
      <c r="G2421" t="s">
        <v>7</v>
      </c>
    </row>
    <row r="2422" spans="1:7" x14ac:dyDescent="0.3">
      <c r="A2422" t="s">
        <v>33</v>
      </c>
      <c r="B2422" s="1">
        <v>45838</v>
      </c>
      <c r="C2422">
        <v>360026</v>
      </c>
      <c r="D2422">
        <v>-95675.811000000002</v>
      </c>
      <c r="E2422" t="s">
        <v>4</v>
      </c>
      <c r="F2422" t="s">
        <v>58</v>
      </c>
      <c r="G2422" t="s">
        <v>7</v>
      </c>
    </row>
    <row r="2423" spans="1:7" x14ac:dyDescent="0.3">
      <c r="A2423" t="s">
        <v>33</v>
      </c>
      <c r="B2423" s="1">
        <v>45838</v>
      </c>
      <c r="C2423">
        <v>360028</v>
      </c>
      <c r="D2423">
        <v>-5136.1620000000003</v>
      </c>
      <c r="E2423" t="s">
        <v>4</v>
      </c>
      <c r="F2423" t="s">
        <v>58</v>
      </c>
      <c r="G2423" t="s">
        <v>7</v>
      </c>
    </row>
    <row r="2424" spans="1:7" x14ac:dyDescent="0.3">
      <c r="A2424" t="s">
        <v>33</v>
      </c>
      <c r="B2424" s="1">
        <v>45838</v>
      </c>
      <c r="C2424">
        <v>360030</v>
      </c>
      <c r="D2424">
        <v>36.720999999999997</v>
      </c>
      <c r="E2424" t="s">
        <v>4</v>
      </c>
      <c r="F2424" t="s">
        <v>58</v>
      </c>
      <c r="G2424" t="s">
        <v>7</v>
      </c>
    </row>
    <row r="2425" spans="1:7" x14ac:dyDescent="0.3">
      <c r="A2425" t="s">
        <v>33</v>
      </c>
      <c r="B2425" s="1">
        <v>45838</v>
      </c>
      <c r="C2425">
        <v>364502</v>
      </c>
      <c r="D2425">
        <v>79808.898000000001</v>
      </c>
      <c r="E2425" t="s">
        <v>4</v>
      </c>
      <c r="F2425" t="s">
        <v>58</v>
      </c>
      <c r="G2425" t="s">
        <v>7</v>
      </c>
    </row>
    <row r="2426" spans="1:7" x14ac:dyDescent="0.3">
      <c r="A2426" t="s">
        <v>33</v>
      </c>
      <c r="B2426" s="1">
        <v>45838</v>
      </c>
      <c r="C2426">
        <v>410002</v>
      </c>
      <c r="D2426">
        <v>-151713.848</v>
      </c>
      <c r="E2426" t="s">
        <v>6</v>
      </c>
      <c r="F2426" t="s">
        <v>51</v>
      </c>
      <c r="G2426" t="s">
        <v>7</v>
      </c>
    </row>
    <row r="2427" spans="1:7" x14ac:dyDescent="0.3">
      <c r="A2427" t="s">
        <v>33</v>
      </c>
      <c r="B2427" s="1">
        <v>45838</v>
      </c>
      <c r="C2427">
        <v>410006</v>
      </c>
      <c r="D2427">
        <v>-14099.737999999999</v>
      </c>
      <c r="E2427" t="s">
        <v>6</v>
      </c>
      <c r="F2427" t="s">
        <v>51</v>
      </c>
      <c r="G2427" t="s">
        <v>7</v>
      </c>
    </row>
    <row r="2428" spans="1:7" x14ac:dyDescent="0.3">
      <c r="A2428" t="s">
        <v>33</v>
      </c>
      <c r="B2428" s="1">
        <v>45838</v>
      </c>
      <c r="C2428">
        <v>410009</v>
      </c>
      <c r="D2428">
        <v>-1274.4580000000001</v>
      </c>
      <c r="E2428" t="s">
        <v>6</v>
      </c>
      <c r="F2428" t="s">
        <v>51</v>
      </c>
      <c r="G2428" t="s">
        <v>7</v>
      </c>
    </row>
    <row r="2429" spans="1:7" x14ac:dyDescent="0.3">
      <c r="A2429" t="s">
        <v>33</v>
      </c>
      <c r="B2429" s="1">
        <v>45838</v>
      </c>
      <c r="C2429">
        <v>410036</v>
      </c>
      <c r="D2429">
        <v>-88.504000000000005</v>
      </c>
      <c r="E2429" t="s">
        <v>6</v>
      </c>
      <c r="F2429" t="s">
        <v>51</v>
      </c>
      <c r="G2429" t="s">
        <v>7</v>
      </c>
    </row>
    <row r="2430" spans="1:7" x14ac:dyDescent="0.3">
      <c r="A2430" t="s">
        <v>33</v>
      </c>
      <c r="B2430" s="1">
        <v>45838</v>
      </c>
      <c r="C2430">
        <v>410037</v>
      </c>
      <c r="D2430">
        <v>-46724.927000000003</v>
      </c>
      <c r="E2430" t="s">
        <v>6</v>
      </c>
      <c r="F2430" t="s">
        <v>51</v>
      </c>
      <c r="G2430" t="s">
        <v>7</v>
      </c>
    </row>
    <row r="2431" spans="1:7" x14ac:dyDescent="0.3">
      <c r="A2431" t="s">
        <v>33</v>
      </c>
      <c r="B2431" s="1">
        <v>45838</v>
      </c>
      <c r="C2431">
        <v>415002</v>
      </c>
      <c r="D2431">
        <v>-220866.27600000001</v>
      </c>
      <c r="E2431" t="s">
        <v>6</v>
      </c>
      <c r="F2431" t="s">
        <v>50</v>
      </c>
      <c r="G2431" t="s">
        <v>7</v>
      </c>
    </row>
    <row r="2432" spans="1:7" x14ac:dyDescent="0.3">
      <c r="A2432" t="s">
        <v>33</v>
      </c>
      <c r="B2432" s="1">
        <v>45838</v>
      </c>
      <c r="C2432">
        <v>415004</v>
      </c>
      <c r="D2432">
        <v>-207412.63200000001</v>
      </c>
      <c r="E2432" t="s">
        <v>6</v>
      </c>
      <c r="F2432" t="s">
        <v>50</v>
      </c>
      <c r="G2432" t="s">
        <v>7</v>
      </c>
    </row>
    <row r="2433" spans="1:7" x14ac:dyDescent="0.3">
      <c r="A2433" t="s">
        <v>33</v>
      </c>
      <c r="B2433" s="1">
        <v>45838</v>
      </c>
      <c r="C2433">
        <v>421003</v>
      </c>
      <c r="D2433">
        <v>-696.70299999999997</v>
      </c>
      <c r="E2433" t="s">
        <v>6</v>
      </c>
      <c r="F2433" t="s">
        <v>52</v>
      </c>
      <c r="G2433" t="s">
        <v>7</v>
      </c>
    </row>
    <row r="2434" spans="1:7" x14ac:dyDescent="0.3">
      <c r="A2434" t="s">
        <v>33</v>
      </c>
      <c r="B2434" s="1">
        <v>45838</v>
      </c>
      <c r="C2434">
        <v>421007</v>
      </c>
      <c r="D2434">
        <v>0</v>
      </c>
      <c r="E2434" t="s">
        <v>6</v>
      </c>
      <c r="F2434" t="s">
        <v>52</v>
      </c>
      <c r="G2434" t="s">
        <v>7</v>
      </c>
    </row>
    <row r="2435" spans="1:7" x14ac:dyDescent="0.3">
      <c r="A2435" t="s">
        <v>33</v>
      </c>
      <c r="B2435" s="1">
        <v>45838</v>
      </c>
      <c r="C2435">
        <v>510002</v>
      </c>
      <c r="D2435">
        <v>196012.47200000001</v>
      </c>
      <c r="E2435" t="s">
        <v>6</v>
      </c>
      <c r="F2435" t="s">
        <v>53</v>
      </c>
      <c r="G2435" t="s">
        <v>7</v>
      </c>
    </row>
    <row r="2436" spans="1:7" x14ac:dyDescent="0.3">
      <c r="A2436" t="s">
        <v>33</v>
      </c>
      <c r="B2436" s="1">
        <v>45838</v>
      </c>
      <c r="C2436">
        <v>510005</v>
      </c>
      <c r="D2436">
        <v>6478.616</v>
      </c>
      <c r="E2436" t="s">
        <v>6</v>
      </c>
      <c r="F2436" t="s">
        <v>53</v>
      </c>
      <c r="G2436" t="s">
        <v>7</v>
      </c>
    </row>
    <row r="2437" spans="1:7" x14ac:dyDescent="0.3">
      <c r="A2437" t="s">
        <v>33</v>
      </c>
      <c r="B2437" s="1">
        <v>45838</v>
      </c>
      <c r="C2437">
        <v>510007</v>
      </c>
      <c r="D2437">
        <v>18718.755000000001</v>
      </c>
      <c r="E2437" t="s">
        <v>6</v>
      </c>
      <c r="F2437" t="s">
        <v>53</v>
      </c>
      <c r="G2437" t="s">
        <v>7</v>
      </c>
    </row>
    <row r="2438" spans="1:7" x14ac:dyDescent="0.3">
      <c r="A2438" t="s">
        <v>33</v>
      </c>
      <c r="B2438" s="1">
        <v>45838</v>
      </c>
      <c r="C2438">
        <v>510010</v>
      </c>
      <c r="D2438">
        <v>3263</v>
      </c>
      <c r="E2438" t="s">
        <v>6</v>
      </c>
      <c r="F2438" t="s">
        <v>53</v>
      </c>
      <c r="G2438" t="s">
        <v>7</v>
      </c>
    </row>
    <row r="2439" spans="1:7" x14ac:dyDescent="0.3">
      <c r="A2439" t="s">
        <v>33</v>
      </c>
      <c r="B2439" s="1">
        <v>45838</v>
      </c>
      <c r="C2439">
        <v>510012</v>
      </c>
      <c r="D2439">
        <v>265.02999999999997</v>
      </c>
      <c r="E2439" t="s">
        <v>6</v>
      </c>
      <c r="F2439" t="s">
        <v>53</v>
      </c>
      <c r="G2439" t="s">
        <v>7</v>
      </c>
    </row>
    <row r="2440" spans="1:7" x14ac:dyDescent="0.3">
      <c r="A2440" t="s">
        <v>33</v>
      </c>
      <c r="B2440" s="1">
        <v>45838</v>
      </c>
      <c r="C2440">
        <v>510015</v>
      </c>
      <c r="D2440">
        <v>18720.519</v>
      </c>
      <c r="E2440" t="s">
        <v>6</v>
      </c>
      <c r="F2440" t="s">
        <v>53</v>
      </c>
      <c r="G2440" t="s">
        <v>7</v>
      </c>
    </row>
    <row r="2441" spans="1:7" x14ac:dyDescent="0.3">
      <c r="A2441" t="s">
        <v>33</v>
      </c>
      <c r="B2441" s="1">
        <v>45838</v>
      </c>
      <c r="C2441">
        <v>510018</v>
      </c>
      <c r="D2441">
        <v>19982.226999999999</v>
      </c>
      <c r="E2441" t="s">
        <v>6</v>
      </c>
      <c r="F2441" t="s">
        <v>53</v>
      </c>
      <c r="G2441" t="s">
        <v>7</v>
      </c>
    </row>
    <row r="2442" spans="1:7" x14ac:dyDescent="0.3">
      <c r="A2442" t="s">
        <v>33</v>
      </c>
      <c r="B2442" s="1">
        <v>45838</v>
      </c>
      <c r="C2442">
        <v>510059</v>
      </c>
      <c r="D2442">
        <v>866.64200000000005</v>
      </c>
      <c r="E2442" t="s">
        <v>6</v>
      </c>
      <c r="F2442" t="s">
        <v>53</v>
      </c>
      <c r="G2442" t="s">
        <v>7</v>
      </c>
    </row>
    <row r="2443" spans="1:7" x14ac:dyDescent="0.3">
      <c r="A2443" t="s">
        <v>33</v>
      </c>
      <c r="B2443" s="1">
        <v>45838</v>
      </c>
      <c r="C2443">
        <v>510061</v>
      </c>
      <c r="D2443">
        <v>0</v>
      </c>
      <c r="E2443" t="s">
        <v>6</v>
      </c>
      <c r="F2443" t="s">
        <v>53</v>
      </c>
      <c r="G2443" t="s">
        <v>7</v>
      </c>
    </row>
    <row r="2444" spans="1:7" x14ac:dyDescent="0.3">
      <c r="A2444" t="s">
        <v>33</v>
      </c>
      <c r="B2444" s="1">
        <v>45838</v>
      </c>
      <c r="C2444">
        <v>510062</v>
      </c>
      <c r="D2444">
        <v>806.77200000000005</v>
      </c>
      <c r="E2444" t="s">
        <v>6</v>
      </c>
      <c r="F2444" t="s">
        <v>53</v>
      </c>
      <c r="G2444" t="s">
        <v>7</v>
      </c>
    </row>
    <row r="2445" spans="1:7" x14ac:dyDescent="0.3">
      <c r="A2445" t="s">
        <v>33</v>
      </c>
      <c r="B2445" s="1">
        <v>45838</v>
      </c>
      <c r="C2445">
        <v>510065</v>
      </c>
      <c r="D2445">
        <v>1366.0060000000001</v>
      </c>
      <c r="E2445" t="s">
        <v>6</v>
      </c>
      <c r="F2445" t="s">
        <v>53</v>
      </c>
      <c r="G2445" t="s">
        <v>7</v>
      </c>
    </row>
    <row r="2446" spans="1:7" x14ac:dyDescent="0.3">
      <c r="A2446" t="s">
        <v>33</v>
      </c>
      <c r="B2446" s="1">
        <v>45838</v>
      </c>
      <c r="C2446">
        <v>510066</v>
      </c>
      <c r="D2446">
        <v>0</v>
      </c>
      <c r="E2446" t="s">
        <v>6</v>
      </c>
      <c r="F2446" t="s">
        <v>53</v>
      </c>
      <c r="G2446" t="s">
        <v>7</v>
      </c>
    </row>
    <row r="2447" spans="1:7" x14ac:dyDescent="0.3">
      <c r="A2447" t="s">
        <v>33</v>
      </c>
      <c r="B2447" s="1">
        <v>45838</v>
      </c>
      <c r="C2447">
        <v>520021</v>
      </c>
      <c r="D2447">
        <v>570.66899999999998</v>
      </c>
      <c r="E2447" t="s">
        <v>6</v>
      </c>
      <c r="F2447" t="s">
        <v>60</v>
      </c>
      <c r="G2447" t="s">
        <v>7</v>
      </c>
    </row>
    <row r="2448" spans="1:7" x14ac:dyDescent="0.3">
      <c r="A2448" t="s">
        <v>33</v>
      </c>
      <c r="B2448" s="1">
        <v>45838</v>
      </c>
      <c r="C2448">
        <v>521002</v>
      </c>
      <c r="D2448">
        <v>0</v>
      </c>
      <c r="E2448" t="s">
        <v>6</v>
      </c>
      <c r="F2448" t="s">
        <v>53</v>
      </c>
      <c r="G2448" t="s">
        <v>7</v>
      </c>
    </row>
    <row r="2449" spans="1:7" x14ac:dyDescent="0.3">
      <c r="A2449" t="s">
        <v>33</v>
      </c>
      <c r="B2449" s="1">
        <v>45838</v>
      </c>
      <c r="C2449">
        <v>521004</v>
      </c>
      <c r="D2449">
        <v>0</v>
      </c>
      <c r="E2449" t="s">
        <v>6</v>
      </c>
      <c r="F2449" t="s">
        <v>53</v>
      </c>
      <c r="G2449" t="s">
        <v>7</v>
      </c>
    </row>
    <row r="2450" spans="1:7" x14ac:dyDescent="0.3">
      <c r="A2450" t="s">
        <v>33</v>
      </c>
      <c r="B2450" s="1">
        <v>45838</v>
      </c>
      <c r="C2450">
        <v>521006</v>
      </c>
      <c r="D2450">
        <v>0</v>
      </c>
      <c r="E2450" t="s">
        <v>6</v>
      </c>
      <c r="F2450" t="s">
        <v>53</v>
      </c>
      <c r="G2450" t="s">
        <v>7</v>
      </c>
    </row>
    <row r="2451" spans="1:7" x14ac:dyDescent="0.3">
      <c r="A2451" t="s">
        <v>33</v>
      </c>
      <c r="B2451" s="1">
        <v>45838</v>
      </c>
      <c r="C2451">
        <v>521007</v>
      </c>
      <c r="D2451">
        <v>0</v>
      </c>
      <c r="E2451" t="s">
        <v>6</v>
      </c>
      <c r="F2451" t="s">
        <v>53</v>
      </c>
      <c r="G2451" t="s">
        <v>7</v>
      </c>
    </row>
    <row r="2452" spans="1:7" x14ac:dyDescent="0.3">
      <c r="A2452" t="s">
        <v>33</v>
      </c>
      <c r="B2452" s="1">
        <v>45838</v>
      </c>
      <c r="C2452">
        <v>521008</v>
      </c>
      <c r="D2452">
        <v>0</v>
      </c>
      <c r="E2452" t="s">
        <v>6</v>
      </c>
      <c r="F2452" t="s">
        <v>53</v>
      </c>
      <c r="G2452" t="s">
        <v>7</v>
      </c>
    </row>
    <row r="2453" spans="1:7" x14ac:dyDescent="0.3">
      <c r="A2453" t="s">
        <v>33</v>
      </c>
      <c r="B2453" s="1">
        <v>45838</v>
      </c>
      <c r="C2453">
        <v>521012</v>
      </c>
      <c r="D2453">
        <v>0</v>
      </c>
      <c r="E2453" t="s">
        <v>6</v>
      </c>
      <c r="F2453" t="s">
        <v>53</v>
      </c>
      <c r="G2453" t="s">
        <v>7</v>
      </c>
    </row>
    <row r="2454" spans="1:7" x14ac:dyDescent="0.3">
      <c r="A2454" t="s">
        <v>33</v>
      </c>
      <c r="B2454" s="1">
        <v>45838</v>
      </c>
      <c r="C2454">
        <v>521014</v>
      </c>
      <c r="D2454">
        <v>0</v>
      </c>
      <c r="E2454" t="s">
        <v>6</v>
      </c>
      <c r="F2454" t="s">
        <v>53</v>
      </c>
      <c r="G2454" t="s">
        <v>7</v>
      </c>
    </row>
    <row r="2455" spans="1:7" x14ac:dyDescent="0.3">
      <c r="A2455" t="s">
        <v>33</v>
      </c>
      <c r="B2455" s="1">
        <v>45838</v>
      </c>
      <c r="C2455">
        <v>530012</v>
      </c>
      <c r="D2455">
        <v>2135.9639999999999</v>
      </c>
      <c r="E2455" t="s">
        <v>6</v>
      </c>
      <c r="F2455" t="s">
        <v>53</v>
      </c>
      <c r="G2455" t="s">
        <v>7</v>
      </c>
    </row>
    <row r="2456" spans="1:7" x14ac:dyDescent="0.3">
      <c r="A2456" t="s">
        <v>33</v>
      </c>
      <c r="B2456" s="1">
        <v>45838</v>
      </c>
      <c r="C2456">
        <v>541004</v>
      </c>
      <c r="D2456">
        <v>703.21600000000001</v>
      </c>
      <c r="E2456" t="s">
        <v>6</v>
      </c>
      <c r="F2456" t="s">
        <v>61</v>
      </c>
      <c r="G2456" t="s">
        <v>7</v>
      </c>
    </row>
    <row r="2457" spans="1:7" x14ac:dyDescent="0.3">
      <c r="A2457" t="s">
        <v>33</v>
      </c>
      <c r="B2457" s="1">
        <v>45838</v>
      </c>
      <c r="C2457">
        <v>541009</v>
      </c>
      <c r="D2457">
        <v>2448.4850000000001</v>
      </c>
      <c r="E2457" t="s">
        <v>6</v>
      </c>
      <c r="F2457" t="s">
        <v>61</v>
      </c>
      <c r="G2457" t="s">
        <v>7</v>
      </c>
    </row>
    <row r="2458" spans="1:7" x14ac:dyDescent="0.3">
      <c r="A2458" t="s">
        <v>33</v>
      </c>
      <c r="B2458" s="1">
        <v>45838</v>
      </c>
      <c r="C2458">
        <v>541010</v>
      </c>
      <c r="D2458">
        <v>2406.0740000000001</v>
      </c>
      <c r="E2458" t="s">
        <v>6</v>
      </c>
      <c r="F2458" t="s">
        <v>61</v>
      </c>
      <c r="G2458" t="s">
        <v>7</v>
      </c>
    </row>
    <row r="2459" spans="1:7" x14ac:dyDescent="0.3">
      <c r="A2459" t="s">
        <v>33</v>
      </c>
      <c r="B2459" s="1">
        <v>45838</v>
      </c>
      <c r="C2459">
        <v>541013</v>
      </c>
      <c r="D2459">
        <v>76.759</v>
      </c>
      <c r="E2459" t="s">
        <v>6</v>
      </c>
      <c r="F2459" t="s">
        <v>61</v>
      </c>
      <c r="G2459" t="s">
        <v>7</v>
      </c>
    </row>
    <row r="2460" spans="1:7" x14ac:dyDescent="0.3">
      <c r="A2460" t="s">
        <v>33</v>
      </c>
      <c r="B2460" s="1">
        <v>45838</v>
      </c>
      <c r="C2460">
        <v>546002</v>
      </c>
      <c r="D2460">
        <v>197042.00599999999</v>
      </c>
      <c r="E2460" t="s">
        <v>6</v>
      </c>
      <c r="F2460" t="s">
        <v>51</v>
      </c>
      <c r="G2460" t="s">
        <v>7</v>
      </c>
    </row>
    <row r="2461" spans="1:7" x14ac:dyDescent="0.3">
      <c r="A2461" t="s">
        <v>33</v>
      </c>
      <c r="B2461" s="1">
        <v>45838</v>
      </c>
      <c r="C2461">
        <v>546008</v>
      </c>
      <c r="D2461">
        <v>6677.3310000000001</v>
      </c>
      <c r="E2461" t="s">
        <v>6</v>
      </c>
      <c r="F2461" t="s">
        <v>51</v>
      </c>
      <c r="G2461" t="s">
        <v>7</v>
      </c>
    </row>
    <row r="2462" spans="1:7" x14ac:dyDescent="0.3">
      <c r="A2462" t="s">
        <v>33</v>
      </c>
      <c r="B2462" s="1">
        <v>45838</v>
      </c>
      <c r="C2462">
        <v>546013</v>
      </c>
      <c r="D2462">
        <v>76581.672999999995</v>
      </c>
      <c r="E2462" t="s">
        <v>6</v>
      </c>
      <c r="F2462" t="s">
        <v>51</v>
      </c>
      <c r="G2462" t="s">
        <v>7</v>
      </c>
    </row>
    <row r="2463" spans="1:7" x14ac:dyDescent="0.3">
      <c r="A2463" t="s">
        <v>33</v>
      </c>
      <c r="B2463" s="1">
        <v>45838</v>
      </c>
      <c r="C2463">
        <v>546015</v>
      </c>
      <c r="D2463">
        <v>531.54200000000003</v>
      </c>
      <c r="E2463" t="s">
        <v>6</v>
      </c>
      <c r="F2463" t="s">
        <v>51</v>
      </c>
      <c r="G2463" t="s">
        <v>7</v>
      </c>
    </row>
    <row r="2464" spans="1:7" x14ac:dyDescent="0.3">
      <c r="A2464" t="s">
        <v>33</v>
      </c>
      <c r="B2464" s="1">
        <v>45838</v>
      </c>
      <c r="C2464">
        <v>546035</v>
      </c>
      <c r="D2464">
        <v>2125.9690000000001</v>
      </c>
      <c r="E2464" t="s">
        <v>6</v>
      </c>
      <c r="F2464" t="s">
        <v>51</v>
      </c>
      <c r="G2464" t="s">
        <v>7</v>
      </c>
    </row>
    <row r="2465" spans="1:7" x14ac:dyDescent="0.3">
      <c r="A2465" t="s">
        <v>33</v>
      </c>
      <c r="B2465" s="1">
        <v>45838</v>
      </c>
      <c r="C2465">
        <v>546040</v>
      </c>
      <c r="D2465">
        <v>12976.812</v>
      </c>
      <c r="E2465" t="s">
        <v>6</v>
      </c>
      <c r="F2465" t="s">
        <v>51</v>
      </c>
      <c r="G2465" t="s">
        <v>7</v>
      </c>
    </row>
    <row r="2466" spans="1:7" x14ac:dyDescent="0.3">
      <c r="A2466" t="s">
        <v>33</v>
      </c>
      <c r="B2466" s="1">
        <v>45838</v>
      </c>
      <c r="C2466">
        <v>547002</v>
      </c>
      <c r="D2466">
        <v>6.9640000000000004</v>
      </c>
      <c r="E2466" t="s">
        <v>6</v>
      </c>
      <c r="F2466" t="s">
        <v>54</v>
      </c>
      <c r="G2466" t="s">
        <v>7</v>
      </c>
    </row>
    <row r="2467" spans="1:7" x14ac:dyDescent="0.3">
      <c r="A2467" t="s">
        <v>33</v>
      </c>
      <c r="B2467" s="1">
        <v>45838</v>
      </c>
      <c r="C2467">
        <v>550003</v>
      </c>
      <c r="D2467">
        <v>61259.487000000001</v>
      </c>
      <c r="E2467" t="s">
        <v>6</v>
      </c>
      <c r="F2467" t="s">
        <v>62</v>
      </c>
      <c r="G2467" t="s">
        <v>7</v>
      </c>
    </row>
    <row r="2468" spans="1:7" x14ac:dyDescent="0.3">
      <c r="A2468" t="s">
        <v>33</v>
      </c>
      <c r="B2468" s="1">
        <v>45838</v>
      </c>
      <c r="C2468">
        <v>551008</v>
      </c>
      <c r="D2468">
        <v>12.157</v>
      </c>
      <c r="E2468" t="s">
        <v>6</v>
      </c>
      <c r="F2468" t="s">
        <v>63</v>
      </c>
      <c r="G2468" t="s">
        <v>7</v>
      </c>
    </row>
    <row r="2469" spans="1:7" x14ac:dyDescent="0.3">
      <c r="A2469" t="s">
        <v>33</v>
      </c>
      <c r="B2469" s="1">
        <v>45838</v>
      </c>
      <c r="C2469">
        <v>552002</v>
      </c>
      <c r="D2469">
        <v>0</v>
      </c>
      <c r="E2469" t="s">
        <v>6</v>
      </c>
      <c r="F2469" t="s">
        <v>55</v>
      </c>
      <c r="G2469" t="s">
        <v>7</v>
      </c>
    </row>
    <row r="2470" spans="1:7" x14ac:dyDescent="0.3">
      <c r="A2470" t="s">
        <v>33</v>
      </c>
      <c r="B2470" s="1">
        <v>45838</v>
      </c>
      <c r="C2470">
        <v>552504</v>
      </c>
      <c r="D2470">
        <v>-529.82000000000005</v>
      </c>
      <c r="E2470" t="s">
        <v>6</v>
      </c>
      <c r="F2470" t="s">
        <v>55</v>
      </c>
      <c r="G2470" t="s">
        <v>7</v>
      </c>
    </row>
    <row r="2471" spans="1:7" x14ac:dyDescent="0.3">
      <c r="A2471" t="s">
        <v>33</v>
      </c>
      <c r="B2471" s="1">
        <v>45838</v>
      </c>
      <c r="C2471">
        <v>554005</v>
      </c>
      <c r="D2471">
        <v>54.302999999999997</v>
      </c>
      <c r="E2471" t="s">
        <v>6</v>
      </c>
      <c r="F2471" t="s">
        <v>55</v>
      </c>
      <c r="G2471" t="s">
        <v>7</v>
      </c>
    </row>
    <row r="2472" spans="1:7" x14ac:dyDescent="0.3">
      <c r="A2472" t="s">
        <v>33</v>
      </c>
      <c r="B2472" s="1">
        <v>45838</v>
      </c>
      <c r="C2472">
        <v>555007</v>
      </c>
      <c r="D2472">
        <v>1.204</v>
      </c>
      <c r="E2472" t="s">
        <v>6</v>
      </c>
      <c r="F2472" t="s">
        <v>55</v>
      </c>
      <c r="G2472" t="s">
        <v>7</v>
      </c>
    </row>
    <row r="2473" spans="1:7" x14ac:dyDescent="0.3">
      <c r="A2473" t="s">
        <v>33</v>
      </c>
      <c r="B2473" s="1">
        <v>45838</v>
      </c>
      <c r="C2473">
        <v>555502</v>
      </c>
      <c r="D2473">
        <v>17.611999999999998</v>
      </c>
      <c r="E2473" t="s">
        <v>6</v>
      </c>
      <c r="F2473" t="s">
        <v>55</v>
      </c>
      <c r="G2473" t="s">
        <v>7</v>
      </c>
    </row>
    <row r="2474" spans="1:7" x14ac:dyDescent="0.3">
      <c r="A2474" t="s">
        <v>33</v>
      </c>
      <c r="B2474" s="1">
        <v>45838</v>
      </c>
      <c r="C2474">
        <v>555508</v>
      </c>
      <c r="D2474">
        <v>37.087000000000003</v>
      </c>
      <c r="E2474" t="s">
        <v>6</v>
      </c>
      <c r="F2474" t="s">
        <v>55</v>
      </c>
      <c r="G2474" t="s">
        <v>7</v>
      </c>
    </row>
    <row r="2475" spans="1:7" x14ac:dyDescent="0.3">
      <c r="A2475" t="s">
        <v>33</v>
      </c>
      <c r="B2475" s="1">
        <v>45838</v>
      </c>
      <c r="C2475">
        <v>556002</v>
      </c>
      <c r="D2475">
        <v>1.806</v>
      </c>
      <c r="E2475" t="s">
        <v>6</v>
      </c>
      <c r="F2475" t="s">
        <v>60</v>
      </c>
      <c r="G2475" t="s">
        <v>7</v>
      </c>
    </row>
    <row r="2476" spans="1:7" x14ac:dyDescent="0.3">
      <c r="A2476" t="s">
        <v>33</v>
      </c>
      <c r="B2476" s="1">
        <v>45838</v>
      </c>
      <c r="C2476">
        <v>556003</v>
      </c>
      <c r="D2476">
        <v>-997.31899999999996</v>
      </c>
      <c r="E2476" t="s">
        <v>6</v>
      </c>
      <c r="F2476" t="s">
        <v>55</v>
      </c>
      <c r="G2476" t="s">
        <v>7</v>
      </c>
    </row>
    <row r="2477" spans="1:7" x14ac:dyDescent="0.3">
      <c r="A2477" t="s">
        <v>33</v>
      </c>
      <c r="B2477" s="1">
        <v>45838</v>
      </c>
      <c r="C2477">
        <v>557002</v>
      </c>
      <c r="D2477">
        <v>4100.808</v>
      </c>
      <c r="E2477" t="s">
        <v>6</v>
      </c>
      <c r="F2477" t="s">
        <v>56</v>
      </c>
      <c r="G2477" t="s">
        <v>7</v>
      </c>
    </row>
    <row r="2478" spans="1:7" x14ac:dyDescent="0.3">
      <c r="A2478" t="s">
        <v>33</v>
      </c>
      <c r="B2478" s="1">
        <v>45838</v>
      </c>
      <c r="C2478">
        <v>557003</v>
      </c>
      <c r="D2478">
        <v>1204.1369999999999</v>
      </c>
      <c r="E2478" t="s">
        <v>6</v>
      </c>
      <c r="F2478" t="s">
        <v>56</v>
      </c>
      <c r="G2478" t="s">
        <v>7</v>
      </c>
    </row>
    <row r="2479" spans="1:7" x14ac:dyDescent="0.3">
      <c r="A2479" t="s">
        <v>33</v>
      </c>
      <c r="B2479" s="1">
        <v>45838</v>
      </c>
      <c r="C2479">
        <v>559002</v>
      </c>
      <c r="D2479">
        <v>30.837</v>
      </c>
      <c r="E2479" t="s">
        <v>6</v>
      </c>
      <c r="F2479" t="s">
        <v>60</v>
      </c>
      <c r="G2479" t="s">
        <v>7</v>
      </c>
    </row>
    <row r="2480" spans="1:7" x14ac:dyDescent="0.3">
      <c r="A2480" t="s">
        <v>33</v>
      </c>
      <c r="B2480" s="1">
        <v>45838</v>
      </c>
      <c r="C2480">
        <v>563002</v>
      </c>
      <c r="D2480">
        <v>609.08100000000002</v>
      </c>
      <c r="E2480" t="s">
        <v>6</v>
      </c>
      <c r="F2480" t="s">
        <v>57</v>
      </c>
      <c r="G2480" t="s">
        <v>7</v>
      </c>
    </row>
    <row r="2481" spans="1:7" x14ac:dyDescent="0.3">
      <c r="A2481" t="s">
        <v>33</v>
      </c>
      <c r="B2481" s="1">
        <v>45838</v>
      </c>
      <c r="C2481">
        <v>564004</v>
      </c>
      <c r="D2481">
        <v>8271.5759999999991</v>
      </c>
      <c r="E2481" t="s">
        <v>6</v>
      </c>
      <c r="F2481" t="s">
        <v>51</v>
      </c>
      <c r="G2481" t="s">
        <v>7</v>
      </c>
    </row>
    <row r="2482" spans="1:7" x14ac:dyDescent="0.3">
      <c r="A2482" t="s">
        <v>33</v>
      </c>
      <c r="B2482" s="1">
        <v>45838</v>
      </c>
      <c r="C2482">
        <v>564006</v>
      </c>
      <c r="D2482">
        <v>4.0000000000000001E-3</v>
      </c>
      <c r="E2482" t="s">
        <v>6</v>
      </c>
      <c r="F2482" t="s">
        <v>57</v>
      </c>
      <c r="G2482" t="s">
        <v>7</v>
      </c>
    </row>
    <row r="2483" spans="1:7" x14ac:dyDescent="0.3">
      <c r="A2483" t="s">
        <v>33</v>
      </c>
      <c r="B2483" s="1">
        <v>45838</v>
      </c>
      <c r="C2483">
        <v>564008</v>
      </c>
      <c r="D2483">
        <v>0</v>
      </c>
      <c r="E2483" t="s">
        <v>6</v>
      </c>
      <c r="F2483" t="s">
        <v>55</v>
      </c>
      <c r="G2483" t="s">
        <v>7</v>
      </c>
    </row>
    <row r="2484" spans="1:7" x14ac:dyDescent="0.3">
      <c r="A2484" t="s">
        <v>33</v>
      </c>
      <c r="B2484" s="1">
        <v>45838</v>
      </c>
      <c r="C2484">
        <v>564020</v>
      </c>
      <c r="D2484">
        <v>81.471000000000004</v>
      </c>
      <c r="E2484" t="s">
        <v>6</v>
      </c>
      <c r="F2484" t="s">
        <v>57</v>
      </c>
      <c r="G2484" t="s">
        <v>7</v>
      </c>
    </row>
    <row r="2485" spans="1:7" x14ac:dyDescent="0.3">
      <c r="A2485" t="s">
        <v>33</v>
      </c>
      <c r="B2485" s="1">
        <v>45838</v>
      </c>
      <c r="C2485">
        <v>570002</v>
      </c>
      <c r="D2485">
        <v>508.41699999999997</v>
      </c>
      <c r="E2485" t="s">
        <v>6</v>
      </c>
      <c r="F2485" t="s">
        <v>66</v>
      </c>
      <c r="G2485" t="s">
        <v>7</v>
      </c>
    </row>
    <row r="2486" spans="1:7" x14ac:dyDescent="0.3">
      <c r="A2486" t="s">
        <v>33</v>
      </c>
      <c r="B2486" s="1">
        <v>45838</v>
      </c>
      <c r="C2486">
        <v>580002</v>
      </c>
      <c r="D2486">
        <v>16.617000000000001</v>
      </c>
      <c r="E2486" t="s">
        <v>6</v>
      </c>
      <c r="F2486" t="s">
        <v>64</v>
      </c>
      <c r="G2486" t="s">
        <v>7</v>
      </c>
    </row>
    <row r="2487" spans="1:7" x14ac:dyDescent="0.3">
      <c r="A2487" t="s">
        <v>33</v>
      </c>
      <c r="B2487" s="1">
        <v>45838</v>
      </c>
      <c r="C2487">
        <v>580003</v>
      </c>
      <c r="D2487">
        <v>16036.089</v>
      </c>
      <c r="E2487" t="s">
        <v>6</v>
      </c>
      <c r="F2487" t="s">
        <v>64</v>
      </c>
      <c r="G2487" t="s">
        <v>7</v>
      </c>
    </row>
    <row r="2488" spans="1:7" x14ac:dyDescent="0.3">
      <c r="A2488" t="s">
        <v>34</v>
      </c>
      <c r="B2488" s="1">
        <v>45838</v>
      </c>
      <c r="C2488">
        <v>210002</v>
      </c>
      <c r="D2488">
        <v>-13464.232</v>
      </c>
      <c r="E2488" t="s">
        <v>4</v>
      </c>
      <c r="F2488" t="s">
        <v>42</v>
      </c>
      <c r="G2488" t="s">
        <v>7</v>
      </c>
    </row>
    <row r="2489" spans="1:7" x14ac:dyDescent="0.3">
      <c r="A2489" t="s">
        <v>34</v>
      </c>
      <c r="B2489" s="1">
        <v>45838</v>
      </c>
      <c r="C2489">
        <v>220006</v>
      </c>
      <c r="D2489">
        <v>-1681050.8119999999</v>
      </c>
      <c r="E2489" t="s">
        <v>4</v>
      </c>
      <c r="F2489" t="s">
        <v>42</v>
      </c>
      <c r="G2489" t="s">
        <v>7</v>
      </c>
    </row>
    <row r="2490" spans="1:7" x14ac:dyDescent="0.3">
      <c r="A2490" t="s">
        <v>34</v>
      </c>
      <c r="B2490" s="1">
        <v>45838</v>
      </c>
      <c r="C2490">
        <v>240002</v>
      </c>
      <c r="D2490">
        <v>216.08699999999999</v>
      </c>
      <c r="E2490" t="s">
        <v>4</v>
      </c>
      <c r="F2490" t="s">
        <v>43</v>
      </c>
      <c r="G2490" t="s">
        <v>7</v>
      </c>
    </row>
    <row r="2491" spans="1:7" x14ac:dyDescent="0.3">
      <c r="A2491" t="s">
        <v>34</v>
      </c>
      <c r="B2491" s="1">
        <v>45838</v>
      </c>
      <c r="C2491">
        <v>240003</v>
      </c>
      <c r="D2491">
        <v>7.2880000000000003</v>
      </c>
      <c r="E2491" t="s">
        <v>4</v>
      </c>
      <c r="F2491" t="s">
        <v>43</v>
      </c>
      <c r="G2491" t="s">
        <v>7</v>
      </c>
    </row>
    <row r="2492" spans="1:7" x14ac:dyDescent="0.3">
      <c r="A2492" t="s">
        <v>34</v>
      </c>
      <c r="B2492" s="1">
        <v>45838</v>
      </c>
      <c r="C2492">
        <v>240009</v>
      </c>
      <c r="D2492">
        <v>-216.08699999999999</v>
      </c>
      <c r="E2492" t="s">
        <v>4</v>
      </c>
      <c r="F2492" t="s">
        <v>43</v>
      </c>
      <c r="G2492" t="s">
        <v>7</v>
      </c>
    </row>
    <row r="2493" spans="1:7" x14ac:dyDescent="0.3">
      <c r="A2493" t="s">
        <v>34</v>
      </c>
      <c r="B2493" s="1">
        <v>45838</v>
      </c>
      <c r="C2493">
        <v>242003</v>
      </c>
      <c r="D2493">
        <v>-360516.27899999998</v>
      </c>
      <c r="E2493" t="s">
        <v>4</v>
      </c>
      <c r="F2493" t="s">
        <v>43</v>
      </c>
      <c r="G2493" t="s">
        <v>7</v>
      </c>
    </row>
    <row r="2494" spans="1:7" x14ac:dyDescent="0.3">
      <c r="A2494" t="s">
        <v>34</v>
      </c>
      <c r="B2494" s="1">
        <v>45838</v>
      </c>
      <c r="C2494">
        <v>242011</v>
      </c>
      <c r="D2494">
        <v>-450229.29200000002</v>
      </c>
      <c r="E2494" t="s">
        <v>4</v>
      </c>
      <c r="F2494" t="s">
        <v>43</v>
      </c>
      <c r="G2494" t="s">
        <v>7</v>
      </c>
    </row>
    <row r="2495" spans="1:7" x14ac:dyDescent="0.3">
      <c r="A2495" t="s">
        <v>34</v>
      </c>
      <c r="B2495" s="1">
        <v>45838</v>
      </c>
      <c r="C2495">
        <v>242013</v>
      </c>
      <c r="D2495">
        <v>-63115.002999999997</v>
      </c>
      <c r="E2495" t="s">
        <v>4</v>
      </c>
      <c r="F2495" t="s">
        <v>43</v>
      </c>
      <c r="G2495" t="s">
        <v>7</v>
      </c>
    </row>
    <row r="2496" spans="1:7" x14ac:dyDescent="0.3">
      <c r="A2496" t="s">
        <v>34</v>
      </c>
      <c r="B2496" s="1">
        <v>45838</v>
      </c>
      <c r="C2496">
        <v>242014</v>
      </c>
      <c r="D2496">
        <v>-20590.384999999998</v>
      </c>
      <c r="E2496" t="s">
        <v>4</v>
      </c>
      <c r="F2496" t="s">
        <v>43</v>
      </c>
      <c r="G2496" t="s">
        <v>7</v>
      </c>
    </row>
    <row r="2497" spans="1:7" x14ac:dyDescent="0.3">
      <c r="A2497" t="s">
        <v>34</v>
      </c>
      <c r="B2497" s="1">
        <v>45838</v>
      </c>
      <c r="C2497">
        <v>242017</v>
      </c>
      <c r="D2497">
        <v>280.93700000000001</v>
      </c>
      <c r="E2497" t="s">
        <v>4</v>
      </c>
      <c r="F2497" t="s">
        <v>43</v>
      </c>
      <c r="G2497" t="s">
        <v>7</v>
      </c>
    </row>
    <row r="2498" spans="1:7" x14ac:dyDescent="0.3">
      <c r="A2498" t="s">
        <v>34</v>
      </c>
      <c r="B2498" s="1">
        <v>45838</v>
      </c>
      <c r="C2498">
        <v>242023</v>
      </c>
      <c r="D2498">
        <v>-6888.625</v>
      </c>
      <c r="E2498" t="s">
        <v>4</v>
      </c>
      <c r="F2498" t="s">
        <v>43</v>
      </c>
      <c r="G2498" t="s">
        <v>7</v>
      </c>
    </row>
    <row r="2499" spans="1:7" x14ac:dyDescent="0.3">
      <c r="A2499" t="s">
        <v>34</v>
      </c>
      <c r="B2499" s="1">
        <v>45838</v>
      </c>
      <c r="C2499">
        <v>242027</v>
      </c>
      <c r="D2499">
        <v>-137567.50700000001</v>
      </c>
      <c r="E2499" t="s">
        <v>4</v>
      </c>
      <c r="F2499" t="s">
        <v>43</v>
      </c>
      <c r="G2499" t="s">
        <v>7</v>
      </c>
    </row>
    <row r="2500" spans="1:7" x14ac:dyDescent="0.3">
      <c r="A2500" t="s">
        <v>34</v>
      </c>
      <c r="B2500" s="1">
        <v>45838</v>
      </c>
      <c r="C2500">
        <v>242030</v>
      </c>
      <c r="D2500">
        <v>-77062.544999999998</v>
      </c>
      <c r="E2500" t="s">
        <v>4</v>
      </c>
      <c r="F2500" t="s">
        <v>43</v>
      </c>
      <c r="G2500" t="s">
        <v>7</v>
      </c>
    </row>
    <row r="2501" spans="1:7" x14ac:dyDescent="0.3">
      <c r="A2501" t="s">
        <v>34</v>
      </c>
      <c r="B2501" s="1">
        <v>45838</v>
      </c>
      <c r="C2501">
        <v>242036</v>
      </c>
      <c r="D2501">
        <v>-22.527000000000001</v>
      </c>
      <c r="E2501" t="s">
        <v>4</v>
      </c>
      <c r="F2501" t="s">
        <v>43</v>
      </c>
      <c r="G2501" t="s">
        <v>7</v>
      </c>
    </row>
    <row r="2502" spans="1:7" x14ac:dyDescent="0.3">
      <c r="A2502" t="s">
        <v>34</v>
      </c>
      <c r="B2502" s="1">
        <v>45838</v>
      </c>
      <c r="C2502">
        <v>242038</v>
      </c>
      <c r="D2502">
        <v>-4040.7750000000001</v>
      </c>
      <c r="E2502" t="s">
        <v>4</v>
      </c>
      <c r="F2502" t="s">
        <v>43</v>
      </c>
      <c r="G2502" t="s">
        <v>7</v>
      </c>
    </row>
    <row r="2503" spans="1:7" x14ac:dyDescent="0.3">
      <c r="A2503" t="s">
        <v>34</v>
      </c>
      <c r="B2503" s="1">
        <v>45838</v>
      </c>
      <c r="C2503">
        <v>242039</v>
      </c>
      <c r="D2503">
        <v>-1265.731</v>
      </c>
      <c r="E2503" t="s">
        <v>4</v>
      </c>
      <c r="F2503" t="s">
        <v>43</v>
      </c>
      <c r="G2503" t="s">
        <v>7</v>
      </c>
    </row>
    <row r="2504" spans="1:7" x14ac:dyDescent="0.3">
      <c r="A2504" t="s">
        <v>34</v>
      </c>
      <c r="B2504" s="1">
        <v>45838</v>
      </c>
      <c r="C2504">
        <v>242041</v>
      </c>
      <c r="D2504">
        <v>10396.282999999999</v>
      </c>
      <c r="E2504" t="s">
        <v>4</v>
      </c>
      <c r="F2504" t="s">
        <v>43</v>
      </c>
      <c r="G2504" t="s">
        <v>7</v>
      </c>
    </row>
    <row r="2505" spans="1:7" x14ac:dyDescent="0.3">
      <c r="A2505" t="s">
        <v>34</v>
      </c>
      <c r="B2505" s="1">
        <v>45838</v>
      </c>
      <c r="C2505">
        <v>243002</v>
      </c>
      <c r="D2505">
        <v>-10675.656000000001</v>
      </c>
      <c r="E2505" t="s">
        <v>4</v>
      </c>
      <c r="F2505" t="s">
        <v>43</v>
      </c>
      <c r="G2505" t="s">
        <v>7</v>
      </c>
    </row>
    <row r="2506" spans="1:7" x14ac:dyDescent="0.3">
      <c r="A2506" t="s">
        <v>34</v>
      </c>
      <c r="B2506" s="1">
        <v>45838</v>
      </c>
      <c r="C2506">
        <v>243003</v>
      </c>
      <c r="D2506">
        <v>-11514.611000000001</v>
      </c>
      <c r="E2506" t="s">
        <v>4</v>
      </c>
      <c r="F2506" t="s">
        <v>43</v>
      </c>
      <c r="G2506" t="s">
        <v>7</v>
      </c>
    </row>
    <row r="2507" spans="1:7" x14ac:dyDescent="0.3">
      <c r="A2507" t="s">
        <v>34</v>
      </c>
      <c r="B2507" s="1">
        <v>45838</v>
      </c>
      <c r="C2507">
        <v>243009</v>
      </c>
      <c r="D2507">
        <v>0</v>
      </c>
      <c r="E2507" t="s">
        <v>4</v>
      </c>
      <c r="F2507" t="s">
        <v>43</v>
      </c>
      <c r="G2507" t="s">
        <v>7</v>
      </c>
    </row>
    <row r="2508" spans="1:7" x14ac:dyDescent="0.3">
      <c r="A2508" t="s">
        <v>34</v>
      </c>
      <c r="B2508" s="1">
        <v>45838</v>
      </c>
      <c r="C2508">
        <v>243010</v>
      </c>
      <c r="D2508">
        <v>-4773.8</v>
      </c>
      <c r="E2508" t="s">
        <v>4</v>
      </c>
      <c r="F2508" t="s">
        <v>43</v>
      </c>
      <c r="G2508" t="s">
        <v>7</v>
      </c>
    </row>
    <row r="2509" spans="1:7" x14ac:dyDescent="0.3">
      <c r="A2509" t="s">
        <v>34</v>
      </c>
      <c r="B2509" s="1">
        <v>45838</v>
      </c>
      <c r="C2509">
        <v>245010</v>
      </c>
      <c r="D2509">
        <v>-70074.797999999995</v>
      </c>
      <c r="E2509" t="s">
        <v>4</v>
      </c>
      <c r="F2509" t="s">
        <v>44</v>
      </c>
      <c r="G2509" t="s">
        <v>7</v>
      </c>
    </row>
    <row r="2510" spans="1:7" x14ac:dyDescent="0.3">
      <c r="A2510" t="s">
        <v>34</v>
      </c>
      <c r="B2510" s="1">
        <v>45838</v>
      </c>
      <c r="C2510">
        <v>245018</v>
      </c>
      <c r="D2510">
        <v>-40173.86</v>
      </c>
      <c r="E2510" t="s">
        <v>4</v>
      </c>
      <c r="F2510" t="s">
        <v>43</v>
      </c>
      <c r="G2510" t="s">
        <v>7</v>
      </c>
    </row>
    <row r="2511" spans="1:7" x14ac:dyDescent="0.3">
      <c r="A2511" t="s">
        <v>34</v>
      </c>
      <c r="B2511" s="1">
        <v>45838</v>
      </c>
      <c r="C2511">
        <v>245055</v>
      </c>
      <c r="D2511">
        <v>0</v>
      </c>
      <c r="E2511" t="s">
        <v>4</v>
      </c>
      <c r="F2511" t="s">
        <v>43</v>
      </c>
      <c r="G2511" t="s">
        <v>7</v>
      </c>
    </row>
    <row r="2512" spans="1:7" x14ac:dyDescent="0.3">
      <c r="A2512" t="s">
        <v>34</v>
      </c>
      <c r="B2512" s="1">
        <v>45838</v>
      </c>
      <c r="C2512">
        <v>245056</v>
      </c>
      <c r="D2512">
        <v>-36.082000000000001</v>
      </c>
      <c r="E2512" t="s">
        <v>4</v>
      </c>
      <c r="F2512" t="s">
        <v>49</v>
      </c>
      <c r="G2512" t="s">
        <v>7</v>
      </c>
    </row>
    <row r="2513" spans="1:7" x14ac:dyDescent="0.3">
      <c r="A2513" t="s">
        <v>34</v>
      </c>
      <c r="B2513" s="1">
        <v>45838</v>
      </c>
      <c r="C2513">
        <v>245058</v>
      </c>
      <c r="D2513">
        <v>0</v>
      </c>
      <c r="E2513" t="s">
        <v>4</v>
      </c>
      <c r="F2513" t="s">
        <v>43</v>
      </c>
      <c r="G2513" t="s">
        <v>7</v>
      </c>
    </row>
    <row r="2514" spans="1:7" x14ac:dyDescent="0.3">
      <c r="A2514" t="s">
        <v>34</v>
      </c>
      <c r="B2514" s="1">
        <v>45838</v>
      </c>
      <c r="C2514">
        <v>245062</v>
      </c>
      <c r="D2514">
        <v>-37132.269999999997</v>
      </c>
      <c r="E2514" t="s">
        <v>4</v>
      </c>
      <c r="F2514" t="s">
        <v>43</v>
      </c>
      <c r="G2514" t="s">
        <v>7</v>
      </c>
    </row>
    <row r="2515" spans="1:7" x14ac:dyDescent="0.3">
      <c r="A2515" t="s">
        <v>34</v>
      </c>
      <c r="B2515" s="1">
        <v>45838</v>
      </c>
      <c r="C2515">
        <v>250003</v>
      </c>
      <c r="D2515">
        <v>-500.61500000000001</v>
      </c>
      <c r="E2515" t="s">
        <v>4</v>
      </c>
      <c r="F2515" t="s">
        <v>45</v>
      </c>
      <c r="G2515" t="s">
        <v>7</v>
      </c>
    </row>
    <row r="2516" spans="1:7" x14ac:dyDescent="0.3">
      <c r="A2516" t="s">
        <v>34</v>
      </c>
      <c r="B2516" s="1">
        <v>45838</v>
      </c>
      <c r="C2516">
        <v>250007</v>
      </c>
      <c r="D2516">
        <v>-12514.734</v>
      </c>
      <c r="E2516" t="s">
        <v>4</v>
      </c>
      <c r="F2516" t="s">
        <v>43</v>
      </c>
      <c r="G2516" t="s">
        <v>7</v>
      </c>
    </row>
    <row r="2517" spans="1:7" x14ac:dyDescent="0.3">
      <c r="A2517" t="s">
        <v>34</v>
      </c>
      <c r="B2517" s="1">
        <v>45838</v>
      </c>
      <c r="C2517">
        <v>251002</v>
      </c>
      <c r="D2517">
        <v>-0.01</v>
      </c>
      <c r="E2517" t="s">
        <v>4</v>
      </c>
      <c r="F2517" t="s">
        <v>45</v>
      </c>
      <c r="G2517" t="s">
        <v>7</v>
      </c>
    </row>
    <row r="2518" spans="1:7" x14ac:dyDescent="0.3">
      <c r="A2518" t="s">
        <v>34</v>
      </c>
      <c r="B2518" s="1">
        <v>45838</v>
      </c>
      <c r="C2518">
        <v>251003</v>
      </c>
      <c r="D2518">
        <v>63387.595000000001</v>
      </c>
      <c r="E2518" t="s">
        <v>4</v>
      </c>
      <c r="F2518" t="s">
        <v>45</v>
      </c>
      <c r="G2518" t="s">
        <v>7</v>
      </c>
    </row>
    <row r="2519" spans="1:7" x14ac:dyDescent="0.3">
      <c r="A2519" t="s">
        <v>34</v>
      </c>
      <c r="B2519" s="1">
        <v>45838</v>
      </c>
      <c r="C2519">
        <v>257008</v>
      </c>
      <c r="D2519">
        <v>-1080.934</v>
      </c>
      <c r="E2519" t="s">
        <v>4</v>
      </c>
      <c r="F2519" t="s">
        <v>45</v>
      </c>
      <c r="G2519" t="s">
        <v>7</v>
      </c>
    </row>
    <row r="2520" spans="1:7" x14ac:dyDescent="0.3">
      <c r="A2520" t="s">
        <v>34</v>
      </c>
      <c r="B2520" s="1">
        <v>45838</v>
      </c>
      <c r="C2520">
        <v>257009</v>
      </c>
      <c r="D2520">
        <v>-10466.817999999999</v>
      </c>
      <c r="E2520" t="s">
        <v>4</v>
      </c>
      <c r="F2520" t="s">
        <v>45</v>
      </c>
      <c r="G2520" t="s">
        <v>7</v>
      </c>
    </row>
    <row r="2521" spans="1:7" x14ac:dyDescent="0.3">
      <c r="A2521" t="s">
        <v>34</v>
      </c>
      <c r="B2521" s="1">
        <v>45838</v>
      </c>
      <c r="C2521">
        <v>257011</v>
      </c>
      <c r="D2521">
        <v>-3587.4879999999998</v>
      </c>
      <c r="E2521" t="s">
        <v>4</v>
      </c>
      <c r="F2521" t="s">
        <v>45</v>
      </c>
      <c r="G2521" t="s">
        <v>7</v>
      </c>
    </row>
    <row r="2522" spans="1:7" x14ac:dyDescent="0.3">
      <c r="A2522" t="s">
        <v>34</v>
      </c>
      <c r="B2522" s="1">
        <v>45838</v>
      </c>
      <c r="C2522">
        <v>257028</v>
      </c>
      <c r="D2522">
        <v>-35592.957000000002</v>
      </c>
      <c r="E2522" t="s">
        <v>4</v>
      </c>
      <c r="F2522" t="s">
        <v>45</v>
      </c>
      <c r="G2522" t="s">
        <v>7</v>
      </c>
    </row>
    <row r="2523" spans="1:7" x14ac:dyDescent="0.3">
      <c r="A2523" t="s">
        <v>34</v>
      </c>
      <c r="B2523" s="1">
        <v>45838</v>
      </c>
      <c r="C2523">
        <v>260004</v>
      </c>
      <c r="D2523">
        <v>1880.85</v>
      </c>
      <c r="E2523" t="s">
        <v>4</v>
      </c>
      <c r="F2523" t="s">
        <v>45</v>
      </c>
      <c r="G2523" t="s">
        <v>7</v>
      </c>
    </row>
    <row r="2524" spans="1:7" x14ac:dyDescent="0.3">
      <c r="A2524" t="s">
        <v>34</v>
      </c>
      <c r="B2524" s="1">
        <v>45838</v>
      </c>
      <c r="C2524">
        <v>270024</v>
      </c>
      <c r="D2524">
        <v>-14048.824000000001</v>
      </c>
      <c r="E2524" t="s">
        <v>4</v>
      </c>
      <c r="F2524" t="s">
        <v>58</v>
      </c>
      <c r="G2524" t="s">
        <v>7</v>
      </c>
    </row>
    <row r="2525" spans="1:7" x14ac:dyDescent="0.3">
      <c r="A2525" t="s">
        <v>34</v>
      </c>
      <c r="B2525" s="1">
        <v>45838</v>
      </c>
      <c r="C2525">
        <v>270025</v>
      </c>
      <c r="D2525">
        <v>-127.176</v>
      </c>
      <c r="E2525" t="s">
        <v>4</v>
      </c>
      <c r="F2525" t="s">
        <v>58</v>
      </c>
      <c r="G2525" t="s">
        <v>7</v>
      </c>
    </row>
    <row r="2526" spans="1:7" x14ac:dyDescent="0.3">
      <c r="A2526" t="s">
        <v>34</v>
      </c>
      <c r="B2526" s="1">
        <v>45838</v>
      </c>
      <c r="C2526">
        <v>270026</v>
      </c>
      <c r="D2526">
        <v>-16780.717000000001</v>
      </c>
      <c r="E2526" t="s">
        <v>4</v>
      </c>
      <c r="F2526" t="s">
        <v>58</v>
      </c>
      <c r="G2526" t="s">
        <v>7</v>
      </c>
    </row>
    <row r="2527" spans="1:7" x14ac:dyDescent="0.3">
      <c r="A2527" t="s">
        <v>34</v>
      </c>
      <c r="B2527" s="1">
        <v>45838</v>
      </c>
      <c r="C2527">
        <v>270027</v>
      </c>
      <c r="D2527">
        <v>-31.824999999999999</v>
      </c>
      <c r="E2527" t="s">
        <v>4</v>
      </c>
      <c r="F2527" t="s">
        <v>58</v>
      </c>
      <c r="G2527" t="s">
        <v>7</v>
      </c>
    </row>
    <row r="2528" spans="1:7" x14ac:dyDescent="0.3">
      <c r="A2528" t="s">
        <v>34</v>
      </c>
      <c r="B2528" s="1">
        <v>45838</v>
      </c>
      <c r="C2528">
        <v>300004</v>
      </c>
      <c r="D2528">
        <v>1692.1690000000001</v>
      </c>
      <c r="E2528" t="s">
        <v>4</v>
      </c>
      <c r="F2528" t="s">
        <v>65</v>
      </c>
      <c r="G2528" t="s">
        <v>7</v>
      </c>
    </row>
    <row r="2529" spans="1:7" x14ac:dyDescent="0.3">
      <c r="A2529" t="s">
        <v>34</v>
      </c>
      <c r="B2529" s="1">
        <v>45838</v>
      </c>
      <c r="C2529">
        <v>300005</v>
      </c>
      <c r="D2529">
        <v>5508.0950000000003</v>
      </c>
      <c r="E2529" t="s">
        <v>4</v>
      </c>
      <c r="F2529" t="s">
        <v>65</v>
      </c>
      <c r="G2529" t="s">
        <v>7</v>
      </c>
    </row>
    <row r="2530" spans="1:7" x14ac:dyDescent="0.3">
      <c r="A2530" t="s">
        <v>34</v>
      </c>
      <c r="B2530" s="1">
        <v>45838</v>
      </c>
      <c r="C2530">
        <v>300008</v>
      </c>
      <c r="D2530">
        <v>15878.032999999999</v>
      </c>
      <c r="E2530" t="s">
        <v>4</v>
      </c>
      <c r="F2530" t="s">
        <v>65</v>
      </c>
      <c r="G2530" t="s">
        <v>7</v>
      </c>
    </row>
    <row r="2531" spans="1:7" x14ac:dyDescent="0.3">
      <c r="A2531" t="s">
        <v>34</v>
      </c>
      <c r="B2531" s="1">
        <v>45838</v>
      </c>
      <c r="C2531">
        <v>300009</v>
      </c>
      <c r="D2531">
        <v>275.63</v>
      </c>
      <c r="E2531" t="s">
        <v>4</v>
      </c>
      <c r="F2531" t="s">
        <v>65</v>
      </c>
      <c r="G2531" t="s">
        <v>7</v>
      </c>
    </row>
    <row r="2532" spans="1:7" x14ac:dyDescent="0.3">
      <c r="A2532" t="s">
        <v>34</v>
      </c>
      <c r="B2532" s="1">
        <v>45838</v>
      </c>
      <c r="C2532">
        <v>300011</v>
      </c>
      <c r="D2532">
        <v>139.22</v>
      </c>
      <c r="E2532" t="s">
        <v>4</v>
      </c>
      <c r="F2532" t="s">
        <v>65</v>
      </c>
      <c r="G2532" t="s">
        <v>7</v>
      </c>
    </row>
    <row r="2533" spans="1:7" x14ac:dyDescent="0.3">
      <c r="A2533" t="s">
        <v>34</v>
      </c>
      <c r="B2533" s="1">
        <v>45838</v>
      </c>
      <c r="C2533">
        <v>300012</v>
      </c>
      <c r="D2533">
        <v>4920.9470000000001</v>
      </c>
      <c r="E2533" t="s">
        <v>4</v>
      </c>
      <c r="F2533" t="s">
        <v>65</v>
      </c>
      <c r="G2533" t="s">
        <v>7</v>
      </c>
    </row>
    <row r="2534" spans="1:7" x14ac:dyDescent="0.3">
      <c r="A2534" t="s">
        <v>34</v>
      </c>
      <c r="B2534" s="1">
        <v>45838</v>
      </c>
      <c r="C2534">
        <v>300504</v>
      </c>
      <c r="D2534">
        <v>-1692.155</v>
      </c>
      <c r="E2534" t="s">
        <v>4</v>
      </c>
      <c r="F2534" t="s">
        <v>65</v>
      </c>
      <c r="G2534" t="s">
        <v>7</v>
      </c>
    </row>
    <row r="2535" spans="1:7" x14ac:dyDescent="0.3">
      <c r="A2535" t="s">
        <v>34</v>
      </c>
      <c r="B2535" s="1">
        <v>45838</v>
      </c>
      <c r="C2535">
        <v>300505</v>
      </c>
      <c r="D2535">
        <v>-5508.0950000000003</v>
      </c>
      <c r="E2535" t="s">
        <v>4</v>
      </c>
      <c r="F2535" t="s">
        <v>65</v>
      </c>
      <c r="G2535" t="s">
        <v>7</v>
      </c>
    </row>
    <row r="2536" spans="1:7" x14ac:dyDescent="0.3">
      <c r="A2536" t="s">
        <v>34</v>
      </c>
      <c r="B2536" s="1">
        <v>45838</v>
      </c>
      <c r="C2536">
        <v>300508</v>
      </c>
      <c r="D2536">
        <v>-15878.032999999999</v>
      </c>
      <c r="E2536" t="s">
        <v>4</v>
      </c>
      <c r="F2536" t="s">
        <v>65</v>
      </c>
      <c r="G2536" t="s">
        <v>7</v>
      </c>
    </row>
    <row r="2537" spans="1:7" x14ac:dyDescent="0.3">
      <c r="A2537" t="s">
        <v>34</v>
      </c>
      <c r="B2537" s="1">
        <v>45838</v>
      </c>
      <c r="C2537">
        <v>300509</v>
      </c>
      <c r="D2537">
        <v>-275.63</v>
      </c>
      <c r="E2537" t="s">
        <v>4</v>
      </c>
      <c r="F2537" t="s">
        <v>65</v>
      </c>
      <c r="G2537" t="s">
        <v>7</v>
      </c>
    </row>
    <row r="2538" spans="1:7" x14ac:dyDescent="0.3">
      <c r="A2538" t="s">
        <v>34</v>
      </c>
      <c r="B2538" s="1">
        <v>45838</v>
      </c>
      <c r="C2538">
        <v>300511</v>
      </c>
      <c r="D2538">
        <v>-109.196</v>
      </c>
      <c r="E2538" t="s">
        <v>4</v>
      </c>
      <c r="F2538" t="s">
        <v>65</v>
      </c>
      <c r="G2538" t="s">
        <v>7</v>
      </c>
    </row>
    <row r="2539" spans="1:7" x14ac:dyDescent="0.3">
      <c r="A2539" t="s">
        <v>34</v>
      </c>
      <c r="B2539" s="1">
        <v>45838</v>
      </c>
      <c r="C2539">
        <v>300512</v>
      </c>
      <c r="D2539">
        <v>-4920.9470000000001</v>
      </c>
      <c r="E2539" t="s">
        <v>4</v>
      </c>
      <c r="F2539" t="s">
        <v>65</v>
      </c>
      <c r="G2539" t="s">
        <v>7</v>
      </c>
    </row>
    <row r="2540" spans="1:7" x14ac:dyDescent="0.3">
      <c r="A2540" t="s">
        <v>34</v>
      </c>
      <c r="B2540" s="1">
        <v>45838</v>
      </c>
      <c r="C2540">
        <v>301005</v>
      </c>
      <c r="D2540">
        <v>4557.4040000000005</v>
      </c>
      <c r="E2540" t="s">
        <v>4</v>
      </c>
      <c r="F2540" t="s">
        <v>65</v>
      </c>
      <c r="G2540" t="s">
        <v>7</v>
      </c>
    </row>
    <row r="2541" spans="1:7" x14ac:dyDescent="0.3">
      <c r="A2541" t="s">
        <v>34</v>
      </c>
      <c r="B2541" s="1">
        <v>45838</v>
      </c>
      <c r="C2541">
        <v>301505</v>
      </c>
      <c r="D2541">
        <v>-4557.4040000000005</v>
      </c>
      <c r="E2541" t="s">
        <v>4</v>
      </c>
      <c r="F2541" t="s">
        <v>65</v>
      </c>
      <c r="G2541" t="s">
        <v>7</v>
      </c>
    </row>
    <row r="2542" spans="1:7" x14ac:dyDescent="0.3">
      <c r="A2542" t="s">
        <v>34</v>
      </c>
      <c r="B2542" s="1">
        <v>45838</v>
      </c>
      <c r="C2542">
        <v>310019</v>
      </c>
      <c r="D2542">
        <v>0.12</v>
      </c>
      <c r="E2542" t="s">
        <v>4</v>
      </c>
      <c r="F2542" t="s">
        <v>42</v>
      </c>
      <c r="G2542" t="s">
        <v>7</v>
      </c>
    </row>
    <row r="2543" spans="1:7" x14ac:dyDescent="0.3">
      <c r="A2543" t="s">
        <v>34</v>
      </c>
      <c r="B2543" s="1">
        <v>45838</v>
      </c>
      <c r="C2543">
        <v>320002</v>
      </c>
      <c r="D2543">
        <v>1622.6849999999999</v>
      </c>
      <c r="E2543" t="s">
        <v>4</v>
      </c>
      <c r="F2543" t="s">
        <v>46</v>
      </c>
      <c r="G2543" t="s">
        <v>7</v>
      </c>
    </row>
    <row r="2544" spans="1:7" x14ac:dyDescent="0.3">
      <c r="A2544" t="s">
        <v>34</v>
      </c>
      <c r="B2544" s="1">
        <v>45838</v>
      </c>
      <c r="C2544">
        <v>320003</v>
      </c>
      <c r="D2544">
        <v>710129.14899999998</v>
      </c>
      <c r="E2544" t="s">
        <v>4</v>
      </c>
      <c r="F2544" t="s">
        <v>46</v>
      </c>
      <c r="G2544" t="s">
        <v>7</v>
      </c>
    </row>
    <row r="2545" spans="1:7" x14ac:dyDescent="0.3">
      <c r="A2545" t="s">
        <v>34</v>
      </c>
      <c r="B2545" s="1">
        <v>45838</v>
      </c>
      <c r="C2545">
        <v>320016</v>
      </c>
      <c r="D2545">
        <v>25040.827000000001</v>
      </c>
      <c r="E2545" t="s">
        <v>4</v>
      </c>
      <c r="F2545" t="s">
        <v>46</v>
      </c>
      <c r="G2545" t="s">
        <v>7</v>
      </c>
    </row>
    <row r="2546" spans="1:7" x14ac:dyDescent="0.3">
      <c r="A2546" t="s">
        <v>34</v>
      </c>
      <c r="B2546" s="1">
        <v>45838</v>
      </c>
      <c r="C2546">
        <v>320023</v>
      </c>
      <c r="D2546">
        <v>-34982.989000000001</v>
      </c>
      <c r="E2546" t="s">
        <v>4</v>
      </c>
      <c r="F2546" t="s">
        <v>46</v>
      </c>
      <c r="G2546" t="s">
        <v>7</v>
      </c>
    </row>
    <row r="2547" spans="1:7" x14ac:dyDescent="0.3">
      <c r="A2547" t="s">
        <v>34</v>
      </c>
      <c r="B2547" s="1">
        <v>45838</v>
      </c>
      <c r="C2547">
        <v>321002</v>
      </c>
      <c r="D2547">
        <v>1100571.757</v>
      </c>
      <c r="E2547" t="s">
        <v>4</v>
      </c>
      <c r="F2547" t="s">
        <v>46</v>
      </c>
      <c r="G2547" t="s">
        <v>7</v>
      </c>
    </row>
    <row r="2548" spans="1:7" x14ac:dyDescent="0.3">
      <c r="A2548" t="s">
        <v>34</v>
      </c>
      <c r="B2548" s="1">
        <v>45838</v>
      </c>
      <c r="C2548">
        <v>321010</v>
      </c>
      <c r="D2548">
        <v>0.91800000000000004</v>
      </c>
      <c r="E2548" t="s">
        <v>4</v>
      </c>
      <c r="F2548" t="s">
        <v>46</v>
      </c>
      <c r="G2548" t="s">
        <v>7</v>
      </c>
    </row>
    <row r="2549" spans="1:7" x14ac:dyDescent="0.3">
      <c r="A2549" t="s">
        <v>34</v>
      </c>
      <c r="B2549" s="1">
        <v>45838</v>
      </c>
      <c r="C2549">
        <v>321013</v>
      </c>
      <c r="D2549">
        <v>920.75900000000001</v>
      </c>
      <c r="E2549" t="s">
        <v>4</v>
      </c>
      <c r="F2549" t="s">
        <v>46</v>
      </c>
      <c r="G2549" t="s">
        <v>7</v>
      </c>
    </row>
    <row r="2550" spans="1:7" x14ac:dyDescent="0.3">
      <c r="A2550" t="s">
        <v>34</v>
      </c>
      <c r="B2550" s="1">
        <v>45838</v>
      </c>
      <c r="C2550">
        <v>321014</v>
      </c>
      <c r="D2550">
        <v>54477.124000000003</v>
      </c>
      <c r="E2550" t="s">
        <v>4</v>
      </c>
      <c r="F2550" t="s">
        <v>46</v>
      </c>
      <c r="G2550" t="s">
        <v>7</v>
      </c>
    </row>
    <row r="2551" spans="1:7" x14ac:dyDescent="0.3">
      <c r="A2551" t="s">
        <v>34</v>
      </c>
      <c r="B2551" s="1">
        <v>45838</v>
      </c>
      <c r="C2551">
        <v>321021</v>
      </c>
      <c r="D2551">
        <v>13107.508</v>
      </c>
      <c r="E2551" t="s">
        <v>4</v>
      </c>
      <c r="F2551" t="s">
        <v>46</v>
      </c>
      <c r="G2551" t="s">
        <v>7</v>
      </c>
    </row>
    <row r="2552" spans="1:7" x14ac:dyDescent="0.3">
      <c r="A2552" t="s">
        <v>34</v>
      </c>
      <c r="B2552" s="1">
        <v>45838</v>
      </c>
      <c r="C2552">
        <v>321025</v>
      </c>
      <c r="D2552">
        <v>50694.695</v>
      </c>
      <c r="E2552" t="s">
        <v>4</v>
      </c>
      <c r="F2552" t="s">
        <v>46</v>
      </c>
      <c r="G2552" t="s">
        <v>7</v>
      </c>
    </row>
    <row r="2553" spans="1:7" x14ac:dyDescent="0.3">
      <c r="A2553" t="s">
        <v>34</v>
      </c>
      <c r="B2553" s="1">
        <v>45838</v>
      </c>
      <c r="C2553">
        <v>321028</v>
      </c>
      <c r="D2553">
        <v>2321.3739999999998</v>
      </c>
      <c r="E2553" t="s">
        <v>4</v>
      </c>
      <c r="F2553" t="s">
        <v>46</v>
      </c>
      <c r="G2553" t="s">
        <v>7</v>
      </c>
    </row>
    <row r="2554" spans="1:7" x14ac:dyDescent="0.3">
      <c r="A2554" t="s">
        <v>34</v>
      </c>
      <c r="B2554" s="1">
        <v>45838</v>
      </c>
      <c r="C2554">
        <v>321029</v>
      </c>
      <c r="D2554">
        <v>67152.476999999999</v>
      </c>
      <c r="E2554" t="s">
        <v>4</v>
      </c>
      <c r="F2554" t="s">
        <v>46</v>
      </c>
      <c r="G2554" t="s">
        <v>7</v>
      </c>
    </row>
    <row r="2555" spans="1:7" x14ac:dyDescent="0.3">
      <c r="A2555" t="s">
        <v>34</v>
      </c>
      <c r="B2555" s="1">
        <v>45838</v>
      </c>
      <c r="C2555">
        <v>321041</v>
      </c>
      <c r="D2555">
        <v>14374.776</v>
      </c>
      <c r="E2555" t="s">
        <v>4</v>
      </c>
      <c r="F2555" t="s">
        <v>46</v>
      </c>
      <c r="G2555" t="s">
        <v>7</v>
      </c>
    </row>
    <row r="2556" spans="1:7" x14ac:dyDescent="0.3">
      <c r="A2556" t="s">
        <v>34</v>
      </c>
      <c r="B2556" s="1">
        <v>45838</v>
      </c>
      <c r="C2556">
        <v>321042</v>
      </c>
      <c r="D2556">
        <v>-63.866999999999997</v>
      </c>
      <c r="E2556" t="s">
        <v>4</v>
      </c>
      <c r="F2556" t="s">
        <v>46</v>
      </c>
      <c r="G2556" t="s">
        <v>7</v>
      </c>
    </row>
    <row r="2557" spans="1:7" x14ac:dyDescent="0.3">
      <c r="A2557" t="s">
        <v>34</v>
      </c>
      <c r="B2557" s="1">
        <v>45838</v>
      </c>
      <c r="C2557">
        <v>330040</v>
      </c>
      <c r="D2557">
        <v>2915.741</v>
      </c>
      <c r="E2557" t="s">
        <v>4</v>
      </c>
      <c r="F2557" t="s">
        <v>43</v>
      </c>
      <c r="G2557" t="s">
        <v>7</v>
      </c>
    </row>
    <row r="2558" spans="1:7" x14ac:dyDescent="0.3">
      <c r="A2558" t="s">
        <v>34</v>
      </c>
      <c r="B2558" s="1">
        <v>45838</v>
      </c>
      <c r="C2558">
        <v>330051</v>
      </c>
      <c r="D2558">
        <v>-3238.991</v>
      </c>
      <c r="E2558" t="s">
        <v>4</v>
      </c>
      <c r="F2558" t="s">
        <v>43</v>
      </c>
      <c r="G2558" t="s">
        <v>7</v>
      </c>
    </row>
    <row r="2559" spans="1:7" x14ac:dyDescent="0.3">
      <c r="A2559" t="s">
        <v>34</v>
      </c>
      <c r="B2559" s="1">
        <v>45838</v>
      </c>
      <c r="C2559">
        <v>330065</v>
      </c>
      <c r="D2559">
        <v>283.26499999999999</v>
      </c>
      <c r="E2559" t="s">
        <v>4</v>
      </c>
      <c r="F2559" t="s">
        <v>43</v>
      </c>
      <c r="G2559" t="s">
        <v>7</v>
      </c>
    </row>
    <row r="2560" spans="1:7" x14ac:dyDescent="0.3">
      <c r="A2560" t="s">
        <v>34</v>
      </c>
      <c r="B2560" s="1">
        <v>45838</v>
      </c>
      <c r="C2560">
        <v>330138</v>
      </c>
      <c r="D2560">
        <v>-1077.3979999999999</v>
      </c>
      <c r="E2560" t="s">
        <v>4</v>
      </c>
      <c r="F2560" t="s">
        <v>43</v>
      </c>
      <c r="G2560" t="s">
        <v>7</v>
      </c>
    </row>
    <row r="2561" spans="1:7" x14ac:dyDescent="0.3">
      <c r="A2561" t="s">
        <v>34</v>
      </c>
      <c r="B2561" s="1">
        <v>45838</v>
      </c>
      <c r="C2561">
        <v>330149</v>
      </c>
      <c r="D2561">
        <v>-1299.9100000000001</v>
      </c>
      <c r="E2561" t="s">
        <v>4</v>
      </c>
      <c r="F2561" t="s">
        <v>43</v>
      </c>
      <c r="G2561" t="s">
        <v>7</v>
      </c>
    </row>
    <row r="2562" spans="1:7" x14ac:dyDescent="0.3">
      <c r="A2562" t="s">
        <v>34</v>
      </c>
      <c r="B2562" s="1">
        <v>45838</v>
      </c>
      <c r="C2562">
        <v>340003</v>
      </c>
      <c r="D2562">
        <v>0</v>
      </c>
      <c r="E2562" t="s">
        <v>4</v>
      </c>
      <c r="F2562" t="s">
        <v>47</v>
      </c>
      <c r="G2562" t="s">
        <v>7</v>
      </c>
    </row>
    <row r="2563" spans="1:7" x14ac:dyDescent="0.3">
      <c r="A2563" t="s">
        <v>34</v>
      </c>
      <c r="B2563" s="1">
        <v>45838</v>
      </c>
      <c r="C2563">
        <v>340062</v>
      </c>
      <c r="D2563">
        <v>342254.48300000001</v>
      </c>
      <c r="E2563" t="s">
        <v>4</v>
      </c>
      <c r="F2563" t="s">
        <v>47</v>
      </c>
      <c r="G2563" t="s">
        <v>7</v>
      </c>
    </row>
    <row r="2564" spans="1:7" x14ac:dyDescent="0.3">
      <c r="A2564" t="s">
        <v>34</v>
      </c>
      <c r="B2564" s="1">
        <v>45838</v>
      </c>
      <c r="C2564">
        <v>340063</v>
      </c>
      <c r="D2564">
        <v>13765882.584000001</v>
      </c>
      <c r="E2564" t="s">
        <v>4</v>
      </c>
      <c r="F2564" t="s">
        <v>47</v>
      </c>
      <c r="G2564" t="s">
        <v>7</v>
      </c>
    </row>
    <row r="2565" spans="1:7" x14ac:dyDescent="0.3">
      <c r="A2565" t="s">
        <v>34</v>
      </c>
      <c r="B2565" s="1">
        <v>45838</v>
      </c>
      <c r="C2565">
        <v>340064</v>
      </c>
      <c r="D2565">
        <v>-13937809.589</v>
      </c>
      <c r="E2565" t="s">
        <v>4</v>
      </c>
      <c r="F2565" t="s">
        <v>47</v>
      </c>
      <c r="G2565" t="s">
        <v>7</v>
      </c>
    </row>
    <row r="2566" spans="1:7" x14ac:dyDescent="0.3">
      <c r="A2566" t="s">
        <v>34</v>
      </c>
      <c r="B2566" s="1">
        <v>45838</v>
      </c>
      <c r="C2566">
        <v>340098</v>
      </c>
      <c r="D2566">
        <v>707.149</v>
      </c>
      <c r="E2566" t="s">
        <v>4</v>
      </c>
      <c r="F2566" t="s">
        <v>47</v>
      </c>
      <c r="G2566" t="s">
        <v>7</v>
      </c>
    </row>
    <row r="2567" spans="1:7" x14ac:dyDescent="0.3">
      <c r="A2567" t="s">
        <v>34</v>
      </c>
      <c r="B2567" s="1">
        <v>45838</v>
      </c>
      <c r="C2567">
        <v>340162</v>
      </c>
      <c r="D2567">
        <v>72933.850999999995</v>
      </c>
      <c r="E2567" t="s">
        <v>4</v>
      </c>
      <c r="F2567" t="s">
        <v>47</v>
      </c>
      <c r="G2567" t="s">
        <v>7</v>
      </c>
    </row>
    <row r="2568" spans="1:7" x14ac:dyDescent="0.3">
      <c r="A2568" t="s">
        <v>34</v>
      </c>
      <c r="B2568" s="1">
        <v>45838</v>
      </c>
      <c r="C2568">
        <v>340163</v>
      </c>
      <c r="D2568">
        <v>6537232.3310000002</v>
      </c>
      <c r="E2568" t="s">
        <v>4</v>
      </c>
      <c r="F2568" t="s">
        <v>47</v>
      </c>
      <c r="G2568" t="s">
        <v>7</v>
      </c>
    </row>
    <row r="2569" spans="1:7" x14ac:dyDescent="0.3">
      <c r="A2569" t="s">
        <v>34</v>
      </c>
      <c r="B2569" s="1">
        <v>45838</v>
      </c>
      <c r="C2569">
        <v>340164</v>
      </c>
      <c r="D2569">
        <v>-6290674.0820000004</v>
      </c>
      <c r="E2569" t="s">
        <v>4</v>
      </c>
      <c r="F2569" t="s">
        <v>47</v>
      </c>
      <c r="G2569" t="s">
        <v>7</v>
      </c>
    </row>
    <row r="2570" spans="1:7" x14ac:dyDescent="0.3">
      <c r="A2570" t="s">
        <v>34</v>
      </c>
      <c r="B2570" s="1">
        <v>45838</v>
      </c>
      <c r="C2570">
        <v>350002</v>
      </c>
      <c r="D2570">
        <v>244.804</v>
      </c>
      <c r="E2570" t="s">
        <v>4</v>
      </c>
      <c r="F2570" t="s">
        <v>49</v>
      </c>
      <c r="G2570" t="s">
        <v>7</v>
      </c>
    </row>
    <row r="2571" spans="1:7" x14ac:dyDescent="0.3">
      <c r="A2571" t="s">
        <v>34</v>
      </c>
      <c r="B2571" s="1">
        <v>45838</v>
      </c>
      <c r="C2571">
        <v>350003</v>
      </c>
      <c r="D2571">
        <v>-97.289000000000001</v>
      </c>
      <c r="E2571" t="s">
        <v>4</v>
      </c>
      <c r="F2571" t="s">
        <v>49</v>
      </c>
      <c r="G2571" t="s">
        <v>7</v>
      </c>
    </row>
    <row r="2572" spans="1:7" x14ac:dyDescent="0.3">
      <c r="A2572" t="s">
        <v>34</v>
      </c>
      <c r="B2572" s="1">
        <v>45838</v>
      </c>
      <c r="C2572">
        <v>350007</v>
      </c>
      <c r="D2572">
        <v>0</v>
      </c>
      <c r="E2572" t="s">
        <v>4</v>
      </c>
      <c r="F2572" t="s">
        <v>49</v>
      </c>
      <c r="G2572" t="s">
        <v>7</v>
      </c>
    </row>
    <row r="2573" spans="1:7" x14ac:dyDescent="0.3">
      <c r="A2573" t="s">
        <v>34</v>
      </c>
      <c r="B2573" s="1">
        <v>45838</v>
      </c>
      <c r="C2573">
        <v>350031</v>
      </c>
      <c r="D2573">
        <v>216.08699999999999</v>
      </c>
      <c r="E2573" t="s">
        <v>4</v>
      </c>
      <c r="F2573" t="s">
        <v>43</v>
      </c>
      <c r="G2573" t="s">
        <v>7</v>
      </c>
    </row>
    <row r="2574" spans="1:7" x14ac:dyDescent="0.3">
      <c r="A2574" t="s">
        <v>34</v>
      </c>
      <c r="B2574" s="1">
        <v>45838</v>
      </c>
      <c r="C2574">
        <v>350034</v>
      </c>
      <c r="D2574">
        <v>36.082000000000001</v>
      </c>
      <c r="E2574" t="s">
        <v>4</v>
      </c>
      <c r="F2574" t="s">
        <v>49</v>
      </c>
      <c r="G2574" t="s">
        <v>7</v>
      </c>
    </row>
    <row r="2575" spans="1:7" x14ac:dyDescent="0.3">
      <c r="A2575" t="s">
        <v>34</v>
      </c>
      <c r="B2575" s="1">
        <v>45838</v>
      </c>
      <c r="C2575">
        <v>351004</v>
      </c>
      <c r="D2575">
        <v>1561.915</v>
      </c>
      <c r="E2575" t="s">
        <v>4</v>
      </c>
      <c r="F2575" t="s">
        <v>45</v>
      </c>
      <c r="G2575" t="s">
        <v>7</v>
      </c>
    </row>
    <row r="2576" spans="1:7" x14ac:dyDescent="0.3">
      <c r="A2576" t="s">
        <v>34</v>
      </c>
      <c r="B2576" s="1">
        <v>45838</v>
      </c>
      <c r="C2576">
        <v>354003</v>
      </c>
      <c r="D2576">
        <v>0</v>
      </c>
      <c r="E2576" t="s">
        <v>4</v>
      </c>
      <c r="F2576" t="s">
        <v>46</v>
      </c>
      <c r="G2576" t="s">
        <v>7</v>
      </c>
    </row>
    <row r="2577" spans="1:7" x14ac:dyDescent="0.3">
      <c r="A2577" t="s">
        <v>34</v>
      </c>
      <c r="B2577" s="1">
        <v>45838</v>
      </c>
      <c r="C2577">
        <v>354005</v>
      </c>
      <c r="D2577">
        <v>0</v>
      </c>
      <c r="E2577" t="s">
        <v>4</v>
      </c>
      <c r="F2577" t="s">
        <v>46</v>
      </c>
      <c r="G2577" t="s">
        <v>7</v>
      </c>
    </row>
    <row r="2578" spans="1:7" x14ac:dyDescent="0.3">
      <c r="A2578" t="s">
        <v>34</v>
      </c>
      <c r="B2578" s="1">
        <v>45838</v>
      </c>
      <c r="C2578">
        <v>354006</v>
      </c>
      <c r="D2578">
        <v>0</v>
      </c>
      <c r="E2578" t="s">
        <v>4</v>
      </c>
      <c r="F2578" t="s">
        <v>46</v>
      </c>
      <c r="G2578" t="s">
        <v>7</v>
      </c>
    </row>
    <row r="2579" spans="1:7" x14ac:dyDescent="0.3">
      <c r="A2579" t="s">
        <v>34</v>
      </c>
      <c r="B2579" s="1">
        <v>45838</v>
      </c>
      <c r="C2579">
        <v>354012</v>
      </c>
      <c r="D2579">
        <v>254672.897</v>
      </c>
      <c r="E2579" t="s">
        <v>4</v>
      </c>
      <c r="F2579" t="s">
        <v>46</v>
      </c>
      <c r="G2579" t="s">
        <v>7</v>
      </c>
    </row>
    <row r="2580" spans="1:7" x14ac:dyDescent="0.3">
      <c r="A2580" t="s">
        <v>34</v>
      </c>
      <c r="B2580" s="1">
        <v>45838</v>
      </c>
      <c r="C2580">
        <v>354014</v>
      </c>
      <c r="D2580">
        <v>89377.645000000004</v>
      </c>
      <c r="E2580" t="s">
        <v>4</v>
      </c>
      <c r="F2580" t="s">
        <v>46</v>
      </c>
      <c r="G2580" t="s">
        <v>7</v>
      </c>
    </row>
    <row r="2581" spans="1:7" x14ac:dyDescent="0.3">
      <c r="A2581" t="s">
        <v>34</v>
      </c>
      <c r="B2581" s="1">
        <v>45838</v>
      </c>
      <c r="C2581">
        <v>354015</v>
      </c>
      <c r="D2581">
        <v>7379.098</v>
      </c>
      <c r="E2581" t="s">
        <v>4</v>
      </c>
      <c r="F2581" t="s">
        <v>46</v>
      </c>
      <c r="G2581" t="s">
        <v>7</v>
      </c>
    </row>
    <row r="2582" spans="1:7" x14ac:dyDescent="0.3">
      <c r="A2582" t="s">
        <v>34</v>
      </c>
      <c r="B2582" s="1">
        <v>45838</v>
      </c>
      <c r="C2582">
        <v>360026</v>
      </c>
      <c r="D2582">
        <v>46338.250999999997</v>
      </c>
      <c r="E2582" t="s">
        <v>4</v>
      </c>
      <c r="F2582" t="s">
        <v>58</v>
      </c>
      <c r="G2582" t="s">
        <v>7</v>
      </c>
    </row>
    <row r="2583" spans="1:7" x14ac:dyDescent="0.3">
      <c r="A2583" t="s">
        <v>34</v>
      </c>
      <c r="B2583" s="1">
        <v>45838</v>
      </c>
      <c r="C2583">
        <v>360027</v>
      </c>
      <c r="D2583">
        <v>13793.737999999999</v>
      </c>
      <c r="E2583" t="s">
        <v>4</v>
      </c>
      <c r="F2583" t="s">
        <v>58</v>
      </c>
      <c r="G2583" t="s">
        <v>7</v>
      </c>
    </row>
    <row r="2584" spans="1:7" x14ac:dyDescent="0.3">
      <c r="A2584" t="s">
        <v>34</v>
      </c>
      <c r="B2584" s="1">
        <v>45838</v>
      </c>
      <c r="C2584">
        <v>360028</v>
      </c>
      <c r="D2584">
        <v>1406.0609999999999</v>
      </c>
      <c r="E2584" t="s">
        <v>4</v>
      </c>
      <c r="F2584" t="s">
        <v>58</v>
      </c>
      <c r="G2584" t="s">
        <v>7</v>
      </c>
    </row>
    <row r="2585" spans="1:7" x14ac:dyDescent="0.3">
      <c r="A2585" t="s">
        <v>34</v>
      </c>
      <c r="B2585" s="1">
        <v>45838</v>
      </c>
      <c r="C2585">
        <v>360030</v>
      </c>
      <c r="D2585">
        <v>28152.484</v>
      </c>
      <c r="E2585" t="s">
        <v>4</v>
      </c>
      <c r="F2585" t="s">
        <v>58</v>
      </c>
      <c r="G2585" t="s">
        <v>7</v>
      </c>
    </row>
    <row r="2586" spans="1:7" x14ac:dyDescent="0.3">
      <c r="A2586" t="s">
        <v>34</v>
      </c>
      <c r="B2586" s="1">
        <v>45838</v>
      </c>
      <c r="C2586">
        <v>364502</v>
      </c>
      <c r="D2586">
        <v>37858.072999999997</v>
      </c>
      <c r="E2586" t="s">
        <v>4</v>
      </c>
      <c r="F2586" t="s">
        <v>58</v>
      </c>
      <c r="G2586" t="s">
        <v>7</v>
      </c>
    </row>
    <row r="2587" spans="1:7" x14ac:dyDescent="0.3">
      <c r="A2587" t="s">
        <v>34</v>
      </c>
      <c r="B2587" s="1">
        <v>45838</v>
      </c>
      <c r="C2587">
        <v>400002</v>
      </c>
      <c r="D2587">
        <v>-506.85700000000003</v>
      </c>
      <c r="E2587" t="s">
        <v>6</v>
      </c>
      <c r="F2587" t="s">
        <v>50</v>
      </c>
      <c r="G2587" t="s">
        <v>7</v>
      </c>
    </row>
    <row r="2588" spans="1:7" x14ac:dyDescent="0.3">
      <c r="A2588" t="s">
        <v>34</v>
      </c>
      <c r="B2588" s="1">
        <v>45838</v>
      </c>
      <c r="C2588">
        <v>400004</v>
      </c>
      <c r="D2588">
        <v>8615.9840000000004</v>
      </c>
      <c r="E2588" t="s">
        <v>6</v>
      </c>
      <c r="F2588" t="s">
        <v>50</v>
      </c>
      <c r="G2588" t="s">
        <v>7</v>
      </c>
    </row>
    <row r="2589" spans="1:7" x14ac:dyDescent="0.3">
      <c r="A2589" t="s">
        <v>34</v>
      </c>
      <c r="B2589" s="1">
        <v>45838</v>
      </c>
      <c r="C2589">
        <v>410002</v>
      </c>
      <c r="D2589">
        <v>-240243.20300000001</v>
      </c>
      <c r="E2589" t="s">
        <v>6</v>
      </c>
      <c r="F2589" t="s">
        <v>51</v>
      </c>
      <c r="G2589" t="s">
        <v>7</v>
      </c>
    </row>
    <row r="2590" spans="1:7" x14ac:dyDescent="0.3">
      <c r="A2590" t="s">
        <v>34</v>
      </c>
      <c r="B2590" s="1">
        <v>45838</v>
      </c>
      <c r="C2590">
        <v>410009</v>
      </c>
      <c r="D2590">
        <v>-24471.088</v>
      </c>
      <c r="E2590" t="s">
        <v>6</v>
      </c>
      <c r="F2590" t="s">
        <v>51</v>
      </c>
      <c r="G2590" t="s">
        <v>7</v>
      </c>
    </row>
    <row r="2591" spans="1:7" x14ac:dyDescent="0.3">
      <c r="A2591" t="s">
        <v>34</v>
      </c>
      <c r="B2591" s="1">
        <v>45838</v>
      </c>
      <c r="C2591">
        <v>410015</v>
      </c>
      <c r="D2591">
        <v>-531.54200000000003</v>
      </c>
      <c r="E2591" t="s">
        <v>6</v>
      </c>
      <c r="F2591" t="s">
        <v>51</v>
      </c>
      <c r="G2591" t="s">
        <v>7</v>
      </c>
    </row>
    <row r="2592" spans="1:7" x14ac:dyDescent="0.3">
      <c r="A2592" t="s">
        <v>34</v>
      </c>
      <c r="B2592" s="1">
        <v>45838</v>
      </c>
      <c r="C2592">
        <v>410019</v>
      </c>
      <c r="D2592">
        <v>73.852999999999994</v>
      </c>
      <c r="E2592" t="s">
        <v>6</v>
      </c>
      <c r="F2592" t="s">
        <v>51</v>
      </c>
      <c r="G2592" t="s">
        <v>7</v>
      </c>
    </row>
    <row r="2593" spans="1:7" x14ac:dyDescent="0.3">
      <c r="A2593" t="s">
        <v>34</v>
      </c>
      <c r="B2593" s="1">
        <v>45838</v>
      </c>
      <c r="C2593">
        <v>410032</v>
      </c>
      <c r="D2593">
        <v>-9021.5319999999992</v>
      </c>
      <c r="E2593" t="s">
        <v>6</v>
      </c>
      <c r="F2593" t="s">
        <v>51</v>
      </c>
      <c r="G2593" t="s">
        <v>7</v>
      </c>
    </row>
    <row r="2594" spans="1:7" x14ac:dyDescent="0.3">
      <c r="A2594" t="s">
        <v>34</v>
      </c>
      <c r="B2594" s="1">
        <v>45838</v>
      </c>
      <c r="C2594">
        <v>410036</v>
      </c>
      <c r="D2594">
        <v>-279.36799999999999</v>
      </c>
      <c r="E2594" t="s">
        <v>6</v>
      </c>
      <c r="F2594" t="s">
        <v>51</v>
      </c>
      <c r="G2594" t="s">
        <v>7</v>
      </c>
    </row>
    <row r="2595" spans="1:7" x14ac:dyDescent="0.3">
      <c r="A2595" t="s">
        <v>34</v>
      </c>
      <c r="B2595" s="1">
        <v>45838</v>
      </c>
      <c r="C2595">
        <v>410037</v>
      </c>
      <c r="D2595">
        <v>-23609.48</v>
      </c>
      <c r="E2595" t="s">
        <v>6</v>
      </c>
      <c r="F2595" t="s">
        <v>51</v>
      </c>
      <c r="G2595" t="s">
        <v>7</v>
      </c>
    </row>
    <row r="2596" spans="1:7" x14ac:dyDescent="0.3">
      <c r="A2596" t="s">
        <v>34</v>
      </c>
      <c r="B2596" s="1">
        <v>45838</v>
      </c>
      <c r="C2596">
        <v>415002</v>
      </c>
      <c r="D2596">
        <v>-354674.98700000002</v>
      </c>
      <c r="E2596" t="s">
        <v>6</v>
      </c>
      <c r="F2596" t="s">
        <v>50</v>
      </c>
      <c r="G2596" t="s">
        <v>7</v>
      </c>
    </row>
    <row r="2597" spans="1:7" x14ac:dyDescent="0.3">
      <c r="A2597" t="s">
        <v>34</v>
      </c>
      <c r="B2597" s="1">
        <v>45838</v>
      </c>
      <c r="C2597">
        <v>415004</v>
      </c>
      <c r="D2597">
        <v>-497617.04700000002</v>
      </c>
      <c r="E2597" t="s">
        <v>6</v>
      </c>
      <c r="F2597" t="s">
        <v>50</v>
      </c>
      <c r="G2597" t="s">
        <v>7</v>
      </c>
    </row>
    <row r="2598" spans="1:7" x14ac:dyDescent="0.3">
      <c r="A2598" t="s">
        <v>34</v>
      </c>
      <c r="B2598" s="1">
        <v>45838</v>
      </c>
      <c r="C2598">
        <v>418002</v>
      </c>
      <c r="D2598">
        <v>0</v>
      </c>
      <c r="E2598" t="s">
        <v>6</v>
      </c>
      <c r="F2598" t="s">
        <v>50</v>
      </c>
      <c r="G2598" t="s">
        <v>7</v>
      </c>
    </row>
    <row r="2599" spans="1:7" x14ac:dyDescent="0.3">
      <c r="A2599" t="s">
        <v>34</v>
      </c>
      <c r="B2599" s="1">
        <v>45838</v>
      </c>
      <c r="C2599">
        <v>418003</v>
      </c>
      <c r="D2599">
        <v>0</v>
      </c>
      <c r="E2599" t="s">
        <v>6</v>
      </c>
      <c r="F2599" t="s">
        <v>51</v>
      </c>
      <c r="G2599" t="s">
        <v>7</v>
      </c>
    </row>
    <row r="2600" spans="1:7" x14ac:dyDescent="0.3">
      <c r="A2600" t="s">
        <v>34</v>
      </c>
      <c r="B2600" s="1">
        <v>45838</v>
      </c>
      <c r="C2600">
        <v>420004</v>
      </c>
      <c r="D2600">
        <v>-0.13700000000000001</v>
      </c>
      <c r="E2600" t="s">
        <v>6</v>
      </c>
      <c r="F2600" t="s">
        <v>52</v>
      </c>
      <c r="G2600" t="s">
        <v>7</v>
      </c>
    </row>
    <row r="2601" spans="1:7" x14ac:dyDescent="0.3">
      <c r="A2601" t="s">
        <v>34</v>
      </c>
      <c r="B2601" s="1">
        <v>45838</v>
      </c>
      <c r="C2601">
        <v>421003</v>
      </c>
      <c r="D2601">
        <v>-7361.5749999999998</v>
      </c>
      <c r="E2601" t="s">
        <v>6</v>
      </c>
      <c r="F2601" t="s">
        <v>52</v>
      </c>
      <c r="G2601" t="s">
        <v>7</v>
      </c>
    </row>
    <row r="2602" spans="1:7" x14ac:dyDescent="0.3">
      <c r="A2602" t="s">
        <v>34</v>
      </c>
      <c r="B2602" s="1">
        <v>45838</v>
      </c>
      <c r="C2602">
        <v>421007</v>
      </c>
      <c r="D2602">
        <v>47.372999999999998</v>
      </c>
      <c r="E2602" t="s">
        <v>6</v>
      </c>
      <c r="F2602" t="s">
        <v>52</v>
      </c>
      <c r="G2602" t="s">
        <v>7</v>
      </c>
    </row>
    <row r="2603" spans="1:7" x14ac:dyDescent="0.3">
      <c r="A2603" t="s">
        <v>34</v>
      </c>
      <c r="B2603" s="1">
        <v>45838</v>
      </c>
      <c r="C2603">
        <v>510002</v>
      </c>
      <c r="D2603">
        <v>309871.27799999999</v>
      </c>
      <c r="E2603" t="s">
        <v>6</v>
      </c>
      <c r="F2603" t="s">
        <v>53</v>
      </c>
      <c r="G2603" t="s">
        <v>7</v>
      </c>
    </row>
    <row r="2604" spans="1:7" x14ac:dyDescent="0.3">
      <c r="A2604" t="s">
        <v>34</v>
      </c>
      <c r="B2604" s="1">
        <v>45838</v>
      </c>
      <c r="C2604">
        <v>510005</v>
      </c>
      <c r="D2604">
        <v>17607.532999999999</v>
      </c>
      <c r="E2604" t="s">
        <v>6</v>
      </c>
      <c r="F2604" t="s">
        <v>53</v>
      </c>
      <c r="G2604" t="s">
        <v>7</v>
      </c>
    </row>
    <row r="2605" spans="1:7" x14ac:dyDescent="0.3">
      <c r="A2605" t="s">
        <v>34</v>
      </c>
      <c r="B2605" s="1">
        <v>45838</v>
      </c>
      <c r="C2605">
        <v>510007</v>
      </c>
      <c r="D2605">
        <v>39795.273000000001</v>
      </c>
      <c r="E2605" t="s">
        <v>6</v>
      </c>
      <c r="F2605" t="s">
        <v>53</v>
      </c>
      <c r="G2605" t="s">
        <v>7</v>
      </c>
    </row>
    <row r="2606" spans="1:7" x14ac:dyDescent="0.3">
      <c r="A2606" t="s">
        <v>34</v>
      </c>
      <c r="B2606" s="1">
        <v>45838</v>
      </c>
      <c r="C2606">
        <v>510010</v>
      </c>
      <c r="D2606">
        <v>7830.6350000000002</v>
      </c>
      <c r="E2606" t="s">
        <v>6</v>
      </c>
      <c r="F2606" t="s">
        <v>53</v>
      </c>
      <c r="G2606" t="s">
        <v>7</v>
      </c>
    </row>
    <row r="2607" spans="1:7" x14ac:dyDescent="0.3">
      <c r="A2607" t="s">
        <v>34</v>
      </c>
      <c r="B2607" s="1">
        <v>45838</v>
      </c>
      <c r="C2607">
        <v>510012</v>
      </c>
      <c r="D2607">
        <v>5226.7479999999996</v>
      </c>
      <c r="E2607" t="s">
        <v>6</v>
      </c>
      <c r="F2607" t="s">
        <v>53</v>
      </c>
      <c r="G2607" t="s">
        <v>7</v>
      </c>
    </row>
    <row r="2608" spans="1:7" x14ac:dyDescent="0.3">
      <c r="A2608" t="s">
        <v>34</v>
      </c>
      <c r="B2608" s="1">
        <v>45838</v>
      </c>
      <c r="C2608">
        <v>510015</v>
      </c>
      <c r="D2608">
        <v>29131.477999999999</v>
      </c>
      <c r="E2608" t="s">
        <v>6</v>
      </c>
      <c r="F2608" t="s">
        <v>53</v>
      </c>
      <c r="G2608" t="s">
        <v>7</v>
      </c>
    </row>
    <row r="2609" spans="1:7" x14ac:dyDescent="0.3">
      <c r="A2609" t="s">
        <v>34</v>
      </c>
      <c r="B2609" s="1">
        <v>45838</v>
      </c>
      <c r="C2609">
        <v>510018</v>
      </c>
      <c r="D2609">
        <v>34242.824999999997</v>
      </c>
      <c r="E2609" t="s">
        <v>6</v>
      </c>
      <c r="F2609" t="s">
        <v>53</v>
      </c>
      <c r="G2609" t="s">
        <v>7</v>
      </c>
    </row>
    <row r="2610" spans="1:7" x14ac:dyDescent="0.3">
      <c r="A2610" t="s">
        <v>34</v>
      </c>
      <c r="B2610" s="1">
        <v>45838</v>
      </c>
      <c r="C2610">
        <v>510049</v>
      </c>
      <c r="D2610">
        <v>0</v>
      </c>
      <c r="E2610" t="s">
        <v>6</v>
      </c>
      <c r="F2610" t="s">
        <v>60</v>
      </c>
      <c r="G2610" t="s">
        <v>7</v>
      </c>
    </row>
    <row r="2611" spans="1:7" x14ac:dyDescent="0.3">
      <c r="A2611" t="s">
        <v>34</v>
      </c>
      <c r="B2611" s="1">
        <v>45838</v>
      </c>
      <c r="C2611">
        <v>510059</v>
      </c>
      <c r="D2611">
        <v>957.06799999999998</v>
      </c>
      <c r="E2611" t="s">
        <v>6</v>
      </c>
      <c r="F2611" t="s">
        <v>53</v>
      </c>
      <c r="G2611" t="s">
        <v>7</v>
      </c>
    </row>
    <row r="2612" spans="1:7" x14ac:dyDescent="0.3">
      <c r="A2612" t="s">
        <v>34</v>
      </c>
      <c r="B2612" s="1">
        <v>45838</v>
      </c>
      <c r="C2612">
        <v>510061</v>
      </c>
      <c r="D2612">
        <v>0</v>
      </c>
      <c r="E2612" t="s">
        <v>6</v>
      </c>
      <c r="F2612" t="s">
        <v>53</v>
      </c>
      <c r="G2612" t="s">
        <v>7</v>
      </c>
    </row>
    <row r="2613" spans="1:7" x14ac:dyDescent="0.3">
      <c r="A2613" t="s">
        <v>34</v>
      </c>
      <c r="B2613" s="1">
        <v>45838</v>
      </c>
      <c r="C2613">
        <v>510062</v>
      </c>
      <c r="D2613">
        <v>8341.6560000000009</v>
      </c>
      <c r="E2613" t="s">
        <v>6</v>
      </c>
      <c r="F2613" t="s">
        <v>53</v>
      </c>
      <c r="G2613" t="s">
        <v>7</v>
      </c>
    </row>
    <row r="2614" spans="1:7" x14ac:dyDescent="0.3">
      <c r="A2614" t="s">
        <v>34</v>
      </c>
      <c r="B2614" s="1">
        <v>45838</v>
      </c>
      <c r="C2614">
        <v>510064</v>
      </c>
      <c r="D2614">
        <v>484.71600000000001</v>
      </c>
      <c r="E2614" t="s">
        <v>6</v>
      </c>
      <c r="F2614" t="s">
        <v>53</v>
      </c>
      <c r="G2614" t="s">
        <v>7</v>
      </c>
    </row>
    <row r="2615" spans="1:7" x14ac:dyDescent="0.3">
      <c r="A2615" t="s">
        <v>34</v>
      </c>
      <c r="B2615" s="1">
        <v>45838</v>
      </c>
      <c r="C2615">
        <v>510065</v>
      </c>
      <c r="D2615">
        <v>2455.5419999999999</v>
      </c>
      <c r="E2615" t="s">
        <v>6</v>
      </c>
      <c r="F2615" t="s">
        <v>53</v>
      </c>
      <c r="G2615" t="s">
        <v>7</v>
      </c>
    </row>
    <row r="2616" spans="1:7" x14ac:dyDescent="0.3">
      <c r="A2616" t="s">
        <v>34</v>
      </c>
      <c r="B2616" s="1">
        <v>45838</v>
      </c>
      <c r="C2616">
        <v>510066</v>
      </c>
      <c r="D2616">
        <v>0</v>
      </c>
      <c r="E2616" t="s">
        <v>6</v>
      </c>
      <c r="F2616" t="s">
        <v>53</v>
      </c>
      <c r="G2616" t="s">
        <v>7</v>
      </c>
    </row>
    <row r="2617" spans="1:7" x14ac:dyDescent="0.3">
      <c r="A2617" t="s">
        <v>34</v>
      </c>
      <c r="B2617" s="1">
        <v>45838</v>
      </c>
      <c r="C2617">
        <v>520021</v>
      </c>
      <c r="D2617">
        <v>389.863</v>
      </c>
      <c r="E2617" t="s">
        <v>6</v>
      </c>
      <c r="F2617" t="s">
        <v>60</v>
      </c>
      <c r="G2617" t="s">
        <v>7</v>
      </c>
    </row>
    <row r="2618" spans="1:7" x14ac:dyDescent="0.3">
      <c r="A2618" t="s">
        <v>34</v>
      </c>
      <c r="B2618" s="1">
        <v>45838</v>
      </c>
      <c r="C2618">
        <v>521002</v>
      </c>
      <c r="D2618">
        <v>0</v>
      </c>
      <c r="E2618" t="s">
        <v>6</v>
      </c>
      <c r="F2618" t="s">
        <v>53</v>
      </c>
      <c r="G2618" t="s">
        <v>7</v>
      </c>
    </row>
    <row r="2619" spans="1:7" x14ac:dyDescent="0.3">
      <c r="A2619" t="s">
        <v>34</v>
      </c>
      <c r="B2619" s="1">
        <v>45838</v>
      </c>
      <c r="C2619">
        <v>521004</v>
      </c>
      <c r="D2619">
        <v>0</v>
      </c>
      <c r="E2619" t="s">
        <v>6</v>
      </c>
      <c r="F2619" t="s">
        <v>53</v>
      </c>
      <c r="G2619" t="s">
        <v>7</v>
      </c>
    </row>
    <row r="2620" spans="1:7" x14ac:dyDescent="0.3">
      <c r="A2620" t="s">
        <v>34</v>
      </c>
      <c r="B2620" s="1">
        <v>45838</v>
      </c>
      <c r="C2620">
        <v>521006</v>
      </c>
      <c r="D2620">
        <v>0</v>
      </c>
      <c r="E2620" t="s">
        <v>6</v>
      </c>
      <c r="F2620" t="s">
        <v>53</v>
      </c>
      <c r="G2620" t="s">
        <v>7</v>
      </c>
    </row>
    <row r="2621" spans="1:7" x14ac:dyDescent="0.3">
      <c r="A2621" t="s">
        <v>34</v>
      </c>
      <c r="B2621" s="1">
        <v>45838</v>
      </c>
      <c r="C2621">
        <v>521007</v>
      </c>
      <c r="D2621">
        <v>0</v>
      </c>
      <c r="E2621" t="s">
        <v>6</v>
      </c>
      <c r="F2621" t="s">
        <v>53</v>
      </c>
      <c r="G2621" t="s">
        <v>7</v>
      </c>
    </row>
    <row r="2622" spans="1:7" x14ac:dyDescent="0.3">
      <c r="A2622" t="s">
        <v>34</v>
      </c>
      <c r="B2622" s="1">
        <v>45838</v>
      </c>
      <c r="C2622">
        <v>521008</v>
      </c>
      <c r="D2622">
        <v>0</v>
      </c>
      <c r="E2622" t="s">
        <v>6</v>
      </c>
      <c r="F2622" t="s">
        <v>53</v>
      </c>
      <c r="G2622" t="s">
        <v>7</v>
      </c>
    </row>
    <row r="2623" spans="1:7" x14ac:dyDescent="0.3">
      <c r="A2623" t="s">
        <v>34</v>
      </c>
      <c r="B2623" s="1">
        <v>45838</v>
      </c>
      <c r="C2623">
        <v>521012</v>
      </c>
      <c r="D2623">
        <v>0</v>
      </c>
      <c r="E2623" t="s">
        <v>6</v>
      </c>
      <c r="F2623" t="s">
        <v>53</v>
      </c>
      <c r="G2623" t="s">
        <v>7</v>
      </c>
    </row>
    <row r="2624" spans="1:7" x14ac:dyDescent="0.3">
      <c r="A2624" t="s">
        <v>34</v>
      </c>
      <c r="B2624" s="1">
        <v>45838</v>
      </c>
      <c r="C2624">
        <v>521014</v>
      </c>
      <c r="D2624">
        <v>0</v>
      </c>
      <c r="E2624" t="s">
        <v>6</v>
      </c>
      <c r="F2624" t="s">
        <v>53</v>
      </c>
      <c r="G2624" t="s">
        <v>7</v>
      </c>
    </row>
    <row r="2625" spans="1:7" x14ac:dyDescent="0.3">
      <c r="A2625" t="s">
        <v>34</v>
      </c>
      <c r="B2625" s="1">
        <v>45838</v>
      </c>
      <c r="C2625">
        <v>530012</v>
      </c>
      <c r="D2625">
        <v>32196.51</v>
      </c>
      <c r="E2625" t="s">
        <v>6</v>
      </c>
      <c r="F2625" t="s">
        <v>53</v>
      </c>
      <c r="G2625" t="s">
        <v>7</v>
      </c>
    </row>
    <row r="2626" spans="1:7" x14ac:dyDescent="0.3">
      <c r="A2626" t="s">
        <v>34</v>
      </c>
      <c r="B2626" s="1">
        <v>45838</v>
      </c>
      <c r="C2626">
        <v>541002</v>
      </c>
      <c r="D2626">
        <v>8664.5949999999993</v>
      </c>
      <c r="E2626" t="s">
        <v>6</v>
      </c>
      <c r="F2626" t="s">
        <v>61</v>
      </c>
      <c r="G2626" t="s">
        <v>7</v>
      </c>
    </row>
    <row r="2627" spans="1:7" x14ac:dyDescent="0.3">
      <c r="A2627" t="s">
        <v>34</v>
      </c>
      <c r="B2627" s="1">
        <v>45838</v>
      </c>
      <c r="C2627">
        <v>541004</v>
      </c>
      <c r="D2627">
        <v>1446.1679999999999</v>
      </c>
      <c r="E2627" t="s">
        <v>6</v>
      </c>
      <c r="F2627" t="s">
        <v>61</v>
      </c>
      <c r="G2627" t="s">
        <v>7</v>
      </c>
    </row>
    <row r="2628" spans="1:7" x14ac:dyDescent="0.3">
      <c r="A2628" t="s">
        <v>34</v>
      </c>
      <c r="B2628" s="1">
        <v>45838</v>
      </c>
      <c r="C2628">
        <v>541009</v>
      </c>
      <c r="D2628">
        <v>7148.5789999999997</v>
      </c>
      <c r="E2628" t="s">
        <v>6</v>
      </c>
      <c r="F2628" t="s">
        <v>61</v>
      </c>
      <c r="G2628" t="s">
        <v>7</v>
      </c>
    </row>
    <row r="2629" spans="1:7" x14ac:dyDescent="0.3">
      <c r="A2629" t="s">
        <v>34</v>
      </c>
      <c r="B2629" s="1">
        <v>45838</v>
      </c>
      <c r="C2629">
        <v>541010</v>
      </c>
      <c r="D2629">
        <v>3940.105</v>
      </c>
      <c r="E2629" t="s">
        <v>6</v>
      </c>
      <c r="F2629" t="s">
        <v>61</v>
      </c>
      <c r="G2629" t="s">
        <v>7</v>
      </c>
    </row>
    <row r="2630" spans="1:7" x14ac:dyDescent="0.3">
      <c r="A2630" t="s">
        <v>34</v>
      </c>
      <c r="B2630" s="1">
        <v>45838</v>
      </c>
      <c r="C2630">
        <v>541012</v>
      </c>
      <c r="D2630">
        <v>0</v>
      </c>
      <c r="E2630" t="s">
        <v>6</v>
      </c>
      <c r="F2630" t="s">
        <v>61</v>
      </c>
      <c r="G2630" t="s">
        <v>7</v>
      </c>
    </row>
    <row r="2631" spans="1:7" x14ac:dyDescent="0.3">
      <c r="A2631" t="s">
        <v>34</v>
      </c>
      <c r="B2631" s="1">
        <v>45838</v>
      </c>
      <c r="C2631">
        <v>541013</v>
      </c>
      <c r="D2631">
        <v>1448.3789999999999</v>
      </c>
      <c r="E2631" t="s">
        <v>6</v>
      </c>
      <c r="F2631" t="s">
        <v>61</v>
      </c>
      <c r="G2631" t="s">
        <v>7</v>
      </c>
    </row>
    <row r="2632" spans="1:7" x14ac:dyDescent="0.3">
      <c r="A2632" t="s">
        <v>34</v>
      </c>
      <c r="B2632" s="1">
        <v>45838</v>
      </c>
      <c r="C2632">
        <v>544006</v>
      </c>
      <c r="D2632">
        <v>-896.34</v>
      </c>
      <c r="E2632" t="s">
        <v>6</v>
      </c>
      <c r="F2632" t="s">
        <v>61</v>
      </c>
      <c r="G2632" t="s">
        <v>7</v>
      </c>
    </row>
    <row r="2633" spans="1:7" x14ac:dyDescent="0.3">
      <c r="A2633" t="s">
        <v>34</v>
      </c>
      <c r="B2633" s="1">
        <v>45838</v>
      </c>
      <c r="C2633">
        <v>546002</v>
      </c>
      <c r="D2633">
        <v>464551.02</v>
      </c>
      <c r="E2633" t="s">
        <v>6</v>
      </c>
      <c r="F2633" t="s">
        <v>51</v>
      </c>
      <c r="G2633" t="s">
        <v>7</v>
      </c>
    </row>
    <row r="2634" spans="1:7" x14ac:dyDescent="0.3">
      <c r="A2634" t="s">
        <v>34</v>
      </c>
      <c r="B2634" s="1">
        <v>45838</v>
      </c>
      <c r="C2634">
        <v>546008</v>
      </c>
      <c r="D2634">
        <v>1797.904</v>
      </c>
      <c r="E2634" t="s">
        <v>6</v>
      </c>
      <c r="F2634" t="s">
        <v>51</v>
      </c>
      <c r="G2634" t="s">
        <v>7</v>
      </c>
    </row>
    <row r="2635" spans="1:7" x14ac:dyDescent="0.3">
      <c r="A2635" t="s">
        <v>34</v>
      </c>
      <c r="B2635" s="1">
        <v>45838</v>
      </c>
      <c r="C2635">
        <v>546013</v>
      </c>
      <c r="D2635">
        <v>90573.42</v>
      </c>
      <c r="E2635" t="s">
        <v>6</v>
      </c>
      <c r="F2635" t="s">
        <v>51</v>
      </c>
      <c r="G2635" t="s">
        <v>7</v>
      </c>
    </row>
    <row r="2636" spans="1:7" x14ac:dyDescent="0.3">
      <c r="A2636" t="s">
        <v>34</v>
      </c>
      <c r="B2636" s="1">
        <v>45838</v>
      </c>
      <c r="C2636">
        <v>546016</v>
      </c>
      <c r="D2636">
        <v>14099.737999999999</v>
      </c>
      <c r="E2636" t="s">
        <v>6</v>
      </c>
      <c r="F2636" t="s">
        <v>51</v>
      </c>
      <c r="G2636" t="s">
        <v>7</v>
      </c>
    </row>
    <row r="2637" spans="1:7" x14ac:dyDescent="0.3">
      <c r="A2637" t="s">
        <v>34</v>
      </c>
      <c r="B2637" s="1">
        <v>45838</v>
      </c>
      <c r="C2637">
        <v>546035</v>
      </c>
      <c r="D2637">
        <v>38824.508999999998</v>
      </c>
      <c r="E2637" t="s">
        <v>6</v>
      </c>
      <c r="F2637" t="s">
        <v>51</v>
      </c>
      <c r="G2637" t="s">
        <v>7</v>
      </c>
    </row>
    <row r="2638" spans="1:7" x14ac:dyDescent="0.3">
      <c r="A2638" t="s">
        <v>34</v>
      </c>
      <c r="B2638" s="1">
        <v>45838</v>
      </c>
      <c r="C2638">
        <v>546040</v>
      </c>
      <c r="D2638">
        <v>11557.652</v>
      </c>
      <c r="E2638" t="s">
        <v>6</v>
      </c>
      <c r="F2638" t="s">
        <v>51</v>
      </c>
      <c r="G2638" t="s">
        <v>7</v>
      </c>
    </row>
    <row r="2639" spans="1:7" x14ac:dyDescent="0.3">
      <c r="A2639" t="s">
        <v>34</v>
      </c>
      <c r="B2639" s="1">
        <v>45838</v>
      </c>
      <c r="C2639">
        <v>546045</v>
      </c>
      <c r="D2639">
        <v>1245.1690000000001</v>
      </c>
      <c r="E2639" t="s">
        <v>6</v>
      </c>
      <c r="F2639" t="s">
        <v>51</v>
      </c>
      <c r="G2639" t="s">
        <v>7</v>
      </c>
    </row>
    <row r="2640" spans="1:7" x14ac:dyDescent="0.3">
      <c r="A2640" t="s">
        <v>34</v>
      </c>
      <c r="B2640" s="1">
        <v>45838</v>
      </c>
      <c r="C2640">
        <v>546047</v>
      </c>
      <c r="D2640">
        <v>43.685000000000002</v>
      </c>
      <c r="E2640" t="s">
        <v>6</v>
      </c>
      <c r="F2640" t="s">
        <v>51</v>
      </c>
      <c r="G2640" t="s">
        <v>7</v>
      </c>
    </row>
    <row r="2641" spans="1:7" x14ac:dyDescent="0.3">
      <c r="A2641" t="s">
        <v>34</v>
      </c>
      <c r="B2641" s="1">
        <v>45838</v>
      </c>
      <c r="C2641">
        <v>547006</v>
      </c>
      <c r="D2641">
        <v>2951.3389999999999</v>
      </c>
      <c r="E2641" t="s">
        <v>6</v>
      </c>
      <c r="F2641" t="s">
        <v>54</v>
      </c>
      <c r="G2641" t="s">
        <v>7</v>
      </c>
    </row>
    <row r="2642" spans="1:7" x14ac:dyDescent="0.3">
      <c r="A2642" t="s">
        <v>34</v>
      </c>
      <c r="B2642" s="1">
        <v>45838</v>
      </c>
      <c r="C2642">
        <v>550003</v>
      </c>
      <c r="D2642">
        <v>34073.213000000003</v>
      </c>
      <c r="E2642" t="s">
        <v>6</v>
      </c>
      <c r="F2642" t="s">
        <v>62</v>
      </c>
      <c r="G2642" t="s">
        <v>7</v>
      </c>
    </row>
    <row r="2643" spans="1:7" x14ac:dyDescent="0.3">
      <c r="A2643" t="s">
        <v>34</v>
      </c>
      <c r="B2643" s="1">
        <v>45838</v>
      </c>
      <c r="C2643">
        <v>551008</v>
      </c>
      <c r="D2643">
        <v>7.3490000000000002</v>
      </c>
      <c r="E2643" t="s">
        <v>6</v>
      </c>
      <c r="F2643" t="s">
        <v>63</v>
      </c>
      <c r="G2643" t="s">
        <v>7</v>
      </c>
    </row>
    <row r="2644" spans="1:7" x14ac:dyDescent="0.3">
      <c r="A2644" t="s">
        <v>34</v>
      </c>
      <c r="B2644" s="1">
        <v>45838</v>
      </c>
      <c r="C2644">
        <v>552504</v>
      </c>
      <c r="D2644">
        <v>0</v>
      </c>
      <c r="E2644" t="s">
        <v>6</v>
      </c>
      <c r="F2644" t="s">
        <v>55</v>
      </c>
      <c r="G2644" t="s">
        <v>7</v>
      </c>
    </row>
    <row r="2645" spans="1:7" x14ac:dyDescent="0.3">
      <c r="A2645" t="s">
        <v>34</v>
      </c>
      <c r="B2645" s="1">
        <v>45838</v>
      </c>
      <c r="C2645">
        <v>555502</v>
      </c>
      <c r="D2645">
        <v>-18.062000000000001</v>
      </c>
      <c r="E2645" t="s">
        <v>6</v>
      </c>
      <c r="F2645" t="s">
        <v>55</v>
      </c>
      <c r="G2645" t="s">
        <v>7</v>
      </c>
    </row>
    <row r="2646" spans="1:7" x14ac:dyDescent="0.3">
      <c r="A2646" t="s">
        <v>34</v>
      </c>
      <c r="B2646" s="1">
        <v>45838</v>
      </c>
      <c r="C2646">
        <v>555508</v>
      </c>
      <c r="D2646">
        <v>8.4290000000000003</v>
      </c>
      <c r="E2646" t="s">
        <v>6</v>
      </c>
      <c r="F2646" t="s">
        <v>55</v>
      </c>
      <c r="G2646" t="s">
        <v>7</v>
      </c>
    </row>
    <row r="2647" spans="1:7" x14ac:dyDescent="0.3">
      <c r="A2647" t="s">
        <v>34</v>
      </c>
      <c r="B2647" s="1">
        <v>45838</v>
      </c>
      <c r="C2647">
        <v>556002</v>
      </c>
      <c r="D2647">
        <v>49.957999999999998</v>
      </c>
      <c r="E2647" t="s">
        <v>6</v>
      </c>
      <c r="F2647" t="s">
        <v>60</v>
      </c>
      <c r="G2647" t="s">
        <v>7</v>
      </c>
    </row>
    <row r="2648" spans="1:7" x14ac:dyDescent="0.3">
      <c r="A2648" t="s">
        <v>34</v>
      </c>
      <c r="B2648" s="1">
        <v>45838</v>
      </c>
      <c r="C2648">
        <v>557002</v>
      </c>
      <c r="D2648">
        <v>1101.932</v>
      </c>
      <c r="E2648" t="s">
        <v>6</v>
      </c>
      <c r="F2648" t="s">
        <v>56</v>
      </c>
      <c r="G2648" t="s">
        <v>7</v>
      </c>
    </row>
    <row r="2649" spans="1:7" x14ac:dyDescent="0.3">
      <c r="A2649" t="s">
        <v>34</v>
      </c>
      <c r="B2649" s="1">
        <v>45838</v>
      </c>
      <c r="C2649">
        <v>557003</v>
      </c>
      <c r="D2649">
        <v>-114.875</v>
      </c>
      <c r="E2649" t="s">
        <v>6</v>
      </c>
      <c r="F2649" t="s">
        <v>56</v>
      </c>
      <c r="G2649" t="s">
        <v>7</v>
      </c>
    </row>
    <row r="2650" spans="1:7" x14ac:dyDescent="0.3">
      <c r="A2650" t="s">
        <v>34</v>
      </c>
      <c r="B2650" s="1">
        <v>45838</v>
      </c>
      <c r="C2650">
        <v>558012</v>
      </c>
      <c r="D2650">
        <v>475.46199999999999</v>
      </c>
      <c r="E2650" t="s">
        <v>6</v>
      </c>
      <c r="F2650" t="s">
        <v>60</v>
      </c>
      <c r="G2650" t="s">
        <v>7</v>
      </c>
    </row>
    <row r="2651" spans="1:7" x14ac:dyDescent="0.3">
      <c r="A2651" t="s">
        <v>34</v>
      </c>
      <c r="B2651" s="1">
        <v>45838</v>
      </c>
      <c r="C2651">
        <v>563002</v>
      </c>
      <c r="D2651">
        <v>5517.2950000000001</v>
      </c>
      <c r="E2651" t="s">
        <v>6</v>
      </c>
      <c r="F2651" t="s">
        <v>57</v>
      </c>
      <c r="G2651" t="s">
        <v>7</v>
      </c>
    </row>
    <row r="2652" spans="1:7" x14ac:dyDescent="0.3">
      <c r="A2652" t="s">
        <v>34</v>
      </c>
      <c r="B2652" s="1">
        <v>45838</v>
      </c>
      <c r="C2652">
        <v>564004</v>
      </c>
      <c r="D2652">
        <v>9815.64</v>
      </c>
      <c r="E2652" t="s">
        <v>6</v>
      </c>
      <c r="F2652" t="s">
        <v>51</v>
      </c>
      <c r="G2652" t="s">
        <v>7</v>
      </c>
    </row>
    <row r="2653" spans="1:7" x14ac:dyDescent="0.3">
      <c r="A2653" t="s">
        <v>34</v>
      </c>
      <c r="B2653" s="1">
        <v>45838</v>
      </c>
      <c r="C2653">
        <v>564006</v>
      </c>
      <c r="D2653">
        <v>-0.122</v>
      </c>
      <c r="E2653" t="s">
        <v>6</v>
      </c>
      <c r="F2653" t="s">
        <v>57</v>
      </c>
      <c r="G2653" t="s">
        <v>7</v>
      </c>
    </row>
    <row r="2654" spans="1:7" x14ac:dyDescent="0.3">
      <c r="A2654" t="s">
        <v>34</v>
      </c>
      <c r="B2654" s="1">
        <v>45838</v>
      </c>
      <c r="C2654">
        <v>564020</v>
      </c>
      <c r="D2654">
        <v>46.073999999999998</v>
      </c>
      <c r="E2654" t="s">
        <v>6</v>
      </c>
      <c r="F2654" t="s">
        <v>57</v>
      </c>
      <c r="G2654" t="s">
        <v>7</v>
      </c>
    </row>
    <row r="2655" spans="1:7" x14ac:dyDescent="0.3">
      <c r="A2655" t="s">
        <v>34</v>
      </c>
      <c r="B2655" s="1">
        <v>45838</v>
      </c>
      <c r="C2655">
        <v>570002</v>
      </c>
      <c r="D2655">
        <v>9.2249999999999996</v>
      </c>
      <c r="E2655" t="s">
        <v>6</v>
      </c>
      <c r="F2655" t="s">
        <v>66</v>
      </c>
      <c r="G2655" t="s">
        <v>7</v>
      </c>
    </row>
    <row r="2656" spans="1:7" x14ac:dyDescent="0.3">
      <c r="A2656" t="s">
        <v>34</v>
      </c>
      <c r="B2656" s="1">
        <v>45838</v>
      </c>
      <c r="C2656">
        <v>580002</v>
      </c>
      <c r="D2656">
        <v>31.308</v>
      </c>
      <c r="E2656" t="s">
        <v>6</v>
      </c>
      <c r="F2656" t="s">
        <v>64</v>
      </c>
      <c r="G2656" t="s">
        <v>7</v>
      </c>
    </row>
    <row r="2657" spans="1:7" x14ac:dyDescent="0.3">
      <c r="A2657" t="s">
        <v>34</v>
      </c>
      <c r="B2657" s="1">
        <v>45838</v>
      </c>
      <c r="C2657">
        <v>580003</v>
      </c>
      <c r="D2657">
        <v>-3383.8649999999998</v>
      </c>
      <c r="E2657" t="s">
        <v>6</v>
      </c>
      <c r="F2657" t="s">
        <v>64</v>
      </c>
      <c r="G2657" t="s">
        <v>7</v>
      </c>
    </row>
    <row r="2658" spans="1:7" x14ac:dyDescent="0.3">
      <c r="A2658" t="s">
        <v>35</v>
      </c>
      <c r="B2658" s="1">
        <v>45838</v>
      </c>
      <c r="C2658">
        <v>210002</v>
      </c>
      <c r="D2658">
        <v>-61201.053</v>
      </c>
      <c r="E2658" t="s">
        <v>4</v>
      </c>
      <c r="F2658" t="s">
        <v>42</v>
      </c>
      <c r="G2658" t="s">
        <v>7</v>
      </c>
    </row>
    <row r="2659" spans="1:7" x14ac:dyDescent="0.3">
      <c r="A2659" t="s">
        <v>35</v>
      </c>
      <c r="B2659" s="1">
        <v>45838</v>
      </c>
      <c r="C2659">
        <v>220006</v>
      </c>
      <c r="D2659">
        <v>-7166072.273</v>
      </c>
      <c r="E2659" t="s">
        <v>4</v>
      </c>
      <c r="F2659" t="s">
        <v>42</v>
      </c>
      <c r="G2659" t="s">
        <v>7</v>
      </c>
    </row>
    <row r="2660" spans="1:7" x14ac:dyDescent="0.3">
      <c r="A2660" t="s">
        <v>35</v>
      </c>
      <c r="B2660" s="1">
        <v>45838</v>
      </c>
      <c r="C2660">
        <v>240002</v>
      </c>
      <c r="D2660">
        <v>-69758.725999999995</v>
      </c>
      <c r="E2660" t="s">
        <v>4</v>
      </c>
      <c r="F2660" t="s">
        <v>43</v>
      </c>
      <c r="G2660" t="s">
        <v>7</v>
      </c>
    </row>
    <row r="2661" spans="1:7" x14ac:dyDescent="0.3">
      <c r="A2661" t="s">
        <v>35</v>
      </c>
      <c r="B2661" s="1">
        <v>45838</v>
      </c>
      <c r="C2661">
        <v>240003</v>
      </c>
      <c r="D2661">
        <v>1465.3979999999999</v>
      </c>
      <c r="E2661" t="s">
        <v>4</v>
      </c>
      <c r="F2661" t="s">
        <v>43</v>
      </c>
      <c r="G2661" t="s">
        <v>7</v>
      </c>
    </row>
    <row r="2662" spans="1:7" x14ac:dyDescent="0.3">
      <c r="A2662" t="s">
        <v>35</v>
      </c>
      <c r="B2662" s="1">
        <v>45838</v>
      </c>
      <c r="C2662">
        <v>240007</v>
      </c>
      <c r="D2662">
        <v>0</v>
      </c>
      <c r="E2662" t="s">
        <v>4</v>
      </c>
      <c r="F2662" t="s">
        <v>65</v>
      </c>
      <c r="G2662" t="s">
        <v>7</v>
      </c>
    </row>
    <row r="2663" spans="1:7" x14ac:dyDescent="0.3">
      <c r="A2663" t="s">
        <v>35</v>
      </c>
      <c r="B2663" s="1">
        <v>45838</v>
      </c>
      <c r="C2663">
        <v>240009</v>
      </c>
      <c r="D2663">
        <v>-17486.078000000001</v>
      </c>
      <c r="E2663" t="s">
        <v>4</v>
      </c>
      <c r="F2663" t="s">
        <v>43</v>
      </c>
      <c r="G2663" t="s">
        <v>7</v>
      </c>
    </row>
    <row r="2664" spans="1:7" x14ac:dyDescent="0.3">
      <c r="A2664" t="s">
        <v>35</v>
      </c>
      <c r="B2664" s="1">
        <v>45838</v>
      </c>
      <c r="C2664">
        <v>242003</v>
      </c>
      <c r="D2664">
        <v>726412.37100000004</v>
      </c>
      <c r="E2664" t="s">
        <v>4</v>
      </c>
      <c r="F2664" t="s">
        <v>43</v>
      </c>
      <c r="G2664" t="s">
        <v>7</v>
      </c>
    </row>
    <row r="2665" spans="1:7" x14ac:dyDescent="0.3">
      <c r="A2665" t="s">
        <v>35</v>
      </c>
      <c r="B2665" s="1">
        <v>45838</v>
      </c>
      <c r="C2665">
        <v>242007</v>
      </c>
      <c r="D2665">
        <v>-12551.349</v>
      </c>
      <c r="E2665" t="s">
        <v>4</v>
      </c>
      <c r="F2665" t="s">
        <v>43</v>
      </c>
      <c r="G2665" t="s">
        <v>7</v>
      </c>
    </row>
    <row r="2666" spans="1:7" x14ac:dyDescent="0.3">
      <c r="A2666" t="s">
        <v>35</v>
      </c>
      <c r="B2666" s="1">
        <v>45838</v>
      </c>
      <c r="C2666">
        <v>242011</v>
      </c>
      <c r="D2666">
        <v>-465435.03600000002</v>
      </c>
      <c r="E2666" t="s">
        <v>4</v>
      </c>
      <c r="F2666" t="s">
        <v>43</v>
      </c>
      <c r="G2666" t="s">
        <v>7</v>
      </c>
    </row>
    <row r="2667" spans="1:7" x14ac:dyDescent="0.3">
      <c r="A2667" t="s">
        <v>35</v>
      </c>
      <c r="B2667" s="1">
        <v>45838</v>
      </c>
      <c r="C2667">
        <v>242012</v>
      </c>
      <c r="D2667">
        <v>-67152.476999999999</v>
      </c>
      <c r="E2667" t="s">
        <v>4</v>
      </c>
      <c r="F2667" t="s">
        <v>43</v>
      </c>
      <c r="G2667" t="s">
        <v>7</v>
      </c>
    </row>
    <row r="2668" spans="1:7" x14ac:dyDescent="0.3">
      <c r="A2668" t="s">
        <v>35</v>
      </c>
      <c r="B2668" s="1">
        <v>45838</v>
      </c>
      <c r="C2668">
        <v>242013</v>
      </c>
      <c r="D2668">
        <v>-105462.076</v>
      </c>
      <c r="E2668" t="s">
        <v>4</v>
      </c>
      <c r="F2668" t="s">
        <v>43</v>
      </c>
      <c r="G2668" t="s">
        <v>7</v>
      </c>
    </row>
    <row r="2669" spans="1:7" x14ac:dyDescent="0.3">
      <c r="A2669" t="s">
        <v>35</v>
      </c>
      <c r="B2669" s="1">
        <v>45838</v>
      </c>
      <c r="C2669">
        <v>242014</v>
      </c>
      <c r="D2669">
        <v>-128616.318</v>
      </c>
      <c r="E2669" t="s">
        <v>4</v>
      </c>
      <c r="F2669" t="s">
        <v>43</v>
      </c>
      <c r="G2669" t="s">
        <v>7</v>
      </c>
    </row>
    <row r="2670" spans="1:7" x14ac:dyDescent="0.3">
      <c r="A2670" t="s">
        <v>35</v>
      </c>
      <c r="B2670" s="1">
        <v>45838</v>
      </c>
      <c r="C2670">
        <v>242017</v>
      </c>
      <c r="D2670">
        <v>-14543.824000000001</v>
      </c>
      <c r="E2670" t="s">
        <v>4</v>
      </c>
      <c r="F2670" t="s">
        <v>43</v>
      </c>
      <c r="G2670" t="s">
        <v>7</v>
      </c>
    </row>
    <row r="2671" spans="1:7" x14ac:dyDescent="0.3">
      <c r="A2671" t="s">
        <v>35</v>
      </c>
      <c r="B2671" s="1">
        <v>45838</v>
      </c>
      <c r="C2671">
        <v>242019</v>
      </c>
      <c r="D2671">
        <v>-13393.71</v>
      </c>
      <c r="E2671" t="s">
        <v>4</v>
      </c>
      <c r="F2671" t="s">
        <v>43</v>
      </c>
      <c r="G2671" t="s">
        <v>7</v>
      </c>
    </row>
    <row r="2672" spans="1:7" x14ac:dyDescent="0.3">
      <c r="A2672" t="s">
        <v>35</v>
      </c>
      <c r="B2672" s="1">
        <v>45838</v>
      </c>
      <c r="C2672">
        <v>242023</v>
      </c>
      <c r="D2672">
        <v>-6833.6450000000004</v>
      </c>
      <c r="E2672" t="s">
        <v>4</v>
      </c>
      <c r="F2672" t="s">
        <v>43</v>
      </c>
      <c r="G2672" t="s">
        <v>7</v>
      </c>
    </row>
    <row r="2673" spans="1:7" x14ac:dyDescent="0.3">
      <c r="A2673" t="s">
        <v>35</v>
      </c>
      <c r="B2673" s="1">
        <v>45838</v>
      </c>
      <c r="C2673">
        <v>242027</v>
      </c>
      <c r="D2673">
        <v>-169452.26699999999</v>
      </c>
      <c r="E2673" t="s">
        <v>4</v>
      </c>
      <c r="F2673" t="s">
        <v>43</v>
      </c>
      <c r="G2673" t="s">
        <v>7</v>
      </c>
    </row>
    <row r="2674" spans="1:7" x14ac:dyDescent="0.3">
      <c r="A2674" t="s">
        <v>35</v>
      </c>
      <c r="B2674" s="1">
        <v>45838</v>
      </c>
      <c r="C2674">
        <v>242037</v>
      </c>
      <c r="D2674">
        <v>-842.26199999999994</v>
      </c>
      <c r="E2674" t="s">
        <v>4</v>
      </c>
      <c r="F2674" t="s">
        <v>43</v>
      </c>
      <c r="G2674" t="s">
        <v>7</v>
      </c>
    </row>
    <row r="2675" spans="1:7" x14ac:dyDescent="0.3">
      <c r="A2675" t="s">
        <v>35</v>
      </c>
      <c r="B2675" s="1">
        <v>45838</v>
      </c>
      <c r="C2675">
        <v>242038</v>
      </c>
      <c r="D2675">
        <v>-14571.922</v>
      </c>
      <c r="E2675" t="s">
        <v>4</v>
      </c>
      <c r="F2675" t="s">
        <v>43</v>
      </c>
      <c r="G2675" t="s">
        <v>7</v>
      </c>
    </row>
    <row r="2676" spans="1:7" x14ac:dyDescent="0.3">
      <c r="A2676" t="s">
        <v>35</v>
      </c>
      <c r="B2676" s="1">
        <v>45838</v>
      </c>
      <c r="C2676">
        <v>242039</v>
      </c>
      <c r="D2676">
        <v>-30960.653999999999</v>
      </c>
      <c r="E2676" t="s">
        <v>4</v>
      </c>
      <c r="F2676" t="s">
        <v>43</v>
      </c>
      <c r="G2676" t="s">
        <v>7</v>
      </c>
    </row>
    <row r="2677" spans="1:7" x14ac:dyDescent="0.3">
      <c r="A2677" t="s">
        <v>35</v>
      </c>
      <c r="B2677" s="1">
        <v>45838</v>
      </c>
      <c r="C2677">
        <v>242041</v>
      </c>
      <c r="D2677">
        <v>12694.987999999999</v>
      </c>
      <c r="E2677" t="s">
        <v>4</v>
      </c>
      <c r="F2677" t="s">
        <v>43</v>
      </c>
      <c r="G2677" t="s">
        <v>7</v>
      </c>
    </row>
    <row r="2678" spans="1:7" x14ac:dyDescent="0.3">
      <c r="A2678" t="s">
        <v>35</v>
      </c>
      <c r="B2678" s="1">
        <v>45838</v>
      </c>
      <c r="C2678">
        <v>243002</v>
      </c>
      <c r="D2678">
        <v>-35868.012999999999</v>
      </c>
      <c r="E2678" t="s">
        <v>4</v>
      </c>
      <c r="F2678" t="s">
        <v>43</v>
      </c>
      <c r="G2678" t="s">
        <v>7</v>
      </c>
    </row>
    <row r="2679" spans="1:7" x14ac:dyDescent="0.3">
      <c r="A2679" t="s">
        <v>35</v>
      </c>
      <c r="B2679" s="1">
        <v>45838</v>
      </c>
      <c r="C2679">
        <v>243003</v>
      </c>
      <c r="D2679">
        <v>-929222.60600000003</v>
      </c>
      <c r="E2679" t="s">
        <v>4</v>
      </c>
      <c r="F2679" t="s">
        <v>43</v>
      </c>
      <c r="G2679" t="s">
        <v>7</v>
      </c>
    </row>
    <row r="2680" spans="1:7" x14ac:dyDescent="0.3">
      <c r="A2680" t="s">
        <v>35</v>
      </c>
      <c r="B2680" s="1">
        <v>45838</v>
      </c>
      <c r="C2680">
        <v>243009</v>
      </c>
      <c r="D2680">
        <v>-16008.303</v>
      </c>
      <c r="E2680" t="s">
        <v>4</v>
      </c>
      <c r="F2680" t="s">
        <v>43</v>
      </c>
      <c r="G2680" t="s">
        <v>7</v>
      </c>
    </row>
    <row r="2681" spans="1:7" x14ac:dyDescent="0.3">
      <c r="A2681" t="s">
        <v>35</v>
      </c>
      <c r="B2681" s="1">
        <v>45838</v>
      </c>
      <c r="C2681">
        <v>243010</v>
      </c>
      <c r="D2681">
        <v>-5589.4409999999998</v>
      </c>
      <c r="E2681" t="s">
        <v>4</v>
      </c>
      <c r="F2681" t="s">
        <v>43</v>
      </c>
      <c r="G2681" t="s">
        <v>7</v>
      </c>
    </row>
    <row r="2682" spans="1:7" x14ac:dyDescent="0.3">
      <c r="A2682" t="s">
        <v>35</v>
      </c>
      <c r="B2682" s="1">
        <v>45838</v>
      </c>
      <c r="C2682">
        <v>243011</v>
      </c>
      <c r="D2682">
        <v>-33048.567999999999</v>
      </c>
      <c r="E2682" t="s">
        <v>4</v>
      </c>
      <c r="F2682" t="s">
        <v>43</v>
      </c>
      <c r="G2682" t="s">
        <v>7</v>
      </c>
    </row>
    <row r="2683" spans="1:7" x14ac:dyDescent="0.3">
      <c r="A2683" t="s">
        <v>35</v>
      </c>
      <c r="B2683" s="1">
        <v>45838</v>
      </c>
      <c r="C2683">
        <v>245006</v>
      </c>
      <c r="D2683">
        <v>-656.68</v>
      </c>
      <c r="E2683" t="s">
        <v>4</v>
      </c>
      <c r="F2683" t="s">
        <v>43</v>
      </c>
      <c r="G2683" t="s">
        <v>7</v>
      </c>
    </row>
    <row r="2684" spans="1:7" x14ac:dyDescent="0.3">
      <c r="A2684" t="s">
        <v>35</v>
      </c>
      <c r="B2684" s="1">
        <v>45838</v>
      </c>
      <c r="C2684">
        <v>245010</v>
      </c>
      <c r="D2684">
        <v>-208875.033</v>
      </c>
      <c r="E2684" t="s">
        <v>4</v>
      </c>
      <c r="F2684" t="s">
        <v>44</v>
      </c>
      <c r="G2684" t="s">
        <v>7</v>
      </c>
    </row>
    <row r="2685" spans="1:7" x14ac:dyDescent="0.3">
      <c r="A2685" t="s">
        <v>35</v>
      </c>
      <c r="B2685" s="1">
        <v>45838</v>
      </c>
      <c r="C2685">
        <v>245018</v>
      </c>
      <c r="D2685">
        <v>-83610.654999999999</v>
      </c>
      <c r="E2685" t="s">
        <v>4</v>
      </c>
      <c r="F2685" t="s">
        <v>43</v>
      </c>
      <c r="G2685" t="s">
        <v>7</v>
      </c>
    </row>
    <row r="2686" spans="1:7" x14ac:dyDescent="0.3">
      <c r="A2686" t="s">
        <v>35</v>
      </c>
      <c r="B2686" s="1">
        <v>45838</v>
      </c>
      <c r="C2686">
        <v>245055</v>
      </c>
      <c r="D2686">
        <v>-1219.837</v>
      </c>
      <c r="E2686" t="s">
        <v>4</v>
      </c>
      <c r="F2686" t="s">
        <v>43</v>
      </c>
      <c r="G2686" t="s">
        <v>7</v>
      </c>
    </row>
    <row r="2687" spans="1:7" x14ac:dyDescent="0.3">
      <c r="A2687" t="s">
        <v>35</v>
      </c>
      <c r="B2687" s="1">
        <v>45838</v>
      </c>
      <c r="C2687">
        <v>245056</v>
      </c>
      <c r="D2687">
        <v>-5553.7740000000003</v>
      </c>
      <c r="E2687" t="s">
        <v>4</v>
      </c>
      <c r="F2687" t="s">
        <v>49</v>
      </c>
      <c r="G2687" t="s">
        <v>7</v>
      </c>
    </row>
    <row r="2688" spans="1:7" x14ac:dyDescent="0.3">
      <c r="A2688" t="s">
        <v>35</v>
      </c>
      <c r="B2688" s="1">
        <v>45838</v>
      </c>
      <c r="C2688">
        <v>245058</v>
      </c>
      <c r="D2688">
        <v>0</v>
      </c>
      <c r="E2688" t="s">
        <v>4</v>
      </c>
      <c r="F2688" t="s">
        <v>43</v>
      </c>
      <c r="G2688" t="s">
        <v>7</v>
      </c>
    </row>
    <row r="2689" spans="1:7" x14ac:dyDescent="0.3">
      <c r="A2689" t="s">
        <v>35</v>
      </c>
      <c r="B2689" s="1">
        <v>45838</v>
      </c>
      <c r="C2689">
        <v>245062</v>
      </c>
      <c r="D2689">
        <v>-94959.308000000005</v>
      </c>
      <c r="E2689" t="s">
        <v>4</v>
      </c>
      <c r="F2689" t="s">
        <v>43</v>
      </c>
      <c r="G2689" t="s">
        <v>7</v>
      </c>
    </row>
    <row r="2690" spans="1:7" x14ac:dyDescent="0.3">
      <c r="A2690" t="s">
        <v>35</v>
      </c>
      <c r="B2690" s="1">
        <v>45838</v>
      </c>
      <c r="C2690">
        <v>250003</v>
      </c>
      <c r="D2690">
        <v>-31778.383000000002</v>
      </c>
      <c r="E2690" t="s">
        <v>4</v>
      </c>
      <c r="F2690" t="s">
        <v>45</v>
      </c>
      <c r="G2690" t="s">
        <v>7</v>
      </c>
    </row>
    <row r="2691" spans="1:7" x14ac:dyDescent="0.3">
      <c r="A2691" t="s">
        <v>35</v>
      </c>
      <c r="B2691" s="1">
        <v>45838</v>
      </c>
      <c r="C2691">
        <v>250007</v>
      </c>
      <c r="D2691">
        <v>-199738.527</v>
      </c>
      <c r="E2691" t="s">
        <v>4</v>
      </c>
      <c r="F2691" t="s">
        <v>43</v>
      </c>
      <c r="G2691" t="s">
        <v>7</v>
      </c>
    </row>
    <row r="2692" spans="1:7" x14ac:dyDescent="0.3">
      <c r="A2692" t="s">
        <v>35</v>
      </c>
      <c r="B2692" s="1">
        <v>45838</v>
      </c>
      <c r="C2692">
        <v>250020</v>
      </c>
      <c r="D2692">
        <v>0</v>
      </c>
      <c r="E2692" t="s">
        <v>4</v>
      </c>
      <c r="F2692" t="s">
        <v>45</v>
      </c>
      <c r="G2692" t="s">
        <v>7</v>
      </c>
    </row>
    <row r="2693" spans="1:7" x14ac:dyDescent="0.3">
      <c r="A2693" t="s">
        <v>35</v>
      </c>
      <c r="B2693" s="1">
        <v>45838</v>
      </c>
      <c r="C2693">
        <v>251002</v>
      </c>
      <c r="D2693">
        <v>-294511.91800000001</v>
      </c>
      <c r="E2693" t="s">
        <v>4</v>
      </c>
      <c r="F2693" t="s">
        <v>45</v>
      </c>
      <c r="G2693" t="s">
        <v>7</v>
      </c>
    </row>
    <row r="2694" spans="1:7" x14ac:dyDescent="0.3">
      <c r="A2694" t="s">
        <v>35</v>
      </c>
      <c r="B2694" s="1">
        <v>45838</v>
      </c>
      <c r="C2694">
        <v>251003</v>
      </c>
      <c r="D2694">
        <v>-136832.09400000001</v>
      </c>
      <c r="E2694" t="s">
        <v>4</v>
      </c>
      <c r="F2694" t="s">
        <v>45</v>
      </c>
      <c r="G2694" t="s">
        <v>7</v>
      </c>
    </row>
    <row r="2695" spans="1:7" x14ac:dyDescent="0.3">
      <c r="A2695" t="s">
        <v>35</v>
      </c>
      <c r="B2695" s="1">
        <v>45838</v>
      </c>
      <c r="C2695">
        <v>251005</v>
      </c>
      <c r="D2695">
        <v>6767.48</v>
      </c>
      <c r="E2695" t="s">
        <v>4</v>
      </c>
      <c r="F2695" t="s">
        <v>46</v>
      </c>
      <c r="G2695" t="s">
        <v>7</v>
      </c>
    </row>
    <row r="2696" spans="1:7" x14ac:dyDescent="0.3">
      <c r="A2696" t="s">
        <v>35</v>
      </c>
      <c r="B2696" s="1">
        <v>45838</v>
      </c>
      <c r="C2696">
        <v>256037</v>
      </c>
      <c r="D2696">
        <v>16100.976000000001</v>
      </c>
      <c r="E2696" t="s">
        <v>4</v>
      </c>
      <c r="F2696" t="s">
        <v>43</v>
      </c>
      <c r="G2696" t="s">
        <v>7</v>
      </c>
    </row>
    <row r="2697" spans="1:7" x14ac:dyDescent="0.3">
      <c r="A2697" t="s">
        <v>35</v>
      </c>
      <c r="B2697" s="1">
        <v>45838</v>
      </c>
      <c r="C2697">
        <v>257008</v>
      </c>
      <c r="D2697">
        <v>-11232.48</v>
      </c>
      <c r="E2697" t="s">
        <v>4</v>
      </c>
      <c r="F2697" t="s">
        <v>45</v>
      </c>
      <c r="G2697" t="s">
        <v>7</v>
      </c>
    </row>
    <row r="2698" spans="1:7" x14ac:dyDescent="0.3">
      <c r="A2698" t="s">
        <v>35</v>
      </c>
      <c r="B2698" s="1">
        <v>45838</v>
      </c>
      <c r="C2698">
        <v>257009</v>
      </c>
      <c r="D2698">
        <v>-276.80599999999998</v>
      </c>
      <c r="E2698" t="s">
        <v>4</v>
      </c>
      <c r="F2698" t="s">
        <v>45</v>
      </c>
      <c r="G2698" t="s">
        <v>7</v>
      </c>
    </row>
    <row r="2699" spans="1:7" x14ac:dyDescent="0.3">
      <c r="A2699" t="s">
        <v>35</v>
      </c>
      <c r="B2699" s="1">
        <v>45838</v>
      </c>
      <c r="C2699">
        <v>257011</v>
      </c>
      <c r="D2699">
        <v>97.882999999999996</v>
      </c>
      <c r="E2699" t="s">
        <v>4</v>
      </c>
      <c r="F2699" t="s">
        <v>45</v>
      </c>
      <c r="G2699" t="s">
        <v>7</v>
      </c>
    </row>
    <row r="2700" spans="1:7" x14ac:dyDescent="0.3">
      <c r="A2700" t="s">
        <v>35</v>
      </c>
      <c r="B2700" s="1">
        <v>45838</v>
      </c>
      <c r="C2700">
        <v>257022</v>
      </c>
      <c r="D2700">
        <v>1609.0820000000001</v>
      </c>
      <c r="E2700" t="s">
        <v>4</v>
      </c>
      <c r="F2700" t="s">
        <v>45</v>
      </c>
      <c r="G2700" t="s">
        <v>7</v>
      </c>
    </row>
    <row r="2701" spans="1:7" x14ac:dyDescent="0.3">
      <c r="A2701" t="s">
        <v>35</v>
      </c>
      <c r="B2701" s="1">
        <v>45838</v>
      </c>
      <c r="C2701">
        <v>257028</v>
      </c>
      <c r="D2701">
        <v>-103082.05</v>
      </c>
      <c r="E2701" t="s">
        <v>4</v>
      </c>
      <c r="F2701" t="s">
        <v>45</v>
      </c>
      <c r="G2701" t="s">
        <v>7</v>
      </c>
    </row>
    <row r="2702" spans="1:7" x14ac:dyDescent="0.3">
      <c r="A2702" t="s">
        <v>35</v>
      </c>
      <c r="B2702" s="1">
        <v>45838</v>
      </c>
      <c r="C2702">
        <v>260004</v>
      </c>
      <c r="D2702">
        <v>-36185.858</v>
      </c>
      <c r="E2702" t="s">
        <v>4</v>
      </c>
      <c r="F2702" t="s">
        <v>45</v>
      </c>
      <c r="G2702" t="s">
        <v>7</v>
      </c>
    </row>
    <row r="2703" spans="1:7" x14ac:dyDescent="0.3">
      <c r="A2703" t="s">
        <v>35</v>
      </c>
      <c r="B2703" s="1">
        <v>45838</v>
      </c>
      <c r="C2703">
        <v>270024</v>
      </c>
      <c r="D2703">
        <v>-346981.46399999998</v>
      </c>
      <c r="E2703" t="s">
        <v>4</v>
      </c>
      <c r="F2703" t="s">
        <v>58</v>
      </c>
      <c r="G2703" t="s">
        <v>7</v>
      </c>
    </row>
    <row r="2704" spans="1:7" x14ac:dyDescent="0.3">
      <c r="A2704" t="s">
        <v>35</v>
      </c>
      <c r="B2704" s="1">
        <v>45838</v>
      </c>
      <c r="C2704">
        <v>270025</v>
      </c>
      <c r="D2704">
        <v>-406976.03100000002</v>
      </c>
      <c r="E2704" t="s">
        <v>4</v>
      </c>
      <c r="F2704" t="s">
        <v>58</v>
      </c>
      <c r="G2704" t="s">
        <v>7</v>
      </c>
    </row>
    <row r="2705" spans="1:7" x14ac:dyDescent="0.3">
      <c r="A2705" t="s">
        <v>35</v>
      </c>
      <c r="B2705" s="1">
        <v>45838</v>
      </c>
      <c r="C2705">
        <v>270026</v>
      </c>
      <c r="D2705">
        <v>-582155.30500000005</v>
      </c>
      <c r="E2705" t="s">
        <v>4</v>
      </c>
      <c r="F2705" t="s">
        <v>58</v>
      </c>
      <c r="G2705" t="s">
        <v>7</v>
      </c>
    </row>
    <row r="2706" spans="1:7" x14ac:dyDescent="0.3">
      <c r="A2706" t="s">
        <v>35</v>
      </c>
      <c r="B2706" s="1">
        <v>45838</v>
      </c>
      <c r="C2706">
        <v>270027</v>
      </c>
      <c r="D2706">
        <v>-175835.27499999999</v>
      </c>
      <c r="E2706" t="s">
        <v>4</v>
      </c>
      <c r="F2706" t="s">
        <v>58</v>
      </c>
      <c r="G2706" t="s">
        <v>7</v>
      </c>
    </row>
    <row r="2707" spans="1:7" x14ac:dyDescent="0.3">
      <c r="A2707" t="s">
        <v>35</v>
      </c>
      <c r="B2707" s="1">
        <v>45838</v>
      </c>
      <c r="C2707">
        <v>300004</v>
      </c>
      <c r="D2707">
        <v>5307.924</v>
      </c>
      <c r="E2707" t="s">
        <v>4</v>
      </c>
      <c r="F2707" t="s">
        <v>65</v>
      </c>
      <c r="G2707" t="s">
        <v>7</v>
      </c>
    </row>
    <row r="2708" spans="1:7" x14ac:dyDescent="0.3">
      <c r="A2708" t="s">
        <v>35</v>
      </c>
      <c r="B2708" s="1">
        <v>45838</v>
      </c>
      <c r="C2708">
        <v>300005</v>
      </c>
      <c r="D2708">
        <v>31759.448</v>
      </c>
      <c r="E2708" t="s">
        <v>4</v>
      </c>
      <c r="F2708" t="s">
        <v>65</v>
      </c>
      <c r="G2708" t="s">
        <v>7</v>
      </c>
    </row>
    <row r="2709" spans="1:7" x14ac:dyDescent="0.3">
      <c r="A2709" t="s">
        <v>35</v>
      </c>
      <c r="B2709" s="1">
        <v>45838</v>
      </c>
      <c r="C2709">
        <v>300008</v>
      </c>
      <c r="D2709">
        <v>47712.540999999997</v>
      </c>
      <c r="E2709" t="s">
        <v>4</v>
      </c>
      <c r="F2709" t="s">
        <v>65</v>
      </c>
      <c r="G2709" t="s">
        <v>7</v>
      </c>
    </row>
    <row r="2710" spans="1:7" x14ac:dyDescent="0.3">
      <c r="A2710" t="s">
        <v>35</v>
      </c>
      <c r="B2710" s="1">
        <v>45838</v>
      </c>
      <c r="C2710">
        <v>300009</v>
      </c>
      <c r="D2710">
        <v>38.243000000000002</v>
      </c>
      <c r="E2710" t="s">
        <v>4</v>
      </c>
      <c r="F2710" t="s">
        <v>65</v>
      </c>
      <c r="G2710" t="s">
        <v>7</v>
      </c>
    </row>
    <row r="2711" spans="1:7" x14ac:dyDescent="0.3">
      <c r="A2711" t="s">
        <v>35</v>
      </c>
      <c r="B2711" s="1">
        <v>45838</v>
      </c>
      <c r="C2711">
        <v>300012</v>
      </c>
      <c r="D2711">
        <v>85.088999999999999</v>
      </c>
      <c r="E2711" t="s">
        <v>4</v>
      </c>
      <c r="F2711" t="s">
        <v>65</v>
      </c>
      <c r="G2711" t="s">
        <v>7</v>
      </c>
    </row>
    <row r="2712" spans="1:7" x14ac:dyDescent="0.3">
      <c r="A2712" t="s">
        <v>35</v>
      </c>
      <c r="B2712" s="1">
        <v>45838</v>
      </c>
      <c r="C2712">
        <v>300504</v>
      </c>
      <c r="D2712">
        <v>-4690.9409999999998</v>
      </c>
      <c r="E2712" t="s">
        <v>4</v>
      </c>
      <c r="F2712" t="s">
        <v>65</v>
      </c>
      <c r="G2712" t="s">
        <v>7</v>
      </c>
    </row>
    <row r="2713" spans="1:7" x14ac:dyDescent="0.3">
      <c r="A2713" t="s">
        <v>35</v>
      </c>
      <c r="B2713" s="1">
        <v>45838</v>
      </c>
      <c r="C2713">
        <v>300505</v>
      </c>
      <c r="D2713">
        <v>-29723.794999999998</v>
      </c>
      <c r="E2713" t="s">
        <v>4</v>
      </c>
      <c r="F2713" t="s">
        <v>65</v>
      </c>
      <c r="G2713" t="s">
        <v>7</v>
      </c>
    </row>
    <row r="2714" spans="1:7" x14ac:dyDescent="0.3">
      <c r="A2714" t="s">
        <v>35</v>
      </c>
      <c r="B2714" s="1">
        <v>45838</v>
      </c>
      <c r="C2714">
        <v>300508</v>
      </c>
      <c r="D2714">
        <v>-44818.612999999998</v>
      </c>
      <c r="E2714" t="s">
        <v>4</v>
      </c>
      <c r="F2714" t="s">
        <v>65</v>
      </c>
      <c r="G2714" t="s">
        <v>7</v>
      </c>
    </row>
    <row r="2715" spans="1:7" x14ac:dyDescent="0.3">
      <c r="A2715" t="s">
        <v>35</v>
      </c>
      <c r="B2715" s="1">
        <v>45838</v>
      </c>
      <c r="C2715">
        <v>300509</v>
      </c>
      <c r="D2715">
        <v>-9.1940000000000008</v>
      </c>
      <c r="E2715" t="s">
        <v>4</v>
      </c>
      <c r="F2715" t="s">
        <v>65</v>
      </c>
      <c r="G2715" t="s">
        <v>7</v>
      </c>
    </row>
    <row r="2716" spans="1:7" x14ac:dyDescent="0.3">
      <c r="A2716" t="s">
        <v>35</v>
      </c>
      <c r="B2716" s="1">
        <v>45838</v>
      </c>
      <c r="C2716">
        <v>300512</v>
      </c>
      <c r="D2716">
        <v>-24.68</v>
      </c>
      <c r="E2716" t="s">
        <v>4</v>
      </c>
      <c r="F2716" t="s">
        <v>65</v>
      </c>
      <c r="G2716" t="s">
        <v>7</v>
      </c>
    </row>
    <row r="2717" spans="1:7" x14ac:dyDescent="0.3">
      <c r="A2717" t="s">
        <v>35</v>
      </c>
      <c r="B2717" s="1">
        <v>45838</v>
      </c>
      <c r="C2717">
        <v>301004</v>
      </c>
      <c r="D2717">
        <v>77096.933999999994</v>
      </c>
      <c r="E2717" t="s">
        <v>4</v>
      </c>
      <c r="F2717" t="s">
        <v>65</v>
      </c>
      <c r="G2717" t="s">
        <v>7</v>
      </c>
    </row>
    <row r="2718" spans="1:7" x14ac:dyDescent="0.3">
      <c r="A2718" t="s">
        <v>35</v>
      </c>
      <c r="B2718" s="1">
        <v>45838</v>
      </c>
      <c r="C2718">
        <v>301504</v>
      </c>
      <c r="D2718">
        <v>-77096.933999999994</v>
      </c>
      <c r="E2718" t="s">
        <v>4</v>
      </c>
      <c r="F2718" t="s">
        <v>65</v>
      </c>
      <c r="G2718" t="s">
        <v>7</v>
      </c>
    </row>
    <row r="2719" spans="1:7" x14ac:dyDescent="0.3">
      <c r="A2719" t="s">
        <v>35</v>
      </c>
      <c r="B2719" s="1">
        <v>45838</v>
      </c>
      <c r="C2719">
        <v>303003</v>
      </c>
      <c r="D2719">
        <v>0</v>
      </c>
      <c r="E2719" t="s">
        <v>4</v>
      </c>
      <c r="F2719" t="s">
        <v>65</v>
      </c>
      <c r="G2719" t="s">
        <v>7</v>
      </c>
    </row>
    <row r="2720" spans="1:7" x14ac:dyDescent="0.3">
      <c r="A2720" t="s">
        <v>35</v>
      </c>
      <c r="B2720" s="1">
        <v>45838</v>
      </c>
      <c r="C2720">
        <v>303004</v>
      </c>
      <c r="D2720">
        <v>0</v>
      </c>
      <c r="E2720" t="s">
        <v>4</v>
      </c>
      <c r="F2720" t="s">
        <v>65</v>
      </c>
      <c r="G2720" t="s">
        <v>7</v>
      </c>
    </row>
    <row r="2721" spans="1:7" x14ac:dyDescent="0.3">
      <c r="A2721" t="s">
        <v>35</v>
      </c>
      <c r="B2721" s="1">
        <v>45838</v>
      </c>
      <c r="C2721">
        <v>310033</v>
      </c>
      <c r="D2721">
        <v>34123.258999999998</v>
      </c>
      <c r="E2721" t="s">
        <v>4</v>
      </c>
      <c r="F2721" t="s">
        <v>42</v>
      </c>
      <c r="G2721" t="s">
        <v>7</v>
      </c>
    </row>
    <row r="2722" spans="1:7" x14ac:dyDescent="0.3">
      <c r="A2722" t="s">
        <v>35</v>
      </c>
      <c r="B2722" s="1">
        <v>45838</v>
      </c>
      <c r="C2722">
        <v>310035</v>
      </c>
      <c r="D2722">
        <v>986865.01300000004</v>
      </c>
      <c r="E2722" t="s">
        <v>4</v>
      </c>
      <c r="F2722" t="s">
        <v>42</v>
      </c>
      <c r="G2722" t="s">
        <v>7</v>
      </c>
    </row>
    <row r="2723" spans="1:7" x14ac:dyDescent="0.3">
      <c r="A2723" t="s">
        <v>35</v>
      </c>
      <c r="B2723" s="1">
        <v>45838</v>
      </c>
      <c r="C2723">
        <v>315016</v>
      </c>
      <c r="D2723">
        <v>734412.63</v>
      </c>
      <c r="E2723" t="s">
        <v>4</v>
      </c>
      <c r="F2723" t="s">
        <v>47</v>
      </c>
      <c r="G2723" t="s">
        <v>7</v>
      </c>
    </row>
    <row r="2724" spans="1:7" x14ac:dyDescent="0.3">
      <c r="A2724" t="s">
        <v>35</v>
      </c>
      <c r="B2724" s="1">
        <v>45838</v>
      </c>
      <c r="C2724">
        <v>320002</v>
      </c>
      <c r="D2724">
        <v>15824.144</v>
      </c>
      <c r="E2724" t="s">
        <v>4</v>
      </c>
      <c r="F2724" t="s">
        <v>46</v>
      </c>
      <c r="G2724" t="s">
        <v>7</v>
      </c>
    </row>
    <row r="2725" spans="1:7" x14ac:dyDescent="0.3">
      <c r="A2725" t="s">
        <v>35</v>
      </c>
      <c r="B2725" s="1">
        <v>45838</v>
      </c>
      <c r="C2725">
        <v>320003</v>
      </c>
      <c r="D2725">
        <v>3072562.014</v>
      </c>
      <c r="E2725" t="s">
        <v>4</v>
      </c>
      <c r="F2725" t="s">
        <v>46</v>
      </c>
      <c r="G2725" t="s">
        <v>7</v>
      </c>
    </row>
    <row r="2726" spans="1:7" x14ac:dyDescent="0.3">
      <c r="A2726" t="s">
        <v>35</v>
      </c>
      <c r="B2726" s="1">
        <v>45838</v>
      </c>
      <c r="C2726">
        <v>320020</v>
      </c>
      <c r="D2726">
        <v>2385.3719999999998</v>
      </c>
      <c r="E2726" t="s">
        <v>4</v>
      </c>
      <c r="F2726" t="s">
        <v>46</v>
      </c>
      <c r="G2726" t="s">
        <v>7</v>
      </c>
    </row>
    <row r="2727" spans="1:7" x14ac:dyDescent="0.3">
      <c r="A2727" t="s">
        <v>35</v>
      </c>
      <c r="B2727" s="1">
        <v>45838</v>
      </c>
      <c r="C2727">
        <v>320023</v>
      </c>
      <c r="D2727">
        <v>-2385.3719999999998</v>
      </c>
      <c r="E2727" t="s">
        <v>4</v>
      </c>
      <c r="F2727" t="s">
        <v>46</v>
      </c>
      <c r="G2727" t="s">
        <v>7</v>
      </c>
    </row>
    <row r="2728" spans="1:7" x14ac:dyDescent="0.3">
      <c r="A2728" t="s">
        <v>35</v>
      </c>
      <c r="B2728" s="1">
        <v>45838</v>
      </c>
      <c r="C2728">
        <v>320024</v>
      </c>
      <c r="D2728">
        <v>244135.73800000001</v>
      </c>
      <c r="E2728" t="s">
        <v>4</v>
      </c>
      <c r="F2728" t="s">
        <v>46</v>
      </c>
      <c r="G2728" t="s">
        <v>7</v>
      </c>
    </row>
    <row r="2729" spans="1:7" x14ac:dyDescent="0.3">
      <c r="A2729" t="s">
        <v>35</v>
      </c>
      <c r="B2729" s="1">
        <v>45838</v>
      </c>
      <c r="C2729">
        <v>321002</v>
      </c>
      <c r="D2729">
        <v>477251.68300000002</v>
      </c>
      <c r="E2729" t="s">
        <v>4</v>
      </c>
      <c r="F2729" t="s">
        <v>46</v>
      </c>
      <c r="G2729" t="s">
        <v>7</v>
      </c>
    </row>
    <row r="2730" spans="1:7" x14ac:dyDescent="0.3">
      <c r="A2730" t="s">
        <v>35</v>
      </c>
      <c r="B2730" s="1">
        <v>45838</v>
      </c>
      <c r="C2730">
        <v>321004</v>
      </c>
      <c r="D2730">
        <v>0</v>
      </c>
      <c r="E2730" t="s">
        <v>4</v>
      </c>
      <c r="F2730" t="s">
        <v>46</v>
      </c>
      <c r="G2730" t="s">
        <v>7</v>
      </c>
    </row>
    <row r="2731" spans="1:7" x14ac:dyDescent="0.3">
      <c r="A2731" t="s">
        <v>35</v>
      </c>
      <c r="B2731" s="1">
        <v>45838</v>
      </c>
      <c r="C2731">
        <v>321012</v>
      </c>
      <c r="D2731">
        <v>77062.544999999998</v>
      </c>
      <c r="E2731" t="s">
        <v>4</v>
      </c>
      <c r="F2731" t="s">
        <v>46</v>
      </c>
      <c r="G2731" t="s">
        <v>7</v>
      </c>
    </row>
    <row r="2732" spans="1:7" x14ac:dyDescent="0.3">
      <c r="A2732" t="s">
        <v>35</v>
      </c>
      <c r="B2732" s="1">
        <v>45838</v>
      </c>
      <c r="C2732">
        <v>321013</v>
      </c>
      <c r="D2732">
        <v>56122.993999999999</v>
      </c>
      <c r="E2732" t="s">
        <v>4</v>
      </c>
      <c r="F2732" t="s">
        <v>46</v>
      </c>
      <c r="G2732" t="s">
        <v>7</v>
      </c>
    </row>
    <row r="2733" spans="1:7" x14ac:dyDescent="0.3">
      <c r="A2733" t="s">
        <v>35</v>
      </c>
      <c r="B2733" s="1">
        <v>45838</v>
      </c>
      <c r="C2733">
        <v>321014</v>
      </c>
      <c r="D2733">
        <v>18601.329000000002</v>
      </c>
      <c r="E2733" t="s">
        <v>4</v>
      </c>
      <c r="F2733" t="s">
        <v>46</v>
      </c>
      <c r="G2733" t="s">
        <v>7</v>
      </c>
    </row>
    <row r="2734" spans="1:7" x14ac:dyDescent="0.3">
      <c r="A2734" t="s">
        <v>35</v>
      </c>
      <c r="B2734" s="1">
        <v>45838</v>
      </c>
      <c r="C2734">
        <v>321025</v>
      </c>
      <c r="D2734">
        <v>101891.883</v>
      </c>
      <c r="E2734" t="s">
        <v>4</v>
      </c>
      <c r="F2734" t="s">
        <v>46</v>
      </c>
      <c r="G2734" t="s">
        <v>7</v>
      </c>
    </row>
    <row r="2735" spans="1:7" x14ac:dyDescent="0.3">
      <c r="A2735" t="s">
        <v>35</v>
      </c>
      <c r="B2735" s="1">
        <v>45838</v>
      </c>
      <c r="C2735">
        <v>321028</v>
      </c>
      <c r="D2735">
        <v>295.93799999999999</v>
      </c>
      <c r="E2735" t="s">
        <v>4</v>
      </c>
      <c r="F2735" t="s">
        <v>46</v>
      </c>
      <c r="G2735" t="s">
        <v>7</v>
      </c>
    </row>
    <row r="2736" spans="1:7" x14ac:dyDescent="0.3">
      <c r="A2736" t="s">
        <v>35</v>
      </c>
      <c r="B2736" s="1">
        <v>45838</v>
      </c>
      <c r="C2736">
        <v>321030</v>
      </c>
      <c r="D2736">
        <v>23.553000000000001</v>
      </c>
      <c r="E2736" t="s">
        <v>4</v>
      </c>
      <c r="F2736" t="s">
        <v>46</v>
      </c>
      <c r="G2736" t="s">
        <v>7</v>
      </c>
    </row>
    <row r="2737" spans="1:7" x14ac:dyDescent="0.3">
      <c r="A2737" t="s">
        <v>35</v>
      </c>
      <c r="B2737" s="1">
        <v>45838</v>
      </c>
      <c r="C2737">
        <v>321031</v>
      </c>
      <c r="D2737">
        <v>15910.93</v>
      </c>
      <c r="E2737" t="s">
        <v>4</v>
      </c>
      <c r="F2737" t="s">
        <v>46</v>
      </c>
      <c r="G2737" t="s">
        <v>7</v>
      </c>
    </row>
    <row r="2738" spans="1:7" x14ac:dyDescent="0.3">
      <c r="A2738" t="s">
        <v>35</v>
      </c>
      <c r="B2738" s="1">
        <v>45838</v>
      </c>
      <c r="C2738">
        <v>321041</v>
      </c>
      <c r="D2738">
        <v>272.685</v>
      </c>
      <c r="E2738" t="s">
        <v>4</v>
      </c>
      <c r="F2738" t="s">
        <v>46</v>
      </c>
      <c r="G2738" t="s">
        <v>7</v>
      </c>
    </row>
    <row r="2739" spans="1:7" x14ac:dyDescent="0.3">
      <c r="A2739" t="s">
        <v>35</v>
      </c>
      <c r="B2739" s="1">
        <v>45838</v>
      </c>
      <c r="C2739">
        <v>321042</v>
      </c>
      <c r="D2739">
        <v>-24.280999999999999</v>
      </c>
      <c r="E2739" t="s">
        <v>4</v>
      </c>
      <c r="F2739" t="s">
        <v>46</v>
      </c>
      <c r="G2739" t="s">
        <v>7</v>
      </c>
    </row>
    <row r="2740" spans="1:7" x14ac:dyDescent="0.3">
      <c r="A2740" t="s">
        <v>35</v>
      </c>
      <c r="B2740" s="1">
        <v>45838</v>
      </c>
      <c r="C2740">
        <v>330115</v>
      </c>
      <c r="D2740">
        <v>15106.165000000001</v>
      </c>
      <c r="E2740" t="s">
        <v>4</v>
      </c>
      <c r="F2740" t="s">
        <v>43</v>
      </c>
      <c r="G2740" t="s">
        <v>7</v>
      </c>
    </row>
    <row r="2741" spans="1:7" x14ac:dyDescent="0.3">
      <c r="A2741" t="s">
        <v>35</v>
      </c>
      <c r="B2741" s="1">
        <v>45838</v>
      </c>
      <c r="C2741">
        <v>330123</v>
      </c>
      <c r="D2741">
        <v>916356.37100000004</v>
      </c>
      <c r="E2741" t="s">
        <v>4</v>
      </c>
      <c r="F2741" t="s">
        <v>43</v>
      </c>
      <c r="G2741" t="s">
        <v>7</v>
      </c>
    </row>
    <row r="2742" spans="1:7" x14ac:dyDescent="0.3">
      <c r="A2742" t="s">
        <v>35</v>
      </c>
      <c r="B2742" s="1">
        <v>45838</v>
      </c>
      <c r="C2742">
        <v>330129</v>
      </c>
      <c r="D2742">
        <v>-15290.941000000001</v>
      </c>
      <c r="E2742" t="s">
        <v>4</v>
      </c>
      <c r="F2742" t="s">
        <v>43</v>
      </c>
      <c r="G2742" t="s">
        <v>7</v>
      </c>
    </row>
    <row r="2743" spans="1:7" x14ac:dyDescent="0.3">
      <c r="A2743" t="s">
        <v>35</v>
      </c>
      <c r="B2743" s="1">
        <v>45838</v>
      </c>
      <c r="C2743">
        <v>330136</v>
      </c>
      <c r="D2743">
        <v>6074.18</v>
      </c>
      <c r="E2743" t="s">
        <v>4</v>
      </c>
      <c r="F2743" t="s">
        <v>43</v>
      </c>
      <c r="G2743" t="s">
        <v>7</v>
      </c>
    </row>
    <row r="2744" spans="1:7" x14ac:dyDescent="0.3">
      <c r="A2744" t="s">
        <v>35</v>
      </c>
      <c r="B2744" s="1">
        <v>45838</v>
      </c>
      <c r="C2744">
        <v>330138</v>
      </c>
      <c r="D2744">
        <v>1077.3979999999999</v>
      </c>
      <c r="E2744" t="s">
        <v>4</v>
      </c>
      <c r="F2744" t="s">
        <v>43</v>
      </c>
      <c r="G2744" t="s">
        <v>7</v>
      </c>
    </row>
    <row r="2745" spans="1:7" x14ac:dyDescent="0.3">
      <c r="A2745" t="s">
        <v>35</v>
      </c>
      <c r="B2745" s="1">
        <v>45838</v>
      </c>
      <c r="C2745">
        <v>340255</v>
      </c>
      <c r="D2745">
        <v>1593076.398</v>
      </c>
      <c r="E2745" t="s">
        <v>4</v>
      </c>
      <c r="F2745" t="s">
        <v>47</v>
      </c>
      <c r="G2745" t="s">
        <v>7</v>
      </c>
    </row>
    <row r="2746" spans="1:7" x14ac:dyDescent="0.3">
      <c r="A2746" t="s">
        <v>35</v>
      </c>
      <c r="B2746" s="1">
        <v>45838</v>
      </c>
      <c r="C2746">
        <v>340256</v>
      </c>
      <c r="D2746">
        <v>53230060.827</v>
      </c>
      <c r="E2746" t="s">
        <v>4</v>
      </c>
      <c r="F2746" t="s">
        <v>47</v>
      </c>
      <c r="G2746" t="s">
        <v>7</v>
      </c>
    </row>
    <row r="2747" spans="1:7" x14ac:dyDescent="0.3">
      <c r="A2747" t="s">
        <v>35</v>
      </c>
      <c r="B2747" s="1">
        <v>45838</v>
      </c>
      <c r="C2747">
        <v>340257</v>
      </c>
      <c r="D2747">
        <v>-54378562.403999999</v>
      </c>
      <c r="E2747" t="s">
        <v>4</v>
      </c>
      <c r="F2747" t="s">
        <v>47</v>
      </c>
      <c r="G2747" t="s">
        <v>7</v>
      </c>
    </row>
    <row r="2748" spans="1:7" x14ac:dyDescent="0.3">
      <c r="A2748" t="s">
        <v>35</v>
      </c>
      <c r="B2748" s="1">
        <v>45838</v>
      </c>
      <c r="C2748">
        <v>350002</v>
      </c>
      <c r="D2748">
        <v>27996.028999999999</v>
      </c>
      <c r="E2748" t="s">
        <v>4</v>
      </c>
      <c r="F2748" t="s">
        <v>49</v>
      </c>
      <c r="G2748" t="s">
        <v>7</v>
      </c>
    </row>
    <row r="2749" spans="1:7" x14ac:dyDescent="0.3">
      <c r="A2749" t="s">
        <v>35</v>
      </c>
      <c r="B2749" s="1">
        <v>45838</v>
      </c>
      <c r="C2749">
        <v>350003</v>
      </c>
      <c r="D2749">
        <v>74300.739000000001</v>
      </c>
      <c r="E2749" t="s">
        <v>4</v>
      </c>
      <c r="F2749" t="s">
        <v>49</v>
      </c>
      <c r="G2749" t="s">
        <v>7</v>
      </c>
    </row>
    <row r="2750" spans="1:7" x14ac:dyDescent="0.3">
      <c r="A2750" t="s">
        <v>35</v>
      </c>
      <c r="B2750" s="1">
        <v>45838</v>
      </c>
      <c r="C2750">
        <v>350007</v>
      </c>
      <c r="D2750">
        <v>-1.8149999999999999</v>
      </c>
      <c r="E2750" t="s">
        <v>4</v>
      </c>
      <c r="F2750" t="s">
        <v>49</v>
      </c>
      <c r="G2750" t="s">
        <v>7</v>
      </c>
    </row>
    <row r="2751" spans="1:7" x14ac:dyDescent="0.3">
      <c r="A2751" t="s">
        <v>35</v>
      </c>
      <c r="B2751" s="1">
        <v>45838</v>
      </c>
      <c r="C2751">
        <v>350031</v>
      </c>
      <c r="D2751">
        <v>17486.078000000001</v>
      </c>
      <c r="E2751" t="s">
        <v>4</v>
      </c>
      <c r="F2751" t="s">
        <v>43</v>
      </c>
      <c r="G2751" t="s">
        <v>7</v>
      </c>
    </row>
    <row r="2752" spans="1:7" x14ac:dyDescent="0.3">
      <c r="A2752" t="s">
        <v>35</v>
      </c>
      <c r="B2752" s="1">
        <v>45838</v>
      </c>
      <c r="C2752">
        <v>350034</v>
      </c>
      <c r="D2752">
        <v>5553.7740000000003</v>
      </c>
      <c r="E2752" t="s">
        <v>4</v>
      </c>
      <c r="F2752" t="s">
        <v>49</v>
      </c>
      <c r="G2752" t="s">
        <v>7</v>
      </c>
    </row>
    <row r="2753" spans="1:7" x14ac:dyDescent="0.3">
      <c r="A2753" t="s">
        <v>35</v>
      </c>
      <c r="B2753" s="1">
        <v>45838</v>
      </c>
      <c r="C2753">
        <v>352002</v>
      </c>
      <c r="D2753">
        <v>8804.3439999999991</v>
      </c>
      <c r="E2753" t="s">
        <v>4</v>
      </c>
      <c r="F2753" t="s">
        <v>48</v>
      </c>
      <c r="G2753" t="s">
        <v>7</v>
      </c>
    </row>
    <row r="2754" spans="1:7" x14ac:dyDescent="0.3">
      <c r="A2754" t="s">
        <v>35</v>
      </c>
      <c r="B2754" s="1">
        <v>45838</v>
      </c>
      <c r="C2754">
        <v>354003</v>
      </c>
      <c r="D2754">
        <v>0</v>
      </c>
      <c r="E2754" t="s">
        <v>4</v>
      </c>
      <c r="F2754" t="s">
        <v>46</v>
      </c>
      <c r="G2754" t="s">
        <v>7</v>
      </c>
    </row>
    <row r="2755" spans="1:7" x14ac:dyDescent="0.3">
      <c r="A2755" t="s">
        <v>35</v>
      </c>
      <c r="B2755" s="1">
        <v>45838</v>
      </c>
      <c r="C2755">
        <v>354005</v>
      </c>
      <c r="D2755">
        <v>0</v>
      </c>
      <c r="E2755" t="s">
        <v>4</v>
      </c>
      <c r="F2755" t="s">
        <v>46</v>
      </c>
      <c r="G2755" t="s">
        <v>7</v>
      </c>
    </row>
    <row r="2756" spans="1:7" x14ac:dyDescent="0.3">
      <c r="A2756" t="s">
        <v>35</v>
      </c>
      <c r="B2756" s="1">
        <v>45838</v>
      </c>
      <c r="C2756">
        <v>354011</v>
      </c>
      <c r="D2756">
        <v>-244135.73800000001</v>
      </c>
      <c r="E2756" t="s">
        <v>4</v>
      </c>
      <c r="F2756" t="s">
        <v>46</v>
      </c>
      <c r="G2756" t="s">
        <v>7</v>
      </c>
    </row>
    <row r="2757" spans="1:7" x14ac:dyDescent="0.3">
      <c r="A2757" t="s">
        <v>35</v>
      </c>
      <c r="B2757" s="1">
        <v>45838</v>
      </c>
      <c r="C2757">
        <v>354012</v>
      </c>
      <c r="D2757">
        <v>559506.22199999995</v>
      </c>
      <c r="E2757" t="s">
        <v>4</v>
      </c>
      <c r="F2757" t="s">
        <v>46</v>
      </c>
      <c r="G2757" t="s">
        <v>7</v>
      </c>
    </row>
    <row r="2758" spans="1:7" x14ac:dyDescent="0.3">
      <c r="A2758" t="s">
        <v>35</v>
      </c>
      <c r="B2758" s="1">
        <v>45838</v>
      </c>
      <c r="C2758">
        <v>354014</v>
      </c>
      <c r="D2758">
        <v>1960373.5319999999</v>
      </c>
      <c r="E2758" t="s">
        <v>4</v>
      </c>
      <c r="F2758" t="s">
        <v>46</v>
      </c>
      <c r="G2758" t="s">
        <v>7</v>
      </c>
    </row>
    <row r="2759" spans="1:7" x14ac:dyDescent="0.3">
      <c r="A2759" t="s">
        <v>35</v>
      </c>
      <c r="B2759" s="1">
        <v>45838</v>
      </c>
      <c r="C2759">
        <v>354015</v>
      </c>
      <c r="D2759">
        <v>6939.71</v>
      </c>
      <c r="E2759" t="s">
        <v>4</v>
      </c>
      <c r="F2759" t="s">
        <v>46</v>
      </c>
      <c r="G2759" t="s">
        <v>7</v>
      </c>
    </row>
    <row r="2760" spans="1:7" x14ac:dyDescent="0.3">
      <c r="A2760" t="s">
        <v>35</v>
      </c>
      <c r="B2760" s="1">
        <v>45838</v>
      </c>
      <c r="C2760">
        <v>355002</v>
      </c>
      <c r="D2760">
        <v>24230.103999999999</v>
      </c>
      <c r="E2760" t="s">
        <v>4</v>
      </c>
      <c r="F2760" t="s">
        <v>49</v>
      </c>
      <c r="G2760" t="s">
        <v>7</v>
      </c>
    </row>
    <row r="2761" spans="1:7" x14ac:dyDescent="0.3">
      <c r="A2761" t="s">
        <v>35</v>
      </c>
      <c r="B2761" s="1">
        <v>45838</v>
      </c>
      <c r="C2761">
        <v>355013</v>
      </c>
      <c r="D2761">
        <v>0</v>
      </c>
      <c r="E2761" t="s">
        <v>4</v>
      </c>
      <c r="F2761" t="s">
        <v>49</v>
      </c>
      <c r="G2761" t="s">
        <v>7</v>
      </c>
    </row>
    <row r="2762" spans="1:7" x14ac:dyDescent="0.3">
      <c r="A2762" t="s">
        <v>35</v>
      </c>
      <c r="B2762" s="1">
        <v>45838</v>
      </c>
      <c r="C2762">
        <v>355014</v>
      </c>
      <c r="D2762">
        <v>86211.171000000002</v>
      </c>
      <c r="E2762" t="s">
        <v>4</v>
      </c>
      <c r="F2762" t="s">
        <v>49</v>
      </c>
      <c r="G2762" t="s">
        <v>7</v>
      </c>
    </row>
    <row r="2763" spans="1:7" x14ac:dyDescent="0.3">
      <c r="A2763" t="s">
        <v>35</v>
      </c>
      <c r="B2763" s="1">
        <v>45838</v>
      </c>
      <c r="C2763">
        <v>360022</v>
      </c>
      <c r="D2763">
        <v>11021.073</v>
      </c>
      <c r="E2763" t="s">
        <v>4</v>
      </c>
      <c r="F2763" t="s">
        <v>58</v>
      </c>
      <c r="G2763" t="s">
        <v>7</v>
      </c>
    </row>
    <row r="2764" spans="1:7" x14ac:dyDescent="0.3">
      <c r="A2764" t="s">
        <v>35</v>
      </c>
      <c r="B2764" s="1">
        <v>45838</v>
      </c>
      <c r="C2764">
        <v>360026</v>
      </c>
      <c r="D2764">
        <v>372962.63900000002</v>
      </c>
      <c r="E2764" t="s">
        <v>4</v>
      </c>
      <c r="F2764" t="s">
        <v>58</v>
      </c>
      <c r="G2764" t="s">
        <v>7</v>
      </c>
    </row>
    <row r="2765" spans="1:7" x14ac:dyDescent="0.3">
      <c r="A2765" t="s">
        <v>35</v>
      </c>
      <c r="B2765" s="1">
        <v>45838</v>
      </c>
      <c r="C2765">
        <v>360028</v>
      </c>
      <c r="D2765">
        <v>425888.23200000002</v>
      </c>
      <c r="E2765" t="s">
        <v>4</v>
      </c>
      <c r="F2765" t="s">
        <v>58</v>
      </c>
      <c r="G2765" t="s">
        <v>7</v>
      </c>
    </row>
    <row r="2766" spans="1:7" x14ac:dyDescent="0.3">
      <c r="A2766" t="s">
        <v>35</v>
      </c>
      <c r="B2766" s="1">
        <v>45838</v>
      </c>
      <c r="C2766">
        <v>360030</v>
      </c>
      <c r="D2766">
        <v>684787.56099999999</v>
      </c>
      <c r="E2766" t="s">
        <v>4</v>
      </c>
      <c r="F2766" t="s">
        <v>58</v>
      </c>
      <c r="G2766" t="s">
        <v>7</v>
      </c>
    </row>
    <row r="2767" spans="1:7" x14ac:dyDescent="0.3">
      <c r="A2767" t="s">
        <v>35</v>
      </c>
      <c r="B2767" s="1">
        <v>45838</v>
      </c>
      <c r="C2767">
        <v>360032</v>
      </c>
      <c r="D2767">
        <v>126506.552</v>
      </c>
      <c r="E2767" t="s">
        <v>4</v>
      </c>
      <c r="F2767" t="s">
        <v>58</v>
      </c>
      <c r="G2767" t="s">
        <v>7</v>
      </c>
    </row>
    <row r="2768" spans="1:7" x14ac:dyDescent="0.3">
      <c r="A2768" t="s">
        <v>35</v>
      </c>
      <c r="B2768" s="1">
        <v>45838</v>
      </c>
      <c r="C2768">
        <v>364502</v>
      </c>
      <c r="D2768">
        <v>427182.66</v>
      </c>
      <c r="E2768" t="s">
        <v>4</v>
      </c>
      <c r="F2768" t="s">
        <v>58</v>
      </c>
      <c r="G2768" t="s">
        <v>7</v>
      </c>
    </row>
    <row r="2769" spans="1:7" x14ac:dyDescent="0.3">
      <c r="A2769" t="s">
        <v>35</v>
      </c>
      <c r="B2769" s="1">
        <v>45838</v>
      </c>
      <c r="C2769">
        <v>400002</v>
      </c>
      <c r="D2769">
        <v>-7296.1049999999996</v>
      </c>
      <c r="E2769" t="s">
        <v>6</v>
      </c>
      <c r="F2769" t="s">
        <v>50</v>
      </c>
      <c r="G2769" t="s">
        <v>7</v>
      </c>
    </row>
    <row r="2770" spans="1:7" x14ac:dyDescent="0.3">
      <c r="A2770" t="s">
        <v>35</v>
      </c>
      <c r="B2770" s="1">
        <v>45838</v>
      </c>
      <c r="C2770">
        <v>400004</v>
      </c>
      <c r="D2770">
        <v>-5040.9979999999996</v>
      </c>
      <c r="E2770" t="s">
        <v>6</v>
      </c>
      <c r="F2770" t="s">
        <v>50</v>
      </c>
      <c r="G2770" t="s">
        <v>7</v>
      </c>
    </row>
    <row r="2771" spans="1:7" x14ac:dyDescent="0.3">
      <c r="A2771" t="s">
        <v>35</v>
      </c>
      <c r="B2771" s="1">
        <v>45838</v>
      </c>
      <c r="C2771">
        <v>410002</v>
      </c>
      <c r="D2771">
        <v>-159817.18299999999</v>
      </c>
      <c r="E2771" t="s">
        <v>6</v>
      </c>
      <c r="F2771" t="s">
        <v>51</v>
      </c>
      <c r="G2771" t="s">
        <v>7</v>
      </c>
    </row>
    <row r="2772" spans="1:7" x14ac:dyDescent="0.3">
      <c r="A2772" t="s">
        <v>35</v>
      </c>
      <c r="B2772" s="1">
        <v>45838</v>
      </c>
      <c r="C2772">
        <v>410006</v>
      </c>
      <c r="D2772">
        <v>-11557.652</v>
      </c>
      <c r="E2772" t="s">
        <v>6</v>
      </c>
      <c r="F2772" t="s">
        <v>51</v>
      </c>
      <c r="G2772" t="s">
        <v>7</v>
      </c>
    </row>
    <row r="2773" spans="1:7" x14ac:dyDescent="0.3">
      <c r="A2773" t="s">
        <v>35</v>
      </c>
      <c r="B2773" s="1">
        <v>45838</v>
      </c>
      <c r="C2773">
        <v>410009</v>
      </c>
      <c r="D2773">
        <v>-4757.4319999999998</v>
      </c>
      <c r="E2773" t="s">
        <v>6</v>
      </c>
      <c r="F2773" t="s">
        <v>51</v>
      </c>
      <c r="G2773" t="s">
        <v>7</v>
      </c>
    </row>
    <row r="2774" spans="1:7" x14ac:dyDescent="0.3">
      <c r="A2774" t="s">
        <v>35</v>
      </c>
      <c r="B2774" s="1">
        <v>45838</v>
      </c>
      <c r="C2774">
        <v>410015</v>
      </c>
      <c r="D2774">
        <v>-12976.812</v>
      </c>
      <c r="E2774" t="s">
        <v>6</v>
      </c>
      <c r="F2774" t="s">
        <v>51</v>
      </c>
      <c r="G2774" t="s">
        <v>7</v>
      </c>
    </row>
    <row r="2775" spans="1:7" x14ac:dyDescent="0.3">
      <c r="A2775" t="s">
        <v>35</v>
      </c>
      <c r="B2775" s="1">
        <v>45838</v>
      </c>
      <c r="C2775">
        <v>410032</v>
      </c>
      <c r="D2775">
        <v>-27798.475999999999</v>
      </c>
      <c r="E2775" t="s">
        <v>6</v>
      </c>
      <c r="F2775" t="s">
        <v>51</v>
      </c>
      <c r="G2775" t="s">
        <v>7</v>
      </c>
    </row>
    <row r="2776" spans="1:7" x14ac:dyDescent="0.3">
      <c r="A2776" t="s">
        <v>35</v>
      </c>
      <c r="B2776" s="1">
        <v>45838</v>
      </c>
      <c r="C2776">
        <v>410036</v>
      </c>
      <c r="D2776">
        <v>-291.13</v>
      </c>
      <c r="E2776" t="s">
        <v>6</v>
      </c>
      <c r="F2776" t="s">
        <v>51</v>
      </c>
      <c r="G2776" t="s">
        <v>7</v>
      </c>
    </row>
    <row r="2777" spans="1:7" x14ac:dyDescent="0.3">
      <c r="A2777" t="s">
        <v>35</v>
      </c>
      <c r="B2777" s="1">
        <v>45838</v>
      </c>
      <c r="C2777">
        <v>410039</v>
      </c>
      <c r="D2777">
        <v>-4978.7640000000001</v>
      </c>
      <c r="E2777" t="s">
        <v>6</v>
      </c>
      <c r="F2777" t="s">
        <v>51</v>
      </c>
      <c r="G2777" t="s">
        <v>7</v>
      </c>
    </row>
    <row r="2778" spans="1:7" x14ac:dyDescent="0.3">
      <c r="A2778" t="s">
        <v>35</v>
      </c>
      <c r="B2778" s="1">
        <v>45838</v>
      </c>
      <c r="C2778">
        <v>410040</v>
      </c>
      <c r="D2778">
        <v>-23.17</v>
      </c>
      <c r="E2778" t="s">
        <v>6</v>
      </c>
      <c r="F2778" t="s">
        <v>51</v>
      </c>
      <c r="G2778" t="s">
        <v>7</v>
      </c>
    </row>
    <row r="2779" spans="1:7" x14ac:dyDescent="0.3">
      <c r="A2779" t="s">
        <v>35</v>
      </c>
      <c r="B2779" s="1">
        <v>45838</v>
      </c>
      <c r="C2779">
        <v>415002</v>
      </c>
      <c r="D2779">
        <v>-4661474.6440000003</v>
      </c>
      <c r="E2779" t="s">
        <v>6</v>
      </c>
      <c r="F2779" t="s">
        <v>50</v>
      </c>
      <c r="G2779" t="s">
        <v>7</v>
      </c>
    </row>
    <row r="2780" spans="1:7" x14ac:dyDescent="0.3">
      <c r="A2780" t="s">
        <v>35</v>
      </c>
      <c r="B2780" s="1">
        <v>45838</v>
      </c>
      <c r="C2780">
        <v>415003</v>
      </c>
      <c r="D2780">
        <v>-8960.8539999999994</v>
      </c>
      <c r="E2780" t="s">
        <v>6</v>
      </c>
      <c r="F2780" t="s">
        <v>50</v>
      </c>
      <c r="G2780" t="s">
        <v>7</v>
      </c>
    </row>
    <row r="2781" spans="1:7" x14ac:dyDescent="0.3">
      <c r="A2781" t="s">
        <v>35</v>
      </c>
      <c r="B2781" s="1">
        <v>45838</v>
      </c>
      <c r="C2781">
        <v>415004</v>
      </c>
      <c r="D2781">
        <v>-2790576.62</v>
      </c>
      <c r="E2781" t="s">
        <v>6</v>
      </c>
      <c r="F2781" t="s">
        <v>50</v>
      </c>
      <c r="G2781" t="s">
        <v>7</v>
      </c>
    </row>
    <row r="2782" spans="1:7" x14ac:dyDescent="0.3">
      <c r="A2782" t="s">
        <v>35</v>
      </c>
      <c r="B2782" s="1">
        <v>45838</v>
      </c>
      <c r="C2782">
        <v>415006</v>
      </c>
      <c r="D2782">
        <v>172.44200000000001</v>
      </c>
      <c r="E2782" t="s">
        <v>6</v>
      </c>
      <c r="F2782" t="s">
        <v>50</v>
      </c>
      <c r="G2782" t="s">
        <v>7</v>
      </c>
    </row>
    <row r="2783" spans="1:7" x14ac:dyDescent="0.3">
      <c r="A2783" t="s">
        <v>35</v>
      </c>
      <c r="B2783" s="1">
        <v>45838</v>
      </c>
      <c r="C2783">
        <v>418002</v>
      </c>
      <c r="D2783">
        <v>0</v>
      </c>
      <c r="E2783" t="s">
        <v>6</v>
      </c>
      <c r="F2783" t="s">
        <v>50</v>
      </c>
      <c r="G2783" t="s">
        <v>7</v>
      </c>
    </row>
    <row r="2784" spans="1:7" x14ac:dyDescent="0.3">
      <c r="A2784" t="s">
        <v>35</v>
      </c>
      <c r="B2784" s="1">
        <v>45838</v>
      </c>
      <c r="C2784">
        <v>421003</v>
      </c>
      <c r="D2784">
        <v>-3888.5970000000002</v>
      </c>
      <c r="E2784" t="s">
        <v>6</v>
      </c>
      <c r="F2784" t="s">
        <v>52</v>
      </c>
      <c r="G2784" t="s">
        <v>7</v>
      </c>
    </row>
    <row r="2785" spans="1:7" x14ac:dyDescent="0.3">
      <c r="A2785" t="s">
        <v>35</v>
      </c>
      <c r="B2785" s="1">
        <v>45838</v>
      </c>
      <c r="C2785">
        <v>421007</v>
      </c>
      <c r="D2785">
        <v>30.324999999999999</v>
      </c>
      <c r="E2785" t="s">
        <v>6</v>
      </c>
      <c r="F2785" t="s">
        <v>52</v>
      </c>
      <c r="G2785" t="s">
        <v>7</v>
      </c>
    </row>
    <row r="2786" spans="1:7" x14ac:dyDescent="0.3">
      <c r="A2786" t="s">
        <v>35</v>
      </c>
      <c r="B2786" s="1">
        <v>45838</v>
      </c>
      <c r="C2786">
        <v>423012</v>
      </c>
      <c r="D2786">
        <v>-1088.5530000000001</v>
      </c>
      <c r="E2786" t="s">
        <v>6</v>
      </c>
      <c r="F2786" t="s">
        <v>52</v>
      </c>
      <c r="G2786" t="s">
        <v>7</v>
      </c>
    </row>
    <row r="2787" spans="1:7" x14ac:dyDescent="0.3">
      <c r="A2787" t="s">
        <v>35</v>
      </c>
      <c r="B2787" s="1">
        <v>45838</v>
      </c>
      <c r="C2787">
        <v>510002</v>
      </c>
      <c r="D2787">
        <v>1291095.9040000001</v>
      </c>
      <c r="E2787" t="s">
        <v>6</v>
      </c>
      <c r="F2787" t="s">
        <v>53</v>
      </c>
      <c r="G2787" t="s">
        <v>7</v>
      </c>
    </row>
    <row r="2788" spans="1:7" x14ac:dyDescent="0.3">
      <c r="A2788" t="s">
        <v>35</v>
      </c>
      <c r="B2788" s="1">
        <v>45838</v>
      </c>
      <c r="C2788">
        <v>510005</v>
      </c>
      <c r="D2788">
        <v>66420.532000000007</v>
      </c>
      <c r="E2788" t="s">
        <v>6</v>
      </c>
      <c r="F2788" t="s">
        <v>53</v>
      </c>
      <c r="G2788" t="s">
        <v>7</v>
      </c>
    </row>
    <row r="2789" spans="1:7" x14ac:dyDescent="0.3">
      <c r="A2789" t="s">
        <v>35</v>
      </c>
      <c r="B2789" s="1">
        <v>45838</v>
      </c>
      <c r="C2789">
        <v>510007</v>
      </c>
      <c r="D2789">
        <v>89766.959000000003</v>
      </c>
      <c r="E2789" t="s">
        <v>6</v>
      </c>
      <c r="F2789" t="s">
        <v>53</v>
      </c>
      <c r="G2789" t="s">
        <v>7</v>
      </c>
    </row>
    <row r="2790" spans="1:7" x14ac:dyDescent="0.3">
      <c r="A2790" t="s">
        <v>35</v>
      </c>
      <c r="B2790" s="1">
        <v>45838</v>
      </c>
      <c r="C2790">
        <v>510008</v>
      </c>
      <c r="D2790">
        <v>2080.4549999999999</v>
      </c>
      <c r="E2790" t="s">
        <v>6</v>
      </c>
      <c r="F2790" t="s">
        <v>53</v>
      </c>
      <c r="G2790" t="s">
        <v>7</v>
      </c>
    </row>
    <row r="2791" spans="1:7" x14ac:dyDescent="0.3">
      <c r="A2791" t="s">
        <v>35</v>
      </c>
      <c r="B2791" s="1">
        <v>45838</v>
      </c>
      <c r="C2791">
        <v>510010</v>
      </c>
      <c r="D2791">
        <v>16393.841</v>
      </c>
      <c r="E2791" t="s">
        <v>6</v>
      </c>
      <c r="F2791" t="s">
        <v>53</v>
      </c>
      <c r="G2791" t="s">
        <v>7</v>
      </c>
    </row>
    <row r="2792" spans="1:7" x14ac:dyDescent="0.3">
      <c r="A2792" t="s">
        <v>35</v>
      </c>
      <c r="B2792" s="1">
        <v>45838</v>
      </c>
      <c r="C2792">
        <v>510012</v>
      </c>
      <c r="D2792">
        <v>23023.048999999999</v>
      </c>
      <c r="E2792" t="s">
        <v>6</v>
      </c>
      <c r="F2792" t="s">
        <v>53</v>
      </c>
      <c r="G2792" t="s">
        <v>7</v>
      </c>
    </row>
    <row r="2793" spans="1:7" x14ac:dyDescent="0.3">
      <c r="A2793" t="s">
        <v>35</v>
      </c>
      <c r="B2793" s="1">
        <v>45838</v>
      </c>
      <c r="C2793">
        <v>510015</v>
      </c>
      <c r="D2793">
        <v>120195.35799999999</v>
      </c>
      <c r="E2793" t="s">
        <v>6</v>
      </c>
      <c r="F2793" t="s">
        <v>53</v>
      </c>
      <c r="G2793" t="s">
        <v>7</v>
      </c>
    </row>
    <row r="2794" spans="1:7" x14ac:dyDescent="0.3">
      <c r="A2794" t="s">
        <v>35</v>
      </c>
      <c r="B2794" s="1">
        <v>45838</v>
      </c>
      <c r="C2794">
        <v>510018</v>
      </c>
      <c r="D2794">
        <v>104612.26</v>
      </c>
      <c r="E2794" t="s">
        <v>6</v>
      </c>
      <c r="F2794" t="s">
        <v>53</v>
      </c>
      <c r="G2794" t="s">
        <v>7</v>
      </c>
    </row>
    <row r="2795" spans="1:7" x14ac:dyDescent="0.3">
      <c r="A2795" t="s">
        <v>35</v>
      </c>
      <c r="B2795" s="1">
        <v>45838</v>
      </c>
      <c r="C2795">
        <v>510048</v>
      </c>
      <c r="D2795">
        <v>587.23299999999995</v>
      </c>
      <c r="E2795" t="s">
        <v>6</v>
      </c>
      <c r="F2795" t="s">
        <v>61</v>
      </c>
      <c r="G2795" t="s">
        <v>7</v>
      </c>
    </row>
    <row r="2796" spans="1:7" x14ac:dyDescent="0.3">
      <c r="A2796" t="s">
        <v>35</v>
      </c>
      <c r="B2796" s="1">
        <v>45838</v>
      </c>
      <c r="C2796">
        <v>510059</v>
      </c>
      <c r="D2796">
        <v>14960.174000000001</v>
      </c>
      <c r="E2796" t="s">
        <v>6</v>
      </c>
      <c r="F2796" t="s">
        <v>53</v>
      </c>
      <c r="G2796" t="s">
        <v>7</v>
      </c>
    </row>
    <row r="2797" spans="1:7" x14ac:dyDescent="0.3">
      <c r="A2797" t="s">
        <v>35</v>
      </c>
      <c r="B2797" s="1">
        <v>45838</v>
      </c>
      <c r="C2797">
        <v>510061</v>
      </c>
      <c r="D2797">
        <v>0</v>
      </c>
      <c r="E2797" t="s">
        <v>6</v>
      </c>
      <c r="F2797" t="s">
        <v>53</v>
      </c>
      <c r="G2797" t="s">
        <v>7</v>
      </c>
    </row>
    <row r="2798" spans="1:7" x14ac:dyDescent="0.3">
      <c r="A2798" t="s">
        <v>35</v>
      </c>
      <c r="B2798" s="1">
        <v>45838</v>
      </c>
      <c r="C2798">
        <v>510062</v>
      </c>
      <c r="D2798">
        <v>18326.018</v>
      </c>
      <c r="E2798" t="s">
        <v>6</v>
      </c>
      <c r="F2798" t="s">
        <v>53</v>
      </c>
      <c r="G2798" t="s">
        <v>7</v>
      </c>
    </row>
    <row r="2799" spans="1:7" x14ac:dyDescent="0.3">
      <c r="A2799" t="s">
        <v>35</v>
      </c>
      <c r="B2799" s="1">
        <v>45838</v>
      </c>
      <c r="C2799">
        <v>510064</v>
      </c>
      <c r="D2799">
        <v>353.98399999999998</v>
      </c>
      <c r="E2799" t="s">
        <v>6</v>
      </c>
      <c r="F2799" t="s">
        <v>53</v>
      </c>
      <c r="G2799" t="s">
        <v>7</v>
      </c>
    </row>
    <row r="2800" spans="1:7" x14ac:dyDescent="0.3">
      <c r="A2800" t="s">
        <v>35</v>
      </c>
      <c r="B2800" s="1">
        <v>45838</v>
      </c>
      <c r="C2800">
        <v>510065</v>
      </c>
      <c r="D2800">
        <v>33321.512999999999</v>
      </c>
      <c r="E2800" t="s">
        <v>6</v>
      </c>
      <c r="F2800" t="s">
        <v>53</v>
      </c>
      <c r="G2800" t="s">
        <v>7</v>
      </c>
    </row>
    <row r="2801" spans="1:7" x14ac:dyDescent="0.3">
      <c r="A2801" t="s">
        <v>35</v>
      </c>
      <c r="B2801" s="1">
        <v>45838</v>
      </c>
      <c r="C2801">
        <v>510066</v>
      </c>
      <c r="D2801">
        <v>0</v>
      </c>
      <c r="E2801" t="s">
        <v>6</v>
      </c>
      <c r="F2801" t="s">
        <v>53</v>
      </c>
      <c r="G2801" t="s">
        <v>7</v>
      </c>
    </row>
    <row r="2802" spans="1:7" x14ac:dyDescent="0.3">
      <c r="A2802" t="s">
        <v>35</v>
      </c>
      <c r="B2802" s="1">
        <v>45838</v>
      </c>
      <c r="C2802">
        <v>520020</v>
      </c>
      <c r="D2802">
        <v>455.142</v>
      </c>
      <c r="E2802" t="s">
        <v>6</v>
      </c>
      <c r="F2802" t="s">
        <v>53</v>
      </c>
      <c r="G2802" t="s">
        <v>7</v>
      </c>
    </row>
    <row r="2803" spans="1:7" x14ac:dyDescent="0.3">
      <c r="A2803" t="s">
        <v>35</v>
      </c>
      <c r="B2803" s="1">
        <v>45838</v>
      </c>
      <c r="C2803">
        <v>520021</v>
      </c>
      <c r="D2803">
        <v>2720.0160000000001</v>
      </c>
      <c r="E2803" t="s">
        <v>6</v>
      </c>
      <c r="F2803" t="s">
        <v>60</v>
      </c>
      <c r="G2803" t="s">
        <v>7</v>
      </c>
    </row>
    <row r="2804" spans="1:7" x14ac:dyDescent="0.3">
      <c r="A2804" t="s">
        <v>35</v>
      </c>
      <c r="B2804" s="1">
        <v>45838</v>
      </c>
      <c r="C2804">
        <v>521002</v>
      </c>
      <c r="D2804">
        <v>0</v>
      </c>
      <c r="E2804" t="s">
        <v>6</v>
      </c>
      <c r="F2804" t="s">
        <v>53</v>
      </c>
      <c r="G2804" t="s">
        <v>7</v>
      </c>
    </row>
    <row r="2805" spans="1:7" x14ac:dyDescent="0.3">
      <c r="A2805" t="s">
        <v>35</v>
      </c>
      <c r="B2805" s="1">
        <v>45838</v>
      </c>
      <c r="C2805">
        <v>521004</v>
      </c>
      <c r="D2805">
        <v>0</v>
      </c>
      <c r="E2805" t="s">
        <v>6</v>
      </c>
      <c r="F2805" t="s">
        <v>53</v>
      </c>
      <c r="G2805" t="s">
        <v>7</v>
      </c>
    </row>
    <row r="2806" spans="1:7" x14ac:dyDescent="0.3">
      <c r="A2806" t="s">
        <v>35</v>
      </c>
      <c r="B2806" s="1">
        <v>45838</v>
      </c>
      <c r="C2806">
        <v>521006</v>
      </c>
      <c r="D2806">
        <v>0</v>
      </c>
      <c r="E2806" t="s">
        <v>6</v>
      </c>
      <c r="F2806" t="s">
        <v>53</v>
      </c>
      <c r="G2806" t="s">
        <v>7</v>
      </c>
    </row>
    <row r="2807" spans="1:7" x14ac:dyDescent="0.3">
      <c r="A2807" t="s">
        <v>35</v>
      </c>
      <c r="B2807" s="1">
        <v>45838</v>
      </c>
      <c r="C2807">
        <v>521007</v>
      </c>
      <c r="D2807">
        <v>0</v>
      </c>
      <c r="E2807" t="s">
        <v>6</v>
      </c>
      <c r="F2807" t="s">
        <v>53</v>
      </c>
      <c r="G2807" t="s">
        <v>7</v>
      </c>
    </row>
    <row r="2808" spans="1:7" x14ac:dyDescent="0.3">
      <c r="A2808" t="s">
        <v>35</v>
      </c>
      <c r="B2808" s="1">
        <v>45838</v>
      </c>
      <c r="C2808">
        <v>521008</v>
      </c>
      <c r="D2808">
        <v>0</v>
      </c>
      <c r="E2808" t="s">
        <v>6</v>
      </c>
      <c r="F2808" t="s">
        <v>53</v>
      </c>
      <c r="G2808" t="s">
        <v>7</v>
      </c>
    </row>
    <row r="2809" spans="1:7" x14ac:dyDescent="0.3">
      <c r="A2809" t="s">
        <v>35</v>
      </c>
      <c r="B2809" s="1">
        <v>45838</v>
      </c>
      <c r="C2809">
        <v>521012</v>
      </c>
      <c r="D2809">
        <v>0</v>
      </c>
      <c r="E2809" t="s">
        <v>6</v>
      </c>
      <c r="F2809" t="s">
        <v>53</v>
      </c>
      <c r="G2809" t="s">
        <v>7</v>
      </c>
    </row>
    <row r="2810" spans="1:7" x14ac:dyDescent="0.3">
      <c r="A2810" t="s">
        <v>35</v>
      </c>
      <c r="B2810" s="1">
        <v>45838</v>
      </c>
      <c r="C2810">
        <v>521014</v>
      </c>
      <c r="D2810">
        <v>0</v>
      </c>
      <c r="E2810" t="s">
        <v>6</v>
      </c>
      <c r="F2810" t="s">
        <v>53</v>
      </c>
      <c r="G2810" t="s">
        <v>7</v>
      </c>
    </row>
    <row r="2811" spans="1:7" x14ac:dyDescent="0.3">
      <c r="A2811" t="s">
        <v>35</v>
      </c>
      <c r="B2811" s="1">
        <v>45838</v>
      </c>
      <c r="C2811">
        <v>521015</v>
      </c>
      <c r="D2811">
        <v>0</v>
      </c>
      <c r="E2811" t="s">
        <v>6</v>
      </c>
      <c r="F2811" t="s">
        <v>53</v>
      </c>
      <c r="G2811" t="s">
        <v>7</v>
      </c>
    </row>
    <row r="2812" spans="1:7" x14ac:dyDescent="0.3">
      <c r="A2812" t="s">
        <v>35</v>
      </c>
      <c r="B2812" s="1">
        <v>45838</v>
      </c>
      <c r="C2812">
        <v>530012</v>
      </c>
      <c r="D2812">
        <v>23392.248</v>
      </c>
      <c r="E2812" t="s">
        <v>6</v>
      </c>
      <c r="F2812" t="s">
        <v>53</v>
      </c>
      <c r="G2812" t="s">
        <v>7</v>
      </c>
    </row>
    <row r="2813" spans="1:7" x14ac:dyDescent="0.3">
      <c r="A2813" t="s">
        <v>35</v>
      </c>
      <c r="B2813" s="1">
        <v>45838</v>
      </c>
      <c r="C2813">
        <v>540004</v>
      </c>
      <c r="D2813">
        <v>222.429</v>
      </c>
      <c r="E2813" t="s">
        <v>6</v>
      </c>
      <c r="F2813" t="s">
        <v>67</v>
      </c>
      <c r="G2813" t="s">
        <v>7</v>
      </c>
    </row>
    <row r="2814" spans="1:7" x14ac:dyDescent="0.3">
      <c r="A2814" t="s">
        <v>35</v>
      </c>
      <c r="B2814" s="1">
        <v>45838</v>
      </c>
      <c r="C2814">
        <v>541002</v>
      </c>
      <c r="D2814">
        <v>13156.468000000001</v>
      </c>
      <c r="E2814" t="s">
        <v>6</v>
      </c>
      <c r="F2814" t="s">
        <v>61</v>
      </c>
      <c r="G2814" t="s">
        <v>7</v>
      </c>
    </row>
    <row r="2815" spans="1:7" x14ac:dyDescent="0.3">
      <c r="A2815" t="s">
        <v>35</v>
      </c>
      <c r="B2815" s="1">
        <v>45838</v>
      </c>
      <c r="C2815">
        <v>541004</v>
      </c>
      <c r="D2815">
        <v>30234.896000000001</v>
      </c>
      <c r="E2815" t="s">
        <v>6</v>
      </c>
      <c r="F2815" t="s">
        <v>61</v>
      </c>
      <c r="G2815" t="s">
        <v>7</v>
      </c>
    </row>
    <row r="2816" spans="1:7" x14ac:dyDescent="0.3">
      <c r="A2816" t="s">
        <v>35</v>
      </c>
      <c r="B2816" s="1">
        <v>45838</v>
      </c>
      <c r="C2816">
        <v>541009</v>
      </c>
      <c r="D2816">
        <v>5927.5659999999998</v>
      </c>
      <c r="E2816" t="s">
        <v>6</v>
      </c>
      <c r="F2816" t="s">
        <v>61</v>
      </c>
      <c r="G2816" t="s">
        <v>7</v>
      </c>
    </row>
    <row r="2817" spans="1:7" x14ac:dyDescent="0.3">
      <c r="A2817" t="s">
        <v>35</v>
      </c>
      <c r="B2817" s="1">
        <v>45838</v>
      </c>
      <c r="C2817">
        <v>541010</v>
      </c>
      <c r="D2817">
        <v>15364.445</v>
      </c>
      <c r="E2817" t="s">
        <v>6</v>
      </c>
      <c r="F2817" t="s">
        <v>61</v>
      </c>
      <c r="G2817" t="s">
        <v>7</v>
      </c>
    </row>
    <row r="2818" spans="1:7" x14ac:dyDescent="0.3">
      <c r="A2818" t="s">
        <v>35</v>
      </c>
      <c r="B2818" s="1">
        <v>45838</v>
      </c>
      <c r="C2818">
        <v>541013</v>
      </c>
      <c r="D2818">
        <v>1192.337</v>
      </c>
      <c r="E2818" t="s">
        <v>6</v>
      </c>
      <c r="F2818" t="s">
        <v>61</v>
      </c>
      <c r="G2818" t="s">
        <v>7</v>
      </c>
    </row>
    <row r="2819" spans="1:7" x14ac:dyDescent="0.3">
      <c r="A2819" t="s">
        <v>35</v>
      </c>
      <c r="B2819" s="1">
        <v>45838</v>
      </c>
      <c r="C2819">
        <v>541021</v>
      </c>
      <c r="D2819">
        <v>-244.92099999999999</v>
      </c>
      <c r="E2819" t="s">
        <v>6</v>
      </c>
      <c r="F2819" t="s">
        <v>61</v>
      </c>
      <c r="G2819" t="s">
        <v>7</v>
      </c>
    </row>
    <row r="2820" spans="1:7" x14ac:dyDescent="0.3">
      <c r="A2820" t="s">
        <v>35</v>
      </c>
      <c r="B2820" s="1">
        <v>45838</v>
      </c>
      <c r="C2820">
        <v>544006</v>
      </c>
      <c r="D2820">
        <v>6634.6940000000004</v>
      </c>
      <c r="E2820" t="s">
        <v>6</v>
      </c>
      <c r="F2820" t="s">
        <v>61</v>
      </c>
      <c r="G2820" t="s">
        <v>7</v>
      </c>
    </row>
    <row r="2821" spans="1:7" x14ac:dyDescent="0.3">
      <c r="A2821" t="s">
        <v>35</v>
      </c>
      <c r="B2821" s="1">
        <v>45838</v>
      </c>
      <c r="C2821">
        <v>546002</v>
      </c>
      <c r="D2821">
        <v>2655836.7799999998</v>
      </c>
      <c r="E2821" t="s">
        <v>6</v>
      </c>
      <c r="F2821" t="s">
        <v>51</v>
      </c>
      <c r="G2821" t="s">
        <v>7</v>
      </c>
    </row>
    <row r="2822" spans="1:7" x14ac:dyDescent="0.3">
      <c r="A2822" t="s">
        <v>35</v>
      </c>
      <c r="B2822" s="1">
        <v>45838</v>
      </c>
      <c r="C2822">
        <v>546005</v>
      </c>
      <c r="D2822">
        <v>5004.32</v>
      </c>
      <c r="E2822" t="s">
        <v>6</v>
      </c>
      <c r="F2822" t="s">
        <v>51</v>
      </c>
      <c r="G2822" t="s">
        <v>7</v>
      </c>
    </row>
    <row r="2823" spans="1:7" x14ac:dyDescent="0.3">
      <c r="A2823" t="s">
        <v>35</v>
      </c>
      <c r="B2823" s="1">
        <v>45838</v>
      </c>
      <c r="C2823">
        <v>546008</v>
      </c>
      <c r="D2823">
        <v>42969.254999999997</v>
      </c>
      <c r="E2823" t="s">
        <v>6</v>
      </c>
      <c r="F2823" t="s">
        <v>51</v>
      </c>
      <c r="G2823" t="s">
        <v>7</v>
      </c>
    </row>
    <row r="2824" spans="1:7" x14ac:dyDescent="0.3">
      <c r="A2824" t="s">
        <v>35</v>
      </c>
      <c r="B2824" s="1">
        <v>45838</v>
      </c>
      <c r="C2824">
        <v>546012</v>
      </c>
      <c r="D2824">
        <v>4567.857</v>
      </c>
      <c r="E2824" t="s">
        <v>6</v>
      </c>
      <c r="F2824" t="s">
        <v>51</v>
      </c>
      <c r="G2824" t="s">
        <v>7</v>
      </c>
    </row>
    <row r="2825" spans="1:7" x14ac:dyDescent="0.3">
      <c r="A2825" t="s">
        <v>35</v>
      </c>
      <c r="B2825" s="1">
        <v>45838</v>
      </c>
      <c r="C2825">
        <v>546013</v>
      </c>
      <c r="D2825">
        <v>401364.42300000001</v>
      </c>
      <c r="E2825" t="s">
        <v>6</v>
      </c>
      <c r="F2825" t="s">
        <v>51</v>
      </c>
      <c r="G2825" t="s">
        <v>7</v>
      </c>
    </row>
    <row r="2826" spans="1:7" x14ac:dyDescent="0.3">
      <c r="A2826" t="s">
        <v>35</v>
      </c>
      <c r="B2826" s="1">
        <v>45838</v>
      </c>
      <c r="C2826">
        <v>546015</v>
      </c>
      <c r="D2826">
        <v>23609.48</v>
      </c>
      <c r="E2826" t="s">
        <v>6</v>
      </c>
      <c r="F2826" t="s">
        <v>51</v>
      </c>
      <c r="G2826" t="s">
        <v>7</v>
      </c>
    </row>
    <row r="2827" spans="1:7" x14ac:dyDescent="0.3">
      <c r="A2827" t="s">
        <v>35</v>
      </c>
      <c r="B2827" s="1">
        <v>45838</v>
      </c>
      <c r="C2827">
        <v>546016</v>
      </c>
      <c r="D2827">
        <v>46724.927000000003</v>
      </c>
      <c r="E2827" t="s">
        <v>6</v>
      </c>
      <c r="F2827" t="s">
        <v>51</v>
      </c>
      <c r="G2827" t="s">
        <v>7</v>
      </c>
    </row>
    <row r="2828" spans="1:7" x14ac:dyDescent="0.3">
      <c r="A2828" t="s">
        <v>35</v>
      </c>
      <c r="B2828" s="1">
        <v>45838</v>
      </c>
      <c r="C2828">
        <v>546018</v>
      </c>
      <c r="D2828">
        <v>1476.5440000000001</v>
      </c>
      <c r="E2828" t="s">
        <v>6</v>
      </c>
      <c r="F2828" t="s">
        <v>51</v>
      </c>
      <c r="G2828" t="s">
        <v>7</v>
      </c>
    </row>
    <row r="2829" spans="1:7" x14ac:dyDescent="0.3">
      <c r="A2829" t="s">
        <v>35</v>
      </c>
      <c r="B2829" s="1">
        <v>45838</v>
      </c>
      <c r="C2829">
        <v>546024</v>
      </c>
      <c r="D2829">
        <v>2197.6999999999998</v>
      </c>
      <c r="E2829" t="s">
        <v>6</v>
      </c>
      <c r="F2829" t="s">
        <v>51</v>
      </c>
      <c r="G2829" t="s">
        <v>7</v>
      </c>
    </row>
    <row r="2830" spans="1:7" x14ac:dyDescent="0.3">
      <c r="A2830" t="s">
        <v>35</v>
      </c>
      <c r="B2830" s="1">
        <v>45838</v>
      </c>
      <c r="C2830">
        <v>546035</v>
      </c>
      <c r="D2830">
        <v>49924.226999999999</v>
      </c>
      <c r="E2830" t="s">
        <v>6</v>
      </c>
      <c r="F2830" t="s">
        <v>51</v>
      </c>
      <c r="G2830" t="s">
        <v>7</v>
      </c>
    </row>
    <row r="2831" spans="1:7" x14ac:dyDescent="0.3">
      <c r="A2831" t="s">
        <v>35</v>
      </c>
      <c r="B2831" s="1">
        <v>45838</v>
      </c>
      <c r="C2831">
        <v>546045</v>
      </c>
      <c r="D2831">
        <v>13684.254000000001</v>
      </c>
      <c r="E2831" t="s">
        <v>6</v>
      </c>
      <c r="F2831" t="s">
        <v>51</v>
      </c>
      <c r="G2831" t="s">
        <v>7</v>
      </c>
    </row>
    <row r="2832" spans="1:7" x14ac:dyDescent="0.3">
      <c r="A2832" t="s">
        <v>35</v>
      </c>
      <c r="B2832" s="1">
        <v>45838</v>
      </c>
      <c r="C2832">
        <v>546047</v>
      </c>
      <c r="D2832">
        <v>3087.8240000000001</v>
      </c>
      <c r="E2832" t="s">
        <v>6</v>
      </c>
      <c r="F2832" t="s">
        <v>51</v>
      </c>
      <c r="G2832" t="s">
        <v>7</v>
      </c>
    </row>
    <row r="2833" spans="1:7" x14ac:dyDescent="0.3">
      <c r="A2833" t="s">
        <v>35</v>
      </c>
      <c r="B2833" s="1">
        <v>45838</v>
      </c>
      <c r="C2833">
        <v>547002</v>
      </c>
      <c r="D2833">
        <v>17119.707999999999</v>
      </c>
      <c r="E2833" t="s">
        <v>6</v>
      </c>
      <c r="F2833" t="s">
        <v>54</v>
      </c>
      <c r="G2833" t="s">
        <v>7</v>
      </c>
    </row>
    <row r="2834" spans="1:7" x14ac:dyDescent="0.3">
      <c r="A2834" t="s">
        <v>35</v>
      </c>
      <c r="B2834" s="1">
        <v>45838</v>
      </c>
      <c r="C2834">
        <v>547006</v>
      </c>
      <c r="D2834">
        <v>8848.6859999999997</v>
      </c>
      <c r="E2834" t="s">
        <v>6</v>
      </c>
      <c r="F2834" t="s">
        <v>54</v>
      </c>
      <c r="G2834" t="s">
        <v>7</v>
      </c>
    </row>
    <row r="2835" spans="1:7" x14ac:dyDescent="0.3">
      <c r="A2835" t="s">
        <v>35</v>
      </c>
      <c r="B2835" s="1">
        <v>45838</v>
      </c>
      <c r="C2835">
        <v>550003</v>
      </c>
      <c r="D2835">
        <v>1631191.233</v>
      </c>
      <c r="E2835" t="s">
        <v>6</v>
      </c>
      <c r="F2835" t="s">
        <v>62</v>
      </c>
      <c r="G2835" t="s">
        <v>7</v>
      </c>
    </row>
    <row r="2836" spans="1:7" x14ac:dyDescent="0.3">
      <c r="A2836" t="s">
        <v>35</v>
      </c>
      <c r="B2836" s="1">
        <v>45838</v>
      </c>
      <c r="C2836">
        <v>551002</v>
      </c>
      <c r="D2836">
        <v>1473.402</v>
      </c>
      <c r="E2836" t="s">
        <v>6</v>
      </c>
      <c r="F2836" t="s">
        <v>63</v>
      </c>
      <c r="G2836" t="s">
        <v>7</v>
      </c>
    </row>
    <row r="2837" spans="1:7" x14ac:dyDescent="0.3">
      <c r="A2837" t="s">
        <v>35</v>
      </c>
      <c r="B2837" s="1">
        <v>45838</v>
      </c>
      <c r="C2837">
        <v>551003</v>
      </c>
      <c r="D2837">
        <v>19832.092000000001</v>
      </c>
      <c r="E2837" t="s">
        <v>6</v>
      </c>
      <c r="F2837" t="s">
        <v>63</v>
      </c>
      <c r="G2837" t="s">
        <v>7</v>
      </c>
    </row>
    <row r="2838" spans="1:7" x14ac:dyDescent="0.3">
      <c r="A2838" t="s">
        <v>35</v>
      </c>
      <c r="B2838" s="1">
        <v>45838</v>
      </c>
      <c r="C2838">
        <v>551008</v>
      </c>
      <c r="D2838">
        <v>68.093999999999994</v>
      </c>
      <c r="E2838" t="s">
        <v>6</v>
      </c>
      <c r="F2838" t="s">
        <v>63</v>
      </c>
      <c r="G2838" t="s">
        <v>7</v>
      </c>
    </row>
    <row r="2839" spans="1:7" x14ac:dyDescent="0.3">
      <c r="A2839" t="s">
        <v>35</v>
      </c>
      <c r="B2839" s="1">
        <v>45838</v>
      </c>
      <c r="C2839">
        <v>551011</v>
      </c>
      <c r="D2839">
        <v>90.366</v>
      </c>
      <c r="E2839" t="s">
        <v>6</v>
      </c>
      <c r="F2839" t="s">
        <v>61</v>
      </c>
      <c r="G2839" t="s">
        <v>7</v>
      </c>
    </row>
    <row r="2840" spans="1:7" x14ac:dyDescent="0.3">
      <c r="A2840" t="s">
        <v>35</v>
      </c>
      <c r="B2840" s="1">
        <v>45838</v>
      </c>
      <c r="C2840">
        <v>552002</v>
      </c>
      <c r="D2840">
        <v>551.58199999999999</v>
      </c>
      <c r="E2840" t="s">
        <v>6</v>
      </c>
      <c r="F2840" t="s">
        <v>55</v>
      </c>
      <c r="G2840" t="s">
        <v>7</v>
      </c>
    </row>
    <row r="2841" spans="1:7" x14ac:dyDescent="0.3">
      <c r="A2841" t="s">
        <v>35</v>
      </c>
      <c r="B2841" s="1">
        <v>45838</v>
      </c>
      <c r="C2841">
        <v>552502</v>
      </c>
      <c r="D2841">
        <v>7951.9830000000002</v>
      </c>
      <c r="E2841" t="s">
        <v>6</v>
      </c>
      <c r="F2841" t="s">
        <v>55</v>
      </c>
      <c r="G2841" t="s">
        <v>7</v>
      </c>
    </row>
    <row r="2842" spans="1:7" x14ac:dyDescent="0.3">
      <c r="A2842" t="s">
        <v>35</v>
      </c>
      <c r="B2842" s="1">
        <v>45838</v>
      </c>
      <c r="C2842">
        <v>552504</v>
      </c>
      <c r="D2842">
        <v>392.68200000000002</v>
      </c>
      <c r="E2842" t="s">
        <v>6</v>
      </c>
      <c r="F2842" t="s">
        <v>55</v>
      </c>
      <c r="G2842" t="s">
        <v>7</v>
      </c>
    </row>
    <row r="2843" spans="1:7" x14ac:dyDescent="0.3">
      <c r="A2843" t="s">
        <v>35</v>
      </c>
      <c r="B2843" s="1">
        <v>45838</v>
      </c>
      <c r="C2843">
        <v>554003</v>
      </c>
      <c r="D2843">
        <v>872.87900000000002</v>
      </c>
      <c r="E2843" t="s">
        <v>6</v>
      </c>
      <c r="F2843" t="s">
        <v>55</v>
      </c>
      <c r="G2843" t="s">
        <v>7</v>
      </c>
    </row>
    <row r="2844" spans="1:7" x14ac:dyDescent="0.3">
      <c r="A2844" t="s">
        <v>35</v>
      </c>
      <c r="B2844" s="1">
        <v>45838</v>
      </c>
      <c r="C2844">
        <v>554006</v>
      </c>
      <c r="D2844">
        <v>241.893</v>
      </c>
      <c r="E2844" t="s">
        <v>6</v>
      </c>
      <c r="F2844" t="s">
        <v>55</v>
      </c>
      <c r="G2844" t="s">
        <v>7</v>
      </c>
    </row>
    <row r="2845" spans="1:7" x14ac:dyDescent="0.3">
      <c r="A2845" t="s">
        <v>35</v>
      </c>
      <c r="B2845" s="1">
        <v>45838</v>
      </c>
      <c r="C2845">
        <v>555502</v>
      </c>
      <c r="D2845">
        <v>10255.261</v>
      </c>
      <c r="E2845" t="s">
        <v>6</v>
      </c>
      <c r="F2845" t="s">
        <v>55</v>
      </c>
      <c r="G2845" t="s">
        <v>7</v>
      </c>
    </row>
    <row r="2846" spans="1:7" x14ac:dyDescent="0.3">
      <c r="A2846" t="s">
        <v>35</v>
      </c>
      <c r="B2846" s="1">
        <v>45838</v>
      </c>
      <c r="C2846">
        <v>555508</v>
      </c>
      <c r="D2846">
        <v>1442.7470000000001</v>
      </c>
      <c r="E2846" t="s">
        <v>6</v>
      </c>
      <c r="F2846" t="s">
        <v>55</v>
      </c>
      <c r="G2846" t="s">
        <v>7</v>
      </c>
    </row>
    <row r="2847" spans="1:7" x14ac:dyDescent="0.3">
      <c r="A2847" t="s">
        <v>35</v>
      </c>
      <c r="B2847" s="1">
        <v>45838</v>
      </c>
      <c r="C2847">
        <v>556002</v>
      </c>
      <c r="D2847">
        <v>1679.8710000000001</v>
      </c>
      <c r="E2847" t="s">
        <v>6</v>
      </c>
      <c r="F2847" t="s">
        <v>60</v>
      </c>
      <c r="G2847" t="s">
        <v>7</v>
      </c>
    </row>
    <row r="2848" spans="1:7" x14ac:dyDescent="0.3">
      <c r="A2848" t="s">
        <v>35</v>
      </c>
      <c r="B2848" s="1">
        <v>45838</v>
      </c>
      <c r="C2848">
        <v>557002</v>
      </c>
      <c r="D2848">
        <v>17808.977999999999</v>
      </c>
      <c r="E2848" t="s">
        <v>6</v>
      </c>
      <c r="F2848" t="s">
        <v>56</v>
      </c>
      <c r="G2848" t="s">
        <v>7</v>
      </c>
    </row>
    <row r="2849" spans="1:7" x14ac:dyDescent="0.3">
      <c r="A2849" t="s">
        <v>35</v>
      </c>
      <c r="B2849" s="1">
        <v>45838</v>
      </c>
      <c r="C2849">
        <v>557003</v>
      </c>
      <c r="D2849">
        <v>765.95100000000002</v>
      </c>
      <c r="E2849" t="s">
        <v>6</v>
      </c>
      <c r="F2849" t="s">
        <v>56</v>
      </c>
      <c r="G2849" t="s">
        <v>7</v>
      </c>
    </row>
    <row r="2850" spans="1:7" x14ac:dyDescent="0.3">
      <c r="A2850" t="s">
        <v>35</v>
      </c>
      <c r="B2850" s="1">
        <v>45838</v>
      </c>
      <c r="C2850">
        <v>558003</v>
      </c>
      <c r="D2850">
        <v>22802.911</v>
      </c>
      <c r="E2850" t="s">
        <v>6</v>
      </c>
      <c r="F2850" t="s">
        <v>57</v>
      </c>
      <c r="G2850" t="s">
        <v>7</v>
      </c>
    </row>
    <row r="2851" spans="1:7" x14ac:dyDescent="0.3">
      <c r="A2851" t="s">
        <v>35</v>
      </c>
      <c r="B2851" s="1">
        <v>45838</v>
      </c>
      <c r="C2851">
        <v>558006</v>
      </c>
      <c r="D2851">
        <v>17536.852999999999</v>
      </c>
      <c r="E2851" t="s">
        <v>6</v>
      </c>
      <c r="F2851" t="s">
        <v>57</v>
      </c>
      <c r="G2851" t="s">
        <v>7</v>
      </c>
    </row>
    <row r="2852" spans="1:7" x14ac:dyDescent="0.3">
      <c r="A2852" t="s">
        <v>35</v>
      </c>
      <c r="B2852" s="1">
        <v>45838</v>
      </c>
      <c r="C2852">
        <v>558007</v>
      </c>
      <c r="D2852">
        <v>33.716000000000001</v>
      </c>
      <c r="E2852" t="s">
        <v>6</v>
      </c>
      <c r="F2852" t="s">
        <v>60</v>
      </c>
      <c r="G2852" t="s">
        <v>7</v>
      </c>
    </row>
    <row r="2853" spans="1:7" x14ac:dyDescent="0.3">
      <c r="A2853" t="s">
        <v>35</v>
      </c>
      <c r="B2853" s="1">
        <v>45838</v>
      </c>
      <c r="C2853">
        <v>558011</v>
      </c>
      <c r="D2853">
        <v>2806.0889999999999</v>
      </c>
      <c r="E2853" t="s">
        <v>6</v>
      </c>
      <c r="F2853" t="s">
        <v>57</v>
      </c>
      <c r="G2853" t="s">
        <v>7</v>
      </c>
    </row>
    <row r="2854" spans="1:7" x14ac:dyDescent="0.3">
      <c r="A2854" t="s">
        <v>35</v>
      </c>
      <c r="B2854" s="1">
        <v>45838</v>
      </c>
      <c r="C2854">
        <v>558012</v>
      </c>
      <c r="D2854">
        <v>3015.192</v>
      </c>
      <c r="E2854" t="s">
        <v>6</v>
      </c>
      <c r="F2854" t="s">
        <v>60</v>
      </c>
      <c r="G2854" t="s">
        <v>7</v>
      </c>
    </row>
    <row r="2855" spans="1:7" x14ac:dyDescent="0.3">
      <c r="A2855" t="s">
        <v>35</v>
      </c>
      <c r="B2855" s="1">
        <v>45838</v>
      </c>
      <c r="C2855">
        <v>559002</v>
      </c>
      <c r="D2855">
        <v>27.257000000000001</v>
      </c>
      <c r="E2855" t="s">
        <v>6</v>
      </c>
      <c r="F2855" t="s">
        <v>60</v>
      </c>
      <c r="G2855" t="s">
        <v>7</v>
      </c>
    </row>
    <row r="2856" spans="1:7" x14ac:dyDescent="0.3">
      <c r="A2856" t="s">
        <v>35</v>
      </c>
      <c r="B2856" s="1">
        <v>45838</v>
      </c>
      <c r="C2856">
        <v>564004</v>
      </c>
      <c r="D2856">
        <v>146850.23999999999</v>
      </c>
      <c r="E2856" t="s">
        <v>6</v>
      </c>
      <c r="F2856" t="s">
        <v>51</v>
      </c>
      <c r="G2856" t="s">
        <v>7</v>
      </c>
    </row>
    <row r="2857" spans="1:7" x14ac:dyDescent="0.3">
      <c r="A2857" t="s">
        <v>35</v>
      </c>
      <c r="B2857" s="1">
        <v>45838</v>
      </c>
      <c r="C2857">
        <v>564006</v>
      </c>
      <c r="D2857">
        <v>6.9000000000000006E-2</v>
      </c>
      <c r="E2857" t="s">
        <v>6</v>
      </c>
      <c r="F2857" t="s">
        <v>57</v>
      </c>
      <c r="G2857" t="s">
        <v>7</v>
      </c>
    </row>
    <row r="2858" spans="1:7" x14ac:dyDescent="0.3">
      <c r="A2858" t="s">
        <v>35</v>
      </c>
      <c r="B2858" s="1">
        <v>45838</v>
      </c>
      <c r="C2858">
        <v>564008</v>
      </c>
      <c r="D2858">
        <v>434.822</v>
      </c>
      <c r="E2858" t="s">
        <v>6</v>
      </c>
      <c r="F2858" t="s">
        <v>55</v>
      </c>
      <c r="G2858" t="s">
        <v>7</v>
      </c>
    </row>
    <row r="2859" spans="1:7" x14ac:dyDescent="0.3">
      <c r="A2859" t="s">
        <v>35</v>
      </c>
      <c r="B2859" s="1">
        <v>45838</v>
      </c>
      <c r="C2859">
        <v>564020</v>
      </c>
      <c r="D2859">
        <v>454.64</v>
      </c>
      <c r="E2859" t="s">
        <v>6</v>
      </c>
      <c r="F2859" t="s">
        <v>57</v>
      </c>
      <c r="G2859" t="s">
        <v>7</v>
      </c>
    </row>
    <row r="2860" spans="1:7" x14ac:dyDescent="0.3">
      <c r="A2860" t="s">
        <v>35</v>
      </c>
      <c r="B2860" s="1">
        <v>45838</v>
      </c>
      <c r="C2860">
        <v>564022</v>
      </c>
      <c r="D2860">
        <v>7393.6189999999997</v>
      </c>
      <c r="E2860" t="s">
        <v>6</v>
      </c>
      <c r="F2860" t="s">
        <v>67</v>
      </c>
      <c r="G2860" t="s">
        <v>7</v>
      </c>
    </row>
    <row r="2861" spans="1:7" x14ac:dyDescent="0.3">
      <c r="A2861" t="s">
        <v>35</v>
      </c>
      <c r="B2861" s="1">
        <v>45838</v>
      </c>
      <c r="C2861">
        <v>570002</v>
      </c>
      <c r="D2861">
        <v>1229.2090000000001</v>
      </c>
      <c r="E2861" t="s">
        <v>6</v>
      </c>
      <c r="F2861" t="s">
        <v>66</v>
      </c>
      <c r="G2861" t="s">
        <v>7</v>
      </c>
    </row>
    <row r="2862" spans="1:7" x14ac:dyDescent="0.3">
      <c r="A2862" t="s">
        <v>35</v>
      </c>
      <c r="B2862" s="1">
        <v>45838</v>
      </c>
      <c r="C2862">
        <v>580002</v>
      </c>
      <c r="D2862">
        <v>172978.80100000001</v>
      </c>
      <c r="E2862" t="s">
        <v>6</v>
      </c>
      <c r="F2862" t="s">
        <v>64</v>
      </c>
      <c r="G2862" t="s">
        <v>7</v>
      </c>
    </row>
    <row r="2863" spans="1:7" x14ac:dyDescent="0.3">
      <c r="A2863" t="s">
        <v>35</v>
      </c>
      <c r="B2863" s="1">
        <v>45838</v>
      </c>
      <c r="C2863">
        <v>580003</v>
      </c>
      <c r="D2863">
        <v>12334.333000000001</v>
      </c>
      <c r="E2863" t="s">
        <v>6</v>
      </c>
      <c r="F2863" t="s">
        <v>64</v>
      </c>
      <c r="G2863" t="s">
        <v>7</v>
      </c>
    </row>
    <row r="2864" spans="1:7" x14ac:dyDescent="0.3">
      <c r="A2864" t="s">
        <v>35</v>
      </c>
      <c r="B2864" s="1">
        <v>45838</v>
      </c>
      <c r="C2864">
        <v>580005</v>
      </c>
      <c r="D2864">
        <v>3659.6120000000001</v>
      </c>
      <c r="E2864" t="s">
        <v>6</v>
      </c>
      <c r="F2864" t="s">
        <v>64</v>
      </c>
      <c r="G2864" t="s">
        <v>7</v>
      </c>
    </row>
    <row r="2865" spans="1:7" x14ac:dyDescent="0.3">
      <c r="A2865" t="s">
        <v>36</v>
      </c>
      <c r="B2865" s="1">
        <v>45838</v>
      </c>
      <c r="C2865">
        <v>210002</v>
      </c>
      <c r="D2865">
        <v>-986865.01300000004</v>
      </c>
      <c r="E2865" t="s">
        <v>4</v>
      </c>
      <c r="F2865" t="s">
        <v>42</v>
      </c>
      <c r="G2865" t="s">
        <v>7</v>
      </c>
    </row>
    <row r="2866" spans="1:7" x14ac:dyDescent="0.3">
      <c r="A2866" t="s">
        <v>36</v>
      </c>
      <c r="B2866" s="1">
        <v>45838</v>
      </c>
      <c r="C2866">
        <v>220006</v>
      </c>
      <c r="D2866">
        <v>1716844.5870000001</v>
      </c>
      <c r="E2866" t="s">
        <v>4</v>
      </c>
      <c r="F2866" t="s">
        <v>42</v>
      </c>
      <c r="G2866" t="s">
        <v>7</v>
      </c>
    </row>
    <row r="2867" spans="1:7" x14ac:dyDescent="0.3">
      <c r="A2867" t="s">
        <v>36</v>
      </c>
      <c r="B2867" s="1">
        <v>45838</v>
      </c>
      <c r="C2867">
        <v>300005</v>
      </c>
      <c r="D2867">
        <v>5444.0550000000003</v>
      </c>
      <c r="E2867" t="s">
        <v>4</v>
      </c>
      <c r="F2867" t="s">
        <v>65</v>
      </c>
      <c r="G2867" t="s">
        <v>7</v>
      </c>
    </row>
    <row r="2868" spans="1:7" x14ac:dyDescent="0.3">
      <c r="A2868" t="s">
        <v>36</v>
      </c>
      <c r="B2868" s="1">
        <v>45838</v>
      </c>
      <c r="C2868">
        <v>300008</v>
      </c>
      <c r="D2868">
        <v>11629.365</v>
      </c>
      <c r="E2868" t="s">
        <v>4</v>
      </c>
      <c r="F2868" t="s">
        <v>65</v>
      </c>
      <c r="G2868" t="s">
        <v>7</v>
      </c>
    </row>
    <row r="2869" spans="1:7" x14ac:dyDescent="0.3">
      <c r="A2869" t="s">
        <v>36</v>
      </c>
      <c r="B2869" s="1">
        <v>45838</v>
      </c>
      <c r="C2869">
        <v>300505</v>
      </c>
      <c r="D2869">
        <v>-5444.0550000000003</v>
      </c>
      <c r="E2869" t="s">
        <v>4</v>
      </c>
      <c r="F2869" t="s">
        <v>65</v>
      </c>
      <c r="G2869" t="s">
        <v>7</v>
      </c>
    </row>
    <row r="2870" spans="1:7" x14ac:dyDescent="0.3">
      <c r="A2870" t="s">
        <v>36</v>
      </c>
      <c r="B2870" s="1">
        <v>45838</v>
      </c>
      <c r="C2870">
        <v>300508</v>
      </c>
      <c r="D2870">
        <v>-11629.365</v>
      </c>
      <c r="E2870" t="s">
        <v>4</v>
      </c>
      <c r="F2870" t="s">
        <v>65</v>
      </c>
      <c r="G2870" t="s">
        <v>7</v>
      </c>
    </row>
    <row r="2871" spans="1:7" x14ac:dyDescent="0.3">
      <c r="A2871" t="s">
        <v>36</v>
      </c>
      <c r="B2871" s="1">
        <v>45838</v>
      </c>
      <c r="C2871">
        <v>301002</v>
      </c>
      <c r="D2871">
        <v>457900.277</v>
      </c>
      <c r="E2871" t="s">
        <v>4</v>
      </c>
      <c r="F2871" t="s">
        <v>68</v>
      </c>
      <c r="G2871" t="s">
        <v>7</v>
      </c>
    </row>
    <row r="2872" spans="1:7" x14ac:dyDescent="0.3">
      <c r="A2872" t="s">
        <v>36</v>
      </c>
      <c r="B2872" s="1">
        <v>45838</v>
      </c>
      <c r="C2872">
        <v>301502</v>
      </c>
      <c r="D2872">
        <v>-377808.05099999998</v>
      </c>
      <c r="E2872" t="s">
        <v>4</v>
      </c>
      <c r="F2872" t="s">
        <v>68</v>
      </c>
      <c r="G2872" t="s">
        <v>7</v>
      </c>
    </row>
    <row r="2873" spans="1:7" x14ac:dyDescent="0.3">
      <c r="A2873" t="s">
        <v>36</v>
      </c>
      <c r="B2873" s="1">
        <v>45838</v>
      </c>
      <c r="C2873">
        <v>330123</v>
      </c>
      <c r="D2873">
        <v>-916356.37100000004</v>
      </c>
      <c r="E2873" t="s">
        <v>4</v>
      </c>
      <c r="F2873" t="s">
        <v>43</v>
      </c>
      <c r="G2873" t="s">
        <v>7</v>
      </c>
    </row>
    <row r="2874" spans="1:7" x14ac:dyDescent="0.3">
      <c r="A2874" t="s">
        <v>36</v>
      </c>
      <c r="B2874" s="1">
        <v>45838</v>
      </c>
      <c r="C2874">
        <v>340258</v>
      </c>
      <c r="D2874">
        <v>179.74600000000001</v>
      </c>
      <c r="E2874" t="s">
        <v>4</v>
      </c>
      <c r="F2874" t="s">
        <v>47</v>
      </c>
      <c r="G2874" t="s">
        <v>7</v>
      </c>
    </row>
    <row r="2875" spans="1:7" x14ac:dyDescent="0.3">
      <c r="A2875" t="s">
        <v>36</v>
      </c>
      <c r="B2875" s="1">
        <v>45838</v>
      </c>
      <c r="C2875">
        <v>364502</v>
      </c>
      <c r="D2875">
        <v>94680.959000000003</v>
      </c>
      <c r="E2875" t="s">
        <v>4</v>
      </c>
      <c r="F2875" t="s">
        <v>58</v>
      </c>
      <c r="G2875" t="s">
        <v>7</v>
      </c>
    </row>
    <row r="2876" spans="1:7" x14ac:dyDescent="0.3">
      <c r="A2876" t="s">
        <v>36</v>
      </c>
      <c r="B2876" s="1">
        <v>45838</v>
      </c>
      <c r="C2876">
        <v>570003</v>
      </c>
      <c r="D2876">
        <v>11238.231</v>
      </c>
      <c r="E2876" t="s">
        <v>6</v>
      </c>
      <c r="F2876" t="s">
        <v>66</v>
      </c>
      <c r="G2876" t="s">
        <v>7</v>
      </c>
    </row>
    <row r="2877" spans="1:7" x14ac:dyDescent="0.3">
      <c r="A2877" t="s">
        <v>37</v>
      </c>
      <c r="B2877" s="1">
        <v>45838</v>
      </c>
      <c r="C2877">
        <v>210002</v>
      </c>
      <c r="D2877">
        <v>-93962.952999999994</v>
      </c>
      <c r="E2877" t="s">
        <v>4</v>
      </c>
      <c r="F2877" t="s">
        <v>42</v>
      </c>
      <c r="G2877" t="s">
        <v>7</v>
      </c>
    </row>
    <row r="2878" spans="1:7" x14ac:dyDescent="0.3">
      <c r="A2878" t="s">
        <v>37</v>
      </c>
      <c r="B2878" s="1">
        <v>45838</v>
      </c>
      <c r="C2878">
        <v>220006</v>
      </c>
      <c r="D2878">
        <v>-94088.55</v>
      </c>
      <c r="E2878" t="s">
        <v>4</v>
      </c>
      <c r="F2878" t="s">
        <v>42</v>
      </c>
      <c r="G2878" t="s">
        <v>7</v>
      </c>
    </row>
    <row r="2879" spans="1:7" x14ac:dyDescent="0.3">
      <c r="A2879" t="s">
        <v>37</v>
      </c>
      <c r="B2879" s="1">
        <v>45838</v>
      </c>
      <c r="C2879">
        <v>234003</v>
      </c>
      <c r="D2879">
        <v>-21722.401999999998</v>
      </c>
      <c r="E2879" t="s">
        <v>4</v>
      </c>
      <c r="F2879" t="s">
        <v>43</v>
      </c>
      <c r="G2879" t="s">
        <v>7</v>
      </c>
    </row>
    <row r="2880" spans="1:7" x14ac:dyDescent="0.3">
      <c r="A2880" t="s">
        <v>37</v>
      </c>
      <c r="B2880" s="1">
        <v>45838</v>
      </c>
      <c r="C2880">
        <v>240002</v>
      </c>
      <c r="D2880">
        <v>-917.82299999999998</v>
      </c>
      <c r="E2880" t="s">
        <v>4</v>
      </c>
      <c r="F2880" t="s">
        <v>43</v>
      </c>
      <c r="G2880" t="s">
        <v>7</v>
      </c>
    </row>
    <row r="2881" spans="1:7" x14ac:dyDescent="0.3">
      <c r="A2881" t="s">
        <v>37</v>
      </c>
      <c r="B2881" s="1">
        <v>45838</v>
      </c>
      <c r="C2881">
        <v>243002</v>
      </c>
      <c r="D2881">
        <v>-630.721</v>
      </c>
      <c r="E2881" t="s">
        <v>4</v>
      </c>
      <c r="F2881" t="s">
        <v>43</v>
      </c>
      <c r="G2881" t="s">
        <v>7</v>
      </c>
    </row>
    <row r="2882" spans="1:7" x14ac:dyDescent="0.3">
      <c r="A2882" t="s">
        <v>37</v>
      </c>
      <c r="B2882" s="1">
        <v>45838</v>
      </c>
      <c r="C2882">
        <v>243003</v>
      </c>
      <c r="D2882">
        <v>-40161.807999999997</v>
      </c>
      <c r="E2882" t="s">
        <v>4</v>
      </c>
      <c r="F2882" t="s">
        <v>43</v>
      </c>
      <c r="G2882" t="s">
        <v>7</v>
      </c>
    </row>
    <row r="2883" spans="1:7" x14ac:dyDescent="0.3">
      <c r="A2883" t="s">
        <v>37</v>
      </c>
      <c r="B2883" s="1">
        <v>45838</v>
      </c>
      <c r="C2883">
        <v>245010</v>
      </c>
      <c r="D2883">
        <v>-26128.868999999999</v>
      </c>
      <c r="E2883" t="s">
        <v>4</v>
      </c>
      <c r="F2883" t="s">
        <v>44</v>
      </c>
      <c r="G2883" t="s">
        <v>7</v>
      </c>
    </row>
    <row r="2884" spans="1:7" x14ac:dyDescent="0.3">
      <c r="A2884" t="s">
        <v>37</v>
      </c>
      <c r="B2884" s="1">
        <v>45838</v>
      </c>
      <c r="C2884">
        <v>245044</v>
      </c>
      <c r="D2884">
        <v>-6266.6719999999996</v>
      </c>
      <c r="E2884" t="s">
        <v>4</v>
      </c>
      <c r="F2884" t="s">
        <v>43</v>
      </c>
      <c r="G2884" t="s">
        <v>7</v>
      </c>
    </row>
    <row r="2885" spans="1:7" x14ac:dyDescent="0.3">
      <c r="A2885" t="s">
        <v>37</v>
      </c>
      <c r="B2885" s="1">
        <v>45838</v>
      </c>
      <c r="C2885">
        <v>251002</v>
      </c>
      <c r="D2885">
        <v>-20680.095000000001</v>
      </c>
      <c r="E2885" t="s">
        <v>4</v>
      </c>
      <c r="F2885" t="s">
        <v>45</v>
      </c>
      <c r="G2885" t="s">
        <v>7</v>
      </c>
    </row>
    <row r="2886" spans="1:7" x14ac:dyDescent="0.3">
      <c r="A2886" t="s">
        <v>37</v>
      </c>
      <c r="B2886" s="1">
        <v>45838</v>
      </c>
      <c r="C2886">
        <v>257022</v>
      </c>
      <c r="D2886">
        <v>-1859.8920000000001</v>
      </c>
      <c r="E2886" t="s">
        <v>4</v>
      </c>
      <c r="F2886" t="s">
        <v>45</v>
      </c>
      <c r="G2886" t="s">
        <v>7</v>
      </c>
    </row>
    <row r="2887" spans="1:7" x14ac:dyDescent="0.3">
      <c r="A2887" t="s">
        <v>37</v>
      </c>
      <c r="B2887" s="1">
        <v>45838</v>
      </c>
      <c r="C2887">
        <v>257030</v>
      </c>
      <c r="D2887">
        <v>-5623.53</v>
      </c>
      <c r="E2887" t="s">
        <v>4</v>
      </c>
      <c r="F2887" t="s">
        <v>45</v>
      </c>
      <c r="G2887" t="s">
        <v>7</v>
      </c>
    </row>
    <row r="2888" spans="1:7" x14ac:dyDescent="0.3">
      <c r="A2888" t="s">
        <v>37</v>
      </c>
      <c r="B2888" s="1">
        <v>45838</v>
      </c>
      <c r="C2888">
        <v>270024</v>
      </c>
      <c r="D2888">
        <v>-18166.576000000001</v>
      </c>
      <c r="E2888" t="s">
        <v>4</v>
      </c>
      <c r="F2888" t="s">
        <v>58</v>
      </c>
      <c r="G2888" t="s">
        <v>7</v>
      </c>
    </row>
    <row r="2889" spans="1:7" x14ac:dyDescent="0.3">
      <c r="A2889" t="s">
        <v>37</v>
      </c>
      <c r="B2889" s="1">
        <v>45838</v>
      </c>
      <c r="C2889">
        <v>300012</v>
      </c>
      <c r="D2889">
        <v>6266.3459999999995</v>
      </c>
      <c r="E2889" t="s">
        <v>4</v>
      </c>
      <c r="F2889" t="s">
        <v>65</v>
      </c>
      <c r="G2889" t="s">
        <v>7</v>
      </c>
    </row>
    <row r="2890" spans="1:7" x14ac:dyDescent="0.3">
      <c r="A2890" t="s">
        <v>37</v>
      </c>
      <c r="B2890" s="1">
        <v>45838</v>
      </c>
      <c r="C2890">
        <v>300013</v>
      </c>
      <c r="D2890">
        <v>1596.1030000000001</v>
      </c>
      <c r="E2890" t="s">
        <v>4</v>
      </c>
      <c r="F2890" t="s">
        <v>65</v>
      </c>
      <c r="G2890" t="s">
        <v>7</v>
      </c>
    </row>
    <row r="2891" spans="1:7" x14ac:dyDescent="0.3">
      <c r="A2891" t="s">
        <v>37</v>
      </c>
      <c r="B2891" s="1">
        <v>45838</v>
      </c>
      <c r="C2891">
        <v>300512</v>
      </c>
      <c r="D2891">
        <v>-3705.7080000000001</v>
      </c>
      <c r="E2891" t="s">
        <v>4</v>
      </c>
      <c r="F2891" t="s">
        <v>65</v>
      </c>
      <c r="G2891" t="s">
        <v>7</v>
      </c>
    </row>
    <row r="2892" spans="1:7" x14ac:dyDescent="0.3">
      <c r="A2892" t="s">
        <v>37</v>
      </c>
      <c r="B2892" s="1">
        <v>45838</v>
      </c>
      <c r="C2892">
        <v>300513</v>
      </c>
      <c r="D2892">
        <v>-682.73900000000003</v>
      </c>
      <c r="E2892" t="s">
        <v>4</v>
      </c>
      <c r="F2892" t="s">
        <v>65</v>
      </c>
      <c r="G2892" t="s">
        <v>7</v>
      </c>
    </row>
    <row r="2893" spans="1:7" x14ac:dyDescent="0.3">
      <c r="A2893" t="s">
        <v>37</v>
      </c>
      <c r="B2893" s="1">
        <v>45838</v>
      </c>
      <c r="C2893">
        <v>304002</v>
      </c>
      <c r="D2893">
        <v>24437.704000000002</v>
      </c>
      <c r="E2893" t="s">
        <v>4</v>
      </c>
      <c r="F2893" t="s">
        <v>65</v>
      </c>
      <c r="G2893" t="s">
        <v>7</v>
      </c>
    </row>
    <row r="2894" spans="1:7" x14ac:dyDescent="0.3">
      <c r="A2894" t="s">
        <v>37</v>
      </c>
      <c r="B2894" s="1">
        <v>45838</v>
      </c>
      <c r="C2894">
        <v>304502</v>
      </c>
      <c r="D2894">
        <v>-2715.3029999999999</v>
      </c>
      <c r="E2894" t="s">
        <v>4</v>
      </c>
      <c r="F2894" t="s">
        <v>65</v>
      </c>
      <c r="G2894" t="s">
        <v>7</v>
      </c>
    </row>
    <row r="2895" spans="1:7" x14ac:dyDescent="0.3">
      <c r="A2895" t="s">
        <v>37</v>
      </c>
      <c r="B2895" s="1">
        <v>45838</v>
      </c>
      <c r="C2895">
        <v>320002</v>
      </c>
      <c r="D2895">
        <v>11636.76</v>
      </c>
      <c r="E2895" t="s">
        <v>4</v>
      </c>
      <c r="F2895" t="s">
        <v>46</v>
      </c>
      <c r="G2895" t="s">
        <v>7</v>
      </c>
    </row>
    <row r="2896" spans="1:7" x14ac:dyDescent="0.3">
      <c r="A2896" t="s">
        <v>37</v>
      </c>
      <c r="B2896" s="1">
        <v>45838</v>
      </c>
      <c r="C2896">
        <v>320003</v>
      </c>
      <c r="D2896">
        <v>51068.273000000001</v>
      </c>
      <c r="E2896" t="s">
        <v>4</v>
      </c>
      <c r="F2896" t="s">
        <v>46</v>
      </c>
      <c r="G2896" t="s">
        <v>7</v>
      </c>
    </row>
    <row r="2897" spans="1:7" x14ac:dyDescent="0.3">
      <c r="A2897" t="s">
        <v>37</v>
      </c>
      <c r="B2897" s="1">
        <v>45838</v>
      </c>
      <c r="C2897">
        <v>321002</v>
      </c>
      <c r="D2897">
        <v>11435.25</v>
      </c>
      <c r="E2897" t="s">
        <v>4</v>
      </c>
      <c r="F2897" t="s">
        <v>46</v>
      </c>
      <c r="G2897" t="s">
        <v>7</v>
      </c>
    </row>
    <row r="2898" spans="1:7" x14ac:dyDescent="0.3">
      <c r="A2898" t="s">
        <v>37</v>
      </c>
      <c r="B2898" s="1">
        <v>45838</v>
      </c>
      <c r="C2898">
        <v>321025</v>
      </c>
      <c r="D2898">
        <v>12390.722</v>
      </c>
      <c r="E2898" t="s">
        <v>4</v>
      </c>
      <c r="F2898" t="s">
        <v>46</v>
      </c>
      <c r="G2898" t="s">
        <v>7</v>
      </c>
    </row>
    <row r="2899" spans="1:7" x14ac:dyDescent="0.3">
      <c r="A2899" t="s">
        <v>37</v>
      </c>
      <c r="B2899" s="1">
        <v>45838</v>
      </c>
      <c r="C2899">
        <v>340008</v>
      </c>
      <c r="D2899">
        <v>118314.932</v>
      </c>
      <c r="E2899" t="s">
        <v>4</v>
      </c>
      <c r="F2899" t="s">
        <v>47</v>
      </c>
      <c r="G2899" t="s">
        <v>7</v>
      </c>
    </row>
    <row r="2900" spans="1:7" x14ac:dyDescent="0.3">
      <c r="A2900" t="s">
        <v>37</v>
      </c>
      <c r="B2900" s="1">
        <v>45838</v>
      </c>
      <c r="C2900">
        <v>350002</v>
      </c>
      <c r="D2900">
        <v>5745.5609999999997</v>
      </c>
      <c r="E2900" t="s">
        <v>4</v>
      </c>
      <c r="F2900" t="s">
        <v>49</v>
      </c>
      <c r="G2900" t="s">
        <v>7</v>
      </c>
    </row>
    <row r="2901" spans="1:7" x14ac:dyDescent="0.3">
      <c r="A2901" t="s">
        <v>37</v>
      </c>
      <c r="B2901" s="1">
        <v>45838</v>
      </c>
      <c r="C2901">
        <v>350006</v>
      </c>
      <c r="D2901">
        <v>0</v>
      </c>
      <c r="E2901" t="s">
        <v>4</v>
      </c>
      <c r="F2901" t="s">
        <v>43</v>
      </c>
      <c r="G2901" t="s">
        <v>7</v>
      </c>
    </row>
    <row r="2902" spans="1:7" x14ac:dyDescent="0.3">
      <c r="A2902" t="s">
        <v>37</v>
      </c>
      <c r="B2902" s="1">
        <v>45838</v>
      </c>
      <c r="C2902">
        <v>352004</v>
      </c>
      <c r="D2902">
        <v>470.86900000000003</v>
      </c>
      <c r="E2902" t="s">
        <v>4</v>
      </c>
      <c r="F2902" t="s">
        <v>48</v>
      </c>
      <c r="G2902" t="s">
        <v>7</v>
      </c>
    </row>
    <row r="2903" spans="1:7" x14ac:dyDescent="0.3">
      <c r="A2903" t="s">
        <v>37</v>
      </c>
      <c r="B2903" s="1">
        <v>45838</v>
      </c>
      <c r="C2903">
        <v>354014</v>
      </c>
      <c r="D2903">
        <v>93304.418999999994</v>
      </c>
      <c r="E2903" t="s">
        <v>4</v>
      </c>
      <c r="F2903" t="s">
        <v>46</v>
      </c>
      <c r="G2903" t="s">
        <v>7</v>
      </c>
    </row>
    <row r="2904" spans="1:7" x14ac:dyDescent="0.3">
      <c r="A2904" t="s">
        <v>37</v>
      </c>
      <c r="B2904" s="1">
        <v>45838</v>
      </c>
      <c r="C2904">
        <v>355002</v>
      </c>
      <c r="D2904">
        <v>183.411</v>
      </c>
      <c r="E2904" t="s">
        <v>4</v>
      </c>
      <c r="F2904" t="s">
        <v>49</v>
      </c>
      <c r="G2904" t="s">
        <v>7</v>
      </c>
    </row>
    <row r="2905" spans="1:7" x14ac:dyDescent="0.3">
      <c r="A2905" t="s">
        <v>37</v>
      </c>
      <c r="B2905" s="1">
        <v>45838</v>
      </c>
      <c r="C2905">
        <v>360012</v>
      </c>
      <c r="D2905">
        <v>5439.8980000000001</v>
      </c>
      <c r="E2905" t="s">
        <v>4</v>
      </c>
      <c r="F2905" t="s">
        <v>58</v>
      </c>
      <c r="G2905" t="s">
        <v>7</v>
      </c>
    </row>
    <row r="2906" spans="1:7" x14ac:dyDescent="0.3">
      <c r="A2906" t="s">
        <v>37</v>
      </c>
      <c r="B2906" s="1">
        <v>45838</v>
      </c>
      <c r="C2906">
        <v>360019</v>
      </c>
      <c r="D2906">
        <v>3362.2689999999998</v>
      </c>
      <c r="E2906" t="s">
        <v>4</v>
      </c>
      <c r="F2906" t="s">
        <v>58</v>
      </c>
      <c r="G2906" t="s">
        <v>7</v>
      </c>
    </row>
    <row r="2907" spans="1:7" x14ac:dyDescent="0.3">
      <c r="A2907" t="s">
        <v>37</v>
      </c>
      <c r="B2907" s="1">
        <v>45838</v>
      </c>
      <c r="C2907">
        <v>360026</v>
      </c>
      <c r="D2907">
        <v>19829.416000000001</v>
      </c>
      <c r="E2907" t="s">
        <v>4</v>
      </c>
      <c r="F2907" t="s">
        <v>58</v>
      </c>
      <c r="G2907" t="s">
        <v>7</v>
      </c>
    </row>
    <row r="2908" spans="1:7" x14ac:dyDescent="0.3">
      <c r="A2908" t="s">
        <v>37</v>
      </c>
      <c r="B2908" s="1">
        <v>45838</v>
      </c>
      <c r="C2908">
        <v>364502</v>
      </c>
      <c r="D2908">
        <v>15819.040999999999</v>
      </c>
      <c r="E2908" t="s">
        <v>4</v>
      </c>
      <c r="F2908" t="s">
        <v>58</v>
      </c>
      <c r="G2908" t="s">
        <v>7</v>
      </c>
    </row>
    <row r="2909" spans="1:7" x14ac:dyDescent="0.3">
      <c r="A2909" t="s">
        <v>37</v>
      </c>
      <c r="B2909" s="1">
        <v>45838</v>
      </c>
      <c r="C2909">
        <v>400002</v>
      </c>
      <c r="D2909">
        <v>-14147.182000000001</v>
      </c>
      <c r="E2909" t="s">
        <v>6</v>
      </c>
      <c r="F2909" t="s">
        <v>50</v>
      </c>
      <c r="G2909" t="s">
        <v>7</v>
      </c>
    </row>
    <row r="2910" spans="1:7" x14ac:dyDescent="0.3">
      <c r="A2910" t="s">
        <v>37</v>
      </c>
      <c r="B2910" s="1">
        <v>45838</v>
      </c>
      <c r="C2910">
        <v>410002</v>
      </c>
      <c r="D2910">
        <v>-35682.218999999997</v>
      </c>
      <c r="E2910" t="s">
        <v>6</v>
      </c>
      <c r="F2910" t="s">
        <v>51</v>
      </c>
      <c r="G2910" t="s">
        <v>7</v>
      </c>
    </row>
    <row r="2911" spans="1:7" x14ac:dyDescent="0.3">
      <c r="A2911" t="s">
        <v>37</v>
      </c>
      <c r="B2911" s="1">
        <v>45838</v>
      </c>
      <c r="C2911">
        <v>410032</v>
      </c>
      <c r="D2911">
        <v>-11170.496999999999</v>
      </c>
      <c r="E2911" t="s">
        <v>6</v>
      </c>
      <c r="F2911" t="s">
        <v>51</v>
      </c>
      <c r="G2911" t="s">
        <v>7</v>
      </c>
    </row>
    <row r="2912" spans="1:7" x14ac:dyDescent="0.3">
      <c r="A2912" t="s">
        <v>37</v>
      </c>
      <c r="B2912" s="1">
        <v>45838</v>
      </c>
      <c r="C2912">
        <v>415002</v>
      </c>
      <c r="D2912">
        <v>-195989.78</v>
      </c>
      <c r="E2912" t="s">
        <v>6</v>
      </c>
      <c r="F2912" t="s">
        <v>50</v>
      </c>
      <c r="G2912" t="s">
        <v>7</v>
      </c>
    </row>
    <row r="2913" spans="1:7" x14ac:dyDescent="0.3">
      <c r="A2913" t="s">
        <v>37</v>
      </c>
      <c r="B2913" s="1">
        <v>45838</v>
      </c>
      <c r="C2913">
        <v>420002</v>
      </c>
      <c r="D2913">
        <v>-583.70500000000004</v>
      </c>
      <c r="E2913" t="s">
        <v>6</v>
      </c>
      <c r="F2913" t="s">
        <v>52</v>
      </c>
      <c r="G2913" t="s">
        <v>7</v>
      </c>
    </row>
    <row r="2914" spans="1:7" x14ac:dyDescent="0.3">
      <c r="A2914" t="s">
        <v>37</v>
      </c>
      <c r="B2914" s="1">
        <v>45838</v>
      </c>
      <c r="C2914">
        <v>421002</v>
      </c>
      <c r="D2914">
        <v>-2014.25</v>
      </c>
      <c r="E2914" t="s">
        <v>6</v>
      </c>
      <c r="F2914" t="s">
        <v>52</v>
      </c>
      <c r="G2914" t="s">
        <v>7</v>
      </c>
    </row>
    <row r="2915" spans="1:7" x14ac:dyDescent="0.3">
      <c r="A2915" t="s">
        <v>37</v>
      </c>
      <c r="B2915" s="1">
        <v>45838</v>
      </c>
      <c r="C2915">
        <v>510002</v>
      </c>
      <c r="D2915">
        <v>27768.901999999998</v>
      </c>
      <c r="E2915" t="s">
        <v>6</v>
      </c>
      <c r="F2915" t="s">
        <v>53</v>
      </c>
      <c r="G2915" t="s">
        <v>7</v>
      </c>
    </row>
    <row r="2916" spans="1:7" x14ac:dyDescent="0.3">
      <c r="A2916" t="s">
        <v>37</v>
      </c>
      <c r="B2916" s="1">
        <v>45838</v>
      </c>
      <c r="C2916">
        <v>510004</v>
      </c>
      <c r="D2916">
        <v>3185.5129999999999</v>
      </c>
      <c r="E2916" t="s">
        <v>6</v>
      </c>
      <c r="F2916" t="s">
        <v>53</v>
      </c>
      <c r="G2916" t="s">
        <v>7</v>
      </c>
    </row>
    <row r="2917" spans="1:7" x14ac:dyDescent="0.3">
      <c r="A2917" t="s">
        <v>37</v>
      </c>
      <c r="B2917" s="1">
        <v>45838</v>
      </c>
      <c r="C2917">
        <v>510005</v>
      </c>
      <c r="D2917">
        <v>6188.4859999999999</v>
      </c>
      <c r="E2917" t="s">
        <v>6</v>
      </c>
      <c r="F2917" t="s">
        <v>53</v>
      </c>
      <c r="G2917" t="s">
        <v>7</v>
      </c>
    </row>
    <row r="2918" spans="1:7" x14ac:dyDescent="0.3">
      <c r="A2918" t="s">
        <v>37</v>
      </c>
      <c r="B2918" s="1">
        <v>45838</v>
      </c>
      <c r="C2918">
        <v>510007</v>
      </c>
      <c r="D2918">
        <v>1498.202</v>
      </c>
      <c r="E2918" t="s">
        <v>6</v>
      </c>
      <c r="F2918" t="s">
        <v>53</v>
      </c>
      <c r="G2918" t="s">
        <v>7</v>
      </c>
    </row>
    <row r="2919" spans="1:7" x14ac:dyDescent="0.3">
      <c r="A2919" t="s">
        <v>37</v>
      </c>
      <c r="B2919" s="1">
        <v>45838</v>
      </c>
      <c r="C2919">
        <v>510015</v>
      </c>
      <c r="D2919">
        <v>11513.243</v>
      </c>
      <c r="E2919" t="s">
        <v>6</v>
      </c>
      <c r="F2919" t="s">
        <v>53</v>
      </c>
      <c r="G2919" t="s">
        <v>7</v>
      </c>
    </row>
    <row r="2920" spans="1:7" x14ac:dyDescent="0.3">
      <c r="A2920" t="s">
        <v>37</v>
      </c>
      <c r="B2920" s="1">
        <v>45838</v>
      </c>
      <c r="C2920">
        <v>520021</v>
      </c>
      <c r="D2920">
        <v>27.907</v>
      </c>
      <c r="E2920" t="s">
        <v>6</v>
      </c>
      <c r="F2920" t="s">
        <v>60</v>
      </c>
      <c r="G2920" t="s">
        <v>7</v>
      </c>
    </row>
    <row r="2921" spans="1:7" x14ac:dyDescent="0.3">
      <c r="A2921" t="s">
        <v>37</v>
      </c>
      <c r="B2921" s="1">
        <v>45838</v>
      </c>
      <c r="C2921">
        <v>530012</v>
      </c>
      <c r="D2921">
        <v>5926.5050000000001</v>
      </c>
      <c r="E2921" t="s">
        <v>6</v>
      </c>
      <c r="F2921" t="s">
        <v>53</v>
      </c>
      <c r="G2921" t="s">
        <v>7</v>
      </c>
    </row>
    <row r="2922" spans="1:7" x14ac:dyDescent="0.3">
      <c r="A2922" t="s">
        <v>37</v>
      </c>
      <c r="B2922" s="1">
        <v>45838</v>
      </c>
      <c r="C2922">
        <v>540004</v>
      </c>
      <c r="D2922">
        <v>0</v>
      </c>
      <c r="E2922" t="s">
        <v>6</v>
      </c>
      <c r="F2922" t="s">
        <v>67</v>
      </c>
      <c r="G2922" t="s">
        <v>7</v>
      </c>
    </row>
    <row r="2923" spans="1:7" x14ac:dyDescent="0.3">
      <c r="A2923" t="s">
        <v>37</v>
      </c>
      <c r="B2923" s="1">
        <v>45838</v>
      </c>
      <c r="C2923">
        <v>541022</v>
      </c>
      <c r="D2923">
        <v>588.70000000000005</v>
      </c>
      <c r="E2923" t="s">
        <v>6</v>
      </c>
      <c r="F2923" t="s">
        <v>61</v>
      </c>
      <c r="G2923" t="s">
        <v>7</v>
      </c>
    </row>
    <row r="2924" spans="1:7" x14ac:dyDescent="0.3">
      <c r="A2924" t="s">
        <v>37</v>
      </c>
      <c r="B2924" s="1">
        <v>45838</v>
      </c>
      <c r="C2924">
        <v>544002</v>
      </c>
      <c r="D2924">
        <v>86.984999999999999</v>
      </c>
      <c r="E2924" t="s">
        <v>6</v>
      </c>
      <c r="F2924" t="s">
        <v>61</v>
      </c>
      <c r="G2924" t="s">
        <v>7</v>
      </c>
    </row>
    <row r="2925" spans="1:7" x14ac:dyDescent="0.3">
      <c r="A2925" t="s">
        <v>37</v>
      </c>
      <c r="B2925" s="1">
        <v>45838</v>
      </c>
      <c r="C2925">
        <v>547002</v>
      </c>
      <c r="D2925">
        <v>1484.1759999999999</v>
      </c>
      <c r="E2925" t="s">
        <v>6</v>
      </c>
      <c r="F2925" t="s">
        <v>54</v>
      </c>
      <c r="G2925" t="s">
        <v>7</v>
      </c>
    </row>
    <row r="2926" spans="1:7" x14ac:dyDescent="0.3">
      <c r="A2926" t="s">
        <v>37</v>
      </c>
      <c r="B2926" s="1">
        <v>45838</v>
      </c>
      <c r="C2926">
        <v>550002</v>
      </c>
      <c r="D2926">
        <v>132121.47</v>
      </c>
      <c r="E2926" t="s">
        <v>6</v>
      </c>
      <c r="F2926" t="s">
        <v>62</v>
      </c>
      <c r="G2926" t="s">
        <v>7</v>
      </c>
    </row>
    <row r="2927" spans="1:7" x14ac:dyDescent="0.3">
      <c r="A2927" t="s">
        <v>37</v>
      </c>
      <c r="B2927" s="1">
        <v>45838</v>
      </c>
      <c r="C2927">
        <v>552502</v>
      </c>
      <c r="D2927">
        <v>1691.992</v>
      </c>
      <c r="E2927" t="s">
        <v>6</v>
      </c>
      <c r="F2927" t="s">
        <v>55</v>
      </c>
      <c r="G2927" t="s">
        <v>7</v>
      </c>
    </row>
    <row r="2928" spans="1:7" x14ac:dyDescent="0.3">
      <c r="A2928" t="s">
        <v>37</v>
      </c>
      <c r="B2928" s="1">
        <v>45838</v>
      </c>
      <c r="C2928">
        <v>555508</v>
      </c>
      <c r="D2928">
        <v>30.966999999999999</v>
      </c>
      <c r="E2928" t="s">
        <v>6</v>
      </c>
      <c r="F2928" t="s">
        <v>55</v>
      </c>
      <c r="G2928" t="s">
        <v>7</v>
      </c>
    </row>
    <row r="2929" spans="1:7" x14ac:dyDescent="0.3">
      <c r="A2929" t="s">
        <v>37</v>
      </c>
      <c r="B2929" s="1">
        <v>45838</v>
      </c>
      <c r="C2929">
        <v>556002</v>
      </c>
      <c r="D2929">
        <v>137.50399999999999</v>
      </c>
      <c r="E2929" t="s">
        <v>6</v>
      </c>
      <c r="F2929" t="s">
        <v>60</v>
      </c>
      <c r="G2929" t="s">
        <v>7</v>
      </c>
    </row>
    <row r="2930" spans="1:7" x14ac:dyDescent="0.3">
      <c r="A2930" t="s">
        <v>37</v>
      </c>
      <c r="B2930" s="1">
        <v>45838</v>
      </c>
      <c r="C2930">
        <v>557002</v>
      </c>
      <c r="D2930">
        <v>1623.7850000000001</v>
      </c>
      <c r="E2930" t="s">
        <v>6</v>
      </c>
      <c r="F2930" t="s">
        <v>56</v>
      </c>
      <c r="G2930" t="s">
        <v>7</v>
      </c>
    </row>
    <row r="2931" spans="1:7" x14ac:dyDescent="0.3">
      <c r="A2931" t="s">
        <v>37</v>
      </c>
      <c r="B2931" s="1">
        <v>45838</v>
      </c>
      <c r="C2931">
        <v>557003</v>
      </c>
      <c r="D2931">
        <v>1130.2170000000001</v>
      </c>
      <c r="E2931" t="s">
        <v>6</v>
      </c>
      <c r="F2931" t="s">
        <v>56</v>
      </c>
      <c r="G2931" t="s">
        <v>7</v>
      </c>
    </row>
    <row r="2932" spans="1:7" x14ac:dyDescent="0.3">
      <c r="A2932" t="s">
        <v>37</v>
      </c>
      <c r="B2932" s="1">
        <v>45838</v>
      </c>
      <c r="C2932">
        <v>558003</v>
      </c>
      <c r="D2932">
        <v>168.56</v>
      </c>
      <c r="E2932" t="s">
        <v>6</v>
      </c>
      <c r="F2932" t="s">
        <v>57</v>
      </c>
      <c r="G2932" t="s">
        <v>7</v>
      </c>
    </row>
    <row r="2933" spans="1:7" x14ac:dyDescent="0.3">
      <c r="A2933" t="s">
        <v>37</v>
      </c>
      <c r="B2933" s="1">
        <v>45838</v>
      </c>
      <c r="C2933">
        <v>558007</v>
      </c>
      <c r="D2933">
        <v>681.97799999999995</v>
      </c>
      <c r="E2933" t="s">
        <v>6</v>
      </c>
      <c r="F2933" t="s">
        <v>60</v>
      </c>
      <c r="G2933" t="s">
        <v>7</v>
      </c>
    </row>
    <row r="2934" spans="1:7" x14ac:dyDescent="0.3">
      <c r="A2934" t="s">
        <v>37</v>
      </c>
      <c r="B2934" s="1">
        <v>45838</v>
      </c>
      <c r="C2934">
        <v>564008</v>
      </c>
      <c r="D2934">
        <v>330.35199999999998</v>
      </c>
      <c r="E2934" t="s">
        <v>6</v>
      </c>
      <c r="F2934" t="s">
        <v>55</v>
      </c>
      <c r="G2934" t="s">
        <v>7</v>
      </c>
    </row>
    <row r="2935" spans="1:7" x14ac:dyDescent="0.3">
      <c r="A2935" t="s">
        <v>37</v>
      </c>
      <c r="B2935" s="1">
        <v>45838</v>
      </c>
      <c r="C2935">
        <v>564020</v>
      </c>
      <c r="D2935">
        <v>53.231999999999999</v>
      </c>
      <c r="E2935" t="s">
        <v>6</v>
      </c>
      <c r="F2935" t="s">
        <v>57</v>
      </c>
      <c r="G2935" t="s">
        <v>7</v>
      </c>
    </row>
    <row r="2936" spans="1:7" x14ac:dyDescent="0.3">
      <c r="A2936" t="s">
        <v>37</v>
      </c>
      <c r="B2936" s="1">
        <v>45838</v>
      </c>
      <c r="C2936">
        <v>570002</v>
      </c>
      <c r="D2936">
        <v>142.62799999999999</v>
      </c>
      <c r="E2936" t="s">
        <v>6</v>
      </c>
      <c r="F2936" t="s">
        <v>66</v>
      </c>
      <c r="G2936" t="s">
        <v>7</v>
      </c>
    </row>
    <row r="2937" spans="1:7" x14ac:dyDescent="0.3">
      <c r="A2937" t="s">
        <v>37</v>
      </c>
      <c r="B2937" s="1">
        <v>45838</v>
      </c>
      <c r="C2937">
        <v>580002</v>
      </c>
      <c r="D2937">
        <v>14421.143</v>
      </c>
      <c r="E2937" t="s">
        <v>6</v>
      </c>
      <c r="F2937" t="s">
        <v>64</v>
      </c>
      <c r="G2937" t="s">
        <v>7</v>
      </c>
    </row>
    <row r="2938" spans="1:7" x14ac:dyDescent="0.3">
      <c r="A2938" t="s">
        <v>37</v>
      </c>
      <c r="B2938" s="1">
        <v>45838</v>
      </c>
      <c r="C2938">
        <v>580003</v>
      </c>
      <c r="D2938">
        <v>-1206.9449999999999</v>
      </c>
      <c r="E2938" t="s">
        <v>6</v>
      </c>
      <c r="F2938" t="s">
        <v>64</v>
      </c>
      <c r="G2938" t="s">
        <v>7</v>
      </c>
    </row>
    <row r="2939" spans="1:7" x14ac:dyDescent="0.3">
      <c r="A2939" t="s">
        <v>37</v>
      </c>
      <c r="B2939" s="1">
        <v>45838</v>
      </c>
      <c r="C2939">
        <v>510006</v>
      </c>
      <c r="D2939">
        <v>4454.009</v>
      </c>
      <c r="E2939" t="s">
        <v>6</v>
      </c>
      <c r="F2939" t="s">
        <v>53</v>
      </c>
      <c r="G2939" t="s">
        <v>7</v>
      </c>
    </row>
    <row r="2940" spans="1:7" x14ac:dyDescent="0.3">
      <c r="A2940" t="s">
        <v>37</v>
      </c>
      <c r="B2940" s="1">
        <v>45838</v>
      </c>
      <c r="C2940">
        <v>560008</v>
      </c>
      <c r="D2940">
        <v>0</v>
      </c>
      <c r="E2940" t="s">
        <v>6</v>
      </c>
      <c r="F2940" t="s">
        <v>56</v>
      </c>
      <c r="G2940" t="s">
        <v>7</v>
      </c>
    </row>
    <row r="2941" spans="1:7" x14ac:dyDescent="0.3">
      <c r="A2941" t="s">
        <v>32</v>
      </c>
      <c r="B2941" s="1">
        <v>45838</v>
      </c>
      <c r="C2941">
        <v>220007</v>
      </c>
      <c r="D2941">
        <v>-2436.7130000000002</v>
      </c>
      <c r="E2941" t="s">
        <v>4</v>
      </c>
      <c r="F2941" t="s">
        <v>42</v>
      </c>
      <c r="G2941" t="s">
        <v>7</v>
      </c>
    </row>
    <row r="2942" spans="1:7" x14ac:dyDescent="0.3">
      <c r="A2942" t="s">
        <v>33</v>
      </c>
      <c r="B2942" s="1">
        <v>45838</v>
      </c>
      <c r="C2942">
        <v>220007</v>
      </c>
      <c r="D2942">
        <v>307.18200000000002</v>
      </c>
      <c r="E2942" t="s">
        <v>4</v>
      </c>
      <c r="F2942" t="s">
        <v>42</v>
      </c>
      <c r="G2942" t="s">
        <v>7</v>
      </c>
    </row>
    <row r="2943" spans="1:7" x14ac:dyDescent="0.3">
      <c r="A2943" t="s">
        <v>34</v>
      </c>
      <c r="B2943" s="1">
        <v>45838</v>
      </c>
      <c r="C2943">
        <v>220007</v>
      </c>
      <c r="D2943">
        <v>560.90200000000004</v>
      </c>
      <c r="E2943" t="s">
        <v>4</v>
      </c>
      <c r="F2943" t="s">
        <v>42</v>
      </c>
      <c r="G2943" t="s">
        <v>7</v>
      </c>
    </row>
    <row r="2944" spans="1:7" x14ac:dyDescent="0.3">
      <c r="A2944" t="s">
        <v>35</v>
      </c>
      <c r="B2944" s="1">
        <v>45838</v>
      </c>
      <c r="C2944">
        <v>220007</v>
      </c>
      <c r="D2944">
        <v>-7555.5450000000001</v>
      </c>
      <c r="E2944" t="s">
        <v>4</v>
      </c>
      <c r="F2944" t="s">
        <v>42</v>
      </c>
      <c r="G2944" t="s">
        <v>7</v>
      </c>
    </row>
    <row r="2945" spans="1:7" x14ac:dyDescent="0.3">
      <c r="A2945" t="s">
        <v>36</v>
      </c>
      <c r="B2945" s="1">
        <v>45838</v>
      </c>
      <c r="C2945">
        <v>220007</v>
      </c>
      <c r="D2945">
        <v>185.58199999999999</v>
      </c>
      <c r="E2945" t="s">
        <v>4</v>
      </c>
      <c r="F2945" t="s">
        <v>42</v>
      </c>
      <c r="G2945" t="s">
        <v>7</v>
      </c>
    </row>
    <row r="2946" spans="1:7" x14ac:dyDescent="0.3">
      <c r="A2946" t="s">
        <v>11</v>
      </c>
      <c r="B2946" s="1">
        <v>45838</v>
      </c>
      <c r="C2946">
        <v>220007</v>
      </c>
      <c r="D2946">
        <v>290.02600000000001</v>
      </c>
      <c r="E2946" t="s">
        <v>4</v>
      </c>
      <c r="F2946" t="s">
        <v>42</v>
      </c>
      <c r="G2946" t="s">
        <v>7</v>
      </c>
    </row>
    <row r="2947" spans="1:7" x14ac:dyDescent="0.3">
      <c r="A2947" t="s">
        <v>37</v>
      </c>
      <c r="B2947" s="1">
        <v>45838</v>
      </c>
      <c r="C2947">
        <v>220007</v>
      </c>
      <c r="D2947">
        <v>1550.789</v>
      </c>
      <c r="E2947" t="s">
        <v>4</v>
      </c>
      <c r="F2947" t="s">
        <v>42</v>
      </c>
      <c r="G2947" t="s">
        <v>7</v>
      </c>
    </row>
    <row r="2948" spans="1:7" x14ac:dyDescent="0.3">
      <c r="A2948" t="s">
        <v>30</v>
      </c>
      <c r="B2948" s="1">
        <v>45838</v>
      </c>
      <c r="C2948">
        <v>220007</v>
      </c>
      <c r="D2948">
        <v>85.71</v>
      </c>
      <c r="E2948" t="s">
        <v>4</v>
      </c>
      <c r="F2948" t="s">
        <v>42</v>
      </c>
      <c r="G2948" t="s">
        <v>8</v>
      </c>
    </row>
    <row r="2949" spans="1:7" x14ac:dyDescent="0.3">
      <c r="A2949" t="s">
        <v>31</v>
      </c>
      <c r="B2949" s="1">
        <v>45838</v>
      </c>
      <c r="C2949">
        <v>220007</v>
      </c>
      <c r="D2949">
        <v>168.501</v>
      </c>
      <c r="E2949" t="s">
        <v>4</v>
      </c>
      <c r="F2949" t="s">
        <v>42</v>
      </c>
      <c r="G2949" t="s">
        <v>8</v>
      </c>
    </row>
    <row r="2950" spans="1:7" x14ac:dyDescent="0.3">
      <c r="A2950" t="s">
        <v>14</v>
      </c>
      <c r="B2950" s="1">
        <v>45838</v>
      </c>
      <c r="C2950">
        <v>220007</v>
      </c>
      <c r="D2950">
        <v>-341.74700000000001</v>
      </c>
      <c r="E2950" t="s">
        <v>4</v>
      </c>
      <c r="F2950" t="s">
        <v>42</v>
      </c>
      <c r="G2950" t="s">
        <v>8</v>
      </c>
    </row>
    <row r="2951" spans="1:7" x14ac:dyDescent="0.3">
      <c r="A2951" t="s">
        <v>38</v>
      </c>
      <c r="B2951" s="1">
        <v>45838</v>
      </c>
      <c r="C2951">
        <v>220007</v>
      </c>
      <c r="D2951">
        <v>0</v>
      </c>
      <c r="E2951" t="s">
        <v>4</v>
      </c>
      <c r="F2951" t="s">
        <v>42</v>
      </c>
      <c r="G2951" t="s">
        <v>8</v>
      </c>
    </row>
    <row r="2952" spans="1:7" x14ac:dyDescent="0.3">
      <c r="A2952" t="s">
        <v>22</v>
      </c>
      <c r="B2952" s="1">
        <v>45838</v>
      </c>
      <c r="C2952">
        <v>220007</v>
      </c>
      <c r="D2952">
        <v>22.280999999999999</v>
      </c>
      <c r="E2952" t="s">
        <v>4</v>
      </c>
      <c r="F2952" t="s">
        <v>42</v>
      </c>
      <c r="G2952" t="s">
        <v>8</v>
      </c>
    </row>
    <row r="2953" spans="1:7" x14ac:dyDescent="0.3">
      <c r="A2953" t="s">
        <v>13</v>
      </c>
      <c r="B2953" s="1">
        <v>45838</v>
      </c>
      <c r="C2953">
        <v>220007</v>
      </c>
      <c r="D2953">
        <v>-211.19900000000001</v>
      </c>
      <c r="E2953" t="s">
        <v>4</v>
      </c>
      <c r="F2953" t="s">
        <v>42</v>
      </c>
      <c r="G2953" t="s">
        <v>8</v>
      </c>
    </row>
    <row r="2954" spans="1:7" x14ac:dyDescent="0.3">
      <c r="A2954" t="s">
        <v>28</v>
      </c>
      <c r="B2954" s="1">
        <v>45838</v>
      </c>
      <c r="C2954">
        <v>421005</v>
      </c>
      <c r="D2954">
        <v>-2.3570000000000002</v>
      </c>
      <c r="E2954" t="s">
        <v>6</v>
      </c>
      <c r="F2954" t="s">
        <v>52</v>
      </c>
      <c r="G2954" t="s">
        <v>8</v>
      </c>
    </row>
    <row r="2955" spans="1:7" x14ac:dyDescent="0.3">
      <c r="A2955" t="s">
        <v>29</v>
      </c>
      <c r="B2955" s="1">
        <v>45838</v>
      </c>
      <c r="C2955">
        <v>421005</v>
      </c>
      <c r="D2955">
        <v>-298.827</v>
      </c>
      <c r="E2955" t="s">
        <v>6</v>
      </c>
      <c r="F2955" t="s">
        <v>52</v>
      </c>
      <c r="G2955" t="s">
        <v>8</v>
      </c>
    </row>
    <row r="2956" spans="1:7" x14ac:dyDescent="0.3">
      <c r="A2956" t="s">
        <v>24</v>
      </c>
      <c r="B2956" s="1">
        <v>45838</v>
      </c>
      <c r="C2956">
        <v>421005</v>
      </c>
      <c r="D2956">
        <v>-2.1269999999999998</v>
      </c>
      <c r="E2956" t="s">
        <v>6</v>
      </c>
      <c r="F2956" t="s">
        <v>52</v>
      </c>
      <c r="G2956" t="s">
        <v>8</v>
      </c>
    </row>
    <row r="2957" spans="1:7" x14ac:dyDescent="0.3">
      <c r="A2957" t="s">
        <v>15</v>
      </c>
      <c r="B2957" s="1">
        <v>45838</v>
      </c>
      <c r="C2957">
        <v>220007</v>
      </c>
      <c r="D2957">
        <v>0</v>
      </c>
      <c r="E2957" t="s">
        <v>4</v>
      </c>
      <c r="F2957" t="s">
        <v>42</v>
      </c>
      <c r="G2957" t="s">
        <v>5</v>
      </c>
    </row>
    <row r="2958" spans="1:7" x14ac:dyDescent="0.3">
      <c r="A2958" t="s">
        <v>19</v>
      </c>
      <c r="B2958" s="1">
        <v>45838</v>
      </c>
      <c r="C2958">
        <v>220007</v>
      </c>
      <c r="D2958">
        <v>109.46</v>
      </c>
      <c r="E2958" t="s">
        <v>4</v>
      </c>
      <c r="F2958" t="s">
        <v>42</v>
      </c>
      <c r="G2958" t="s">
        <v>5</v>
      </c>
    </row>
    <row r="2959" spans="1:7" x14ac:dyDescent="0.3">
      <c r="A2959" t="s">
        <v>10</v>
      </c>
      <c r="B2959" s="1">
        <v>45838</v>
      </c>
      <c r="C2959">
        <v>220007</v>
      </c>
      <c r="D2959">
        <v>-56.031999999999996</v>
      </c>
      <c r="E2959" t="s">
        <v>4</v>
      </c>
      <c r="F2959" t="s">
        <v>42</v>
      </c>
      <c r="G2959" t="s">
        <v>5</v>
      </c>
    </row>
    <row r="2960" spans="1:7" x14ac:dyDescent="0.3">
      <c r="A2960" t="s">
        <v>18</v>
      </c>
      <c r="B2960" s="1">
        <v>45838</v>
      </c>
      <c r="C2960">
        <v>220007</v>
      </c>
      <c r="D2960">
        <v>2.6429999999999998</v>
      </c>
      <c r="E2960" t="s">
        <v>4</v>
      </c>
      <c r="F2960" t="s">
        <v>42</v>
      </c>
      <c r="G2960" t="s">
        <v>5</v>
      </c>
    </row>
    <row r="2961" spans="1:7" x14ac:dyDescent="0.3">
      <c r="A2961" t="s">
        <v>26</v>
      </c>
      <c r="B2961" s="1">
        <v>45838</v>
      </c>
      <c r="C2961">
        <v>421005</v>
      </c>
      <c r="D2961">
        <v>205.31700000000001</v>
      </c>
      <c r="E2961" t="s">
        <v>6</v>
      </c>
      <c r="F2961" t="s">
        <v>52</v>
      </c>
      <c r="G2961" t="s">
        <v>5</v>
      </c>
    </row>
    <row r="2962" spans="1:7" x14ac:dyDescent="0.3">
      <c r="A2962" t="s">
        <v>20</v>
      </c>
      <c r="B2962" s="1">
        <v>45838</v>
      </c>
      <c r="C2962">
        <v>220007</v>
      </c>
      <c r="D2962">
        <v>-26.486000000000001</v>
      </c>
      <c r="E2962" t="s">
        <v>4</v>
      </c>
      <c r="F2962" t="s">
        <v>42</v>
      </c>
      <c r="G2962" t="s">
        <v>5</v>
      </c>
    </row>
    <row r="2963" spans="1:7" x14ac:dyDescent="0.3">
      <c r="A2963" t="s">
        <v>21</v>
      </c>
      <c r="B2963" s="1">
        <v>45838</v>
      </c>
      <c r="C2963">
        <v>220007</v>
      </c>
      <c r="D2963">
        <v>131.79400000000001</v>
      </c>
      <c r="E2963" t="s">
        <v>4</v>
      </c>
      <c r="F2963" t="s">
        <v>42</v>
      </c>
      <c r="G2963" t="s">
        <v>7</v>
      </c>
    </row>
    <row r="2964" spans="1:7" x14ac:dyDescent="0.3">
      <c r="A2964" t="s">
        <v>25</v>
      </c>
      <c r="B2964" s="1">
        <v>45838</v>
      </c>
      <c r="C2964">
        <v>421005</v>
      </c>
      <c r="D2964">
        <v>-0.78100000000000003</v>
      </c>
      <c r="E2964" t="s">
        <v>6</v>
      </c>
      <c r="F2964" t="s">
        <v>52</v>
      </c>
      <c r="G2964" t="s">
        <v>5</v>
      </c>
    </row>
    <row r="2965" spans="1:7" x14ac:dyDescent="0.3">
      <c r="A2965" t="s">
        <v>17</v>
      </c>
      <c r="B2965" s="1">
        <v>45838</v>
      </c>
      <c r="C2965">
        <v>220007</v>
      </c>
      <c r="D2965">
        <v>0</v>
      </c>
      <c r="E2965" t="s">
        <v>4</v>
      </c>
      <c r="F2965" t="s">
        <v>42</v>
      </c>
      <c r="G2965" t="s">
        <v>5</v>
      </c>
    </row>
    <row r="2966" spans="1:7" x14ac:dyDescent="0.3">
      <c r="A2966" t="s">
        <v>39</v>
      </c>
      <c r="B2966" s="1">
        <v>45838</v>
      </c>
      <c r="C2966">
        <v>421005</v>
      </c>
      <c r="D2966">
        <v>0</v>
      </c>
      <c r="E2966" t="s">
        <v>6</v>
      </c>
      <c r="F2966" t="s">
        <v>52</v>
      </c>
      <c r="G2966" t="s">
        <v>5</v>
      </c>
    </row>
    <row r="2967" spans="1:7" x14ac:dyDescent="0.3">
      <c r="A2967" t="s">
        <v>27</v>
      </c>
      <c r="B2967" s="1">
        <v>45838</v>
      </c>
      <c r="C2967">
        <v>220007</v>
      </c>
      <c r="D2967">
        <v>-1.036</v>
      </c>
      <c r="E2967" t="s">
        <v>4</v>
      </c>
      <c r="F2967" t="s">
        <v>42</v>
      </c>
      <c r="G2967" t="s">
        <v>8</v>
      </c>
    </row>
    <row r="2968" spans="1:7" x14ac:dyDescent="0.3">
      <c r="A2968" t="s">
        <v>12</v>
      </c>
      <c r="B2968" s="1">
        <v>45838</v>
      </c>
      <c r="C2968">
        <v>220007</v>
      </c>
      <c r="D2968">
        <v>-10.202</v>
      </c>
      <c r="E2968" t="s">
        <v>4</v>
      </c>
      <c r="F2968" t="s">
        <v>42</v>
      </c>
      <c r="G2968" t="s">
        <v>8</v>
      </c>
    </row>
    <row r="2969" spans="1:7" x14ac:dyDescent="0.3">
      <c r="A2969" t="s">
        <v>23</v>
      </c>
      <c r="B2969" s="1">
        <v>45838</v>
      </c>
      <c r="C2969">
        <v>220007</v>
      </c>
      <c r="D2969">
        <v>-16.274999999999999</v>
      </c>
      <c r="E2969" t="s">
        <v>4</v>
      </c>
      <c r="F2969" t="s">
        <v>42</v>
      </c>
      <c r="G2969" t="s">
        <v>5</v>
      </c>
    </row>
  </sheetData>
  <autoFilter ref="B1:G2969" xr:uid="{8FB97F93-1C05-4C39-BBE8-8E20D431DF0B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83CA-3095-4316-853E-7CCF94EF8E18}">
  <dimension ref="A1:G2504"/>
  <sheetViews>
    <sheetView topLeftCell="A2485" workbookViewId="0">
      <selection activeCell="C1" sqref="C1"/>
    </sheetView>
  </sheetViews>
  <sheetFormatPr defaultRowHeight="14.4" x14ac:dyDescent="0.3"/>
  <cols>
    <col min="1" max="1" width="20.77734375" bestFit="1" customWidth="1"/>
    <col min="2" max="2" width="8.33203125" style="1" bestFit="1" customWidth="1"/>
    <col min="3" max="3" width="10.109375" bestFit="1" customWidth="1"/>
    <col min="4" max="4" width="12.6640625" customWidth="1"/>
    <col min="5" max="5" width="10.88671875" bestFit="1" customWidth="1"/>
    <col min="6" max="6" width="52.21875" bestFit="1" customWidth="1"/>
    <col min="7" max="7" width="8.77734375" bestFit="1" customWidth="1"/>
  </cols>
  <sheetData>
    <row r="1" spans="1:7" x14ac:dyDescent="0.3">
      <c r="A1" s="6" t="s">
        <v>9</v>
      </c>
      <c r="B1" s="4" t="s">
        <v>0</v>
      </c>
      <c r="C1" s="5" t="s">
        <v>1</v>
      </c>
      <c r="D1" s="5" t="s">
        <v>40</v>
      </c>
      <c r="E1" s="5" t="s">
        <v>2</v>
      </c>
      <c r="F1" s="5" t="s">
        <v>41</v>
      </c>
      <c r="G1" s="5" t="s">
        <v>3</v>
      </c>
    </row>
    <row r="2" spans="1:7" x14ac:dyDescent="0.3">
      <c r="A2" t="s">
        <v>10</v>
      </c>
      <c r="B2" s="1">
        <v>45869</v>
      </c>
      <c r="C2">
        <v>220006</v>
      </c>
      <c r="D2">
        <v>73871.585000000006</v>
      </c>
      <c r="E2" t="s">
        <v>4</v>
      </c>
      <c r="F2" t="s">
        <v>42</v>
      </c>
      <c r="G2" t="s">
        <v>5</v>
      </c>
    </row>
    <row r="3" spans="1:7" x14ac:dyDescent="0.3">
      <c r="A3" t="s">
        <v>10</v>
      </c>
      <c r="B3" s="1">
        <v>45869</v>
      </c>
      <c r="C3">
        <v>240002</v>
      </c>
      <c r="D3">
        <v>-20.600999999999999</v>
      </c>
      <c r="E3" t="s">
        <v>4</v>
      </c>
      <c r="F3" t="s">
        <v>43</v>
      </c>
      <c r="G3" t="s">
        <v>5</v>
      </c>
    </row>
    <row r="4" spans="1:7" x14ac:dyDescent="0.3">
      <c r="A4" t="s">
        <v>10</v>
      </c>
      <c r="B4" s="1">
        <v>45869</v>
      </c>
      <c r="C4">
        <v>242003</v>
      </c>
      <c r="D4">
        <v>-8387.4480000000003</v>
      </c>
      <c r="E4" t="s">
        <v>4</v>
      </c>
      <c r="F4" t="s">
        <v>43</v>
      </c>
      <c r="G4" t="s">
        <v>5</v>
      </c>
    </row>
    <row r="5" spans="1:7" x14ac:dyDescent="0.3">
      <c r="A5" t="s">
        <v>10</v>
      </c>
      <c r="B5" s="1">
        <v>45869</v>
      </c>
      <c r="C5">
        <v>242041</v>
      </c>
      <c r="D5">
        <v>-52.686999999999998</v>
      </c>
      <c r="E5" t="s">
        <v>4</v>
      </c>
      <c r="F5" t="s">
        <v>43</v>
      </c>
      <c r="G5" t="s">
        <v>5</v>
      </c>
    </row>
    <row r="6" spans="1:7" x14ac:dyDescent="0.3">
      <c r="A6" t="s">
        <v>10</v>
      </c>
      <c r="B6" s="1">
        <v>45869</v>
      </c>
      <c r="C6">
        <v>243002</v>
      </c>
      <c r="D6">
        <v>-1601.8620000000001</v>
      </c>
      <c r="E6" t="s">
        <v>4</v>
      </c>
      <c r="F6" t="s">
        <v>43</v>
      </c>
      <c r="G6" t="s">
        <v>5</v>
      </c>
    </row>
    <row r="7" spans="1:7" x14ac:dyDescent="0.3">
      <c r="A7" t="s">
        <v>10</v>
      </c>
      <c r="B7" s="1">
        <v>45869</v>
      </c>
      <c r="C7">
        <v>245010</v>
      </c>
      <c r="D7">
        <v>-324.61500000000001</v>
      </c>
      <c r="E7" t="s">
        <v>4</v>
      </c>
      <c r="F7" t="s">
        <v>44</v>
      </c>
      <c r="G7" t="s">
        <v>5</v>
      </c>
    </row>
    <row r="8" spans="1:7" x14ac:dyDescent="0.3">
      <c r="A8" t="s">
        <v>10</v>
      </c>
      <c r="B8" s="1">
        <v>45869</v>
      </c>
      <c r="C8">
        <v>245062</v>
      </c>
      <c r="D8">
        <v>-526.54499999999996</v>
      </c>
      <c r="E8" t="s">
        <v>4</v>
      </c>
      <c r="F8" t="s">
        <v>43</v>
      </c>
      <c r="G8" t="s">
        <v>5</v>
      </c>
    </row>
    <row r="9" spans="1:7" x14ac:dyDescent="0.3">
      <c r="A9" t="s">
        <v>10</v>
      </c>
      <c r="B9" s="1">
        <v>45869</v>
      </c>
      <c r="C9">
        <v>257010</v>
      </c>
      <c r="D9">
        <v>-1258.7139999999999</v>
      </c>
      <c r="E9" t="s">
        <v>4</v>
      </c>
      <c r="F9" t="s">
        <v>45</v>
      </c>
      <c r="G9" t="s">
        <v>5</v>
      </c>
    </row>
    <row r="10" spans="1:7" x14ac:dyDescent="0.3">
      <c r="A10" t="s">
        <v>10</v>
      </c>
      <c r="B10" s="1">
        <v>45869</v>
      </c>
      <c r="C10">
        <v>257030</v>
      </c>
      <c r="D10">
        <v>-1980.665</v>
      </c>
      <c r="E10" t="s">
        <v>4</v>
      </c>
      <c r="F10" t="s">
        <v>45</v>
      </c>
      <c r="G10" t="s">
        <v>5</v>
      </c>
    </row>
    <row r="11" spans="1:7" x14ac:dyDescent="0.3">
      <c r="A11" t="s">
        <v>10</v>
      </c>
      <c r="B11" s="1">
        <v>45869</v>
      </c>
      <c r="C11">
        <v>260004</v>
      </c>
      <c r="D11">
        <v>-1530.605</v>
      </c>
      <c r="E11" t="s">
        <v>4</v>
      </c>
      <c r="F11" t="s">
        <v>45</v>
      </c>
      <c r="G11" t="s">
        <v>5</v>
      </c>
    </row>
    <row r="12" spans="1:7" x14ac:dyDescent="0.3">
      <c r="A12" t="s">
        <v>10</v>
      </c>
      <c r="B12" s="1">
        <v>45869</v>
      </c>
      <c r="C12">
        <v>320002</v>
      </c>
      <c r="D12">
        <v>2105.35</v>
      </c>
      <c r="E12" t="s">
        <v>4</v>
      </c>
      <c r="F12" t="s">
        <v>46</v>
      </c>
      <c r="G12" t="s">
        <v>5</v>
      </c>
    </row>
    <row r="13" spans="1:7" x14ac:dyDescent="0.3">
      <c r="A13" t="s">
        <v>10</v>
      </c>
      <c r="B13" s="1">
        <v>45869</v>
      </c>
      <c r="C13">
        <v>320003</v>
      </c>
      <c r="D13">
        <v>7202.3419999999996</v>
      </c>
      <c r="E13" t="s">
        <v>4</v>
      </c>
      <c r="F13" t="s">
        <v>46</v>
      </c>
      <c r="G13" t="s">
        <v>5</v>
      </c>
    </row>
    <row r="14" spans="1:7" x14ac:dyDescent="0.3">
      <c r="A14" t="s">
        <v>10</v>
      </c>
      <c r="B14" s="1">
        <v>45869</v>
      </c>
      <c r="C14">
        <v>320004</v>
      </c>
      <c r="D14">
        <v>101.81399999999999</v>
      </c>
      <c r="E14" t="s">
        <v>4</v>
      </c>
      <c r="F14" t="s">
        <v>46</v>
      </c>
      <c r="G14" t="s">
        <v>5</v>
      </c>
    </row>
    <row r="15" spans="1:7" x14ac:dyDescent="0.3">
      <c r="A15" t="s">
        <v>10</v>
      </c>
      <c r="B15" s="1">
        <v>45869</v>
      </c>
      <c r="C15">
        <v>320006</v>
      </c>
      <c r="D15">
        <v>322.97399999999999</v>
      </c>
      <c r="E15" t="s">
        <v>4</v>
      </c>
      <c r="F15" t="s">
        <v>46</v>
      </c>
      <c r="G15" t="s">
        <v>5</v>
      </c>
    </row>
    <row r="16" spans="1:7" x14ac:dyDescent="0.3">
      <c r="A16" t="s">
        <v>10</v>
      </c>
      <c r="B16" s="1">
        <v>45869</v>
      </c>
      <c r="C16">
        <v>320023</v>
      </c>
      <c r="D16">
        <v>-386.16399999999999</v>
      </c>
      <c r="E16" t="s">
        <v>4</v>
      </c>
      <c r="F16" t="s">
        <v>46</v>
      </c>
      <c r="G16" t="s">
        <v>5</v>
      </c>
    </row>
    <row r="17" spans="1:7" x14ac:dyDescent="0.3">
      <c r="A17" t="s">
        <v>10</v>
      </c>
      <c r="B17" s="1">
        <v>45869</v>
      </c>
      <c r="C17">
        <v>321002</v>
      </c>
      <c r="D17">
        <v>5169.442</v>
      </c>
      <c r="E17" t="s">
        <v>4</v>
      </c>
      <c r="F17" t="s">
        <v>46</v>
      </c>
      <c r="G17" t="s">
        <v>5</v>
      </c>
    </row>
    <row r="18" spans="1:7" x14ac:dyDescent="0.3">
      <c r="A18" t="s">
        <v>10</v>
      </c>
      <c r="B18" s="1">
        <v>45869</v>
      </c>
      <c r="C18">
        <v>321010</v>
      </c>
      <c r="D18">
        <v>-5914.3969999999999</v>
      </c>
      <c r="E18" t="s">
        <v>4</v>
      </c>
      <c r="F18" t="s">
        <v>46</v>
      </c>
      <c r="G18" t="s">
        <v>5</v>
      </c>
    </row>
    <row r="19" spans="1:7" x14ac:dyDescent="0.3">
      <c r="A19" t="s">
        <v>10</v>
      </c>
      <c r="B19" s="1">
        <v>45869</v>
      </c>
      <c r="C19">
        <v>321042</v>
      </c>
      <c r="D19">
        <v>-2136.0459999999998</v>
      </c>
      <c r="E19" t="s">
        <v>4</v>
      </c>
      <c r="F19" t="s">
        <v>46</v>
      </c>
      <c r="G19" t="s">
        <v>5</v>
      </c>
    </row>
    <row r="20" spans="1:7" x14ac:dyDescent="0.3">
      <c r="A20" t="s">
        <v>10</v>
      </c>
      <c r="B20" s="1">
        <v>45869</v>
      </c>
      <c r="C20">
        <v>321045</v>
      </c>
      <c r="D20">
        <v>33866.442999999999</v>
      </c>
      <c r="E20" t="s">
        <v>4</v>
      </c>
      <c r="F20" t="s">
        <v>46</v>
      </c>
      <c r="G20" t="s">
        <v>5</v>
      </c>
    </row>
    <row r="21" spans="1:7" x14ac:dyDescent="0.3">
      <c r="A21" t="s">
        <v>10</v>
      </c>
      <c r="B21" s="1">
        <v>45869</v>
      </c>
      <c r="C21">
        <v>330049</v>
      </c>
      <c r="D21">
        <v>-169063.01</v>
      </c>
      <c r="E21" t="s">
        <v>4</v>
      </c>
      <c r="F21" t="s">
        <v>43</v>
      </c>
      <c r="G21" t="s">
        <v>5</v>
      </c>
    </row>
    <row r="22" spans="1:7" x14ac:dyDescent="0.3">
      <c r="A22" t="s">
        <v>10</v>
      </c>
      <c r="B22" s="1">
        <v>45869</v>
      </c>
      <c r="C22">
        <v>330055</v>
      </c>
      <c r="D22">
        <v>132.80000000000001</v>
      </c>
      <c r="E22" t="s">
        <v>4</v>
      </c>
      <c r="F22" t="s">
        <v>43</v>
      </c>
      <c r="G22" t="s">
        <v>5</v>
      </c>
    </row>
    <row r="23" spans="1:7" x14ac:dyDescent="0.3">
      <c r="A23" t="s">
        <v>10</v>
      </c>
      <c r="B23" s="1">
        <v>45869</v>
      </c>
      <c r="C23">
        <v>330112</v>
      </c>
      <c r="D23">
        <v>11115.373</v>
      </c>
      <c r="E23" t="s">
        <v>4</v>
      </c>
      <c r="F23" t="s">
        <v>43</v>
      </c>
      <c r="G23" t="s">
        <v>5</v>
      </c>
    </row>
    <row r="24" spans="1:7" x14ac:dyDescent="0.3">
      <c r="A24" t="s">
        <v>10</v>
      </c>
      <c r="B24" s="1">
        <v>45869</v>
      </c>
      <c r="C24">
        <v>340041</v>
      </c>
      <c r="D24">
        <v>32734.523000000001</v>
      </c>
      <c r="E24" t="s">
        <v>4</v>
      </c>
      <c r="F24" t="s">
        <v>47</v>
      </c>
      <c r="G24" t="s">
        <v>5</v>
      </c>
    </row>
    <row r="25" spans="1:7" x14ac:dyDescent="0.3">
      <c r="A25" t="s">
        <v>10</v>
      </c>
      <c r="B25" s="1">
        <v>45869</v>
      </c>
      <c r="C25">
        <v>352002</v>
      </c>
      <c r="D25">
        <v>17.954999999999998</v>
      </c>
      <c r="E25" t="s">
        <v>4</v>
      </c>
      <c r="F25" t="s">
        <v>48</v>
      </c>
      <c r="G25" t="s">
        <v>5</v>
      </c>
    </row>
    <row r="26" spans="1:7" x14ac:dyDescent="0.3">
      <c r="A26" t="s">
        <v>10</v>
      </c>
      <c r="B26" s="1">
        <v>45869</v>
      </c>
      <c r="C26">
        <v>354015</v>
      </c>
      <c r="D26">
        <v>2489.3110000000001</v>
      </c>
      <c r="E26" t="s">
        <v>4</v>
      </c>
      <c r="F26" t="s">
        <v>46</v>
      </c>
      <c r="G26" t="s">
        <v>5</v>
      </c>
    </row>
    <row r="27" spans="1:7" x14ac:dyDescent="0.3">
      <c r="A27" t="s">
        <v>10</v>
      </c>
      <c r="B27" s="1">
        <v>45869</v>
      </c>
      <c r="C27">
        <v>355002</v>
      </c>
      <c r="D27">
        <v>37.457000000000001</v>
      </c>
      <c r="E27" t="s">
        <v>4</v>
      </c>
      <c r="F27" t="s">
        <v>49</v>
      </c>
      <c r="G27" t="s">
        <v>5</v>
      </c>
    </row>
    <row r="28" spans="1:7" x14ac:dyDescent="0.3">
      <c r="A28" t="s">
        <v>10</v>
      </c>
      <c r="B28" s="1">
        <v>45869</v>
      </c>
      <c r="C28">
        <v>355013</v>
      </c>
      <c r="D28">
        <v>11601.82</v>
      </c>
      <c r="E28" t="s">
        <v>4</v>
      </c>
      <c r="F28" t="s">
        <v>49</v>
      </c>
      <c r="G28" t="s">
        <v>5</v>
      </c>
    </row>
    <row r="29" spans="1:7" x14ac:dyDescent="0.3">
      <c r="A29" t="s">
        <v>10</v>
      </c>
      <c r="B29" s="1">
        <v>45869</v>
      </c>
      <c r="C29">
        <v>372004</v>
      </c>
      <c r="D29">
        <v>76.072000000000003</v>
      </c>
      <c r="E29" t="s">
        <v>4</v>
      </c>
      <c r="F29" t="s">
        <v>45</v>
      </c>
      <c r="G29" t="s">
        <v>5</v>
      </c>
    </row>
    <row r="30" spans="1:7" x14ac:dyDescent="0.3">
      <c r="A30" t="s">
        <v>10</v>
      </c>
      <c r="B30" s="1">
        <v>45869</v>
      </c>
      <c r="C30">
        <v>400002</v>
      </c>
      <c r="D30">
        <v>519.67200000000003</v>
      </c>
      <c r="E30" t="s">
        <v>6</v>
      </c>
      <c r="F30" t="s">
        <v>50</v>
      </c>
      <c r="G30" t="s">
        <v>5</v>
      </c>
    </row>
    <row r="31" spans="1:7" x14ac:dyDescent="0.3">
      <c r="A31" t="s">
        <v>10</v>
      </c>
      <c r="B31" s="1">
        <v>45869</v>
      </c>
      <c r="C31">
        <v>400004</v>
      </c>
      <c r="D31">
        <v>-12558.107</v>
      </c>
      <c r="E31" t="s">
        <v>6</v>
      </c>
      <c r="F31" t="s">
        <v>50</v>
      </c>
      <c r="G31" t="s">
        <v>5</v>
      </c>
    </row>
    <row r="32" spans="1:7" x14ac:dyDescent="0.3">
      <c r="A32" t="s">
        <v>10</v>
      </c>
      <c r="B32" s="1">
        <v>45869</v>
      </c>
      <c r="C32">
        <v>410002</v>
      </c>
      <c r="D32">
        <v>-6010.6130000000003</v>
      </c>
      <c r="E32" t="s">
        <v>6</v>
      </c>
      <c r="F32" t="s">
        <v>51</v>
      </c>
      <c r="G32" t="s">
        <v>5</v>
      </c>
    </row>
    <row r="33" spans="1:7" x14ac:dyDescent="0.3">
      <c r="A33" t="s">
        <v>10</v>
      </c>
      <c r="B33" s="1">
        <v>45869</v>
      </c>
      <c r="C33">
        <v>410037</v>
      </c>
      <c r="D33">
        <v>-1376.049</v>
      </c>
      <c r="E33" t="s">
        <v>6</v>
      </c>
      <c r="F33" t="s">
        <v>51</v>
      </c>
      <c r="G33" t="s">
        <v>5</v>
      </c>
    </row>
    <row r="34" spans="1:7" x14ac:dyDescent="0.3">
      <c r="A34" t="s">
        <v>10</v>
      </c>
      <c r="B34" s="1">
        <v>45869</v>
      </c>
      <c r="C34">
        <v>410049</v>
      </c>
      <c r="D34">
        <v>-451.63200000000001</v>
      </c>
      <c r="E34" t="s">
        <v>6</v>
      </c>
      <c r="F34" t="s">
        <v>51</v>
      </c>
      <c r="G34" t="s">
        <v>5</v>
      </c>
    </row>
    <row r="35" spans="1:7" x14ac:dyDescent="0.3">
      <c r="A35" t="s">
        <v>10</v>
      </c>
      <c r="B35" s="1">
        <v>45869</v>
      </c>
      <c r="C35">
        <v>421002</v>
      </c>
      <c r="D35">
        <v>-1026.962</v>
      </c>
      <c r="E35" t="s">
        <v>6</v>
      </c>
      <c r="F35" t="s">
        <v>52</v>
      </c>
      <c r="G35" t="s">
        <v>5</v>
      </c>
    </row>
    <row r="36" spans="1:7" x14ac:dyDescent="0.3">
      <c r="A36" t="s">
        <v>10</v>
      </c>
      <c r="B36" s="1">
        <v>45869</v>
      </c>
      <c r="C36">
        <v>421003</v>
      </c>
      <c r="D36">
        <v>12634.745999999999</v>
      </c>
      <c r="E36" t="s">
        <v>6</v>
      </c>
      <c r="F36" t="s">
        <v>52</v>
      </c>
      <c r="G36" t="s">
        <v>5</v>
      </c>
    </row>
    <row r="37" spans="1:7" x14ac:dyDescent="0.3">
      <c r="A37" t="s">
        <v>10</v>
      </c>
      <c r="B37" s="1">
        <v>45869</v>
      </c>
      <c r="C37">
        <v>421007</v>
      </c>
      <c r="D37">
        <v>1000.095</v>
      </c>
      <c r="E37" t="s">
        <v>6</v>
      </c>
      <c r="F37" t="s">
        <v>52</v>
      </c>
      <c r="G37" t="s">
        <v>5</v>
      </c>
    </row>
    <row r="38" spans="1:7" x14ac:dyDescent="0.3">
      <c r="A38" t="s">
        <v>10</v>
      </c>
      <c r="B38" s="1">
        <v>45869</v>
      </c>
      <c r="C38">
        <v>510002</v>
      </c>
      <c r="D38">
        <v>4559.308</v>
      </c>
      <c r="E38" t="s">
        <v>6</v>
      </c>
      <c r="F38" t="s">
        <v>53</v>
      </c>
      <c r="G38" t="s">
        <v>5</v>
      </c>
    </row>
    <row r="39" spans="1:7" x14ac:dyDescent="0.3">
      <c r="A39" t="s">
        <v>10</v>
      </c>
      <c r="B39" s="1">
        <v>45869</v>
      </c>
      <c r="C39">
        <v>510005</v>
      </c>
      <c r="D39">
        <v>-118.741</v>
      </c>
      <c r="E39" t="s">
        <v>6</v>
      </c>
      <c r="F39" t="s">
        <v>53</v>
      </c>
      <c r="G39" t="s">
        <v>5</v>
      </c>
    </row>
    <row r="40" spans="1:7" x14ac:dyDescent="0.3">
      <c r="A40" t="s">
        <v>10</v>
      </c>
      <c r="B40" s="1">
        <v>45869</v>
      </c>
      <c r="C40">
        <v>510007</v>
      </c>
      <c r="D40">
        <v>-16.161000000000001</v>
      </c>
      <c r="E40" t="s">
        <v>6</v>
      </c>
      <c r="F40" t="s">
        <v>53</v>
      </c>
      <c r="G40" t="s">
        <v>5</v>
      </c>
    </row>
    <row r="41" spans="1:7" x14ac:dyDescent="0.3">
      <c r="A41" t="s">
        <v>10</v>
      </c>
      <c r="B41" s="1">
        <v>45869</v>
      </c>
      <c r="C41">
        <v>510015</v>
      </c>
      <c r="D41">
        <v>580.09100000000001</v>
      </c>
      <c r="E41" t="s">
        <v>6</v>
      </c>
      <c r="F41" t="s">
        <v>53</v>
      </c>
      <c r="G41" t="s">
        <v>5</v>
      </c>
    </row>
    <row r="42" spans="1:7" x14ac:dyDescent="0.3">
      <c r="A42" t="s">
        <v>10</v>
      </c>
      <c r="B42" s="1">
        <v>45869</v>
      </c>
      <c r="C42">
        <v>546002</v>
      </c>
      <c r="D42">
        <v>11051.134</v>
      </c>
      <c r="E42" t="s">
        <v>6</v>
      </c>
      <c r="F42" t="s">
        <v>51</v>
      </c>
      <c r="G42" t="s">
        <v>5</v>
      </c>
    </row>
    <row r="43" spans="1:7" x14ac:dyDescent="0.3">
      <c r="A43" t="s">
        <v>10</v>
      </c>
      <c r="B43" s="1">
        <v>45869</v>
      </c>
      <c r="C43">
        <v>547002</v>
      </c>
      <c r="D43">
        <v>2462.2959999999998</v>
      </c>
      <c r="E43" t="s">
        <v>6</v>
      </c>
      <c r="F43" t="s">
        <v>54</v>
      </c>
      <c r="G43" t="s">
        <v>5</v>
      </c>
    </row>
    <row r="44" spans="1:7" x14ac:dyDescent="0.3">
      <c r="A44" t="s">
        <v>10</v>
      </c>
      <c r="B44" s="1">
        <v>45869</v>
      </c>
      <c r="C44">
        <v>547011</v>
      </c>
      <c r="D44">
        <v>174.25399999999999</v>
      </c>
      <c r="E44" t="s">
        <v>6</v>
      </c>
      <c r="F44" t="s">
        <v>54</v>
      </c>
      <c r="G44" t="s">
        <v>5</v>
      </c>
    </row>
    <row r="45" spans="1:7" x14ac:dyDescent="0.3">
      <c r="A45" t="s">
        <v>10</v>
      </c>
      <c r="B45" s="1">
        <v>45869</v>
      </c>
      <c r="C45">
        <v>552502</v>
      </c>
      <c r="D45">
        <v>53.246000000000002</v>
      </c>
      <c r="E45" t="s">
        <v>6</v>
      </c>
      <c r="F45" t="s">
        <v>55</v>
      </c>
      <c r="G45" t="s">
        <v>5</v>
      </c>
    </row>
    <row r="46" spans="1:7" x14ac:dyDescent="0.3">
      <c r="A46" t="s">
        <v>10</v>
      </c>
      <c r="B46" s="1">
        <v>45869</v>
      </c>
      <c r="C46">
        <v>556002</v>
      </c>
      <c r="D46">
        <v>2.9769999999999999</v>
      </c>
      <c r="E46" t="s">
        <v>6</v>
      </c>
      <c r="F46" t="s">
        <v>60</v>
      </c>
      <c r="G46" t="s">
        <v>5</v>
      </c>
    </row>
    <row r="47" spans="1:7" x14ac:dyDescent="0.3">
      <c r="A47" t="s">
        <v>10</v>
      </c>
      <c r="B47" s="1">
        <v>45869</v>
      </c>
      <c r="C47">
        <v>557002</v>
      </c>
      <c r="D47">
        <v>678.24699999999996</v>
      </c>
      <c r="E47" t="s">
        <v>6</v>
      </c>
      <c r="F47" t="s">
        <v>56</v>
      </c>
      <c r="G47" t="s">
        <v>5</v>
      </c>
    </row>
    <row r="48" spans="1:7" x14ac:dyDescent="0.3">
      <c r="A48" t="s">
        <v>10</v>
      </c>
      <c r="B48" s="1">
        <v>45869</v>
      </c>
      <c r="C48">
        <v>564004</v>
      </c>
      <c r="D48">
        <v>3.1469999999999998</v>
      </c>
      <c r="E48" t="s">
        <v>6</v>
      </c>
      <c r="F48" t="s">
        <v>51</v>
      </c>
      <c r="G48" t="s">
        <v>5</v>
      </c>
    </row>
    <row r="49" spans="1:7" x14ac:dyDescent="0.3">
      <c r="A49" t="s">
        <v>10</v>
      </c>
      <c r="B49" s="1">
        <v>45869</v>
      </c>
      <c r="C49">
        <v>564006</v>
      </c>
      <c r="D49">
        <v>1.2E-2</v>
      </c>
      <c r="E49" t="s">
        <v>6</v>
      </c>
      <c r="F49" t="s">
        <v>57</v>
      </c>
      <c r="G49" t="s">
        <v>5</v>
      </c>
    </row>
    <row r="50" spans="1:7" x14ac:dyDescent="0.3">
      <c r="A50" t="s">
        <v>10</v>
      </c>
      <c r="B50" s="1">
        <v>45869</v>
      </c>
      <c r="C50">
        <v>564021</v>
      </c>
      <c r="D50">
        <v>54.62</v>
      </c>
      <c r="E50" t="s">
        <v>6</v>
      </c>
      <c r="F50" t="s">
        <v>57</v>
      </c>
      <c r="G50" t="s">
        <v>5</v>
      </c>
    </row>
    <row r="51" spans="1:7" x14ac:dyDescent="0.3">
      <c r="A51" t="s">
        <v>11</v>
      </c>
      <c r="B51" s="1">
        <v>45869</v>
      </c>
      <c r="C51">
        <v>210002</v>
      </c>
      <c r="D51">
        <v>-9.6000000000000002E-2</v>
      </c>
      <c r="E51" t="s">
        <v>4</v>
      </c>
      <c r="F51" t="s">
        <v>42</v>
      </c>
      <c r="G51" t="s">
        <v>7</v>
      </c>
    </row>
    <row r="52" spans="1:7" x14ac:dyDescent="0.3">
      <c r="A52" t="s">
        <v>11</v>
      </c>
      <c r="B52" s="1">
        <v>45869</v>
      </c>
      <c r="C52">
        <v>220006</v>
      </c>
      <c r="D52">
        <v>-1779287.702</v>
      </c>
      <c r="E52" t="s">
        <v>4</v>
      </c>
      <c r="F52" t="s">
        <v>42</v>
      </c>
      <c r="G52" t="s">
        <v>7</v>
      </c>
    </row>
    <row r="53" spans="1:7" x14ac:dyDescent="0.3">
      <c r="A53" t="s">
        <v>11</v>
      </c>
      <c r="B53" s="1">
        <v>45869</v>
      </c>
      <c r="C53">
        <v>240002</v>
      </c>
      <c r="D53">
        <v>-719.79</v>
      </c>
      <c r="E53" t="s">
        <v>4</v>
      </c>
      <c r="F53" t="s">
        <v>43</v>
      </c>
      <c r="G53" t="s">
        <v>7</v>
      </c>
    </row>
    <row r="54" spans="1:7" x14ac:dyDescent="0.3">
      <c r="A54" t="s">
        <v>11</v>
      </c>
      <c r="B54" s="1">
        <v>45869</v>
      </c>
      <c r="C54">
        <v>240003</v>
      </c>
      <c r="D54">
        <v>0.14599999999999999</v>
      </c>
      <c r="E54" t="s">
        <v>4</v>
      </c>
      <c r="F54" t="s">
        <v>43</v>
      </c>
      <c r="G54" t="s">
        <v>7</v>
      </c>
    </row>
    <row r="55" spans="1:7" x14ac:dyDescent="0.3">
      <c r="A55" t="s">
        <v>11</v>
      </c>
      <c r="B55" s="1">
        <v>45869</v>
      </c>
      <c r="C55">
        <v>240009</v>
      </c>
      <c r="D55">
        <v>-961.73599999999999</v>
      </c>
      <c r="E55" t="s">
        <v>4</v>
      </c>
      <c r="F55" t="s">
        <v>43</v>
      </c>
      <c r="G55" t="s">
        <v>7</v>
      </c>
    </row>
    <row r="56" spans="1:7" x14ac:dyDescent="0.3">
      <c r="A56" t="s">
        <v>11</v>
      </c>
      <c r="B56" s="1">
        <v>45869</v>
      </c>
      <c r="C56">
        <v>242003</v>
      </c>
      <c r="D56">
        <v>-74891.713000000003</v>
      </c>
      <c r="E56" t="s">
        <v>4</v>
      </c>
      <c r="F56" t="s">
        <v>43</v>
      </c>
      <c r="G56" t="s">
        <v>7</v>
      </c>
    </row>
    <row r="57" spans="1:7" x14ac:dyDescent="0.3">
      <c r="A57" t="s">
        <v>11</v>
      </c>
      <c r="B57" s="1">
        <v>45869</v>
      </c>
      <c r="C57">
        <v>242011</v>
      </c>
      <c r="D57">
        <v>-37599.375</v>
      </c>
      <c r="E57" t="s">
        <v>4</v>
      </c>
      <c r="F57" t="s">
        <v>43</v>
      </c>
      <c r="G57" t="s">
        <v>7</v>
      </c>
    </row>
    <row r="58" spans="1:7" x14ac:dyDescent="0.3">
      <c r="A58" t="s">
        <v>11</v>
      </c>
      <c r="B58" s="1">
        <v>45869</v>
      </c>
      <c r="C58">
        <v>242012</v>
      </c>
      <c r="D58">
        <v>-5357.4790000000003</v>
      </c>
      <c r="E58" t="s">
        <v>4</v>
      </c>
      <c r="F58" t="s">
        <v>43</v>
      </c>
      <c r="G58" t="s">
        <v>7</v>
      </c>
    </row>
    <row r="59" spans="1:7" x14ac:dyDescent="0.3">
      <c r="A59" t="s">
        <v>11</v>
      </c>
      <c r="B59" s="1">
        <v>45869</v>
      </c>
      <c r="C59">
        <v>242013</v>
      </c>
      <c r="D59">
        <v>-11872.614</v>
      </c>
      <c r="E59" t="s">
        <v>4</v>
      </c>
      <c r="F59" t="s">
        <v>43</v>
      </c>
      <c r="G59" t="s">
        <v>7</v>
      </c>
    </row>
    <row r="60" spans="1:7" x14ac:dyDescent="0.3">
      <c r="A60" t="s">
        <v>11</v>
      </c>
      <c r="B60" s="1">
        <v>45869</v>
      </c>
      <c r="C60">
        <v>242018</v>
      </c>
      <c r="D60">
        <v>-9482.5779999999995</v>
      </c>
      <c r="E60" t="s">
        <v>4</v>
      </c>
      <c r="F60" t="s">
        <v>43</v>
      </c>
      <c r="G60" t="s">
        <v>7</v>
      </c>
    </row>
    <row r="61" spans="1:7" x14ac:dyDescent="0.3">
      <c r="A61" t="s">
        <v>11</v>
      </c>
      <c r="B61" s="1">
        <v>45869</v>
      </c>
      <c r="C61">
        <v>242023</v>
      </c>
      <c r="D61">
        <v>-3294.0990000000002</v>
      </c>
      <c r="E61" t="s">
        <v>4</v>
      </c>
      <c r="F61" t="s">
        <v>43</v>
      </c>
      <c r="G61" t="s">
        <v>7</v>
      </c>
    </row>
    <row r="62" spans="1:7" x14ac:dyDescent="0.3">
      <c r="A62" t="s">
        <v>11</v>
      </c>
      <c r="B62" s="1">
        <v>45869</v>
      </c>
      <c r="C62">
        <v>242027</v>
      </c>
      <c r="D62">
        <v>-4082.98</v>
      </c>
      <c r="E62" t="s">
        <v>4</v>
      </c>
      <c r="F62" t="s">
        <v>43</v>
      </c>
      <c r="G62" t="s">
        <v>7</v>
      </c>
    </row>
    <row r="63" spans="1:7" x14ac:dyDescent="0.3">
      <c r="A63" t="s">
        <v>11</v>
      </c>
      <c r="B63" s="1">
        <v>45869</v>
      </c>
      <c r="C63">
        <v>242030</v>
      </c>
      <c r="D63">
        <v>-20013.826000000001</v>
      </c>
      <c r="E63" t="s">
        <v>4</v>
      </c>
      <c r="F63" t="s">
        <v>43</v>
      </c>
      <c r="G63" t="s">
        <v>7</v>
      </c>
    </row>
    <row r="64" spans="1:7" x14ac:dyDescent="0.3">
      <c r="A64" t="s">
        <v>11</v>
      </c>
      <c r="B64" s="1">
        <v>45869</v>
      </c>
      <c r="C64">
        <v>242038</v>
      </c>
      <c r="D64">
        <v>-2.6549999999999998</v>
      </c>
      <c r="E64" t="s">
        <v>4</v>
      </c>
      <c r="F64" t="s">
        <v>43</v>
      </c>
      <c r="G64" t="s">
        <v>7</v>
      </c>
    </row>
    <row r="65" spans="1:7" x14ac:dyDescent="0.3">
      <c r="A65" t="s">
        <v>11</v>
      </c>
      <c r="B65" s="1">
        <v>45869</v>
      </c>
      <c r="C65">
        <v>242039</v>
      </c>
      <c r="D65">
        <v>-265.48</v>
      </c>
      <c r="E65" t="s">
        <v>4</v>
      </c>
      <c r="F65" t="s">
        <v>43</v>
      </c>
      <c r="G65" t="s">
        <v>7</v>
      </c>
    </row>
    <row r="66" spans="1:7" x14ac:dyDescent="0.3">
      <c r="A66" t="s">
        <v>11</v>
      </c>
      <c r="B66" s="1">
        <v>45869</v>
      </c>
      <c r="C66">
        <v>242041</v>
      </c>
      <c r="D66">
        <v>-50.798999999999999</v>
      </c>
      <c r="E66" t="s">
        <v>4</v>
      </c>
      <c r="F66" t="s">
        <v>43</v>
      </c>
      <c r="G66" t="s">
        <v>7</v>
      </c>
    </row>
    <row r="67" spans="1:7" x14ac:dyDescent="0.3">
      <c r="A67" t="s">
        <v>11</v>
      </c>
      <c r="B67" s="1">
        <v>45869</v>
      </c>
      <c r="C67">
        <v>243002</v>
      </c>
      <c r="D67">
        <v>-12653.713</v>
      </c>
      <c r="E67" t="s">
        <v>4</v>
      </c>
      <c r="F67" t="s">
        <v>43</v>
      </c>
      <c r="G67" t="s">
        <v>7</v>
      </c>
    </row>
    <row r="68" spans="1:7" x14ac:dyDescent="0.3">
      <c r="A68" t="s">
        <v>11</v>
      </c>
      <c r="B68" s="1">
        <v>45869</v>
      </c>
      <c r="C68">
        <v>243003</v>
      </c>
      <c r="D68">
        <v>-3195.864</v>
      </c>
      <c r="E68" t="s">
        <v>4</v>
      </c>
      <c r="F68" t="s">
        <v>43</v>
      </c>
      <c r="G68" t="s">
        <v>7</v>
      </c>
    </row>
    <row r="69" spans="1:7" x14ac:dyDescent="0.3">
      <c r="A69" t="s">
        <v>11</v>
      </c>
      <c r="B69" s="1">
        <v>45869</v>
      </c>
      <c r="C69">
        <v>243010</v>
      </c>
      <c r="D69">
        <v>-1399.2139999999999</v>
      </c>
      <c r="E69" t="s">
        <v>4</v>
      </c>
      <c r="F69" t="s">
        <v>43</v>
      </c>
      <c r="G69" t="s">
        <v>7</v>
      </c>
    </row>
    <row r="70" spans="1:7" x14ac:dyDescent="0.3">
      <c r="A70" t="s">
        <v>11</v>
      </c>
      <c r="B70" s="1">
        <v>45869</v>
      </c>
      <c r="C70">
        <v>245010</v>
      </c>
      <c r="D70">
        <v>-22498.300999999999</v>
      </c>
      <c r="E70" t="s">
        <v>4</v>
      </c>
      <c r="F70" t="s">
        <v>44</v>
      </c>
      <c r="G70" t="s">
        <v>7</v>
      </c>
    </row>
    <row r="71" spans="1:7" x14ac:dyDescent="0.3">
      <c r="A71" t="s">
        <v>11</v>
      </c>
      <c r="B71" s="1">
        <v>45869</v>
      </c>
      <c r="C71">
        <v>245018</v>
      </c>
      <c r="D71">
        <v>-2945.2620000000002</v>
      </c>
      <c r="E71" t="s">
        <v>4</v>
      </c>
      <c r="F71" t="s">
        <v>43</v>
      </c>
      <c r="G71" t="s">
        <v>7</v>
      </c>
    </row>
    <row r="72" spans="1:7" x14ac:dyDescent="0.3">
      <c r="A72" t="s">
        <v>11</v>
      </c>
      <c r="B72" s="1">
        <v>45869</v>
      </c>
      <c r="C72">
        <v>245055</v>
      </c>
      <c r="D72">
        <v>-2068.35</v>
      </c>
      <c r="E72" t="s">
        <v>4</v>
      </c>
      <c r="F72" t="s">
        <v>43</v>
      </c>
      <c r="G72" t="s">
        <v>7</v>
      </c>
    </row>
    <row r="73" spans="1:7" x14ac:dyDescent="0.3">
      <c r="A73" t="s">
        <v>11</v>
      </c>
      <c r="B73" s="1">
        <v>45869</v>
      </c>
      <c r="C73">
        <v>245056</v>
      </c>
      <c r="D73">
        <v>-475.17700000000002</v>
      </c>
      <c r="E73" t="s">
        <v>4</v>
      </c>
      <c r="F73" t="s">
        <v>49</v>
      </c>
      <c r="G73" t="s">
        <v>7</v>
      </c>
    </row>
    <row r="74" spans="1:7" x14ac:dyDescent="0.3">
      <c r="A74" t="s">
        <v>11</v>
      </c>
      <c r="B74" s="1">
        <v>45869</v>
      </c>
      <c r="C74">
        <v>245062</v>
      </c>
      <c r="D74">
        <v>-19499.473000000002</v>
      </c>
      <c r="E74" t="s">
        <v>4</v>
      </c>
      <c r="F74" t="s">
        <v>43</v>
      </c>
      <c r="G74" t="s">
        <v>7</v>
      </c>
    </row>
    <row r="75" spans="1:7" x14ac:dyDescent="0.3">
      <c r="A75" t="s">
        <v>11</v>
      </c>
      <c r="B75" s="1">
        <v>45869</v>
      </c>
      <c r="C75">
        <v>250003</v>
      </c>
      <c r="D75">
        <v>-54.832000000000001</v>
      </c>
      <c r="E75" t="s">
        <v>4</v>
      </c>
      <c r="F75" t="s">
        <v>45</v>
      </c>
      <c r="G75" t="s">
        <v>7</v>
      </c>
    </row>
    <row r="76" spans="1:7" x14ac:dyDescent="0.3">
      <c r="A76" t="s">
        <v>11</v>
      </c>
      <c r="B76" s="1">
        <v>45869</v>
      </c>
      <c r="C76">
        <v>251002</v>
      </c>
      <c r="D76">
        <v>-1104.1590000000001</v>
      </c>
      <c r="E76" t="s">
        <v>4</v>
      </c>
      <c r="F76" t="s">
        <v>45</v>
      </c>
      <c r="G76" t="s">
        <v>7</v>
      </c>
    </row>
    <row r="77" spans="1:7" x14ac:dyDescent="0.3">
      <c r="A77" t="s">
        <v>11</v>
      </c>
      <c r="B77" s="1">
        <v>45869</v>
      </c>
      <c r="C77">
        <v>251003</v>
      </c>
      <c r="D77">
        <v>23093.489000000001</v>
      </c>
      <c r="E77" t="s">
        <v>4</v>
      </c>
      <c r="F77" t="s">
        <v>45</v>
      </c>
      <c r="G77" t="s">
        <v>7</v>
      </c>
    </row>
    <row r="78" spans="1:7" x14ac:dyDescent="0.3">
      <c r="A78" t="s">
        <v>11</v>
      </c>
      <c r="B78" s="1">
        <v>45869</v>
      </c>
      <c r="C78">
        <v>256040</v>
      </c>
      <c r="D78">
        <v>1046478.2070000001</v>
      </c>
      <c r="E78" t="s">
        <v>4</v>
      </c>
      <c r="F78" t="s">
        <v>43</v>
      </c>
      <c r="G78" t="s">
        <v>7</v>
      </c>
    </row>
    <row r="79" spans="1:7" x14ac:dyDescent="0.3">
      <c r="A79" t="s">
        <v>11</v>
      </c>
      <c r="B79" s="1">
        <v>45869</v>
      </c>
      <c r="C79">
        <v>256041</v>
      </c>
      <c r="D79">
        <v>7703.241</v>
      </c>
      <c r="E79" t="s">
        <v>4</v>
      </c>
      <c r="F79" t="s">
        <v>43</v>
      </c>
      <c r="G79" t="s">
        <v>7</v>
      </c>
    </row>
    <row r="80" spans="1:7" x14ac:dyDescent="0.3">
      <c r="A80" t="s">
        <v>11</v>
      </c>
      <c r="B80" s="1">
        <v>45869</v>
      </c>
      <c r="C80">
        <v>263002</v>
      </c>
      <c r="D80">
        <v>-16282.138999999999</v>
      </c>
      <c r="E80" t="s">
        <v>4</v>
      </c>
      <c r="F80" t="s">
        <v>45</v>
      </c>
      <c r="G80" t="s">
        <v>7</v>
      </c>
    </row>
    <row r="81" spans="1:7" x14ac:dyDescent="0.3">
      <c r="A81" t="s">
        <v>11</v>
      </c>
      <c r="B81" s="1">
        <v>45869</v>
      </c>
      <c r="C81">
        <v>263003</v>
      </c>
      <c r="D81">
        <v>-99.756</v>
      </c>
      <c r="E81" t="s">
        <v>4</v>
      </c>
      <c r="F81" t="s">
        <v>45</v>
      </c>
      <c r="G81" t="s">
        <v>7</v>
      </c>
    </row>
    <row r="82" spans="1:7" x14ac:dyDescent="0.3">
      <c r="A82" t="s">
        <v>11</v>
      </c>
      <c r="B82" s="1">
        <v>45869</v>
      </c>
      <c r="C82">
        <v>263005</v>
      </c>
      <c r="D82">
        <v>405.08600000000001</v>
      </c>
      <c r="E82" t="s">
        <v>4</v>
      </c>
      <c r="F82" t="s">
        <v>45</v>
      </c>
      <c r="G82" t="s">
        <v>7</v>
      </c>
    </row>
    <row r="83" spans="1:7" x14ac:dyDescent="0.3">
      <c r="A83" t="s">
        <v>11</v>
      </c>
      <c r="B83" s="1">
        <v>45869</v>
      </c>
      <c r="C83">
        <v>270026</v>
      </c>
      <c r="D83">
        <v>-67816.262000000002</v>
      </c>
      <c r="E83" t="s">
        <v>4</v>
      </c>
      <c r="F83" t="s">
        <v>58</v>
      </c>
      <c r="G83" t="s">
        <v>7</v>
      </c>
    </row>
    <row r="84" spans="1:7" x14ac:dyDescent="0.3">
      <c r="A84" t="s">
        <v>11</v>
      </c>
      <c r="B84" s="1">
        <v>45869</v>
      </c>
      <c r="C84">
        <v>320003</v>
      </c>
      <c r="D84">
        <v>225587.52</v>
      </c>
      <c r="E84" t="s">
        <v>4</v>
      </c>
      <c r="F84" t="s">
        <v>46</v>
      </c>
      <c r="G84" t="s">
        <v>7</v>
      </c>
    </row>
    <row r="85" spans="1:7" x14ac:dyDescent="0.3">
      <c r="A85" t="s">
        <v>11</v>
      </c>
      <c r="B85" s="1">
        <v>45869</v>
      </c>
      <c r="C85">
        <v>320004</v>
      </c>
      <c r="D85">
        <v>325.96800000000002</v>
      </c>
      <c r="E85" t="s">
        <v>4</v>
      </c>
      <c r="F85" t="s">
        <v>46</v>
      </c>
      <c r="G85" t="s">
        <v>7</v>
      </c>
    </row>
    <row r="86" spans="1:7" x14ac:dyDescent="0.3">
      <c r="A86" t="s">
        <v>11</v>
      </c>
      <c r="B86" s="1">
        <v>45869</v>
      </c>
      <c r="C86">
        <v>320023</v>
      </c>
      <c r="D86">
        <v>-3904.26</v>
      </c>
      <c r="E86" t="s">
        <v>4</v>
      </c>
      <c r="F86" t="s">
        <v>46</v>
      </c>
      <c r="G86" t="s">
        <v>7</v>
      </c>
    </row>
    <row r="87" spans="1:7" x14ac:dyDescent="0.3">
      <c r="A87" t="s">
        <v>11</v>
      </c>
      <c r="B87" s="1">
        <v>45869</v>
      </c>
      <c r="C87">
        <v>321002</v>
      </c>
      <c r="D87">
        <v>271366.02600000001</v>
      </c>
      <c r="E87" t="s">
        <v>4</v>
      </c>
      <c r="F87" t="s">
        <v>46</v>
      </c>
      <c r="G87" t="s">
        <v>7</v>
      </c>
    </row>
    <row r="88" spans="1:7" x14ac:dyDescent="0.3">
      <c r="A88" t="s">
        <v>11</v>
      </c>
      <c r="B88" s="1">
        <v>45869</v>
      </c>
      <c r="C88">
        <v>321010</v>
      </c>
      <c r="D88">
        <v>11.526</v>
      </c>
      <c r="E88" t="s">
        <v>4</v>
      </c>
      <c r="F88" t="s">
        <v>46</v>
      </c>
      <c r="G88" t="s">
        <v>7</v>
      </c>
    </row>
    <row r="89" spans="1:7" x14ac:dyDescent="0.3">
      <c r="A89" t="s">
        <v>11</v>
      </c>
      <c r="B89" s="1">
        <v>45869</v>
      </c>
      <c r="C89">
        <v>321012</v>
      </c>
      <c r="D89">
        <v>20869.171999999999</v>
      </c>
      <c r="E89" t="s">
        <v>4</v>
      </c>
      <c r="F89" t="s">
        <v>46</v>
      </c>
      <c r="G89" t="s">
        <v>7</v>
      </c>
    </row>
    <row r="90" spans="1:7" x14ac:dyDescent="0.3">
      <c r="A90" t="s">
        <v>11</v>
      </c>
      <c r="B90" s="1">
        <v>45869</v>
      </c>
      <c r="C90">
        <v>321013</v>
      </c>
      <c r="D90">
        <v>24944.504000000001</v>
      </c>
      <c r="E90" t="s">
        <v>4</v>
      </c>
      <c r="F90" t="s">
        <v>46</v>
      </c>
      <c r="G90" t="s">
        <v>7</v>
      </c>
    </row>
    <row r="91" spans="1:7" x14ac:dyDescent="0.3">
      <c r="A91" t="s">
        <v>11</v>
      </c>
      <c r="B91" s="1">
        <v>45869</v>
      </c>
      <c r="C91">
        <v>321021</v>
      </c>
      <c r="D91">
        <v>27504.142</v>
      </c>
      <c r="E91" t="s">
        <v>4</v>
      </c>
      <c r="F91" t="s">
        <v>46</v>
      </c>
      <c r="G91" t="s">
        <v>7</v>
      </c>
    </row>
    <row r="92" spans="1:7" x14ac:dyDescent="0.3">
      <c r="A92" t="s">
        <v>11</v>
      </c>
      <c r="B92" s="1">
        <v>45869</v>
      </c>
      <c r="C92">
        <v>321025</v>
      </c>
      <c r="D92">
        <v>22012.956999999999</v>
      </c>
      <c r="E92" t="s">
        <v>4</v>
      </c>
      <c r="F92" t="s">
        <v>46</v>
      </c>
      <c r="G92" t="s">
        <v>7</v>
      </c>
    </row>
    <row r="93" spans="1:7" x14ac:dyDescent="0.3">
      <c r="A93" t="s">
        <v>11</v>
      </c>
      <c r="B93" s="1">
        <v>45869</v>
      </c>
      <c r="C93">
        <v>321029</v>
      </c>
      <c r="D93">
        <v>13942.69</v>
      </c>
      <c r="E93" t="s">
        <v>4</v>
      </c>
      <c r="F93" t="s">
        <v>46</v>
      </c>
      <c r="G93" t="s">
        <v>7</v>
      </c>
    </row>
    <row r="94" spans="1:7" x14ac:dyDescent="0.3">
      <c r="A94" t="s">
        <v>11</v>
      </c>
      <c r="B94" s="1">
        <v>45869</v>
      </c>
      <c r="C94">
        <v>321031</v>
      </c>
      <c r="D94">
        <v>11.526</v>
      </c>
      <c r="E94" t="s">
        <v>4</v>
      </c>
      <c r="F94" t="s">
        <v>46</v>
      </c>
      <c r="G94" t="s">
        <v>7</v>
      </c>
    </row>
    <row r="95" spans="1:7" x14ac:dyDescent="0.3">
      <c r="A95" t="s">
        <v>11</v>
      </c>
      <c r="B95" s="1">
        <v>45869</v>
      </c>
      <c r="C95">
        <v>321041</v>
      </c>
      <c r="D95">
        <v>5121.47</v>
      </c>
      <c r="E95" t="s">
        <v>4</v>
      </c>
      <c r="F95" t="s">
        <v>46</v>
      </c>
      <c r="G95" t="s">
        <v>7</v>
      </c>
    </row>
    <row r="96" spans="1:7" x14ac:dyDescent="0.3">
      <c r="A96" t="s">
        <v>11</v>
      </c>
      <c r="B96" s="1">
        <v>45869</v>
      </c>
      <c r="C96">
        <v>321042</v>
      </c>
      <c r="D96">
        <v>388.24700000000001</v>
      </c>
      <c r="E96" t="s">
        <v>4</v>
      </c>
      <c r="F96" t="s">
        <v>46</v>
      </c>
      <c r="G96" t="s">
        <v>7</v>
      </c>
    </row>
    <row r="97" spans="1:7" x14ac:dyDescent="0.3">
      <c r="A97" t="s">
        <v>11</v>
      </c>
      <c r="B97" s="1">
        <v>45869</v>
      </c>
      <c r="C97">
        <v>330033</v>
      </c>
      <c r="D97">
        <v>-33.048000000000002</v>
      </c>
      <c r="E97" t="s">
        <v>4</v>
      </c>
      <c r="F97" t="s">
        <v>43</v>
      </c>
      <c r="G97" t="s">
        <v>7</v>
      </c>
    </row>
    <row r="98" spans="1:7" x14ac:dyDescent="0.3">
      <c r="A98" t="s">
        <v>11</v>
      </c>
      <c r="B98" s="1">
        <v>45869</v>
      </c>
      <c r="C98">
        <v>330054</v>
      </c>
      <c r="D98">
        <v>-1685.1289999999999</v>
      </c>
      <c r="E98" t="s">
        <v>4</v>
      </c>
      <c r="F98" t="s">
        <v>43</v>
      </c>
      <c r="G98" t="s">
        <v>7</v>
      </c>
    </row>
    <row r="99" spans="1:7" x14ac:dyDescent="0.3">
      <c r="A99" t="s">
        <v>11</v>
      </c>
      <c r="B99" s="1">
        <v>45869</v>
      </c>
      <c r="C99">
        <v>330106</v>
      </c>
      <c r="D99">
        <v>4047.991</v>
      </c>
      <c r="E99" t="s">
        <v>4</v>
      </c>
      <c r="F99" t="s">
        <v>43</v>
      </c>
      <c r="G99" t="s">
        <v>7</v>
      </c>
    </row>
    <row r="100" spans="1:7" x14ac:dyDescent="0.3">
      <c r="A100" t="s">
        <v>11</v>
      </c>
      <c r="B100" s="1">
        <v>45869</v>
      </c>
      <c r="C100">
        <v>340096</v>
      </c>
      <c r="D100">
        <v>495533.97399999999</v>
      </c>
      <c r="E100" t="s">
        <v>4</v>
      </c>
      <c r="F100" t="s">
        <v>47</v>
      </c>
      <c r="G100" t="s">
        <v>7</v>
      </c>
    </row>
    <row r="101" spans="1:7" x14ac:dyDescent="0.3">
      <c r="A101" t="s">
        <v>11</v>
      </c>
      <c r="B101" s="1">
        <v>45869</v>
      </c>
      <c r="C101">
        <v>340111</v>
      </c>
      <c r="D101">
        <v>157731.20000000001</v>
      </c>
      <c r="E101" t="s">
        <v>4</v>
      </c>
      <c r="F101" t="s">
        <v>47</v>
      </c>
      <c r="G101" t="s">
        <v>7</v>
      </c>
    </row>
    <row r="102" spans="1:7" x14ac:dyDescent="0.3">
      <c r="A102" t="s">
        <v>11</v>
      </c>
      <c r="B102" s="1">
        <v>45869</v>
      </c>
      <c r="C102">
        <v>340133</v>
      </c>
      <c r="D102">
        <v>7503901.3339999998</v>
      </c>
      <c r="E102" t="s">
        <v>4</v>
      </c>
      <c r="F102" t="s">
        <v>47</v>
      </c>
      <c r="G102" t="s">
        <v>7</v>
      </c>
    </row>
    <row r="103" spans="1:7" x14ac:dyDescent="0.3">
      <c r="A103" t="s">
        <v>11</v>
      </c>
      <c r="B103" s="1">
        <v>45869</v>
      </c>
      <c r="C103">
        <v>340134</v>
      </c>
      <c r="D103">
        <v>-7954623.9129999997</v>
      </c>
      <c r="E103" t="s">
        <v>4</v>
      </c>
      <c r="F103" t="s">
        <v>47</v>
      </c>
      <c r="G103" t="s">
        <v>7</v>
      </c>
    </row>
    <row r="104" spans="1:7" x14ac:dyDescent="0.3">
      <c r="A104" t="s">
        <v>11</v>
      </c>
      <c r="B104" s="1">
        <v>45869</v>
      </c>
      <c r="C104">
        <v>340143</v>
      </c>
      <c r="D104">
        <v>1319635.3370000001</v>
      </c>
      <c r="E104" t="s">
        <v>4</v>
      </c>
      <c r="F104" t="s">
        <v>47</v>
      </c>
      <c r="G104" t="s">
        <v>7</v>
      </c>
    </row>
    <row r="105" spans="1:7" x14ac:dyDescent="0.3">
      <c r="A105" t="s">
        <v>11</v>
      </c>
      <c r="B105" s="1">
        <v>45869</v>
      </c>
      <c r="C105">
        <v>340144</v>
      </c>
      <c r="D105">
        <v>-1456422.7039999999</v>
      </c>
      <c r="E105" t="s">
        <v>4</v>
      </c>
      <c r="F105" t="s">
        <v>47</v>
      </c>
      <c r="G105" t="s">
        <v>7</v>
      </c>
    </row>
    <row r="106" spans="1:7" x14ac:dyDescent="0.3">
      <c r="A106" t="s">
        <v>11</v>
      </c>
      <c r="B106" s="1">
        <v>45869</v>
      </c>
      <c r="C106">
        <v>340317</v>
      </c>
      <c r="D106">
        <v>1270192.0859999999</v>
      </c>
      <c r="E106" t="s">
        <v>4</v>
      </c>
      <c r="F106" t="s">
        <v>47</v>
      </c>
      <c r="G106" t="s">
        <v>7</v>
      </c>
    </row>
    <row r="107" spans="1:7" x14ac:dyDescent="0.3">
      <c r="A107" t="s">
        <v>11</v>
      </c>
      <c r="B107" s="1">
        <v>45869</v>
      </c>
      <c r="C107">
        <v>340318</v>
      </c>
      <c r="D107">
        <v>-1179622.1680000001</v>
      </c>
      <c r="E107" t="s">
        <v>4</v>
      </c>
      <c r="F107" t="s">
        <v>47</v>
      </c>
      <c r="G107" t="s">
        <v>7</v>
      </c>
    </row>
    <row r="108" spans="1:7" x14ac:dyDescent="0.3">
      <c r="A108" t="s">
        <v>11</v>
      </c>
      <c r="B108" s="1">
        <v>45869</v>
      </c>
      <c r="C108">
        <v>340319</v>
      </c>
      <c r="D108">
        <v>1411829.0630000001</v>
      </c>
      <c r="E108" t="s">
        <v>4</v>
      </c>
      <c r="F108" t="s">
        <v>47</v>
      </c>
      <c r="G108" t="s">
        <v>7</v>
      </c>
    </row>
    <row r="109" spans="1:7" x14ac:dyDescent="0.3">
      <c r="A109" t="s">
        <v>11</v>
      </c>
      <c r="B109" s="1">
        <v>45869</v>
      </c>
      <c r="C109">
        <v>340320</v>
      </c>
      <c r="D109">
        <v>-1394921.763</v>
      </c>
      <c r="E109" t="s">
        <v>4</v>
      </c>
      <c r="F109" t="s">
        <v>47</v>
      </c>
      <c r="G109" t="s">
        <v>7</v>
      </c>
    </row>
    <row r="110" spans="1:7" x14ac:dyDescent="0.3">
      <c r="A110" t="s">
        <v>11</v>
      </c>
      <c r="B110" s="1">
        <v>45869</v>
      </c>
      <c r="C110">
        <v>345023</v>
      </c>
      <c r="D110">
        <v>26.940999999999999</v>
      </c>
      <c r="E110" t="s">
        <v>4</v>
      </c>
      <c r="F110" t="s">
        <v>47</v>
      </c>
      <c r="G110" t="s">
        <v>7</v>
      </c>
    </row>
    <row r="111" spans="1:7" x14ac:dyDescent="0.3">
      <c r="A111" t="s">
        <v>11</v>
      </c>
      <c r="B111" s="1">
        <v>45869</v>
      </c>
      <c r="C111">
        <v>350002</v>
      </c>
      <c r="D111">
        <v>3293.8139999999999</v>
      </c>
      <c r="E111" t="s">
        <v>4</v>
      </c>
      <c r="F111" t="s">
        <v>49</v>
      </c>
      <c r="G111" t="s">
        <v>7</v>
      </c>
    </row>
    <row r="112" spans="1:7" x14ac:dyDescent="0.3">
      <c r="A112" t="s">
        <v>11</v>
      </c>
      <c r="B112" s="1">
        <v>45869</v>
      </c>
      <c r="C112">
        <v>350003</v>
      </c>
      <c r="D112">
        <v>-2013.721</v>
      </c>
      <c r="E112" t="s">
        <v>4</v>
      </c>
      <c r="F112" t="s">
        <v>49</v>
      </c>
      <c r="G112" t="s">
        <v>7</v>
      </c>
    </row>
    <row r="113" spans="1:7" x14ac:dyDescent="0.3">
      <c r="A113" t="s">
        <v>11</v>
      </c>
      <c r="B113" s="1">
        <v>45869</v>
      </c>
      <c r="C113">
        <v>350031</v>
      </c>
      <c r="D113">
        <v>961.73599999999999</v>
      </c>
      <c r="E113" t="s">
        <v>4</v>
      </c>
      <c r="F113" t="s">
        <v>43</v>
      </c>
      <c r="G113" t="s">
        <v>7</v>
      </c>
    </row>
    <row r="114" spans="1:7" x14ac:dyDescent="0.3">
      <c r="A114" t="s">
        <v>11</v>
      </c>
      <c r="B114" s="1">
        <v>45869</v>
      </c>
      <c r="C114">
        <v>350034</v>
      </c>
      <c r="D114">
        <v>475.17700000000002</v>
      </c>
      <c r="E114" t="s">
        <v>4</v>
      </c>
      <c r="F114" t="s">
        <v>49</v>
      </c>
      <c r="G114" t="s">
        <v>7</v>
      </c>
    </row>
    <row r="115" spans="1:7" x14ac:dyDescent="0.3">
      <c r="A115" t="s">
        <v>11</v>
      </c>
      <c r="B115" s="1">
        <v>45869</v>
      </c>
      <c r="C115">
        <v>352002</v>
      </c>
      <c r="D115">
        <v>117.559</v>
      </c>
      <c r="E115" t="s">
        <v>4</v>
      </c>
      <c r="F115" t="s">
        <v>48</v>
      </c>
      <c r="G115" t="s">
        <v>7</v>
      </c>
    </row>
    <row r="116" spans="1:7" x14ac:dyDescent="0.3">
      <c r="A116" t="s">
        <v>11</v>
      </c>
      <c r="B116" s="1">
        <v>45869</v>
      </c>
      <c r="C116">
        <v>354012</v>
      </c>
      <c r="D116">
        <v>-36366.044999999998</v>
      </c>
      <c r="E116" t="s">
        <v>4</v>
      </c>
      <c r="F116" t="s">
        <v>46</v>
      </c>
      <c r="G116" t="s">
        <v>7</v>
      </c>
    </row>
    <row r="117" spans="1:7" x14ac:dyDescent="0.3">
      <c r="A117" t="s">
        <v>11</v>
      </c>
      <c r="B117" s="1">
        <v>45869</v>
      </c>
      <c r="C117">
        <v>354014</v>
      </c>
      <c r="D117">
        <v>128184.61900000001</v>
      </c>
      <c r="E117" t="s">
        <v>4</v>
      </c>
      <c r="F117" t="s">
        <v>46</v>
      </c>
      <c r="G117" t="s">
        <v>7</v>
      </c>
    </row>
    <row r="118" spans="1:7" x14ac:dyDescent="0.3">
      <c r="A118" t="s">
        <v>11</v>
      </c>
      <c r="B118" s="1">
        <v>45869</v>
      </c>
      <c r="C118">
        <v>355002</v>
      </c>
      <c r="D118">
        <v>109.474</v>
      </c>
      <c r="E118" t="s">
        <v>4</v>
      </c>
      <c r="F118" t="s">
        <v>49</v>
      </c>
      <c r="G118" t="s">
        <v>7</v>
      </c>
    </row>
    <row r="119" spans="1:7" x14ac:dyDescent="0.3">
      <c r="A119" t="s">
        <v>11</v>
      </c>
      <c r="B119" s="1">
        <v>45869</v>
      </c>
      <c r="C119">
        <v>355013</v>
      </c>
      <c r="D119">
        <v>1353.5329999999999</v>
      </c>
      <c r="E119" t="s">
        <v>4</v>
      </c>
      <c r="F119" t="s">
        <v>49</v>
      </c>
      <c r="G119" t="s">
        <v>7</v>
      </c>
    </row>
    <row r="120" spans="1:7" x14ac:dyDescent="0.3">
      <c r="A120" t="s">
        <v>11</v>
      </c>
      <c r="B120" s="1">
        <v>45869</v>
      </c>
      <c r="C120">
        <v>355014</v>
      </c>
      <c r="D120">
        <v>327.76400000000001</v>
      </c>
      <c r="E120" t="s">
        <v>4</v>
      </c>
      <c r="F120" t="s">
        <v>49</v>
      </c>
      <c r="G120" t="s">
        <v>7</v>
      </c>
    </row>
    <row r="121" spans="1:7" x14ac:dyDescent="0.3">
      <c r="A121" t="s">
        <v>11</v>
      </c>
      <c r="B121" s="1">
        <v>45869</v>
      </c>
      <c r="C121">
        <v>360022</v>
      </c>
      <c r="D121">
        <v>1.7000000000000001E-2</v>
      </c>
      <c r="E121" t="s">
        <v>4</v>
      </c>
      <c r="F121" t="s">
        <v>58</v>
      </c>
      <c r="G121" t="s">
        <v>7</v>
      </c>
    </row>
    <row r="122" spans="1:7" x14ac:dyDescent="0.3">
      <c r="A122" t="s">
        <v>11</v>
      </c>
      <c r="B122" s="1">
        <v>45869</v>
      </c>
      <c r="C122">
        <v>360026</v>
      </c>
      <c r="D122">
        <v>-107.169</v>
      </c>
      <c r="E122" t="s">
        <v>4</v>
      </c>
      <c r="F122" t="s">
        <v>58</v>
      </c>
      <c r="G122" t="s">
        <v>7</v>
      </c>
    </row>
    <row r="123" spans="1:7" x14ac:dyDescent="0.3">
      <c r="A123" t="s">
        <v>11</v>
      </c>
      <c r="B123" s="1">
        <v>45869</v>
      </c>
      <c r="C123">
        <v>360028</v>
      </c>
      <c r="D123">
        <v>8712.0859999999993</v>
      </c>
      <c r="E123" t="s">
        <v>4</v>
      </c>
      <c r="F123" t="s">
        <v>58</v>
      </c>
      <c r="G123" t="s">
        <v>7</v>
      </c>
    </row>
    <row r="124" spans="1:7" x14ac:dyDescent="0.3">
      <c r="A124" t="s">
        <v>11</v>
      </c>
      <c r="B124" s="1">
        <v>45869</v>
      </c>
      <c r="C124">
        <v>360030</v>
      </c>
      <c r="D124">
        <v>65986.194000000003</v>
      </c>
      <c r="E124" t="s">
        <v>4</v>
      </c>
      <c r="F124" t="s">
        <v>58</v>
      </c>
      <c r="G124" t="s">
        <v>7</v>
      </c>
    </row>
    <row r="125" spans="1:7" x14ac:dyDescent="0.3">
      <c r="A125" t="s">
        <v>11</v>
      </c>
      <c r="B125" s="1">
        <v>45869</v>
      </c>
      <c r="C125">
        <v>360032</v>
      </c>
      <c r="D125">
        <v>16954.017</v>
      </c>
      <c r="E125" t="s">
        <v>4</v>
      </c>
      <c r="F125" t="s">
        <v>58</v>
      </c>
      <c r="G125" t="s">
        <v>7</v>
      </c>
    </row>
    <row r="126" spans="1:7" x14ac:dyDescent="0.3">
      <c r="A126" t="s">
        <v>11</v>
      </c>
      <c r="B126" s="1">
        <v>45869</v>
      </c>
      <c r="C126">
        <v>364502</v>
      </c>
      <c r="D126">
        <v>1306.866</v>
      </c>
      <c r="E126" t="s">
        <v>4</v>
      </c>
      <c r="F126" t="s">
        <v>58</v>
      </c>
      <c r="G126" t="s">
        <v>7</v>
      </c>
    </row>
    <row r="127" spans="1:7" x14ac:dyDescent="0.3">
      <c r="A127" t="s">
        <v>11</v>
      </c>
      <c r="B127" s="1">
        <v>45869</v>
      </c>
      <c r="C127">
        <v>372004</v>
      </c>
      <c r="D127">
        <v>3180.53</v>
      </c>
      <c r="E127" t="s">
        <v>4</v>
      </c>
      <c r="F127" t="s">
        <v>45</v>
      </c>
      <c r="G127" t="s">
        <v>7</v>
      </c>
    </row>
    <row r="128" spans="1:7" x14ac:dyDescent="0.3">
      <c r="A128" t="s">
        <v>11</v>
      </c>
      <c r="B128" s="1">
        <v>45869</v>
      </c>
      <c r="C128">
        <v>410002</v>
      </c>
      <c r="D128">
        <v>-87123.267999999996</v>
      </c>
      <c r="E128" t="s">
        <v>6</v>
      </c>
      <c r="F128" t="s">
        <v>51</v>
      </c>
      <c r="G128" t="s">
        <v>7</v>
      </c>
    </row>
    <row r="129" spans="1:7" x14ac:dyDescent="0.3">
      <c r="A129" t="s">
        <v>11</v>
      </c>
      <c r="B129" s="1">
        <v>45869</v>
      </c>
      <c r="C129">
        <v>410006</v>
      </c>
      <c r="D129">
        <v>-2425.9409999999998</v>
      </c>
      <c r="E129" t="s">
        <v>6</v>
      </c>
      <c r="F129" t="s">
        <v>51</v>
      </c>
      <c r="G129" t="s">
        <v>7</v>
      </c>
    </row>
    <row r="130" spans="1:7" x14ac:dyDescent="0.3">
      <c r="A130" t="s">
        <v>11</v>
      </c>
      <c r="B130" s="1">
        <v>45869</v>
      </c>
      <c r="C130">
        <v>410015</v>
      </c>
      <c r="D130">
        <v>-8859.5570000000007</v>
      </c>
      <c r="E130" t="s">
        <v>6</v>
      </c>
      <c r="F130" t="s">
        <v>51</v>
      </c>
      <c r="G130" t="s">
        <v>7</v>
      </c>
    </row>
    <row r="131" spans="1:7" x14ac:dyDescent="0.3">
      <c r="A131" t="s">
        <v>11</v>
      </c>
      <c r="B131" s="1">
        <v>45869</v>
      </c>
      <c r="C131">
        <v>410018</v>
      </c>
      <c r="D131">
        <v>-3542.5659999999998</v>
      </c>
      <c r="E131" t="s">
        <v>6</v>
      </c>
      <c r="F131" t="s">
        <v>51</v>
      </c>
      <c r="G131" t="s">
        <v>7</v>
      </c>
    </row>
    <row r="132" spans="1:7" x14ac:dyDescent="0.3">
      <c r="A132" t="s">
        <v>11</v>
      </c>
      <c r="B132" s="1">
        <v>45869</v>
      </c>
      <c r="C132">
        <v>410019</v>
      </c>
      <c r="D132">
        <v>-11.348000000000001</v>
      </c>
      <c r="E132" t="s">
        <v>6</v>
      </c>
      <c r="F132" t="s">
        <v>51</v>
      </c>
      <c r="G132" t="s">
        <v>7</v>
      </c>
    </row>
    <row r="133" spans="1:7" x14ac:dyDescent="0.3">
      <c r="A133" t="s">
        <v>11</v>
      </c>
      <c r="B133" s="1">
        <v>45869</v>
      </c>
      <c r="C133">
        <v>410032</v>
      </c>
      <c r="D133">
        <v>-7231.415</v>
      </c>
      <c r="E133" t="s">
        <v>6</v>
      </c>
      <c r="F133" t="s">
        <v>51</v>
      </c>
      <c r="G133" t="s">
        <v>7</v>
      </c>
    </row>
    <row r="134" spans="1:7" x14ac:dyDescent="0.3">
      <c r="A134" t="s">
        <v>11</v>
      </c>
      <c r="B134" s="1">
        <v>45869</v>
      </c>
      <c r="C134">
        <v>410037</v>
      </c>
      <c r="D134">
        <v>-56541.366000000002</v>
      </c>
      <c r="E134" t="s">
        <v>6</v>
      </c>
      <c r="F134" t="s">
        <v>51</v>
      </c>
      <c r="G134" t="s">
        <v>7</v>
      </c>
    </row>
    <row r="135" spans="1:7" x14ac:dyDescent="0.3">
      <c r="A135" t="s">
        <v>11</v>
      </c>
      <c r="B135" s="1">
        <v>45869</v>
      </c>
      <c r="C135">
        <v>410039</v>
      </c>
      <c r="D135">
        <v>-11.348000000000001</v>
      </c>
      <c r="E135" t="s">
        <v>6</v>
      </c>
      <c r="F135" t="s">
        <v>51</v>
      </c>
      <c r="G135" t="s">
        <v>7</v>
      </c>
    </row>
    <row r="136" spans="1:7" x14ac:dyDescent="0.3">
      <c r="A136" t="s">
        <v>11</v>
      </c>
      <c r="B136" s="1">
        <v>45869</v>
      </c>
      <c r="C136">
        <v>410046</v>
      </c>
      <c r="D136">
        <v>-2358.9499999999998</v>
      </c>
      <c r="E136" t="s">
        <v>6</v>
      </c>
      <c r="F136" t="s">
        <v>51</v>
      </c>
      <c r="G136" t="s">
        <v>7</v>
      </c>
    </row>
    <row r="137" spans="1:7" x14ac:dyDescent="0.3">
      <c r="A137" t="s">
        <v>11</v>
      </c>
      <c r="B137" s="1">
        <v>45869</v>
      </c>
      <c r="C137">
        <v>415002</v>
      </c>
      <c r="D137">
        <v>-186114.82800000001</v>
      </c>
      <c r="E137" t="s">
        <v>6</v>
      </c>
      <c r="F137" t="s">
        <v>50</v>
      </c>
      <c r="G137" t="s">
        <v>7</v>
      </c>
    </row>
    <row r="138" spans="1:7" x14ac:dyDescent="0.3">
      <c r="A138" t="s">
        <v>11</v>
      </c>
      <c r="B138" s="1">
        <v>45869</v>
      </c>
      <c r="C138">
        <v>415004</v>
      </c>
      <c r="D138">
        <v>-342352.99300000002</v>
      </c>
      <c r="E138" t="s">
        <v>6</v>
      </c>
      <c r="F138" t="s">
        <v>50</v>
      </c>
      <c r="G138" t="s">
        <v>7</v>
      </c>
    </row>
    <row r="139" spans="1:7" x14ac:dyDescent="0.3">
      <c r="A139" t="s">
        <v>11</v>
      </c>
      <c r="B139" s="1">
        <v>45869</v>
      </c>
      <c r="C139">
        <v>420004</v>
      </c>
      <c r="D139">
        <v>-26.524000000000001</v>
      </c>
      <c r="E139" t="s">
        <v>6</v>
      </c>
      <c r="F139" t="s">
        <v>52</v>
      </c>
      <c r="G139" t="s">
        <v>7</v>
      </c>
    </row>
    <row r="140" spans="1:7" x14ac:dyDescent="0.3">
      <c r="A140" t="s">
        <v>11</v>
      </c>
      <c r="B140" s="1">
        <v>45869</v>
      </c>
      <c r="C140">
        <v>420005</v>
      </c>
      <c r="D140">
        <v>-7793.9520000000002</v>
      </c>
      <c r="E140" t="s">
        <v>6</v>
      </c>
      <c r="F140" t="s">
        <v>59</v>
      </c>
      <c r="G140" t="s">
        <v>7</v>
      </c>
    </row>
    <row r="141" spans="1:7" x14ac:dyDescent="0.3">
      <c r="A141" t="s">
        <v>11</v>
      </c>
      <c r="B141" s="1">
        <v>45869</v>
      </c>
      <c r="C141">
        <v>421002</v>
      </c>
      <c r="D141">
        <v>-1765.9390000000001</v>
      </c>
      <c r="E141" t="s">
        <v>6</v>
      </c>
      <c r="F141" t="s">
        <v>52</v>
      </c>
      <c r="G141" t="s">
        <v>7</v>
      </c>
    </row>
    <row r="142" spans="1:7" x14ac:dyDescent="0.3">
      <c r="A142" t="s">
        <v>11</v>
      </c>
      <c r="B142" s="1">
        <v>45869</v>
      </c>
      <c r="C142">
        <v>421003</v>
      </c>
      <c r="D142">
        <v>3997.2510000000002</v>
      </c>
      <c r="E142" t="s">
        <v>6</v>
      </c>
      <c r="F142" t="s">
        <v>52</v>
      </c>
      <c r="G142" t="s">
        <v>7</v>
      </c>
    </row>
    <row r="143" spans="1:7" x14ac:dyDescent="0.3">
      <c r="A143" t="s">
        <v>11</v>
      </c>
      <c r="B143" s="1">
        <v>45869</v>
      </c>
      <c r="C143">
        <v>421004</v>
      </c>
      <c r="D143">
        <v>66730.463000000003</v>
      </c>
      <c r="E143" t="s">
        <v>6</v>
      </c>
      <c r="F143" t="s">
        <v>52</v>
      </c>
      <c r="G143" t="s">
        <v>7</v>
      </c>
    </row>
    <row r="144" spans="1:7" x14ac:dyDescent="0.3">
      <c r="A144" t="s">
        <v>11</v>
      </c>
      <c r="B144" s="1">
        <v>45869</v>
      </c>
      <c r="C144">
        <v>421007</v>
      </c>
      <c r="D144">
        <v>-1102.27</v>
      </c>
      <c r="E144" t="s">
        <v>6</v>
      </c>
      <c r="F144" t="s">
        <v>52</v>
      </c>
      <c r="G144" t="s">
        <v>7</v>
      </c>
    </row>
    <row r="145" spans="1:7" x14ac:dyDescent="0.3">
      <c r="A145" t="s">
        <v>11</v>
      </c>
      <c r="B145" s="1">
        <v>45869</v>
      </c>
      <c r="C145">
        <v>510002</v>
      </c>
      <c r="D145">
        <v>191590.38500000001</v>
      </c>
      <c r="E145" t="s">
        <v>6</v>
      </c>
      <c r="F145" t="s">
        <v>53</v>
      </c>
      <c r="G145" t="s">
        <v>7</v>
      </c>
    </row>
    <row r="146" spans="1:7" x14ac:dyDescent="0.3">
      <c r="A146" t="s">
        <v>11</v>
      </c>
      <c r="B146" s="1">
        <v>45869</v>
      </c>
      <c r="C146">
        <v>510005</v>
      </c>
      <c r="D146">
        <v>10258.548000000001</v>
      </c>
      <c r="E146" t="s">
        <v>6</v>
      </c>
      <c r="F146" t="s">
        <v>53</v>
      </c>
      <c r="G146" t="s">
        <v>7</v>
      </c>
    </row>
    <row r="147" spans="1:7" x14ac:dyDescent="0.3">
      <c r="A147" t="s">
        <v>11</v>
      </c>
      <c r="B147" s="1">
        <v>45869</v>
      </c>
      <c r="C147">
        <v>510007</v>
      </c>
      <c r="D147">
        <v>18757.951000000001</v>
      </c>
      <c r="E147" t="s">
        <v>6</v>
      </c>
      <c r="F147" t="s">
        <v>53</v>
      </c>
      <c r="G147" t="s">
        <v>7</v>
      </c>
    </row>
    <row r="148" spans="1:7" x14ac:dyDescent="0.3">
      <c r="A148" t="s">
        <v>11</v>
      </c>
      <c r="B148" s="1">
        <v>45869</v>
      </c>
      <c r="C148">
        <v>510012</v>
      </c>
      <c r="D148">
        <v>139.93199999999999</v>
      </c>
      <c r="E148" t="s">
        <v>6</v>
      </c>
      <c r="F148" t="s">
        <v>53</v>
      </c>
      <c r="G148" t="s">
        <v>7</v>
      </c>
    </row>
    <row r="149" spans="1:7" x14ac:dyDescent="0.3">
      <c r="A149" t="s">
        <v>11</v>
      </c>
      <c r="B149" s="1">
        <v>45869</v>
      </c>
      <c r="C149">
        <v>510015</v>
      </c>
      <c r="D149">
        <v>10428.69</v>
      </c>
      <c r="E149" t="s">
        <v>6</v>
      </c>
      <c r="F149" t="s">
        <v>53</v>
      </c>
      <c r="G149" t="s">
        <v>7</v>
      </c>
    </row>
    <row r="150" spans="1:7" x14ac:dyDescent="0.3">
      <c r="A150" t="s">
        <v>11</v>
      </c>
      <c r="B150" s="1">
        <v>45869</v>
      </c>
      <c r="C150">
        <v>510018</v>
      </c>
      <c r="D150">
        <v>7394.4489999999996</v>
      </c>
      <c r="E150" t="s">
        <v>6</v>
      </c>
      <c r="F150" t="s">
        <v>53</v>
      </c>
      <c r="G150" t="s">
        <v>7</v>
      </c>
    </row>
    <row r="151" spans="1:7" x14ac:dyDescent="0.3">
      <c r="A151" t="s">
        <v>11</v>
      </c>
      <c r="B151" s="1">
        <v>45869</v>
      </c>
      <c r="C151">
        <v>510059</v>
      </c>
      <c r="D151">
        <v>357.5</v>
      </c>
      <c r="E151" t="s">
        <v>6</v>
      </c>
      <c r="F151" t="s">
        <v>53</v>
      </c>
      <c r="G151" t="s">
        <v>7</v>
      </c>
    </row>
    <row r="152" spans="1:7" x14ac:dyDescent="0.3">
      <c r="A152" t="s">
        <v>11</v>
      </c>
      <c r="B152" s="1">
        <v>45869</v>
      </c>
      <c r="C152">
        <v>510062</v>
      </c>
      <c r="D152">
        <v>278.262</v>
      </c>
      <c r="E152" t="s">
        <v>6</v>
      </c>
      <c r="F152" t="s">
        <v>53</v>
      </c>
      <c r="G152" t="s">
        <v>7</v>
      </c>
    </row>
    <row r="153" spans="1:7" x14ac:dyDescent="0.3">
      <c r="A153" t="s">
        <v>11</v>
      </c>
      <c r="B153" s="1">
        <v>45869</v>
      </c>
      <c r="C153">
        <v>510064</v>
      </c>
      <c r="D153">
        <v>492.185</v>
      </c>
      <c r="E153" t="s">
        <v>6</v>
      </c>
      <c r="F153" t="s">
        <v>53</v>
      </c>
      <c r="G153" t="s">
        <v>7</v>
      </c>
    </row>
    <row r="154" spans="1:7" x14ac:dyDescent="0.3">
      <c r="A154" t="s">
        <v>11</v>
      </c>
      <c r="B154" s="1">
        <v>45869</v>
      </c>
      <c r="C154">
        <v>510065</v>
      </c>
      <c r="D154">
        <v>303.97699999999998</v>
      </c>
      <c r="E154" t="s">
        <v>6</v>
      </c>
      <c r="F154" t="s">
        <v>53</v>
      </c>
      <c r="G154" t="s">
        <v>7</v>
      </c>
    </row>
    <row r="155" spans="1:7" x14ac:dyDescent="0.3">
      <c r="A155" t="s">
        <v>11</v>
      </c>
      <c r="B155" s="1">
        <v>45869</v>
      </c>
      <c r="C155">
        <v>520021</v>
      </c>
      <c r="D155">
        <v>358.45600000000002</v>
      </c>
      <c r="E155" t="s">
        <v>6</v>
      </c>
      <c r="F155" t="s">
        <v>60</v>
      </c>
      <c r="G155" t="s">
        <v>7</v>
      </c>
    </row>
    <row r="156" spans="1:7" x14ac:dyDescent="0.3">
      <c r="A156" t="s">
        <v>11</v>
      </c>
      <c r="B156" s="1">
        <v>45869</v>
      </c>
      <c r="C156">
        <v>541002</v>
      </c>
      <c r="D156">
        <v>3129.92</v>
      </c>
      <c r="E156" t="s">
        <v>6</v>
      </c>
      <c r="F156" t="s">
        <v>61</v>
      </c>
      <c r="G156" t="s">
        <v>7</v>
      </c>
    </row>
    <row r="157" spans="1:7" x14ac:dyDescent="0.3">
      <c r="A157" t="s">
        <v>11</v>
      </c>
      <c r="B157" s="1">
        <v>45869</v>
      </c>
      <c r="C157">
        <v>541009</v>
      </c>
      <c r="D157">
        <v>2668.92</v>
      </c>
      <c r="E157" t="s">
        <v>6</v>
      </c>
      <c r="F157" t="s">
        <v>61</v>
      </c>
      <c r="G157" t="s">
        <v>7</v>
      </c>
    </row>
    <row r="158" spans="1:7" x14ac:dyDescent="0.3">
      <c r="A158" t="s">
        <v>11</v>
      </c>
      <c r="B158" s="1">
        <v>45869</v>
      </c>
      <c r="C158">
        <v>541010</v>
      </c>
      <c r="D158">
        <v>1366.664</v>
      </c>
      <c r="E158" t="s">
        <v>6</v>
      </c>
      <c r="F158" t="s">
        <v>61</v>
      </c>
      <c r="G158" t="s">
        <v>7</v>
      </c>
    </row>
    <row r="159" spans="1:7" x14ac:dyDescent="0.3">
      <c r="A159" t="s">
        <v>11</v>
      </c>
      <c r="B159" s="1">
        <v>45869</v>
      </c>
      <c r="C159">
        <v>541013</v>
      </c>
      <c r="D159">
        <v>271.024</v>
      </c>
      <c r="E159" t="s">
        <v>6</v>
      </c>
      <c r="F159" t="s">
        <v>61</v>
      </c>
      <c r="G159" t="s">
        <v>7</v>
      </c>
    </row>
    <row r="160" spans="1:7" x14ac:dyDescent="0.3">
      <c r="A160" t="s">
        <v>11</v>
      </c>
      <c r="B160" s="1">
        <v>45869</v>
      </c>
      <c r="C160">
        <v>544006</v>
      </c>
      <c r="D160">
        <v>797.12699999999995</v>
      </c>
      <c r="E160" t="s">
        <v>6</v>
      </c>
      <c r="F160" t="s">
        <v>61</v>
      </c>
      <c r="G160" t="s">
        <v>7</v>
      </c>
    </row>
    <row r="161" spans="1:7" x14ac:dyDescent="0.3">
      <c r="A161" t="s">
        <v>11</v>
      </c>
      <c r="B161" s="1">
        <v>45869</v>
      </c>
      <c r="C161">
        <v>546002</v>
      </c>
      <c r="D161">
        <v>325235.36599999998</v>
      </c>
      <c r="E161" t="s">
        <v>6</v>
      </c>
      <c r="F161" t="s">
        <v>51</v>
      </c>
      <c r="G161" t="s">
        <v>7</v>
      </c>
    </row>
    <row r="162" spans="1:7" x14ac:dyDescent="0.3">
      <c r="A162" t="s">
        <v>11</v>
      </c>
      <c r="B162" s="1">
        <v>45869</v>
      </c>
      <c r="C162">
        <v>546013</v>
      </c>
      <c r="D162">
        <v>10653.984</v>
      </c>
      <c r="E162" t="s">
        <v>6</v>
      </c>
      <c r="F162" t="s">
        <v>51</v>
      </c>
      <c r="G162" t="s">
        <v>7</v>
      </c>
    </row>
    <row r="163" spans="1:7" x14ac:dyDescent="0.3">
      <c r="A163" t="s">
        <v>11</v>
      </c>
      <c r="B163" s="1">
        <v>45869</v>
      </c>
      <c r="C163">
        <v>546015</v>
      </c>
      <c r="D163">
        <v>29747.885999999999</v>
      </c>
      <c r="E163" t="s">
        <v>6</v>
      </c>
      <c r="F163" t="s">
        <v>51</v>
      </c>
      <c r="G163" t="s">
        <v>7</v>
      </c>
    </row>
    <row r="164" spans="1:7" x14ac:dyDescent="0.3">
      <c r="A164" t="s">
        <v>11</v>
      </c>
      <c r="B164" s="1">
        <v>45869</v>
      </c>
      <c r="C164">
        <v>546016</v>
      </c>
      <c r="D164">
        <v>1249.1949999999999</v>
      </c>
      <c r="E164" t="s">
        <v>6</v>
      </c>
      <c r="F164" t="s">
        <v>51</v>
      </c>
      <c r="G164" t="s">
        <v>7</v>
      </c>
    </row>
    <row r="165" spans="1:7" x14ac:dyDescent="0.3">
      <c r="A165" t="s">
        <v>11</v>
      </c>
      <c r="B165" s="1">
        <v>45869</v>
      </c>
      <c r="C165">
        <v>546019</v>
      </c>
      <c r="D165">
        <v>2955.2579999999998</v>
      </c>
      <c r="E165" t="s">
        <v>6</v>
      </c>
      <c r="F165" t="s">
        <v>51</v>
      </c>
      <c r="G165" t="s">
        <v>7</v>
      </c>
    </row>
    <row r="166" spans="1:7" x14ac:dyDescent="0.3">
      <c r="A166" t="s">
        <v>11</v>
      </c>
      <c r="B166" s="1">
        <v>45869</v>
      </c>
      <c r="C166">
        <v>546024</v>
      </c>
      <c r="D166">
        <v>4304.1059999999998</v>
      </c>
      <c r="E166" t="s">
        <v>6</v>
      </c>
      <c r="F166" t="s">
        <v>51</v>
      </c>
      <c r="G166" t="s">
        <v>7</v>
      </c>
    </row>
    <row r="167" spans="1:7" x14ac:dyDescent="0.3">
      <c r="A167" t="s">
        <v>11</v>
      </c>
      <c r="B167" s="1">
        <v>45869</v>
      </c>
      <c r="C167">
        <v>546035</v>
      </c>
      <c r="D167">
        <v>26771.895</v>
      </c>
      <c r="E167" t="s">
        <v>6</v>
      </c>
      <c r="F167" t="s">
        <v>51</v>
      </c>
      <c r="G167" t="s">
        <v>7</v>
      </c>
    </row>
    <row r="168" spans="1:7" x14ac:dyDescent="0.3">
      <c r="A168" t="s">
        <v>11</v>
      </c>
      <c r="B168" s="1">
        <v>45869</v>
      </c>
      <c r="C168">
        <v>546040</v>
      </c>
      <c r="D168">
        <v>6320.4889999999996</v>
      </c>
      <c r="E168" t="s">
        <v>6</v>
      </c>
      <c r="F168" t="s">
        <v>51</v>
      </c>
      <c r="G168" t="s">
        <v>7</v>
      </c>
    </row>
    <row r="169" spans="1:7" x14ac:dyDescent="0.3">
      <c r="A169" t="s">
        <v>11</v>
      </c>
      <c r="B169" s="1">
        <v>45869</v>
      </c>
      <c r="C169">
        <v>546045</v>
      </c>
      <c r="D169">
        <v>261.36900000000003</v>
      </c>
      <c r="E169" t="s">
        <v>6</v>
      </c>
      <c r="F169" t="s">
        <v>51</v>
      </c>
      <c r="G169" t="s">
        <v>7</v>
      </c>
    </row>
    <row r="170" spans="1:7" x14ac:dyDescent="0.3">
      <c r="A170" t="s">
        <v>11</v>
      </c>
      <c r="B170" s="1">
        <v>45869</v>
      </c>
      <c r="C170">
        <v>547002</v>
      </c>
      <c r="D170">
        <v>3694.6329999999998</v>
      </c>
      <c r="E170" t="s">
        <v>6</v>
      </c>
      <c r="F170" t="s">
        <v>54</v>
      </c>
      <c r="G170" t="s">
        <v>7</v>
      </c>
    </row>
    <row r="171" spans="1:7" x14ac:dyDescent="0.3">
      <c r="A171" t="s">
        <v>11</v>
      </c>
      <c r="B171" s="1">
        <v>45869</v>
      </c>
      <c r="C171">
        <v>550003</v>
      </c>
      <c r="D171">
        <v>14773.573</v>
      </c>
      <c r="E171" t="s">
        <v>6</v>
      </c>
      <c r="F171" t="s">
        <v>62</v>
      </c>
      <c r="G171" t="s">
        <v>7</v>
      </c>
    </row>
    <row r="172" spans="1:7" x14ac:dyDescent="0.3">
      <c r="A172" t="s">
        <v>11</v>
      </c>
      <c r="B172" s="1">
        <v>45869</v>
      </c>
      <c r="C172">
        <v>551003</v>
      </c>
      <c r="D172">
        <v>1522.133</v>
      </c>
      <c r="E172" t="s">
        <v>6</v>
      </c>
      <c r="F172" t="s">
        <v>63</v>
      </c>
      <c r="G172" t="s">
        <v>7</v>
      </c>
    </row>
    <row r="173" spans="1:7" x14ac:dyDescent="0.3">
      <c r="A173" t="s">
        <v>11</v>
      </c>
      <c r="B173" s="1">
        <v>45869</v>
      </c>
      <c r="C173">
        <v>552502</v>
      </c>
      <c r="D173">
        <v>431.113</v>
      </c>
      <c r="E173" t="s">
        <v>6</v>
      </c>
      <c r="F173" t="s">
        <v>55</v>
      </c>
      <c r="G173" t="s">
        <v>7</v>
      </c>
    </row>
    <row r="174" spans="1:7" x14ac:dyDescent="0.3">
      <c r="A174" t="s">
        <v>11</v>
      </c>
      <c r="B174" s="1">
        <v>45869</v>
      </c>
      <c r="C174">
        <v>555007</v>
      </c>
      <c r="D174">
        <v>455.56200000000001</v>
      </c>
      <c r="E174" t="s">
        <v>6</v>
      </c>
      <c r="F174" t="s">
        <v>55</v>
      </c>
      <c r="G174" t="s">
        <v>7</v>
      </c>
    </row>
    <row r="175" spans="1:7" x14ac:dyDescent="0.3">
      <c r="A175" t="s">
        <v>11</v>
      </c>
      <c r="B175" s="1">
        <v>45869</v>
      </c>
      <c r="C175">
        <v>556002</v>
      </c>
      <c r="D175">
        <v>209.51599999999999</v>
      </c>
      <c r="E175" t="s">
        <v>6</v>
      </c>
      <c r="F175" t="s">
        <v>60</v>
      </c>
      <c r="G175" t="s">
        <v>7</v>
      </c>
    </row>
    <row r="176" spans="1:7" x14ac:dyDescent="0.3">
      <c r="A176" t="s">
        <v>11</v>
      </c>
      <c r="B176" s="1">
        <v>45869</v>
      </c>
      <c r="C176">
        <v>556004</v>
      </c>
      <c r="D176">
        <v>11.355</v>
      </c>
      <c r="E176" t="s">
        <v>6</v>
      </c>
      <c r="F176" t="s">
        <v>55</v>
      </c>
      <c r="G176" t="s">
        <v>7</v>
      </c>
    </row>
    <row r="177" spans="1:7" x14ac:dyDescent="0.3">
      <c r="A177" t="s">
        <v>11</v>
      </c>
      <c r="B177" s="1">
        <v>45869</v>
      </c>
      <c r="C177">
        <v>557002</v>
      </c>
      <c r="D177">
        <v>4018.5529999999999</v>
      </c>
      <c r="E177" t="s">
        <v>6</v>
      </c>
      <c r="F177" t="s">
        <v>56</v>
      </c>
      <c r="G177" t="s">
        <v>7</v>
      </c>
    </row>
    <row r="178" spans="1:7" x14ac:dyDescent="0.3">
      <c r="A178" t="s">
        <v>11</v>
      </c>
      <c r="B178" s="1">
        <v>45869</v>
      </c>
      <c r="C178">
        <v>563002</v>
      </c>
      <c r="D178">
        <v>-9079.5589999999993</v>
      </c>
      <c r="E178" t="s">
        <v>6</v>
      </c>
      <c r="F178" t="s">
        <v>57</v>
      </c>
      <c r="G178" t="s">
        <v>7</v>
      </c>
    </row>
    <row r="179" spans="1:7" x14ac:dyDescent="0.3">
      <c r="A179" t="s">
        <v>11</v>
      </c>
      <c r="B179" s="1">
        <v>45869</v>
      </c>
      <c r="C179">
        <v>564004</v>
      </c>
      <c r="D179">
        <v>7506.95</v>
      </c>
      <c r="E179" t="s">
        <v>6</v>
      </c>
      <c r="F179" t="s">
        <v>51</v>
      </c>
      <c r="G179" t="s">
        <v>7</v>
      </c>
    </row>
    <row r="180" spans="1:7" x14ac:dyDescent="0.3">
      <c r="A180" t="s">
        <v>11</v>
      </c>
      <c r="B180" s="1">
        <v>45869</v>
      </c>
      <c r="C180">
        <v>564006</v>
      </c>
      <c r="D180">
        <v>1E-3</v>
      </c>
      <c r="E180" t="s">
        <v>6</v>
      </c>
      <c r="F180" t="s">
        <v>57</v>
      </c>
      <c r="G180" t="s">
        <v>7</v>
      </c>
    </row>
    <row r="181" spans="1:7" x14ac:dyDescent="0.3">
      <c r="A181" t="s">
        <v>11</v>
      </c>
      <c r="B181" s="1">
        <v>45869</v>
      </c>
      <c r="C181">
        <v>564007</v>
      </c>
      <c r="D181">
        <v>1E-3</v>
      </c>
      <c r="E181" t="s">
        <v>6</v>
      </c>
      <c r="F181" t="s">
        <v>57</v>
      </c>
      <c r="G181" t="s">
        <v>7</v>
      </c>
    </row>
    <row r="182" spans="1:7" x14ac:dyDescent="0.3">
      <c r="A182" t="s">
        <v>11</v>
      </c>
      <c r="B182" s="1">
        <v>45869</v>
      </c>
      <c r="C182">
        <v>564020</v>
      </c>
      <c r="D182">
        <v>245.649</v>
      </c>
      <c r="E182" t="s">
        <v>6</v>
      </c>
      <c r="F182" t="s">
        <v>57</v>
      </c>
      <c r="G182" t="s">
        <v>7</v>
      </c>
    </row>
    <row r="183" spans="1:7" x14ac:dyDescent="0.3">
      <c r="A183" t="s">
        <v>11</v>
      </c>
      <c r="B183" s="1">
        <v>45869</v>
      </c>
      <c r="C183">
        <v>564021</v>
      </c>
      <c r="D183">
        <v>17.497</v>
      </c>
      <c r="E183" t="s">
        <v>6</v>
      </c>
      <c r="F183" t="s">
        <v>57</v>
      </c>
      <c r="G183" t="s">
        <v>7</v>
      </c>
    </row>
    <row r="184" spans="1:7" x14ac:dyDescent="0.3">
      <c r="A184" t="s">
        <v>12</v>
      </c>
      <c r="B184" s="1">
        <v>45869</v>
      </c>
      <c r="C184">
        <v>220006</v>
      </c>
      <c r="D184">
        <v>4108.3389999999999</v>
      </c>
      <c r="E184" t="s">
        <v>4</v>
      </c>
      <c r="F184" t="s">
        <v>42</v>
      </c>
      <c r="G184" t="s">
        <v>8</v>
      </c>
    </row>
    <row r="185" spans="1:7" x14ac:dyDescent="0.3">
      <c r="A185" t="s">
        <v>12</v>
      </c>
      <c r="B185" s="1">
        <v>45869</v>
      </c>
      <c r="C185">
        <v>243002</v>
      </c>
      <c r="D185">
        <v>-779.10199999999998</v>
      </c>
      <c r="E185" t="s">
        <v>4</v>
      </c>
      <c r="F185" t="s">
        <v>43</v>
      </c>
      <c r="G185" t="s">
        <v>8</v>
      </c>
    </row>
    <row r="186" spans="1:7" x14ac:dyDescent="0.3">
      <c r="A186" t="s">
        <v>12</v>
      </c>
      <c r="B186" s="1">
        <v>45869</v>
      </c>
      <c r="C186">
        <v>330143</v>
      </c>
      <c r="D186">
        <v>-2179.2840000000001</v>
      </c>
      <c r="E186" t="s">
        <v>4</v>
      </c>
      <c r="F186" t="s">
        <v>43</v>
      </c>
      <c r="G186" t="s">
        <v>8</v>
      </c>
    </row>
    <row r="187" spans="1:7" x14ac:dyDescent="0.3">
      <c r="A187" t="s">
        <v>12</v>
      </c>
      <c r="B187" s="1">
        <v>45869</v>
      </c>
      <c r="C187">
        <v>372004</v>
      </c>
      <c r="D187">
        <v>368.03899999999999</v>
      </c>
      <c r="E187" t="s">
        <v>4</v>
      </c>
      <c r="F187" t="s">
        <v>45</v>
      </c>
      <c r="G187" t="s">
        <v>8</v>
      </c>
    </row>
    <row r="188" spans="1:7" x14ac:dyDescent="0.3">
      <c r="A188" t="s">
        <v>12</v>
      </c>
      <c r="B188" s="1">
        <v>45869</v>
      </c>
      <c r="C188">
        <v>557002</v>
      </c>
      <c r="D188">
        <v>-1533.4680000000001</v>
      </c>
      <c r="E188" t="s">
        <v>6</v>
      </c>
      <c r="F188" t="s">
        <v>56</v>
      </c>
      <c r="G188" t="s">
        <v>8</v>
      </c>
    </row>
    <row r="189" spans="1:7" x14ac:dyDescent="0.3">
      <c r="A189" t="s">
        <v>13</v>
      </c>
      <c r="B189" s="1">
        <v>45869</v>
      </c>
      <c r="C189">
        <v>210002</v>
      </c>
      <c r="D189">
        <v>-12566.16</v>
      </c>
      <c r="E189" t="s">
        <v>4</v>
      </c>
      <c r="F189" t="s">
        <v>42</v>
      </c>
      <c r="G189" t="s">
        <v>8</v>
      </c>
    </row>
    <row r="190" spans="1:7" x14ac:dyDescent="0.3">
      <c r="A190" t="s">
        <v>13</v>
      </c>
      <c r="B190" s="1">
        <v>45869</v>
      </c>
      <c r="C190">
        <v>220004</v>
      </c>
      <c r="D190">
        <v>-1883.3309999999999</v>
      </c>
      <c r="E190" t="s">
        <v>4</v>
      </c>
      <c r="F190" t="s">
        <v>42</v>
      </c>
      <c r="G190" t="s">
        <v>8</v>
      </c>
    </row>
    <row r="191" spans="1:7" x14ac:dyDescent="0.3">
      <c r="A191" t="s">
        <v>13</v>
      </c>
      <c r="B191" s="1">
        <v>45869</v>
      </c>
      <c r="C191">
        <v>220006</v>
      </c>
      <c r="D191">
        <v>-661930.90700000001</v>
      </c>
      <c r="E191" t="s">
        <v>4</v>
      </c>
      <c r="F191" t="s">
        <v>42</v>
      </c>
      <c r="G191" t="s">
        <v>8</v>
      </c>
    </row>
    <row r="192" spans="1:7" x14ac:dyDescent="0.3">
      <c r="A192" t="s">
        <v>13</v>
      </c>
      <c r="B192" s="1">
        <v>45869</v>
      </c>
      <c r="C192">
        <v>220011</v>
      </c>
      <c r="D192">
        <v>-6.6840000000000002</v>
      </c>
      <c r="E192" t="s">
        <v>4</v>
      </c>
      <c r="F192" t="s">
        <v>42</v>
      </c>
      <c r="G192" t="s">
        <v>8</v>
      </c>
    </row>
    <row r="193" spans="1:7" x14ac:dyDescent="0.3">
      <c r="A193" t="s">
        <v>13</v>
      </c>
      <c r="B193" s="1">
        <v>45869</v>
      </c>
      <c r="C193">
        <v>234003</v>
      </c>
      <c r="D193">
        <v>378.71899999999999</v>
      </c>
      <c r="E193" t="s">
        <v>4</v>
      </c>
      <c r="F193" t="s">
        <v>43</v>
      </c>
      <c r="G193" t="s">
        <v>8</v>
      </c>
    </row>
    <row r="194" spans="1:7" x14ac:dyDescent="0.3">
      <c r="A194" t="s">
        <v>13</v>
      </c>
      <c r="B194" s="1">
        <v>45869</v>
      </c>
      <c r="C194">
        <v>240002</v>
      </c>
      <c r="D194">
        <v>-17203.45</v>
      </c>
      <c r="E194" t="s">
        <v>4</v>
      </c>
      <c r="F194" t="s">
        <v>43</v>
      </c>
      <c r="G194" t="s">
        <v>8</v>
      </c>
    </row>
    <row r="195" spans="1:7" x14ac:dyDescent="0.3">
      <c r="A195" t="s">
        <v>13</v>
      </c>
      <c r="B195" s="1">
        <v>45869</v>
      </c>
      <c r="C195">
        <v>240009</v>
      </c>
      <c r="D195">
        <v>-754.79600000000005</v>
      </c>
      <c r="E195" t="s">
        <v>4</v>
      </c>
      <c r="F195" t="s">
        <v>43</v>
      </c>
      <c r="G195" t="s">
        <v>8</v>
      </c>
    </row>
    <row r="196" spans="1:7" x14ac:dyDescent="0.3">
      <c r="A196" t="s">
        <v>13</v>
      </c>
      <c r="B196" s="1">
        <v>45869</v>
      </c>
      <c r="C196">
        <v>242003</v>
      </c>
      <c r="D196">
        <v>-160346.75399999999</v>
      </c>
      <c r="E196" t="s">
        <v>4</v>
      </c>
      <c r="F196" t="s">
        <v>43</v>
      </c>
      <c r="G196" t="s">
        <v>8</v>
      </c>
    </row>
    <row r="197" spans="1:7" x14ac:dyDescent="0.3">
      <c r="A197" t="s">
        <v>13</v>
      </c>
      <c r="B197" s="1">
        <v>45869</v>
      </c>
      <c r="C197">
        <v>242011</v>
      </c>
      <c r="D197">
        <v>-545.26499999999999</v>
      </c>
      <c r="E197" t="s">
        <v>4</v>
      </c>
      <c r="F197" t="s">
        <v>43</v>
      </c>
      <c r="G197" t="s">
        <v>8</v>
      </c>
    </row>
    <row r="198" spans="1:7" x14ac:dyDescent="0.3">
      <c r="A198" t="s">
        <v>13</v>
      </c>
      <c r="B198" s="1">
        <v>45869</v>
      </c>
      <c r="C198">
        <v>242023</v>
      </c>
      <c r="D198">
        <v>-861.62300000000005</v>
      </c>
      <c r="E198" t="s">
        <v>4</v>
      </c>
      <c r="F198" t="s">
        <v>43</v>
      </c>
      <c r="G198" t="s">
        <v>8</v>
      </c>
    </row>
    <row r="199" spans="1:7" x14ac:dyDescent="0.3">
      <c r="A199" t="s">
        <v>13</v>
      </c>
      <c r="B199" s="1">
        <v>45869</v>
      </c>
      <c r="C199">
        <v>242027</v>
      </c>
      <c r="D199">
        <v>-5205.866</v>
      </c>
      <c r="E199" t="s">
        <v>4</v>
      </c>
      <c r="F199" t="s">
        <v>43</v>
      </c>
      <c r="G199" t="s">
        <v>8</v>
      </c>
    </row>
    <row r="200" spans="1:7" x14ac:dyDescent="0.3">
      <c r="A200" t="s">
        <v>13</v>
      </c>
      <c r="B200" s="1">
        <v>45869</v>
      </c>
      <c r="C200">
        <v>242036</v>
      </c>
      <c r="D200">
        <v>-2940.2190000000001</v>
      </c>
      <c r="E200" t="s">
        <v>4</v>
      </c>
      <c r="F200" t="s">
        <v>43</v>
      </c>
      <c r="G200" t="s">
        <v>8</v>
      </c>
    </row>
    <row r="201" spans="1:7" x14ac:dyDescent="0.3">
      <c r="A201" t="s">
        <v>13</v>
      </c>
      <c r="B201" s="1">
        <v>45869</v>
      </c>
      <c r="C201">
        <v>242039</v>
      </c>
      <c r="D201">
        <v>-1999.3019999999999</v>
      </c>
      <c r="E201" t="s">
        <v>4</v>
      </c>
      <c r="F201" t="s">
        <v>43</v>
      </c>
      <c r="G201" t="s">
        <v>8</v>
      </c>
    </row>
    <row r="202" spans="1:7" x14ac:dyDescent="0.3">
      <c r="A202" t="s">
        <v>13</v>
      </c>
      <c r="B202" s="1">
        <v>45869</v>
      </c>
      <c r="C202">
        <v>242041</v>
      </c>
      <c r="D202">
        <v>-337.84500000000003</v>
      </c>
      <c r="E202" t="s">
        <v>4</v>
      </c>
      <c r="F202" t="s">
        <v>43</v>
      </c>
      <c r="G202" t="s">
        <v>8</v>
      </c>
    </row>
    <row r="203" spans="1:7" x14ac:dyDescent="0.3">
      <c r="A203" t="s">
        <v>13</v>
      </c>
      <c r="B203" s="1">
        <v>45869</v>
      </c>
      <c r="C203">
        <v>243002</v>
      </c>
      <c r="D203">
        <v>-45073.141000000003</v>
      </c>
      <c r="E203" t="s">
        <v>4</v>
      </c>
      <c r="F203" t="s">
        <v>43</v>
      </c>
      <c r="G203" t="s">
        <v>8</v>
      </c>
    </row>
    <row r="204" spans="1:7" x14ac:dyDescent="0.3">
      <c r="A204" t="s">
        <v>13</v>
      </c>
      <c r="B204" s="1">
        <v>45869</v>
      </c>
      <c r="C204">
        <v>243011</v>
      </c>
      <c r="D204">
        <v>-75409.274999999994</v>
      </c>
      <c r="E204" t="s">
        <v>4</v>
      </c>
      <c r="F204" t="s">
        <v>43</v>
      </c>
      <c r="G204" t="s">
        <v>8</v>
      </c>
    </row>
    <row r="205" spans="1:7" x14ac:dyDescent="0.3">
      <c r="A205" t="s">
        <v>13</v>
      </c>
      <c r="B205" s="1">
        <v>45869</v>
      </c>
      <c r="C205">
        <v>245010</v>
      </c>
      <c r="D205">
        <v>-8246.1730000000007</v>
      </c>
      <c r="E205" t="s">
        <v>4</v>
      </c>
      <c r="F205" t="s">
        <v>44</v>
      </c>
      <c r="G205" t="s">
        <v>8</v>
      </c>
    </row>
    <row r="206" spans="1:7" x14ac:dyDescent="0.3">
      <c r="A206" t="s">
        <v>13</v>
      </c>
      <c r="B206" s="1">
        <v>45869</v>
      </c>
      <c r="C206">
        <v>245049</v>
      </c>
      <c r="D206">
        <v>-222.422</v>
      </c>
      <c r="E206" t="s">
        <v>4</v>
      </c>
      <c r="F206" t="s">
        <v>43</v>
      </c>
      <c r="G206" t="s">
        <v>8</v>
      </c>
    </row>
    <row r="207" spans="1:7" x14ac:dyDescent="0.3">
      <c r="A207" t="s">
        <v>13</v>
      </c>
      <c r="B207" s="1">
        <v>45869</v>
      </c>
      <c r="C207">
        <v>245056</v>
      </c>
      <c r="D207">
        <v>-351.72399999999999</v>
      </c>
      <c r="E207" t="s">
        <v>4</v>
      </c>
      <c r="F207" t="s">
        <v>49</v>
      </c>
      <c r="G207" t="s">
        <v>8</v>
      </c>
    </row>
    <row r="208" spans="1:7" x14ac:dyDescent="0.3">
      <c r="A208" t="s">
        <v>13</v>
      </c>
      <c r="B208" s="1">
        <v>45869</v>
      </c>
      <c r="C208">
        <v>245062</v>
      </c>
      <c r="D208">
        <v>-695.53700000000003</v>
      </c>
      <c r="E208" t="s">
        <v>4</v>
      </c>
      <c r="F208" t="s">
        <v>43</v>
      </c>
      <c r="G208" t="s">
        <v>8</v>
      </c>
    </row>
    <row r="209" spans="1:7" x14ac:dyDescent="0.3">
      <c r="A209" t="s">
        <v>13</v>
      </c>
      <c r="B209" s="1">
        <v>45869</v>
      </c>
      <c r="C209">
        <v>250003</v>
      </c>
      <c r="D209">
        <v>-9654.7829999999994</v>
      </c>
      <c r="E209" t="s">
        <v>4</v>
      </c>
      <c r="F209" t="s">
        <v>45</v>
      </c>
      <c r="G209" t="s">
        <v>8</v>
      </c>
    </row>
    <row r="210" spans="1:7" x14ac:dyDescent="0.3">
      <c r="A210" t="s">
        <v>13</v>
      </c>
      <c r="B210" s="1">
        <v>45869</v>
      </c>
      <c r="C210">
        <v>251002</v>
      </c>
      <c r="D210">
        <v>-3907.6129999999998</v>
      </c>
      <c r="E210" t="s">
        <v>4</v>
      </c>
      <c r="F210" t="s">
        <v>45</v>
      </c>
      <c r="G210" t="s">
        <v>8</v>
      </c>
    </row>
    <row r="211" spans="1:7" x14ac:dyDescent="0.3">
      <c r="A211" t="s">
        <v>13</v>
      </c>
      <c r="B211" s="1">
        <v>45869</v>
      </c>
      <c r="C211">
        <v>251003</v>
      </c>
      <c r="D211">
        <v>748620.34199999995</v>
      </c>
      <c r="E211" t="s">
        <v>4</v>
      </c>
      <c r="F211" t="s">
        <v>45</v>
      </c>
      <c r="G211" t="s">
        <v>8</v>
      </c>
    </row>
    <row r="212" spans="1:7" x14ac:dyDescent="0.3">
      <c r="A212" t="s">
        <v>13</v>
      </c>
      <c r="B212" s="1">
        <v>45869</v>
      </c>
      <c r="C212">
        <v>257014</v>
      </c>
      <c r="D212">
        <v>2118.6550000000002</v>
      </c>
      <c r="E212" t="s">
        <v>4</v>
      </c>
      <c r="F212" t="s">
        <v>45</v>
      </c>
      <c r="G212" t="s">
        <v>8</v>
      </c>
    </row>
    <row r="213" spans="1:7" x14ac:dyDescent="0.3">
      <c r="A213" t="s">
        <v>13</v>
      </c>
      <c r="B213" s="1">
        <v>45869</v>
      </c>
      <c r="C213">
        <v>257022</v>
      </c>
      <c r="D213">
        <v>22590.774000000001</v>
      </c>
      <c r="E213" t="s">
        <v>4</v>
      </c>
      <c r="F213" t="s">
        <v>45</v>
      </c>
      <c r="G213" t="s">
        <v>8</v>
      </c>
    </row>
    <row r="214" spans="1:7" x14ac:dyDescent="0.3">
      <c r="A214" t="s">
        <v>13</v>
      </c>
      <c r="B214" s="1">
        <v>45869</v>
      </c>
      <c r="C214">
        <v>257027</v>
      </c>
      <c r="D214">
        <v>10584.215</v>
      </c>
      <c r="E214" t="s">
        <v>4</v>
      </c>
      <c r="F214" t="s">
        <v>45</v>
      </c>
      <c r="G214" t="s">
        <v>8</v>
      </c>
    </row>
    <row r="215" spans="1:7" x14ac:dyDescent="0.3">
      <c r="A215" t="s">
        <v>13</v>
      </c>
      <c r="B215" s="1">
        <v>45869</v>
      </c>
      <c r="C215">
        <v>257030</v>
      </c>
      <c r="D215">
        <v>-46506.516000000003</v>
      </c>
      <c r="E215" t="s">
        <v>4</v>
      </c>
      <c r="F215" t="s">
        <v>45</v>
      </c>
      <c r="G215" t="s">
        <v>8</v>
      </c>
    </row>
    <row r="216" spans="1:7" x14ac:dyDescent="0.3">
      <c r="A216" t="s">
        <v>13</v>
      </c>
      <c r="B216" s="1">
        <v>45869</v>
      </c>
      <c r="C216">
        <v>260004</v>
      </c>
      <c r="D216">
        <v>-440767.31900000002</v>
      </c>
      <c r="E216" t="s">
        <v>4</v>
      </c>
      <c r="F216" t="s">
        <v>45</v>
      </c>
      <c r="G216" t="s">
        <v>8</v>
      </c>
    </row>
    <row r="217" spans="1:7" x14ac:dyDescent="0.3">
      <c r="A217" t="s">
        <v>13</v>
      </c>
      <c r="B217" s="1">
        <v>45869</v>
      </c>
      <c r="C217">
        <v>260051</v>
      </c>
      <c r="D217">
        <v>-95782.952999999994</v>
      </c>
      <c r="E217" t="s">
        <v>4</v>
      </c>
      <c r="F217" t="s">
        <v>45</v>
      </c>
      <c r="G217" t="s">
        <v>8</v>
      </c>
    </row>
    <row r="218" spans="1:7" x14ac:dyDescent="0.3">
      <c r="A218" t="s">
        <v>13</v>
      </c>
      <c r="B218" s="1">
        <v>45869</v>
      </c>
      <c r="C218">
        <v>270027</v>
      </c>
      <c r="D218">
        <v>-2506.9490000000001</v>
      </c>
      <c r="E218" t="s">
        <v>4</v>
      </c>
      <c r="F218" t="s">
        <v>58</v>
      </c>
      <c r="G218" t="s">
        <v>8</v>
      </c>
    </row>
    <row r="219" spans="1:7" x14ac:dyDescent="0.3">
      <c r="A219" t="s">
        <v>13</v>
      </c>
      <c r="B219" s="1">
        <v>45869</v>
      </c>
      <c r="C219">
        <v>300004</v>
      </c>
      <c r="D219">
        <v>2789.8710000000001</v>
      </c>
      <c r="E219" t="s">
        <v>4</v>
      </c>
      <c r="F219" t="s">
        <v>65</v>
      </c>
      <c r="G219" t="s">
        <v>8</v>
      </c>
    </row>
    <row r="220" spans="1:7" x14ac:dyDescent="0.3">
      <c r="A220" t="s">
        <v>13</v>
      </c>
      <c r="B220" s="1">
        <v>45869</v>
      </c>
      <c r="C220">
        <v>300005</v>
      </c>
      <c r="D220">
        <v>1491.963</v>
      </c>
      <c r="E220" t="s">
        <v>4</v>
      </c>
      <c r="F220" t="s">
        <v>65</v>
      </c>
      <c r="G220" t="s">
        <v>8</v>
      </c>
    </row>
    <row r="221" spans="1:7" x14ac:dyDescent="0.3">
      <c r="A221" t="s">
        <v>13</v>
      </c>
      <c r="B221" s="1">
        <v>45869</v>
      </c>
      <c r="C221">
        <v>300008</v>
      </c>
      <c r="D221">
        <v>1851.768</v>
      </c>
      <c r="E221" t="s">
        <v>4</v>
      </c>
      <c r="F221" t="s">
        <v>65</v>
      </c>
      <c r="G221" t="s">
        <v>8</v>
      </c>
    </row>
    <row r="222" spans="1:7" x14ac:dyDescent="0.3">
      <c r="A222" t="s">
        <v>13</v>
      </c>
      <c r="B222" s="1">
        <v>45869</v>
      </c>
      <c r="C222">
        <v>300011</v>
      </c>
      <c r="D222">
        <v>150.291</v>
      </c>
      <c r="E222" t="s">
        <v>4</v>
      </c>
      <c r="F222" t="s">
        <v>65</v>
      </c>
      <c r="G222" t="s">
        <v>8</v>
      </c>
    </row>
    <row r="223" spans="1:7" x14ac:dyDescent="0.3">
      <c r="A223" t="s">
        <v>13</v>
      </c>
      <c r="B223" s="1">
        <v>45869</v>
      </c>
      <c r="C223">
        <v>300012</v>
      </c>
      <c r="D223">
        <v>963.99199999999996</v>
      </c>
      <c r="E223" t="s">
        <v>4</v>
      </c>
      <c r="F223" t="s">
        <v>65</v>
      </c>
      <c r="G223" t="s">
        <v>8</v>
      </c>
    </row>
    <row r="224" spans="1:7" x14ac:dyDescent="0.3">
      <c r="A224" t="s">
        <v>13</v>
      </c>
      <c r="B224" s="1">
        <v>45869</v>
      </c>
      <c r="C224">
        <v>300504</v>
      </c>
      <c r="D224">
        <v>-2561.8040000000001</v>
      </c>
      <c r="E224" t="s">
        <v>4</v>
      </c>
      <c r="F224" t="s">
        <v>65</v>
      </c>
      <c r="G224" t="s">
        <v>8</v>
      </c>
    </row>
    <row r="225" spans="1:7" x14ac:dyDescent="0.3">
      <c r="A225" t="s">
        <v>13</v>
      </c>
      <c r="B225" s="1">
        <v>45869</v>
      </c>
      <c r="C225">
        <v>300505</v>
      </c>
      <c r="D225">
        <v>-1304.8610000000001</v>
      </c>
      <c r="E225" t="s">
        <v>4</v>
      </c>
      <c r="F225" t="s">
        <v>65</v>
      </c>
      <c r="G225" t="s">
        <v>8</v>
      </c>
    </row>
    <row r="226" spans="1:7" x14ac:dyDescent="0.3">
      <c r="A226" t="s">
        <v>13</v>
      </c>
      <c r="B226" s="1">
        <v>45869</v>
      </c>
      <c r="C226">
        <v>300508</v>
      </c>
      <c r="D226">
        <v>-1791.338</v>
      </c>
      <c r="E226" t="s">
        <v>4</v>
      </c>
      <c r="F226" t="s">
        <v>65</v>
      </c>
      <c r="G226" t="s">
        <v>8</v>
      </c>
    </row>
    <row r="227" spans="1:7" x14ac:dyDescent="0.3">
      <c r="A227" t="s">
        <v>13</v>
      </c>
      <c r="B227" s="1">
        <v>45869</v>
      </c>
      <c r="C227">
        <v>300511</v>
      </c>
      <c r="D227">
        <v>-150.291</v>
      </c>
      <c r="E227" t="s">
        <v>4</v>
      </c>
      <c r="F227" t="s">
        <v>65</v>
      </c>
      <c r="G227" t="s">
        <v>8</v>
      </c>
    </row>
    <row r="228" spans="1:7" x14ac:dyDescent="0.3">
      <c r="A228" t="s">
        <v>13</v>
      </c>
      <c r="B228" s="1">
        <v>45869</v>
      </c>
      <c r="C228">
        <v>300512</v>
      </c>
      <c r="D228">
        <v>-963.99199999999996</v>
      </c>
      <c r="E228" t="s">
        <v>4</v>
      </c>
      <c r="F228" t="s">
        <v>65</v>
      </c>
      <c r="G228" t="s">
        <v>8</v>
      </c>
    </row>
    <row r="229" spans="1:7" x14ac:dyDescent="0.3">
      <c r="A229" t="s">
        <v>13</v>
      </c>
      <c r="B229" s="1">
        <v>45869</v>
      </c>
      <c r="C229">
        <v>301004</v>
      </c>
      <c r="D229">
        <v>2890.2170000000001</v>
      </c>
      <c r="E229" t="s">
        <v>4</v>
      </c>
      <c r="F229" t="s">
        <v>65</v>
      </c>
      <c r="G229" t="s">
        <v>8</v>
      </c>
    </row>
    <row r="230" spans="1:7" x14ac:dyDescent="0.3">
      <c r="A230" t="s">
        <v>13</v>
      </c>
      <c r="B230" s="1">
        <v>45869</v>
      </c>
      <c r="C230">
        <v>301504</v>
      </c>
      <c r="D230">
        <v>-2890.2170000000001</v>
      </c>
      <c r="E230" t="s">
        <v>4</v>
      </c>
      <c r="F230" t="s">
        <v>65</v>
      </c>
      <c r="G230" t="s">
        <v>8</v>
      </c>
    </row>
    <row r="231" spans="1:7" x14ac:dyDescent="0.3">
      <c r="A231" t="s">
        <v>13</v>
      </c>
      <c r="B231" s="1">
        <v>45869</v>
      </c>
      <c r="C231">
        <v>320002</v>
      </c>
      <c r="D231">
        <v>34182.536</v>
      </c>
      <c r="E231" t="s">
        <v>4</v>
      </c>
      <c r="F231" t="s">
        <v>46</v>
      </c>
      <c r="G231" t="s">
        <v>8</v>
      </c>
    </row>
    <row r="232" spans="1:7" x14ac:dyDescent="0.3">
      <c r="A232" t="s">
        <v>13</v>
      </c>
      <c r="B232" s="1">
        <v>45869</v>
      </c>
      <c r="C232">
        <v>320003</v>
      </c>
      <c r="D232">
        <v>259988.78599999999</v>
      </c>
      <c r="E232" t="s">
        <v>4</v>
      </c>
      <c r="F232" t="s">
        <v>46</v>
      </c>
      <c r="G232" t="s">
        <v>8</v>
      </c>
    </row>
    <row r="233" spans="1:7" x14ac:dyDescent="0.3">
      <c r="A233" t="s">
        <v>13</v>
      </c>
      <c r="B233" s="1">
        <v>45869</v>
      </c>
      <c r="C233">
        <v>320004</v>
      </c>
      <c r="D233">
        <v>875.577</v>
      </c>
      <c r="E233" t="s">
        <v>4</v>
      </c>
      <c r="F233" t="s">
        <v>46</v>
      </c>
      <c r="G233" t="s">
        <v>8</v>
      </c>
    </row>
    <row r="234" spans="1:7" x14ac:dyDescent="0.3">
      <c r="A234" t="s">
        <v>13</v>
      </c>
      <c r="B234" s="1">
        <v>45869</v>
      </c>
      <c r="C234">
        <v>320019</v>
      </c>
      <c r="D234">
        <v>21.771000000000001</v>
      </c>
      <c r="E234" t="s">
        <v>4</v>
      </c>
      <c r="F234" t="s">
        <v>46</v>
      </c>
      <c r="G234" t="s">
        <v>8</v>
      </c>
    </row>
    <row r="235" spans="1:7" x14ac:dyDescent="0.3">
      <c r="A235" t="s">
        <v>13</v>
      </c>
      <c r="B235" s="1">
        <v>45869</v>
      </c>
      <c r="C235">
        <v>320023</v>
      </c>
      <c r="D235">
        <v>-26.125</v>
      </c>
      <c r="E235" t="s">
        <v>4</v>
      </c>
      <c r="F235" t="s">
        <v>46</v>
      </c>
      <c r="G235" t="s">
        <v>8</v>
      </c>
    </row>
    <row r="236" spans="1:7" x14ac:dyDescent="0.3">
      <c r="A236" t="s">
        <v>13</v>
      </c>
      <c r="B236" s="1">
        <v>45869</v>
      </c>
      <c r="C236">
        <v>321002</v>
      </c>
      <c r="D236">
        <v>47755.714</v>
      </c>
      <c r="E236" t="s">
        <v>4</v>
      </c>
      <c r="F236" t="s">
        <v>46</v>
      </c>
      <c r="G236" t="s">
        <v>8</v>
      </c>
    </row>
    <row r="237" spans="1:7" x14ac:dyDescent="0.3">
      <c r="A237" t="s">
        <v>13</v>
      </c>
      <c r="B237" s="1">
        <v>45869</v>
      </c>
      <c r="C237">
        <v>321012</v>
      </c>
      <c r="D237">
        <v>-254.809</v>
      </c>
      <c r="E237" t="s">
        <v>4</v>
      </c>
      <c r="F237" t="s">
        <v>46</v>
      </c>
      <c r="G237" t="s">
        <v>8</v>
      </c>
    </row>
    <row r="238" spans="1:7" x14ac:dyDescent="0.3">
      <c r="A238" t="s">
        <v>13</v>
      </c>
      <c r="B238" s="1">
        <v>45869</v>
      </c>
      <c r="C238">
        <v>321029</v>
      </c>
      <c r="D238">
        <v>192.72200000000001</v>
      </c>
      <c r="E238" t="s">
        <v>4</v>
      </c>
      <c r="F238" t="s">
        <v>46</v>
      </c>
      <c r="G238" t="s">
        <v>8</v>
      </c>
    </row>
    <row r="239" spans="1:7" x14ac:dyDescent="0.3">
      <c r="A239" t="s">
        <v>13</v>
      </c>
      <c r="B239" s="1">
        <v>45869</v>
      </c>
      <c r="C239">
        <v>331017</v>
      </c>
      <c r="D239">
        <v>-22590.774000000001</v>
      </c>
      <c r="E239" t="s">
        <v>4</v>
      </c>
      <c r="F239" t="s">
        <v>43</v>
      </c>
      <c r="G239" t="s">
        <v>8</v>
      </c>
    </row>
    <row r="240" spans="1:7" x14ac:dyDescent="0.3">
      <c r="A240" t="s">
        <v>13</v>
      </c>
      <c r="B240" s="1">
        <v>45869</v>
      </c>
      <c r="C240">
        <v>340112</v>
      </c>
      <c r="D240">
        <v>243333.29699999999</v>
      </c>
      <c r="E240" t="s">
        <v>4</v>
      </c>
      <c r="F240" t="s">
        <v>47</v>
      </c>
      <c r="G240" t="s">
        <v>8</v>
      </c>
    </row>
    <row r="241" spans="1:7" x14ac:dyDescent="0.3">
      <c r="A241" t="s">
        <v>13</v>
      </c>
      <c r="B241" s="1">
        <v>45869</v>
      </c>
      <c r="C241">
        <v>340113</v>
      </c>
      <c r="D241">
        <v>11909172.630999999</v>
      </c>
      <c r="E241" t="s">
        <v>4</v>
      </c>
      <c r="F241" t="s">
        <v>47</v>
      </c>
      <c r="G241" t="s">
        <v>8</v>
      </c>
    </row>
    <row r="242" spans="1:7" x14ac:dyDescent="0.3">
      <c r="A242" t="s">
        <v>13</v>
      </c>
      <c r="B242" s="1">
        <v>45869</v>
      </c>
      <c r="C242">
        <v>340114</v>
      </c>
      <c r="D242">
        <v>-11518753.821</v>
      </c>
      <c r="E242" t="s">
        <v>4</v>
      </c>
      <c r="F242" t="s">
        <v>47</v>
      </c>
      <c r="G242" t="s">
        <v>8</v>
      </c>
    </row>
    <row r="243" spans="1:7" x14ac:dyDescent="0.3">
      <c r="A243" t="s">
        <v>13</v>
      </c>
      <c r="B243" s="1">
        <v>45869</v>
      </c>
      <c r="C243">
        <v>340122</v>
      </c>
      <c r="D243">
        <v>1797.6869999999999</v>
      </c>
      <c r="E243" t="s">
        <v>4</v>
      </c>
      <c r="F243" t="s">
        <v>47</v>
      </c>
      <c r="G243" t="s">
        <v>8</v>
      </c>
    </row>
    <row r="244" spans="1:7" x14ac:dyDescent="0.3">
      <c r="A244" t="s">
        <v>13</v>
      </c>
      <c r="B244" s="1">
        <v>45869</v>
      </c>
      <c r="C244">
        <v>340123</v>
      </c>
      <c r="D244">
        <v>8302.2729999999992</v>
      </c>
      <c r="E244" t="s">
        <v>4</v>
      </c>
      <c r="F244" t="s">
        <v>47</v>
      </c>
      <c r="G244" t="s">
        <v>8</v>
      </c>
    </row>
    <row r="245" spans="1:7" x14ac:dyDescent="0.3">
      <c r="A245" t="s">
        <v>13</v>
      </c>
      <c r="B245" s="1">
        <v>45869</v>
      </c>
      <c r="C245">
        <v>340124</v>
      </c>
      <c r="D245">
        <v>-10099.960999999999</v>
      </c>
      <c r="E245" t="s">
        <v>4</v>
      </c>
      <c r="F245" t="s">
        <v>47</v>
      </c>
      <c r="G245" t="s">
        <v>8</v>
      </c>
    </row>
    <row r="246" spans="1:7" x14ac:dyDescent="0.3">
      <c r="A246" t="s">
        <v>13</v>
      </c>
      <c r="B246" s="1">
        <v>45869</v>
      </c>
      <c r="C246">
        <v>350002</v>
      </c>
      <c r="D246">
        <v>544.49199999999996</v>
      </c>
      <c r="E246" t="s">
        <v>4</v>
      </c>
      <c r="F246" t="s">
        <v>49</v>
      </c>
      <c r="G246" t="s">
        <v>8</v>
      </c>
    </row>
    <row r="247" spans="1:7" x14ac:dyDescent="0.3">
      <c r="A247" t="s">
        <v>13</v>
      </c>
      <c r="B247" s="1">
        <v>45869</v>
      </c>
      <c r="C247">
        <v>350003</v>
      </c>
      <c r="D247">
        <v>-128.23400000000001</v>
      </c>
      <c r="E247" t="s">
        <v>4</v>
      </c>
      <c r="F247" t="s">
        <v>49</v>
      </c>
      <c r="G247" t="s">
        <v>8</v>
      </c>
    </row>
    <row r="248" spans="1:7" x14ac:dyDescent="0.3">
      <c r="A248" t="s">
        <v>13</v>
      </c>
      <c r="B248" s="1">
        <v>45869</v>
      </c>
      <c r="C248">
        <v>350031</v>
      </c>
      <c r="D248">
        <v>754.79600000000005</v>
      </c>
      <c r="E248" t="s">
        <v>4</v>
      </c>
      <c r="F248" t="s">
        <v>43</v>
      </c>
      <c r="G248" t="s">
        <v>8</v>
      </c>
    </row>
    <row r="249" spans="1:7" x14ac:dyDescent="0.3">
      <c r="A249" t="s">
        <v>13</v>
      </c>
      <c r="B249" s="1">
        <v>45869</v>
      </c>
      <c r="C249">
        <v>350034</v>
      </c>
      <c r="D249">
        <v>351.72399999999999</v>
      </c>
      <c r="E249" t="s">
        <v>4</v>
      </c>
      <c r="F249" t="s">
        <v>49</v>
      </c>
      <c r="G249" t="s">
        <v>8</v>
      </c>
    </row>
    <row r="250" spans="1:7" x14ac:dyDescent="0.3">
      <c r="A250" t="s">
        <v>13</v>
      </c>
      <c r="B250" s="1">
        <v>45869</v>
      </c>
      <c r="C250">
        <v>352002</v>
      </c>
      <c r="D250">
        <v>180.80199999999999</v>
      </c>
      <c r="E250" t="s">
        <v>4</v>
      </c>
      <c r="F250" t="s">
        <v>48</v>
      </c>
      <c r="G250" t="s">
        <v>8</v>
      </c>
    </row>
    <row r="251" spans="1:7" x14ac:dyDescent="0.3">
      <c r="A251" t="s">
        <v>13</v>
      </c>
      <c r="B251" s="1">
        <v>45869</v>
      </c>
      <c r="C251">
        <v>354012</v>
      </c>
      <c r="D251">
        <v>-657672.005</v>
      </c>
      <c r="E251" t="s">
        <v>4</v>
      </c>
      <c r="F251" t="s">
        <v>46</v>
      </c>
      <c r="G251" t="s">
        <v>8</v>
      </c>
    </row>
    <row r="252" spans="1:7" x14ac:dyDescent="0.3">
      <c r="A252" t="s">
        <v>13</v>
      </c>
      <c r="B252" s="1">
        <v>45869</v>
      </c>
      <c r="C252">
        <v>354015</v>
      </c>
      <c r="D252">
        <v>197.03700000000001</v>
      </c>
      <c r="E252" t="s">
        <v>4</v>
      </c>
      <c r="F252" t="s">
        <v>46</v>
      </c>
      <c r="G252" t="s">
        <v>8</v>
      </c>
    </row>
    <row r="253" spans="1:7" x14ac:dyDescent="0.3">
      <c r="A253" t="s">
        <v>13</v>
      </c>
      <c r="B253" s="1">
        <v>45869</v>
      </c>
      <c r="C253">
        <v>355002</v>
      </c>
      <c r="D253">
        <v>-3.3000000000000002E-2</v>
      </c>
      <c r="E253" t="s">
        <v>4</v>
      </c>
      <c r="F253" t="s">
        <v>49</v>
      </c>
      <c r="G253" t="s">
        <v>8</v>
      </c>
    </row>
    <row r="254" spans="1:7" x14ac:dyDescent="0.3">
      <c r="A254" t="s">
        <v>13</v>
      </c>
      <c r="B254" s="1">
        <v>45869</v>
      </c>
      <c r="C254">
        <v>355013</v>
      </c>
      <c r="D254">
        <v>98883.911999999997</v>
      </c>
      <c r="E254" t="s">
        <v>4</v>
      </c>
      <c r="F254" t="s">
        <v>49</v>
      </c>
      <c r="G254" t="s">
        <v>8</v>
      </c>
    </row>
    <row r="255" spans="1:7" x14ac:dyDescent="0.3">
      <c r="A255" t="s">
        <v>13</v>
      </c>
      <c r="B255" s="1">
        <v>45869</v>
      </c>
      <c r="C255">
        <v>372004</v>
      </c>
      <c r="D255">
        <v>470146.95400000003</v>
      </c>
      <c r="E255" t="s">
        <v>4</v>
      </c>
      <c r="F255" t="s">
        <v>45</v>
      </c>
      <c r="G255" t="s">
        <v>8</v>
      </c>
    </row>
    <row r="256" spans="1:7" x14ac:dyDescent="0.3">
      <c r="A256" t="s">
        <v>13</v>
      </c>
      <c r="B256" s="1">
        <v>45869</v>
      </c>
      <c r="C256">
        <v>400002</v>
      </c>
      <c r="D256">
        <v>-402.49</v>
      </c>
      <c r="E256" t="s">
        <v>6</v>
      </c>
      <c r="F256" t="s">
        <v>50</v>
      </c>
      <c r="G256" t="s">
        <v>8</v>
      </c>
    </row>
    <row r="257" spans="1:7" x14ac:dyDescent="0.3">
      <c r="A257" t="s">
        <v>13</v>
      </c>
      <c r="B257" s="1">
        <v>45869</v>
      </c>
      <c r="C257">
        <v>400004</v>
      </c>
      <c r="D257">
        <v>-61165.463000000003</v>
      </c>
      <c r="E257" t="s">
        <v>6</v>
      </c>
      <c r="F257" t="s">
        <v>50</v>
      </c>
      <c r="G257" t="s">
        <v>8</v>
      </c>
    </row>
    <row r="258" spans="1:7" x14ac:dyDescent="0.3">
      <c r="A258" t="s">
        <v>13</v>
      </c>
      <c r="B258" s="1">
        <v>45869</v>
      </c>
      <c r="C258">
        <v>410002</v>
      </c>
      <c r="D258">
        <v>-220464.90700000001</v>
      </c>
      <c r="E258" t="s">
        <v>6</v>
      </c>
      <c r="F258" t="s">
        <v>51</v>
      </c>
      <c r="G258" t="s">
        <v>8</v>
      </c>
    </row>
    <row r="259" spans="1:7" x14ac:dyDescent="0.3">
      <c r="A259" t="s">
        <v>13</v>
      </c>
      <c r="B259" s="1">
        <v>45869</v>
      </c>
      <c r="C259">
        <v>410037</v>
      </c>
      <c r="D259">
        <v>-4722.1809999999996</v>
      </c>
      <c r="E259" t="s">
        <v>6</v>
      </c>
      <c r="F259" t="s">
        <v>51</v>
      </c>
      <c r="G259" t="s">
        <v>8</v>
      </c>
    </row>
    <row r="260" spans="1:7" x14ac:dyDescent="0.3">
      <c r="A260" t="s">
        <v>13</v>
      </c>
      <c r="B260" s="1">
        <v>45869</v>
      </c>
      <c r="C260">
        <v>415002</v>
      </c>
      <c r="D260">
        <v>17105.085999999999</v>
      </c>
      <c r="E260" t="s">
        <v>6</v>
      </c>
      <c r="F260" t="s">
        <v>50</v>
      </c>
      <c r="G260" t="s">
        <v>8</v>
      </c>
    </row>
    <row r="261" spans="1:7" x14ac:dyDescent="0.3">
      <c r="A261" t="s">
        <v>13</v>
      </c>
      <c r="B261" s="1">
        <v>45869</v>
      </c>
      <c r="C261">
        <v>415003</v>
      </c>
      <c r="D261">
        <v>-1353.2270000000001</v>
      </c>
      <c r="E261" t="s">
        <v>6</v>
      </c>
      <c r="F261" t="s">
        <v>50</v>
      </c>
      <c r="G261" t="s">
        <v>8</v>
      </c>
    </row>
    <row r="262" spans="1:7" x14ac:dyDescent="0.3">
      <c r="A262" t="s">
        <v>13</v>
      </c>
      <c r="B262" s="1">
        <v>45869</v>
      </c>
      <c r="C262">
        <v>415004</v>
      </c>
      <c r="D262">
        <v>-372908.23700000002</v>
      </c>
      <c r="E262" t="s">
        <v>6</v>
      </c>
      <c r="F262" t="s">
        <v>50</v>
      </c>
      <c r="G262" t="s">
        <v>8</v>
      </c>
    </row>
    <row r="263" spans="1:7" x14ac:dyDescent="0.3">
      <c r="A263" t="s">
        <v>13</v>
      </c>
      <c r="B263" s="1">
        <v>45869</v>
      </c>
      <c r="C263">
        <v>421002</v>
      </c>
      <c r="D263">
        <v>-5436.8</v>
      </c>
      <c r="E263" t="s">
        <v>6</v>
      </c>
      <c r="F263" t="s">
        <v>52</v>
      </c>
      <c r="G263" t="s">
        <v>8</v>
      </c>
    </row>
    <row r="264" spans="1:7" x14ac:dyDescent="0.3">
      <c r="A264" t="s">
        <v>13</v>
      </c>
      <c r="B264" s="1">
        <v>45869</v>
      </c>
      <c r="C264">
        <v>421003</v>
      </c>
      <c r="D264">
        <v>5990.6130000000003</v>
      </c>
      <c r="E264" t="s">
        <v>6</v>
      </c>
      <c r="F264" t="s">
        <v>52</v>
      </c>
      <c r="G264" t="s">
        <v>8</v>
      </c>
    </row>
    <row r="265" spans="1:7" x14ac:dyDescent="0.3">
      <c r="A265" t="s">
        <v>13</v>
      </c>
      <c r="B265" s="1">
        <v>45869</v>
      </c>
      <c r="C265">
        <v>421007</v>
      </c>
      <c r="D265">
        <v>-116.538</v>
      </c>
      <c r="E265" t="s">
        <v>6</v>
      </c>
      <c r="F265" t="s">
        <v>52</v>
      </c>
      <c r="G265" t="s">
        <v>8</v>
      </c>
    </row>
    <row r="266" spans="1:7" x14ac:dyDescent="0.3">
      <c r="A266" t="s">
        <v>13</v>
      </c>
      <c r="B266" s="1">
        <v>45869</v>
      </c>
      <c r="C266">
        <v>510002</v>
      </c>
      <c r="D266">
        <v>42317.014000000003</v>
      </c>
      <c r="E266" t="s">
        <v>6</v>
      </c>
      <c r="F266" t="s">
        <v>53</v>
      </c>
      <c r="G266" t="s">
        <v>8</v>
      </c>
    </row>
    <row r="267" spans="1:7" x14ac:dyDescent="0.3">
      <c r="A267" t="s">
        <v>13</v>
      </c>
      <c r="B267" s="1">
        <v>45869</v>
      </c>
      <c r="C267">
        <v>510005</v>
      </c>
      <c r="D267">
        <v>-448.14299999999997</v>
      </c>
      <c r="E267" t="s">
        <v>6</v>
      </c>
      <c r="F267" t="s">
        <v>53</v>
      </c>
      <c r="G267" t="s">
        <v>8</v>
      </c>
    </row>
    <row r="268" spans="1:7" x14ac:dyDescent="0.3">
      <c r="A268" t="s">
        <v>13</v>
      </c>
      <c r="B268" s="1">
        <v>45869</v>
      </c>
      <c r="C268">
        <v>510007</v>
      </c>
      <c r="D268">
        <v>758.68200000000002</v>
      </c>
      <c r="E268" t="s">
        <v>6</v>
      </c>
      <c r="F268" t="s">
        <v>53</v>
      </c>
      <c r="G268" t="s">
        <v>8</v>
      </c>
    </row>
    <row r="269" spans="1:7" x14ac:dyDescent="0.3">
      <c r="A269" t="s">
        <v>13</v>
      </c>
      <c r="B269" s="1">
        <v>45869</v>
      </c>
      <c r="C269">
        <v>510015</v>
      </c>
      <c r="D269">
        <v>20638.174999999999</v>
      </c>
      <c r="E269" t="s">
        <v>6</v>
      </c>
      <c r="F269" t="s">
        <v>53</v>
      </c>
      <c r="G269" t="s">
        <v>8</v>
      </c>
    </row>
    <row r="270" spans="1:7" x14ac:dyDescent="0.3">
      <c r="A270" t="s">
        <v>13</v>
      </c>
      <c r="B270" s="1">
        <v>45869</v>
      </c>
      <c r="C270">
        <v>510048</v>
      </c>
      <c r="D270">
        <v>480.40899999999999</v>
      </c>
      <c r="E270" t="s">
        <v>6</v>
      </c>
      <c r="F270" t="s">
        <v>61</v>
      </c>
      <c r="G270" t="s">
        <v>8</v>
      </c>
    </row>
    <row r="271" spans="1:7" x14ac:dyDescent="0.3">
      <c r="A271" t="s">
        <v>13</v>
      </c>
      <c r="B271" s="1">
        <v>45869</v>
      </c>
      <c r="C271">
        <v>510062</v>
      </c>
      <c r="D271">
        <v>945.03899999999999</v>
      </c>
      <c r="E271" t="s">
        <v>6</v>
      </c>
      <c r="F271" t="s">
        <v>53</v>
      </c>
      <c r="G271" t="s">
        <v>8</v>
      </c>
    </row>
    <row r="272" spans="1:7" x14ac:dyDescent="0.3">
      <c r="A272" t="s">
        <v>13</v>
      </c>
      <c r="B272" s="1">
        <v>45869</v>
      </c>
      <c r="C272">
        <v>510064</v>
      </c>
      <c r="D272">
        <v>2201.7080000000001</v>
      </c>
      <c r="E272" t="s">
        <v>6</v>
      </c>
      <c r="F272" t="s">
        <v>53</v>
      </c>
      <c r="G272" t="s">
        <v>8</v>
      </c>
    </row>
    <row r="273" spans="1:7" x14ac:dyDescent="0.3">
      <c r="A273" t="s">
        <v>13</v>
      </c>
      <c r="B273" s="1">
        <v>45869</v>
      </c>
      <c r="C273">
        <v>510065</v>
      </c>
      <c r="D273">
        <v>871.75199999999995</v>
      </c>
      <c r="E273" t="s">
        <v>6</v>
      </c>
      <c r="F273" t="s">
        <v>53</v>
      </c>
      <c r="G273" t="s">
        <v>8</v>
      </c>
    </row>
    <row r="274" spans="1:7" x14ac:dyDescent="0.3">
      <c r="A274" t="s">
        <v>13</v>
      </c>
      <c r="B274" s="1">
        <v>45869</v>
      </c>
      <c r="C274">
        <v>520020</v>
      </c>
      <c r="D274">
        <v>127.872</v>
      </c>
      <c r="E274" t="s">
        <v>6</v>
      </c>
      <c r="F274" t="s">
        <v>53</v>
      </c>
      <c r="G274" t="s">
        <v>8</v>
      </c>
    </row>
    <row r="275" spans="1:7" x14ac:dyDescent="0.3">
      <c r="A275" t="s">
        <v>13</v>
      </c>
      <c r="B275" s="1">
        <v>45869</v>
      </c>
      <c r="C275">
        <v>541003</v>
      </c>
      <c r="D275">
        <v>936.899</v>
      </c>
      <c r="E275" t="s">
        <v>6</v>
      </c>
      <c r="F275" t="s">
        <v>61</v>
      </c>
      <c r="G275" t="s">
        <v>8</v>
      </c>
    </row>
    <row r="276" spans="1:7" x14ac:dyDescent="0.3">
      <c r="A276" t="s">
        <v>13</v>
      </c>
      <c r="B276" s="1">
        <v>45869</v>
      </c>
      <c r="C276">
        <v>541004</v>
      </c>
      <c r="D276">
        <v>171.982</v>
      </c>
      <c r="E276" t="s">
        <v>6</v>
      </c>
      <c r="F276" t="s">
        <v>61</v>
      </c>
      <c r="G276" t="s">
        <v>8</v>
      </c>
    </row>
    <row r="277" spans="1:7" x14ac:dyDescent="0.3">
      <c r="A277" t="s">
        <v>13</v>
      </c>
      <c r="B277" s="1">
        <v>45869</v>
      </c>
      <c r="C277">
        <v>541010</v>
      </c>
      <c r="D277">
        <v>2081.4740000000002</v>
      </c>
      <c r="E277" t="s">
        <v>6</v>
      </c>
      <c r="F277" t="s">
        <v>61</v>
      </c>
      <c r="G277" t="s">
        <v>8</v>
      </c>
    </row>
    <row r="278" spans="1:7" x14ac:dyDescent="0.3">
      <c r="A278" t="s">
        <v>13</v>
      </c>
      <c r="B278" s="1">
        <v>45869</v>
      </c>
      <c r="C278">
        <v>544006</v>
      </c>
      <c r="D278">
        <v>540.39599999999996</v>
      </c>
      <c r="E278" t="s">
        <v>6</v>
      </c>
      <c r="F278" t="s">
        <v>61</v>
      </c>
      <c r="G278" t="s">
        <v>8</v>
      </c>
    </row>
    <row r="279" spans="1:7" x14ac:dyDescent="0.3">
      <c r="A279" t="s">
        <v>13</v>
      </c>
      <c r="B279" s="1">
        <v>45869</v>
      </c>
      <c r="C279">
        <v>546002</v>
      </c>
      <c r="D279">
        <v>282147.90700000001</v>
      </c>
      <c r="E279" t="s">
        <v>6</v>
      </c>
      <c r="F279" t="s">
        <v>51</v>
      </c>
      <c r="G279" t="s">
        <v>8</v>
      </c>
    </row>
    <row r="280" spans="1:7" x14ac:dyDescent="0.3">
      <c r="A280" t="s">
        <v>13</v>
      </c>
      <c r="B280" s="1">
        <v>45869</v>
      </c>
      <c r="C280">
        <v>546013</v>
      </c>
      <c r="D280">
        <v>550.82299999999998</v>
      </c>
      <c r="E280" t="s">
        <v>6</v>
      </c>
      <c r="F280" t="s">
        <v>51</v>
      </c>
      <c r="G280" t="s">
        <v>8</v>
      </c>
    </row>
    <row r="281" spans="1:7" x14ac:dyDescent="0.3">
      <c r="A281" t="s">
        <v>13</v>
      </c>
      <c r="B281" s="1">
        <v>45869</v>
      </c>
      <c r="C281">
        <v>546024</v>
      </c>
      <c r="D281">
        <v>5197.1909999999998</v>
      </c>
      <c r="E281" t="s">
        <v>6</v>
      </c>
      <c r="F281" t="s">
        <v>51</v>
      </c>
      <c r="G281" t="s">
        <v>8</v>
      </c>
    </row>
    <row r="282" spans="1:7" x14ac:dyDescent="0.3">
      <c r="A282" t="s">
        <v>13</v>
      </c>
      <c r="B282" s="1">
        <v>45869</v>
      </c>
      <c r="C282">
        <v>546035</v>
      </c>
      <c r="D282">
        <v>6510.0879999999997</v>
      </c>
      <c r="E282" t="s">
        <v>6</v>
      </c>
      <c r="F282" t="s">
        <v>51</v>
      </c>
      <c r="G282" t="s">
        <v>8</v>
      </c>
    </row>
    <row r="283" spans="1:7" x14ac:dyDescent="0.3">
      <c r="A283" t="s">
        <v>13</v>
      </c>
      <c r="B283" s="1">
        <v>45869</v>
      </c>
      <c r="C283">
        <v>546045</v>
      </c>
      <c r="D283">
        <v>1266.607</v>
      </c>
      <c r="E283" t="s">
        <v>6</v>
      </c>
      <c r="F283" t="s">
        <v>51</v>
      </c>
      <c r="G283" t="s">
        <v>8</v>
      </c>
    </row>
    <row r="284" spans="1:7" x14ac:dyDescent="0.3">
      <c r="A284" t="s">
        <v>13</v>
      </c>
      <c r="B284" s="1">
        <v>45869</v>
      </c>
      <c r="C284">
        <v>546046</v>
      </c>
      <c r="D284">
        <v>8476.4069999999992</v>
      </c>
      <c r="E284" t="s">
        <v>6</v>
      </c>
      <c r="F284" t="s">
        <v>51</v>
      </c>
      <c r="G284" t="s">
        <v>8</v>
      </c>
    </row>
    <row r="285" spans="1:7" x14ac:dyDescent="0.3">
      <c r="A285" t="s">
        <v>13</v>
      </c>
      <c r="B285" s="1">
        <v>45869</v>
      </c>
      <c r="C285">
        <v>547002</v>
      </c>
      <c r="D285">
        <v>191995.64300000001</v>
      </c>
      <c r="E285" t="s">
        <v>6</v>
      </c>
      <c r="F285" t="s">
        <v>54</v>
      </c>
      <c r="G285" t="s">
        <v>8</v>
      </c>
    </row>
    <row r="286" spans="1:7" x14ac:dyDescent="0.3">
      <c r="A286" t="s">
        <v>13</v>
      </c>
      <c r="B286" s="1">
        <v>45869</v>
      </c>
      <c r="C286">
        <v>547011</v>
      </c>
      <c r="D286">
        <v>4538.4740000000002</v>
      </c>
      <c r="E286" t="s">
        <v>6</v>
      </c>
      <c r="F286" t="s">
        <v>54</v>
      </c>
      <c r="G286" t="s">
        <v>8</v>
      </c>
    </row>
    <row r="287" spans="1:7" x14ac:dyDescent="0.3">
      <c r="A287" t="s">
        <v>13</v>
      </c>
      <c r="B287" s="1">
        <v>45869</v>
      </c>
      <c r="C287">
        <v>552502</v>
      </c>
      <c r="D287">
        <v>581.14400000000001</v>
      </c>
      <c r="E287" t="s">
        <v>6</v>
      </c>
      <c r="F287" t="s">
        <v>55</v>
      </c>
      <c r="G287" t="s">
        <v>8</v>
      </c>
    </row>
    <row r="288" spans="1:7" x14ac:dyDescent="0.3">
      <c r="A288" t="s">
        <v>13</v>
      </c>
      <c r="B288" s="1">
        <v>45869</v>
      </c>
      <c r="C288">
        <v>555508</v>
      </c>
      <c r="D288">
        <v>548.51900000000001</v>
      </c>
      <c r="E288" t="s">
        <v>6</v>
      </c>
      <c r="F288" t="s">
        <v>55</v>
      </c>
      <c r="G288" t="s">
        <v>8</v>
      </c>
    </row>
    <row r="289" spans="1:7" x14ac:dyDescent="0.3">
      <c r="A289" t="s">
        <v>13</v>
      </c>
      <c r="B289" s="1">
        <v>45869</v>
      </c>
      <c r="C289">
        <v>556002</v>
      </c>
      <c r="D289">
        <v>89.893000000000001</v>
      </c>
      <c r="E289" t="s">
        <v>6</v>
      </c>
      <c r="F289" t="s">
        <v>60</v>
      </c>
      <c r="G289" t="s">
        <v>8</v>
      </c>
    </row>
    <row r="290" spans="1:7" x14ac:dyDescent="0.3">
      <c r="A290" t="s">
        <v>13</v>
      </c>
      <c r="B290" s="1">
        <v>45869</v>
      </c>
      <c r="C290">
        <v>557002</v>
      </c>
      <c r="D290">
        <v>6426.03</v>
      </c>
      <c r="E290" t="s">
        <v>6</v>
      </c>
      <c r="F290" t="s">
        <v>56</v>
      </c>
      <c r="G290" t="s">
        <v>8</v>
      </c>
    </row>
    <row r="291" spans="1:7" x14ac:dyDescent="0.3">
      <c r="A291" t="s">
        <v>13</v>
      </c>
      <c r="B291" s="1">
        <v>45869</v>
      </c>
      <c r="C291">
        <v>559002</v>
      </c>
      <c r="D291">
        <v>14.507999999999999</v>
      </c>
      <c r="E291" t="s">
        <v>6</v>
      </c>
      <c r="F291" t="s">
        <v>60</v>
      </c>
      <c r="G291" t="s">
        <v>8</v>
      </c>
    </row>
    <row r="292" spans="1:7" x14ac:dyDescent="0.3">
      <c r="A292" t="s">
        <v>13</v>
      </c>
      <c r="B292" s="1">
        <v>45869</v>
      </c>
      <c r="C292">
        <v>560008</v>
      </c>
      <c r="D292">
        <v>562.92600000000004</v>
      </c>
      <c r="E292" t="s">
        <v>6</v>
      </c>
      <c r="F292" t="s">
        <v>56</v>
      </c>
      <c r="G292" t="s">
        <v>8</v>
      </c>
    </row>
    <row r="293" spans="1:7" x14ac:dyDescent="0.3">
      <c r="A293" t="s">
        <v>13</v>
      </c>
      <c r="B293" s="1">
        <v>45869</v>
      </c>
      <c r="C293">
        <v>564004</v>
      </c>
      <c r="D293">
        <v>1698.4929999999999</v>
      </c>
      <c r="E293" t="s">
        <v>6</v>
      </c>
      <c r="F293" t="s">
        <v>51</v>
      </c>
      <c r="G293" t="s">
        <v>8</v>
      </c>
    </row>
    <row r="294" spans="1:7" x14ac:dyDescent="0.3">
      <c r="A294" t="s">
        <v>13</v>
      </c>
      <c r="B294" s="1">
        <v>45869</v>
      </c>
      <c r="C294">
        <v>564008</v>
      </c>
      <c r="D294">
        <v>29.97</v>
      </c>
      <c r="E294" t="s">
        <v>6</v>
      </c>
      <c r="F294" t="s">
        <v>55</v>
      </c>
      <c r="G294" t="s">
        <v>8</v>
      </c>
    </row>
    <row r="295" spans="1:7" x14ac:dyDescent="0.3">
      <c r="A295" t="s">
        <v>13</v>
      </c>
      <c r="B295" s="1">
        <v>45869</v>
      </c>
      <c r="C295">
        <v>564020</v>
      </c>
      <c r="D295">
        <v>1709.729</v>
      </c>
      <c r="E295" t="s">
        <v>6</v>
      </c>
      <c r="F295" t="s">
        <v>57</v>
      </c>
      <c r="G295" t="s">
        <v>8</v>
      </c>
    </row>
    <row r="296" spans="1:7" x14ac:dyDescent="0.3">
      <c r="A296" t="s">
        <v>13</v>
      </c>
      <c r="B296" s="1">
        <v>45869</v>
      </c>
      <c r="C296">
        <v>564021</v>
      </c>
      <c r="D296">
        <v>77.688999999999993</v>
      </c>
      <c r="E296" t="s">
        <v>6</v>
      </c>
      <c r="F296" t="s">
        <v>57</v>
      </c>
      <c r="G296" t="s">
        <v>8</v>
      </c>
    </row>
    <row r="297" spans="1:7" x14ac:dyDescent="0.3">
      <c r="A297" t="s">
        <v>13</v>
      </c>
      <c r="B297" s="1">
        <v>45869</v>
      </c>
      <c r="C297">
        <v>570002</v>
      </c>
      <c r="D297">
        <v>104.56100000000001</v>
      </c>
      <c r="E297" t="s">
        <v>6</v>
      </c>
      <c r="F297" t="s">
        <v>66</v>
      </c>
      <c r="G297" t="s">
        <v>8</v>
      </c>
    </row>
    <row r="298" spans="1:7" x14ac:dyDescent="0.3">
      <c r="A298" t="s">
        <v>13</v>
      </c>
      <c r="B298" s="1">
        <v>45869</v>
      </c>
      <c r="C298">
        <v>580002</v>
      </c>
      <c r="D298">
        <v>2532.5059999999999</v>
      </c>
      <c r="E298" t="s">
        <v>6</v>
      </c>
      <c r="F298" t="s">
        <v>64</v>
      </c>
      <c r="G298" t="s">
        <v>8</v>
      </c>
    </row>
    <row r="299" spans="1:7" x14ac:dyDescent="0.3">
      <c r="A299" t="s">
        <v>14</v>
      </c>
      <c r="B299" s="1">
        <v>45869</v>
      </c>
      <c r="C299">
        <v>210002</v>
      </c>
      <c r="D299">
        <v>-3141.54</v>
      </c>
      <c r="E299" t="s">
        <v>4</v>
      </c>
      <c r="F299" t="s">
        <v>42</v>
      </c>
      <c r="G299" t="s">
        <v>8</v>
      </c>
    </row>
    <row r="300" spans="1:7" x14ac:dyDescent="0.3">
      <c r="A300" t="s">
        <v>14</v>
      </c>
      <c r="B300" s="1">
        <v>45869</v>
      </c>
      <c r="C300">
        <v>220006</v>
      </c>
      <c r="D300">
        <v>67280.084000000003</v>
      </c>
      <c r="E300" t="s">
        <v>4</v>
      </c>
      <c r="F300" t="s">
        <v>42</v>
      </c>
      <c r="G300" t="s">
        <v>8</v>
      </c>
    </row>
    <row r="301" spans="1:7" x14ac:dyDescent="0.3">
      <c r="A301" t="s">
        <v>14</v>
      </c>
      <c r="B301" s="1">
        <v>45869</v>
      </c>
      <c r="C301">
        <v>220011</v>
      </c>
      <c r="D301">
        <v>-27457.185000000001</v>
      </c>
      <c r="E301" t="s">
        <v>4</v>
      </c>
      <c r="F301" t="s">
        <v>42</v>
      </c>
      <c r="G301" t="s">
        <v>8</v>
      </c>
    </row>
    <row r="302" spans="1:7" x14ac:dyDescent="0.3">
      <c r="A302" t="s">
        <v>14</v>
      </c>
      <c r="B302" s="1">
        <v>45869</v>
      </c>
      <c r="C302">
        <v>240002</v>
      </c>
      <c r="D302">
        <v>2679.5680000000002</v>
      </c>
      <c r="E302" t="s">
        <v>4</v>
      </c>
      <c r="F302" t="s">
        <v>43</v>
      </c>
      <c r="G302" t="s">
        <v>8</v>
      </c>
    </row>
    <row r="303" spans="1:7" x14ac:dyDescent="0.3">
      <c r="A303" t="s">
        <v>14</v>
      </c>
      <c r="B303" s="1">
        <v>45869</v>
      </c>
      <c r="C303">
        <v>240003</v>
      </c>
      <c r="D303">
        <v>-36.29</v>
      </c>
      <c r="E303" t="s">
        <v>4</v>
      </c>
      <c r="F303" t="s">
        <v>43</v>
      </c>
      <c r="G303" t="s">
        <v>8</v>
      </c>
    </row>
    <row r="304" spans="1:7" x14ac:dyDescent="0.3">
      <c r="A304" t="s">
        <v>14</v>
      </c>
      <c r="B304" s="1">
        <v>45869</v>
      </c>
      <c r="C304">
        <v>240009</v>
      </c>
      <c r="D304">
        <v>-5310.3639999999996</v>
      </c>
      <c r="E304" t="s">
        <v>4</v>
      </c>
      <c r="F304" t="s">
        <v>43</v>
      </c>
      <c r="G304" t="s">
        <v>8</v>
      </c>
    </row>
    <row r="305" spans="1:7" x14ac:dyDescent="0.3">
      <c r="A305" t="s">
        <v>14</v>
      </c>
      <c r="B305" s="1">
        <v>45869</v>
      </c>
      <c r="C305">
        <v>242003</v>
      </c>
      <c r="D305">
        <v>-282399.266</v>
      </c>
      <c r="E305" t="s">
        <v>4</v>
      </c>
      <c r="F305" t="s">
        <v>43</v>
      </c>
      <c r="G305" t="s">
        <v>8</v>
      </c>
    </row>
    <row r="306" spans="1:7" x14ac:dyDescent="0.3">
      <c r="A306" t="s">
        <v>14</v>
      </c>
      <c r="B306" s="1">
        <v>45869</v>
      </c>
      <c r="C306">
        <v>242011</v>
      </c>
      <c r="D306">
        <v>166.97800000000001</v>
      </c>
      <c r="E306" t="s">
        <v>4</v>
      </c>
      <c r="F306" t="s">
        <v>43</v>
      </c>
      <c r="G306" t="s">
        <v>8</v>
      </c>
    </row>
    <row r="307" spans="1:7" x14ac:dyDescent="0.3">
      <c r="A307" t="s">
        <v>14</v>
      </c>
      <c r="B307" s="1">
        <v>45869</v>
      </c>
      <c r="C307">
        <v>242012</v>
      </c>
      <c r="D307">
        <v>-12071.806</v>
      </c>
      <c r="E307" t="s">
        <v>4</v>
      </c>
      <c r="F307" t="s">
        <v>43</v>
      </c>
      <c r="G307" t="s">
        <v>8</v>
      </c>
    </row>
    <row r="308" spans="1:7" x14ac:dyDescent="0.3">
      <c r="A308" t="s">
        <v>14</v>
      </c>
      <c r="B308" s="1">
        <v>45869</v>
      </c>
      <c r="C308">
        <v>242013</v>
      </c>
      <c r="D308">
        <v>-9604.5769999999993</v>
      </c>
      <c r="E308" t="s">
        <v>4</v>
      </c>
      <c r="F308" t="s">
        <v>43</v>
      </c>
      <c r="G308" t="s">
        <v>8</v>
      </c>
    </row>
    <row r="309" spans="1:7" x14ac:dyDescent="0.3">
      <c r="A309" t="s">
        <v>14</v>
      </c>
      <c r="B309" s="1">
        <v>45869</v>
      </c>
      <c r="C309">
        <v>242014</v>
      </c>
      <c r="D309">
        <v>-25198.04</v>
      </c>
      <c r="E309" t="s">
        <v>4</v>
      </c>
      <c r="F309" t="s">
        <v>43</v>
      </c>
      <c r="G309" t="s">
        <v>8</v>
      </c>
    </row>
    <row r="310" spans="1:7" x14ac:dyDescent="0.3">
      <c r="A310" t="s">
        <v>14</v>
      </c>
      <c r="B310" s="1">
        <v>45869</v>
      </c>
      <c r="C310">
        <v>242027</v>
      </c>
      <c r="D310">
        <v>-13495.51</v>
      </c>
      <c r="E310" t="s">
        <v>4</v>
      </c>
      <c r="F310" t="s">
        <v>43</v>
      </c>
      <c r="G310" t="s">
        <v>8</v>
      </c>
    </row>
    <row r="311" spans="1:7" x14ac:dyDescent="0.3">
      <c r="A311" t="s">
        <v>14</v>
      </c>
      <c r="B311" s="1">
        <v>45869</v>
      </c>
      <c r="C311">
        <v>242041</v>
      </c>
      <c r="D311">
        <v>-5180.357</v>
      </c>
      <c r="E311" t="s">
        <v>4</v>
      </c>
      <c r="F311" t="s">
        <v>43</v>
      </c>
      <c r="G311" t="s">
        <v>8</v>
      </c>
    </row>
    <row r="312" spans="1:7" x14ac:dyDescent="0.3">
      <c r="A312" t="s">
        <v>14</v>
      </c>
      <c r="B312" s="1">
        <v>45869</v>
      </c>
      <c r="C312">
        <v>243002</v>
      </c>
      <c r="D312">
        <v>-9813.8189999999995</v>
      </c>
      <c r="E312" t="s">
        <v>4</v>
      </c>
      <c r="F312" t="s">
        <v>43</v>
      </c>
      <c r="G312" t="s">
        <v>8</v>
      </c>
    </row>
    <row r="313" spans="1:7" x14ac:dyDescent="0.3">
      <c r="A313" t="s">
        <v>14</v>
      </c>
      <c r="B313" s="1">
        <v>45869</v>
      </c>
      <c r="C313">
        <v>243010</v>
      </c>
      <c r="D313">
        <v>-844.44600000000003</v>
      </c>
      <c r="E313" t="s">
        <v>4</v>
      </c>
      <c r="F313" t="s">
        <v>43</v>
      </c>
      <c r="G313" t="s">
        <v>8</v>
      </c>
    </row>
    <row r="314" spans="1:7" x14ac:dyDescent="0.3">
      <c r="A314" t="s">
        <v>14</v>
      </c>
      <c r="B314" s="1">
        <v>45869</v>
      </c>
      <c r="C314">
        <v>245010</v>
      </c>
      <c r="D314">
        <v>-4096.1869999999999</v>
      </c>
      <c r="E314" t="s">
        <v>4</v>
      </c>
      <c r="F314" t="s">
        <v>44</v>
      </c>
      <c r="G314" t="s">
        <v>8</v>
      </c>
    </row>
    <row r="315" spans="1:7" x14ac:dyDescent="0.3">
      <c r="A315" t="s">
        <v>14</v>
      </c>
      <c r="B315" s="1">
        <v>45869</v>
      </c>
      <c r="C315">
        <v>245056</v>
      </c>
      <c r="D315">
        <v>-293.23500000000001</v>
      </c>
      <c r="E315" t="s">
        <v>4</v>
      </c>
      <c r="F315" t="s">
        <v>49</v>
      </c>
      <c r="G315" t="s">
        <v>8</v>
      </c>
    </row>
    <row r="316" spans="1:7" x14ac:dyDescent="0.3">
      <c r="A316" t="s">
        <v>14</v>
      </c>
      <c r="B316" s="1">
        <v>45869</v>
      </c>
      <c r="C316">
        <v>245062</v>
      </c>
      <c r="D316">
        <v>-860.53099999999995</v>
      </c>
      <c r="E316" t="s">
        <v>4</v>
      </c>
      <c r="F316" t="s">
        <v>43</v>
      </c>
      <c r="G316" t="s">
        <v>8</v>
      </c>
    </row>
    <row r="317" spans="1:7" x14ac:dyDescent="0.3">
      <c r="A317" t="s">
        <v>14</v>
      </c>
      <c r="B317" s="1">
        <v>45869</v>
      </c>
      <c r="C317">
        <v>250003</v>
      </c>
      <c r="D317">
        <v>-17341.036</v>
      </c>
      <c r="E317" t="s">
        <v>4</v>
      </c>
      <c r="F317" t="s">
        <v>45</v>
      </c>
      <c r="G317" t="s">
        <v>8</v>
      </c>
    </row>
    <row r="318" spans="1:7" x14ac:dyDescent="0.3">
      <c r="A318" t="s">
        <v>14</v>
      </c>
      <c r="B318" s="1">
        <v>45869</v>
      </c>
      <c r="C318">
        <v>251002</v>
      </c>
      <c r="D318">
        <v>-2956.41</v>
      </c>
      <c r="E318" t="s">
        <v>4</v>
      </c>
      <c r="F318" t="s">
        <v>45</v>
      </c>
      <c r="G318" t="s">
        <v>8</v>
      </c>
    </row>
    <row r="319" spans="1:7" x14ac:dyDescent="0.3">
      <c r="A319" t="s">
        <v>14</v>
      </c>
      <c r="B319" s="1">
        <v>45869</v>
      </c>
      <c r="C319">
        <v>251003</v>
      </c>
      <c r="D319">
        <v>-5231.174</v>
      </c>
      <c r="E319" t="s">
        <v>4</v>
      </c>
      <c r="F319" t="s">
        <v>45</v>
      </c>
      <c r="G319" t="s">
        <v>8</v>
      </c>
    </row>
    <row r="320" spans="1:7" x14ac:dyDescent="0.3">
      <c r="A320" t="s">
        <v>14</v>
      </c>
      <c r="B320" s="1">
        <v>45869</v>
      </c>
      <c r="C320">
        <v>257005</v>
      </c>
      <c r="D320">
        <v>14903.040999999999</v>
      </c>
      <c r="E320" t="s">
        <v>4</v>
      </c>
      <c r="F320" t="s">
        <v>45</v>
      </c>
      <c r="G320" t="s">
        <v>8</v>
      </c>
    </row>
    <row r="321" spans="1:7" x14ac:dyDescent="0.3">
      <c r="A321" t="s">
        <v>14</v>
      </c>
      <c r="B321" s="1">
        <v>45869</v>
      </c>
      <c r="C321">
        <v>257008</v>
      </c>
      <c r="D321">
        <v>-911.41</v>
      </c>
      <c r="E321" t="s">
        <v>4</v>
      </c>
      <c r="F321" t="s">
        <v>45</v>
      </c>
      <c r="G321" t="s">
        <v>8</v>
      </c>
    </row>
    <row r="322" spans="1:7" x14ac:dyDescent="0.3">
      <c r="A322" t="s">
        <v>14</v>
      </c>
      <c r="B322" s="1">
        <v>45869</v>
      </c>
      <c r="C322">
        <v>257014</v>
      </c>
      <c r="D322">
        <v>4833.8980000000001</v>
      </c>
      <c r="E322" t="s">
        <v>4</v>
      </c>
      <c r="F322" t="s">
        <v>45</v>
      </c>
      <c r="G322" t="s">
        <v>8</v>
      </c>
    </row>
    <row r="323" spans="1:7" x14ac:dyDescent="0.3">
      <c r="A323" t="s">
        <v>14</v>
      </c>
      <c r="B323" s="1">
        <v>45869</v>
      </c>
      <c r="C323">
        <v>257030</v>
      </c>
      <c r="D323">
        <v>-26997.532999999999</v>
      </c>
      <c r="E323" t="s">
        <v>4</v>
      </c>
      <c r="F323" t="s">
        <v>45</v>
      </c>
      <c r="G323" t="s">
        <v>8</v>
      </c>
    </row>
    <row r="324" spans="1:7" x14ac:dyDescent="0.3">
      <c r="A324" t="s">
        <v>14</v>
      </c>
      <c r="B324" s="1">
        <v>45869</v>
      </c>
      <c r="C324">
        <v>260004</v>
      </c>
      <c r="D324">
        <v>-6984.2539999999999</v>
      </c>
      <c r="E324" t="s">
        <v>4</v>
      </c>
      <c r="F324" t="s">
        <v>45</v>
      </c>
      <c r="G324" t="s">
        <v>8</v>
      </c>
    </row>
    <row r="325" spans="1:7" x14ac:dyDescent="0.3">
      <c r="A325" t="s">
        <v>14</v>
      </c>
      <c r="B325" s="1">
        <v>45869</v>
      </c>
      <c r="C325">
        <v>300004</v>
      </c>
      <c r="D325">
        <v>2043.3969999999999</v>
      </c>
      <c r="E325" t="s">
        <v>4</v>
      </c>
      <c r="F325" t="s">
        <v>65</v>
      </c>
      <c r="G325" t="s">
        <v>8</v>
      </c>
    </row>
    <row r="326" spans="1:7" x14ac:dyDescent="0.3">
      <c r="A326" t="s">
        <v>14</v>
      </c>
      <c r="B326" s="1">
        <v>45869</v>
      </c>
      <c r="C326">
        <v>300013</v>
      </c>
      <c r="D326">
        <v>8181.5129999999999</v>
      </c>
      <c r="E326" t="s">
        <v>4</v>
      </c>
      <c r="F326" t="s">
        <v>65</v>
      </c>
      <c r="G326" t="s">
        <v>8</v>
      </c>
    </row>
    <row r="327" spans="1:7" x14ac:dyDescent="0.3">
      <c r="A327" t="s">
        <v>14</v>
      </c>
      <c r="B327" s="1">
        <v>45869</v>
      </c>
      <c r="C327">
        <v>300014</v>
      </c>
      <c r="D327">
        <v>926.86699999999996</v>
      </c>
      <c r="E327" t="s">
        <v>4</v>
      </c>
      <c r="F327" t="s">
        <v>65</v>
      </c>
      <c r="G327" t="s">
        <v>8</v>
      </c>
    </row>
    <row r="328" spans="1:7" x14ac:dyDescent="0.3">
      <c r="A328" t="s">
        <v>14</v>
      </c>
      <c r="B328" s="1">
        <v>45869</v>
      </c>
      <c r="C328">
        <v>300504</v>
      </c>
      <c r="D328">
        <v>-2043.3969999999999</v>
      </c>
      <c r="E328" t="s">
        <v>4</v>
      </c>
      <c r="F328" t="s">
        <v>65</v>
      </c>
      <c r="G328" t="s">
        <v>8</v>
      </c>
    </row>
    <row r="329" spans="1:7" x14ac:dyDescent="0.3">
      <c r="A329" t="s">
        <v>14</v>
      </c>
      <c r="B329" s="1">
        <v>45869</v>
      </c>
      <c r="C329">
        <v>300513</v>
      </c>
      <c r="D329">
        <v>-8062.3530000000001</v>
      </c>
      <c r="E329" t="s">
        <v>4</v>
      </c>
      <c r="F329" t="s">
        <v>65</v>
      </c>
      <c r="G329" t="s">
        <v>8</v>
      </c>
    </row>
    <row r="330" spans="1:7" x14ac:dyDescent="0.3">
      <c r="A330" t="s">
        <v>14</v>
      </c>
      <c r="B330" s="1">
        <v>45869</v>
      </c>
      <c r="C330">
        <v>300514</v>
      </c>
      <c r="D330">
        <v>-790.08199999999999</v>
      </c>
      <c r="E330" t="s">
        <v>4</v>
      </c>
      <c r="F330" t="s">
        <v>65</v>
      </c>
      <c r="G330" t="s">
        <v>8</v>
      </c>
    </row>
    <row r="331" spans="1:7" x14ac:dyDescent="0.3">
      <c r="A331" t="s">
        <v>14</v>
      </c>
      <c r="B331" s="1">
        <v>45869</v>
      </c>
      <c r="C331">
        <v>301004</v>
      </c>
      <c r="D331">
        <v>4094.3229999999999</v>
      </c>
      <c r="E331" t="s">
        <v>4</v>
      </c>
      <c r="F331" t="s">
        <v>65</v>
      </c>
      <c r="G331" t="s">
        <v>8</v>
      </c>
    </row>
    <row r="332" spans="1:7" x14ac:dyDescent="0.3">
      <c r="A332" t="s">
        <v>14</v>
      </c>
      <c r="B332" s="1">
        <v>45869</v>
      </c>
      <c r="C332">
        <v>301504</v>
      </c>
      <c r="D332">
        <v>-4007.415</v>
      </c>
      <c r="E332" t="s">
        <v>4</v>
      </c>
      <c r="F332" t="s">
        <v>65</v>
      </c>
      <c r="G332" t="s">
        <v>8</v>
      </c>
    </row>
    <row r="333" spans="1:7" x14ac:dyDescent="0.3">
      <c r="A333" t="s">
        <v>14</v>
      </c>
      <c r="B333" s="1">
        <v>45869</v>
      </c>
      <c r="C333">
        <v>320002</v>
      </c>
      <c r="D333">
        <v>99326.807000000001</v>
      </c>
      <c r="E333" t="s">
        <v>4</v>
      </c>
      <c r="F333" t="s">
        <v>46</v>
      </c>
      <c r="G333" t="s">
        <v>8</v>
      </c>
    </row>
    <row r="334" spans="1:7" x14ac:dyDescent="0.3">
      <c r="A334" t="s">
        <v>14</v>
      </c>
      <c r="B334" s="1">
        <v>45869</v>
      </c>
      <c r="C334">
        <v>320003</v>
      </c>
      <c r="D334">
        <v>169807.34599999999</v>
      </c>
      <c r="E334" t="s">
        <v>4</v>
      </c>
      <c r="F334" t="s">
        <v>46</v>
      </c>
      <c r="G334" t="s">
        <v>8</v>
      </c>
    </row>
    <row r="335" spans="1:7" x14ac:dyDescent="0.3">
      <c r="A335" t="s">
        <v>14</v>
      </c>
      <c r="B335" s="1">
        <v>45869</v>
      </c>
      <c r="C335">
        <v>320004</v>
      </c>
      <c r="D335">
        <v>1343.8630000000001</v>
      </c>
      <c r="E335" t="s">
        <v>4</v>
      </c>
      <c r="F335" t="s">
        <v>46</v>
      </c>
      <c r="G335" t="s">
        <v>8</v>
      </c>
    </row>
    <row r="336" spans="1:7" x14ac:dyDescent="0.3">
      <c r="A336" t="s">
        <v>14</v>
      </c>
      <c r="B336" s="1">
        <v>45869</v>
      </c>
      <c r="C336">
        <v>320023</v>
      </c>
      <c r="D336">
        <v>-58331.233</v>
      </c>
      <c r="E336" t="s">
        <v>4</v>
      </c>
      <c r="F336" t="s">
        <v>46</v>
      </c>
      <c r="G336" t="s">
        <v>8</v>
      </c>
    </row>
    <row r="337" spans="1:7" x14ac:dyDescent="0.3">
      <c r="A337" t="s">
        <v>14</v>
      </c>
      <c r="B337" s="1">
        <v>45869</v>
      </c>
      <c r="C337">
        <v>320025</v>
      </c>
      <c r="D337">
        <v>18679.93</v>
      </c>
      <c r="E337" t="s">
        <v>4</v>
      </c>
      <c r="F337" t="s">
        <v>46</v>
      </c>
      <c r="G337" t="s">
        <v>8</v>
      </c>
    </row>
    <row r="338" spans="1:7" x14ac:dyDescent="0.3">
      <c r="A338" t="s">
        <v>14</v>
      </c>
      <c r="B338" s="1">
        <v>45869</v>
      </c>
      <c r="C338">
        <v>321002</v>
      </c>
      <c r="D338">
        <v>3335.8490000000002</v>
      </c>
      <c r="E338" t="s">
        <v>4</v>
      </c>
      <c r="F338" t="s">
        <v>46</v>
      </c>
      <c r="G338" t="s">
        <v>8</v>
      </c>
    </row>
    <row r="339" spans="1:7" x14ac:dyDescent="0.3">
      <c r="A339" t="s">
        <v>14</v>
      </c>
      <c r="B339" s="1">
        <v>45869</v>
      </c>
      <c r="C339">
        <v>321004</v>
      </c>
      <c r="D339">
        <v>861.62300000000005</v>
      </c>
      <c r="E339" t="s">
        <v>4</v>
      </c>
      <c r="F339" t="s">
        <v>46</v>
      </c>
      <c r="G339" t="s">
        <v>8</v>
      </c>
    </row>
    <row r="340" spans="1:7" x14ac:dyDescent="0.3">
      <c r="A340" t="s">
        <v>14</v>
      </c>
      <c r="B340" s="1">
        <v>45869</v>
      </c>
      <c r="C340">
        <v>321012</v>
      </c>
      <c r="D340">
        <v>6110.3469999999998</v>
      </c>
      <c r="E340" t="s">
        <v>4</v>
      </c>
      <c r="F340" t="s">
        <v>46</v>
      </c>
      <c r="G340" t="s">
        <v>8</v>
      </c>
    </row>
    <row r="341" spans="1:7" x14ac:dyDescent="0.3">
      <c r="A341" t="s">
        <v>14</v>
      </c>
      <c r="B341" s="1">
        <v>45869</v>
      </c>
      <c r="C341">
        <v>321014</v>
      </c>
      <c r="D341">
        <v>6778.6390000000001</v>
      </c>
      <c r="E341" t="s">
        <v>4</v>
      </c>
      <c r="F341" t="s">
        <v>46</v>
      </c>
      <c r="G341" t="s">
        <v>8</v>
      </c>
    </row>
    <row r="342" spans="1:7" x14ac:dyDescent="0.3">
      <c r="A342" t="s">
        <v>14</v>
      </c>
      <c r="B342" s="1">
        <v>45869</v>
      </c>
      <c r="C342">
        <v>321025</v>
      </c>
      <c r="D342">
        <v>3508.4070000000002</v>
      </c>
      <c r="E342" t="s">
        <v>4</v>
      </c>
      <c r="F342" t="s">
        <v>46</v>
      </c>
      <c r="G342" t="s">
        <v>8</v>
      </c>
    </row>
    <row r="343" spans="1:7" x14ac:dyDescent="0.3">
      <c r="A343" t="s">
        <v>14</v>
      </c>
      <c r="B343" s="1">
        <v>45869</v>
      </c>
      <c r="C343">
        <v>321028</v>
      </c>
      <c r="D343">
        <v>684.38099999999997</v>
      </c>
      <c r="E343" t="s">
        <v>4</v>
      </c>
      <c r="F343" t="s">
        <v>46</v>
      </c>
      <c r="G343" t="s">
        <v>8</v>
      </c>
    </row>
    <row r="344" spans="1:7" x14ac:dyDescent="0.3">
      <c r="A344" t="s">
        <v>14</v>
      </c>
      <c r="B344" s="1">
        <v>45869</v>
      </c>
      <c r="C344">
        <v>321029</v>
      </c>
      <c r="D344">
        <v>726.23900000000003</v>
      </c>
      <c r="E344" t="s">
        <v>4</v>
      </c>
      <c r="F344" t="s">
        <v>46</v>
      </c>
      <c r="G344" t="s">
        <v>8</v>
      </c>
    </row>
    <row r="345" spans="1:7" x14ac:dyDescent="0.3">
      <c r="A345" t="s">
        <v>14</v>
      </c>
      <c r="B345" s="1">
        <v>45869</v>
      </c>
      <c r="C345">
        <v>330097</v>
      </c>
      <c r="D345">
        <v>-471.23099999999999</v>
      </c>
      <c r="E345" t="s">
        <v>4</v>
      </c>
      <c r="F345" t="s">
        <v>43</v>
      </c>
      <c r="G345" t="s">
        <v>8</v>
      </c>
    </row>
    <row r="346" spans="1:7" x14ac:dyDescent="0.3">
      <c r="A346" t="s">
        <v>14</v>
      </c>
      <c r="B346" s="1">
        <v>45869</v>
      </c>
      <c r="C346">
        <v>330149</v>
      </c>
      <c r="D346">
        <v>1304.9000000000001</v>
      </c>
      <c r="E346" t="s">
        <v>4</v>
      </c>
      <c r="F346" t="s">
        <v>43</v>
      </c>
      <c r="G346" t="s">
        <v>8</v>
      </c>
    </row>
    <row r="347" spans="1:7" x14ac:dyDescent="0.3">
      <c r="A347" t="s">
        <v>14</v>
      </c>
      <c r="B347" s="1">
        <v>45869</v>
      </c>
      <c r="C347">
        <v>330150</v>
      </c>
      <c r="D347">
        <v>-13642.137000000001</v>
      </c>
      <c r="E347" t="s">
        <v>4</v>
      </c>
      <c r="F347" t="s">
        <v>43</v>
      </c>
      <c r="G347" t="s">
        <v>8</v>
      </c>
    </row>
    <row r="348" spans="1:7" x14ac:dyDescent="0.3">
      <c r="A348" t="s">
        <v>14</v>
      </c>
      <c r="B348" s="1">
        <v>45869</v>
      </c>
      <c r="C348">
        <v>340057</v>
      </c>
      <c r="D348">
        <v>164830.53400000001</v>
      </c>
      <c r="E348" t="s">
        <v>4</v>
      </c>
      <c r="F348" t="s">
        <v>47</v>
      </c>
      <c r="G348" t="s">
        <v>8</v>
      </c>
    </row>
    <row r="349" spans="1:7" x14ac:dyDescent="0.3">
      <c r="A349" t="s">
        <v>14</v>
      </c>
      <c r="B349" s="1">
        <v>45869</v>
      </c>
      <c r="C349">
        <v>350002</v>
      </c>
      <c r="D349">
        <v>471.23099999999999</v>
      </c>
      <c r="E349" t="s">
        <v>4</v>
      </c>
      <c r="F349" t="s">
        <v>49</v>
      </c>
      <c r="G349" t="s">
        <v>8</v>
      </c>
    </row>
    <row r="350" spans="1:7" x14ac:dyDescent="0.3">
      <c r="A350" t="s">
        <v>14</v>
      </c>
      <c r="B350" s="1">
        <v>45869</v>
      </c>
      <c r="C350">
        <v>350003</v>
      </c>
      <c r="D350">
        <v>889.17899999999997</v>
      </c>
      <c r="E350" t="s">
        <v>4</v>
      </c>
      <c r="F350" t="s">
        <v>49</v>
      </c>
      <c r="G350" t="s">
        <v>8</v>
      </c>
    </row>
    <row r="351" spans="1:7" x14ac:dyDescent="0.3">
      <c r="A351" t="s">
        <v>14</v>
      </c>
      <c r="B351" s="1">
        <v>45869</v>
      </c>
      <c r="C351">
        <v>350031</v>
      </c>
      <c r="D351">
        <v>5310.3639999999996</v>
      </c>
      <c r="E351" t="s">
        <v>4</v>
      </c>
      <c r="F351" t="s">
        <v>43</v>
      </c>
      <c r="G351" t="s">
        <v>8</v>
      </c>
    </row>
    <row r="352" spans="1:7" x14ac:dyDescent="0.3">
      <c r="A352" t="s">
        <v>14</v>
      </c>
      <c r="B352" s="1">
        <v>45869</v>
      </c>
      <c r="C352">
        <v>350034</v>
      </c>
      <c r="D352">
        <v>293.23500000000001</v>
      </c>
      <c r="E352" t="s">
        <v>4</v>
      </c>
      <c r="F352" t="s">
        <v>49</v>
      </c>
      <c r="G352" t="s">
        <v>8</v>
      </c>
    </row>
    <row r="353" spans="1:7" x14ac:dyDescent="0.3">
      <c r="A353" t="s">
        <v>14</v>
      </c>
      <c r="B353" s="1">
        <v>45869</v>
      </c>
      <c r="C353">
        <v>352002</v>
      </c>
      <c r="D353">
        <v>1321.99</v>
      </c>
      <c r="E353" t="s">
        <v>4</v>
      </c>
      <c r="F353" t="s">
        <v>48</v>
      </c>
      <c r="G353" t="s">
        <v>8</v>
      </c>
    </row>
    <row r="354" spans="1:7" x14ac:dyDescent="0.3">
      <c r="A354" t="s">
        <v>14</v>
      </c>
      <c r="B354" s="1">
        <v>45869</v>
      </c>
      <c r="C354">
        <v>354014</v>
      </c>
      <c r="D354">
        <v>8676.6820000000007</v>
      </c>
      <c r="E354" t="s">
        <v>4</v>
      </c>
      <c r="F354" t="s">
        <v>46</v>
      </c>
      <c r="G354" t="s">
        <v>8</v>
      </c>
    </row>
    <row r="355" spans="1:7" x14ac:dyDescent="0.3">
      <c r="A355" t="s">
        <v>14</v>
      </c>
      <c r="B355" s="1">
        <v>45869</v>
      </c>
      <c r="C355">
        <v>354015</v>
      </c>
      <c r="D355">
        <v>7079.4549999999999</v>
      </c>
      <c r="E355" t="s">
        <v>4</v>
      </c>
      <c r="F355" t="s">
        <v>46</v>
      </c>
      <c r="G355" t="s">
        <v>8</v>
      </c>
    </row>
    <row r="356" spans="1:7" x14ac:dyDescent="0.3">
      <c r="A356" t="s">
        <v>14</v>
      </c>
      <c r="B356" s="1">
        <v>45869</v>
      </c>
      <c r="C356">
        <v>355002</v>
      </c>
      <c r="D356">
        <v>38.06</v>
      </c>
      <c r="E356" t="s">
        <v>4</v>
      </c>
      <c r="F356" t="s">
        <v>49</v>
      </c>
      <c r="G356" t="s">
        <v>8</v>
      </c>
    </row>
    <row r="357" spans="1:7" x14ac:dyDescent="0.3">
      <c r="A357" t="s">
        <v>14</v>
      </c>
      <c r="B357" s="1">
        <v>45869</v>
      </c>
      <c r="C357">
        <v>355014</v>
      </c>
      <c r="D357">
        <v>2349.8719999999998</v>
      </c>
      <c r="E357" t="s">
        <v>4</v>
      </c>
      <c r="F357" t="s">
        <v>49</v>
      </c>
      <c r="G357" t="s">
        <v>8</v>
      </c>
    </row>
    <row r="358" spans="1:7" x14ac:dyDescent="0.3">
      <c r="A358" t="s">
        <v>14</v>
      </c>
      <c r="B358" s="1">
        <v>45869</v>
      </c>
      <c r="C358">
        <v>360022</v>
      </c>
      <c r="D358">
        <v>3667.308</v>
      </c>
      <c r="E358" t="s">
        <v>4</v>
      </c>
      <c r="F358" t="s">
        <v>58</v>
      </c>
      <c r="G358" t="s">
        <v>8</v>
      </c>
    </row>
    <row r="359" spans="1:7" x14ac:dyDescent="0.3">
      <c r="A359" t="s">
        <v>14</v>
      </c>
      <c r="B359" s="1">
        <v>45869</v>
      </c>
      <c r="C359">
        <v>360026</v>
      </c>
      <c r="D359">
        <v>3667.308</v>
      </c>
      <c r="E359" t="s">
        <v>4</v>
      </c>
      <c r="F359" t="s">
        <v>58</v>
      </c>
      <c r="G359" t="s">
        <v>8</v>
      </c>
    </row>
    <row r="360" spans="1:7" x14ac:dyDescent="0.3">
      <c r="A360" t="s">
        <v>14</v>
      </c>
      <c r="B360" s="1">
        <v>45869</v>
      </c>
      <c r="C360">
        <v>360028</v>
      </c>
      <c r="D360">
        <v>2750.299</v>
      </c>
      <c r="E360" t="s">
        <v>4</v>
      </c>
      <c r="F360" t="s">
        <v>58</v>
      </c>
      <c r="G360" t="s">
        <v>8</v>
      </c>
    </row>
    <row r="361" spans="1:7" x14ac:dyDescent="0.3">
      <c r="A361" t="s">
        <v>14</v>
      </c>
      <c r="B361" s="1">
        <v>45869</v>
      </c>
      <c r="C361">
        <v>372004</v>
      </c>
      <c r="D361">
        <v>746.64700000000005</v>
      </c>
      <c r="E361" t="s">
        <v>4</v>
      </c>
      <c r="F361" t="s">
        <v>45</v>
      </c>
      <c r="G361" t="s">
        <v>8</v>
      </c>
    </row>
    <row r="362" spans="1:7" x14ac:dyDescent="0.3">
      <c r="A362" t="s">
        <v>14</v>
      </c>
      <c r="B362" s="1">
        <v>45869</v>
      </c>
      <c r="C362">
        <v>400002</v>
      </c>
      <c r="D362">
        <v>-6559.9049999999997</v>
      </c>
      <c r="E362" t="s">
        <v>6</v>
      </c>
      <c r="F362" t="s">
        <v>50</v>
      </c>
      <c r="G362" t="s">
        <v>8</v>
      </c>
    </row>
    <row r="363" spans="1:7" x14ac:dyDescent="0.3">
      <c r="A363" t="s">
        <v>14</v>
      </c>
      <c r="B363" s="1">
        <v>45869</v>
      </c>
      <c r="C363">
        <v>400004</v>
      </c>
      <c r="D363">
        <v>-88123.097999999998</v>
      </c>
      <c r="E363" t="s">
        <v>6</v>
      </c>
      <c r="F363" t="s">
        <v>50</v>
      </c>
      <c r="G363" t="s">
        <v>8</v>
      </c>
    </row>
    <row r="364" spans="1:7" x14ac:dyDescent="0.3">
      <c r="A364" t="s">
        <v>14</v>
      </c>
      <c r="B364" s="1">
        <v>45869</v>
      </c>
      <c r="C364">
        <v>400008</v>
      </c>
      <c r="D364">
        <v>-726.11199999999997</v>
      </c>
      <c r="E364" t="s">
        <v>6</v>
      </c>
      <c r="F364" t="s">
        <v>50</v>
      </c>
      <c r="G364" t="s">
        <v>8</v>
      </c>
    </row>
    <row r="365" spans="1:7" x14ac:dyDescent="0.3">
      <c r="A365" t="s">
        <v>14</v>
      </c>
      <c r="B365" s="1">
        <v>45869</v>
      </c>
      <c r="C365">
        <v>410002</v>
      </c>
      <c r="D365">
        <v>-3358.4259999999999</v>
      </c>
      <c r="E365" t="s">
        <v>6</v>
      </c>
      <c r="F365" t="s">
        <v>51</v>
      </c>
      <c r="G365" t="s">
        <v>8</v>
      </c>
    </row>
    <row r="366" spans="1:7" x14ac:dyDescent="0.3">
      <c r="A366" t="s">
        <v>14</v>
      </c>
      <c r="B366" s="1">
        <v>45869</v>
      </c>
      <c r="C366">
        <v>410005</v>
      </c>
      <c r="D366">
        <v>-5197.1909999999998</v>
      </c>
      <c r="E366" t="s">
        <v>6</v>
      </c>
      <c r="F366" t="s">
        <v>51</v>
      </c>
      <c r="G366" t="s">
        <v>8</v>
      </c>
    </row>
    <row r="367" spans="1:7" x14ac:dyDescent="0.3">
      <c r="A367" t="s">
        <v>14</v>
      </c>
      <c r="B367" s="1">
        <v>45869</v>
      </c>
      <c r="C367">
        <v>410009</v>
      </c>
      <c r="D367">
        <v>-4271.3609999999999</v>
      </c>
      <c r="E367" t="s">
        <v>6</v>
      </c>
      <c r="F367" t="s">
        <v>51</v>
      </c>
      <c r="G367" t="s">
        <v>8</v>
      </c>
    </row>
    <row r="368" spans="1:7" x14ac:dyDescent="0.3">
      <c r="A368" t="s">
        <v>14</v>
      </c>
      <c r="B368" s="1">
        <v>45869</v>
      </c>
      <c r="C368">
        <v>410032</v>
      </c>
      <c r="D368">
        <v>-2124.42</v>
      </c>
      <c r="E368" t="s">
        <v>6</v>
      </c>
      <c r="F368" t="s">
        <v>51</v>
      </c>
      <c r="G368" t="s">
        <v>8</v>
      </c>
    </row>
    <row r="369" spans="1:7" x14ac:dyDescent="0.3">
      <c r="A369" t="s">
        <v>14</v>
      </c>
      <c r="B369" s="1">
        <v>45869</v>
      </c>
      <c r="C369">
        <v>410036</v>
      </c>
      <c r="D369">
        <v>-3881.8960000000002</v>
      </c>
      <c r="E369" t="s">
        <v>6</v>
      </c>
      <c r="F369" t="s">
        <v>51</v>
      </c>
      <c r="G369" t="s">
        <v>8</v>
      </c>
    </row>
    <row r="370" spans="1:7" x14ac:dyDescent="0.3">
      <c r="A370" t="s">
        <v>14</v>
      </c>
      <c r="B370" s="1">
        <v>45869</v>
      </c>
      <c r="C370">
        <v>410037</v>
      </c>
      <c r="D370">
        <v>-2895.085</v>
      </c>
      <c r="E370" t="s">
        <v>6</v>
      </c>
      <c r="F370" t="s">
        <v>51</v>
      </c>
      <c r="G370" t="s">
        <v>8</v>
      </c>
    </row>
    <row r="371" spans="1:7" x14ac:dyDescent="0.3">
      <c r="A371" t="s">
        <v>14</v>
      </c>
      <c r="B371" s="1">
        <v>45869</v>
      </c>
      <c r="C371">
        <v>415002</v>
      </c>
      <c r="D371">
        <v>-28306.414000000001</v>
      </c>
      <c r="E371" t="s">
        <v>6</v>
      </c>
      <c r="F371" t="s">
        <v>50</v>
      </c>
      <c r="G371" t="s">
        <v>8</v>
      </c>
    </row>
    <row r="372" spans="1:7" x14ac:dyDescent="0.3">
      <c r="A372" t="s">
        <v>14</v>
      </c>
      <c r="B372" s="1">
        <v>45869</v>
      </c>
      <c r="C372">
        <v>415004</v>
      </c>
      <c r="D372">
        <v>-97930.106</v>
      </c>
      <c r="E372" t="s">
        <v>6</v>
      </c>
      <c r="F372" t="s">
        <v>50</v>
      </c>
      <c r="G372" t="s">
        <v>8</v>
      </c>
    </row>
    <row r="373" spans="1:7" x14ac:dyDescent="0.3">
      <c r="A373" t="s">
        <v>14</v>
      </c>
      <c r="B373" s="1">
        <v>45869</v>
      </c>
      <c r="C373">
        <v>421002</v>
      </c>
      <c r="D373">
        <v>-1606.586</v>
      </c>
      <c r="E373" t="s">
        <v>6</v>
      </c>
      <c r="F373" t="s">
        <v>52</v>
      </c>
      <c r="G373" t="s">
        <v>8</v>
      </c>
    </row>
    <row r="374" spans="1:7" x14ac:dyDescent="0.3">
      <c r="A374" t="s">
        <v>14</v>
      </c>
      <c r="B374" s="1">
        <v>45869</v>
      </c>
      <c r="C374">
        <v>421003</v>
      </c>
      <c r="D374">
        <v>-9704.9689999999991</v>
      </c>
      <c r="E374" t="s">
        <v>6</v>
      </c>
      <c r="F374" t="s">
        <v>52</v>
      </c>
      <c r="G374" t="s">
        <v>8</v>
      </c>
    </row>
    <row r="375" spans="1:7" x14ac:dyDescent="0.3">
      <c r="A375" t="s">
        <v>14</v>
      </c>
      <c r="B375" s="1">
        <v>45869</v>
      </c>
      <c r="C375">
        <v>421007</v>
      </c>
      <c r="D375">
        <v>-2048.0030000000002</v>
      </c>
      <c r="E375" t="s">
        <v>6</v>
      </c>
      <c r="F375" t="s">
        <v>52</v>
      </c>
      <c r="G375" t="s">
        <v>8</v>
      </c>
    </row>
    <row r="376" spans="1:7" x14ac:dyDescent="0.3">
      <c r="A376" t="s">
        <v>14</v>
      </c>
      <c r="B376" s="1">
        <v>45869</v>
      </c>
      <c r="C376">
        <v>510002</v>
      </c>
      <c r="D376">
        <v>30535.965</v>
      </c>
      <c r="E376" t="s">
        <v>6</v>
      </c>
      <c r="F376" t="s">
        <v>53</v>
      </c>
      <c r="G376" t="s">
        <v>8</v>
      </c>
    </row>
    <row r="377" spans="1:7" x14ac:dyDescent="0.3">
      <c r="A377" t="s">
        <v>14</v>
      </c>
      <c r="B377" s="1">
        <v>45869</v>
      </c>
      <c r="C377">
        <v>510005</v>
      </c>
      <c r="D377">
        <v>466.61200000000002</v>
      </c>
      <c r="E377" t="s">
        <v>6</v>
      </c>
      <c r="F377" t="s">
        <v>53</v>
      </c>
      <c r="G377" t="s">
        <v>8</v>
      </c>
    </row>
    <row r="378" spans="1:7" x14ac:dyDescent="0.3">
      <c r="A378" t="s">
        <v>14</v>
      </c>
      <c r="B378" s="1">
        <v>45869</v>
      </c>
      <c r="C378">
        <v>510007</v>
      </c>
      <c r="D378">
        <v>-1135.9880000000001</v>
      </c>
      <c r="E378" t="s">
        <v>6</v>
      </c>
      <c r="F378" t="s">
        <v>53</v>
      </c>
      <c r="G378" t="s">
        <v>8</v>
      </c>
    </row>
    <row r="379" spans="1:7" x14ac:dyDescent="0.3">
      <c r="A379" t="s">
        <v>14</v>
      </c>
      <c r="B379" s="1">
        <v>45869</v>
      </c>
      <c r="C379">
        <v>510015</v>
      </c>
      <c r="D379">
        <v>6019.4930000000004</v>
      </c>
      <c r="E379" t="s">
        <v>6</v>
      </c>
      <c r="F379" t="s">
        <v>53</v>
      </c>
      <c r="G379" t="s">
        <v>8</v>
      </c>
    </row>
    <row r="380" spans="1:7" x14ac:dyDescent="0.3">
      <c r="A380" t="s">
        <v>14</v>
      </c>
      <c r="B380" s="1">
        <v>45869</v>
      </c>
      <c r="C380">
        <v>510062</v>
      </c>
      <c r="D380">
        <v>1006.021</v>
      </c>
      <c r="E380" t="s">
        <v>6</v>
      </c>
      <c r="F380" t="s">
        <v>53</v>
      </c>
      <c r="G380" t="s">
        <v>8</v>
      </c>
    </row>
    <row r="381" spans="1:7" x14ac:dyDescent="0.3">
      <c r="A381" t="s">
        <v>14</v>
      </c>
      <c r="B381" s="1">
        <v>45869</v>
      </c>
      <c r="C381">
        <v>520020</v>
      </c>
      <c r="D381">
        <v>14.079000000000001</v>
      </c>
      <c r="E381" t="s">
        <v>6</v>
      </c>
      <c r="F381" t="s">
        <v>53</v>
      </c>
      <c r="G381" t="s">
        <v>8</v>
      </c>
    </row>
    <row r="382" spans="1:7" x14ac:dyDescent="0.3">
      <c r="A382" t="s">
        <v>14</v>
      </c>
      <c r="B382" s="1">
        <v>45869</v>
      </c>
      <c r="C382">
        <v>530012</v>
      </c>
      <c r="D382">
        <v>-10017.852999999999</v>
      </c>
      <c r="E382" t="s">
        <v>6</v>
      </c>
      <c r="F382" t="s">
        <v>53</v>
      </c>
      <c r="G382" t="s">
        <v>8</v>
      </c>
    </row>
    <row r="383" spans="1:7" x14ac:dyDescent="0.3">
      <c r="A383" t="s">
        <v>14</v>
      </c>
      <c r="B383" s="1">
        <v>45869</v>
      </c>
      <c r="C383">
        <v>541009</v>
      </c>
      <c r="D383">
        <v>236.126</v>
      </c>
      <c r="E383" t="s">
        <v>6</v>
      </c>
      <c r="F383" t="s">
        <v>61</v>
      </c>
      <c r="G383" t="s">
        <v>8</v>
      </c>
    </row>
    <row r="384" spans="1:7" x14ac:dyDescent="0.3">
      <c r="A384" t="s">
        <v>14</v>
      </c>
      <c r="B384" s="1">
        <v>45869</v>
      </c>
      <c r="C384">
        <v>541010</v>
      </c>
      <c r="D384">
        <v>746.94299999999998</v>
      </c>
      <c r="E384" t="s">
        <v>6</v>
      </c>
      <c r="F384" t="s">
        <v>61</v>
      </c>
      <c r="G384" t="s">
        <v>8</v>
      </c>
    </row>
    <row r="385" spans="1:7" x14ac:dyDescent="0.3">
      <c r="A385" t="s">
        <v>14</v>
      </c>
      <c r="B385" s="1">
        <v>45869</v>
      </c>
      <c r="C385">
        <v>544006</v>
      </c>
      <c r="D385">
        <v>-5419.009</v>
      </c>
      <c r="E385" t="s">
        <v>6</v>
      </c>
      <c r="F385" t="s">
        <v>61</v>
      </c>
      <c r="G385" t="s">
        <v>8</v>
      </c>
    </row>
    <row r="386" spans="1:7" x14ac:dyDescent="0.3">
      <c r="A386" t="s">
        <v>14</v>
      </c>
      <c r="B386" s="1">
        <v>45869</v>
      </c>
      <c r="C386">
        <v>546002</v>
      </c>
      <c r="D386">
        <v>163726.81099999999</v>
      </c>
      <c r="E386" t="s">
        <v>6</v>
      </c>
      <c r="F386" t="s">
        <v>51</v>
      </c>
      <c r="G386" t="s">
        <v>8</v>
      </c>
    </row>
    <row r="387" spans="1:7" x14ac:dyDescent="0.3">
      <c r="A387" t="s">
        <v>14</v>
      </c>
      <c r="B387" s="1">
        <v>45869</v>
      </c>
      <c r="C387">
        <v>546008</v>
      </c>
      <c r="D387">
        <v>3512.5509999999999</v>
      </c>
      <c r="E387" t="s">
        <v>6</v>
      </c>
      <c r="F387" t="s">
        <v>51</v>
      </c>
      <c r="G387" t="s">
        <v>8</v>
      </c>
    </row>
    <row r="388" spans="1:7" x14ac:dyDescent="0.3">
      <c r="A388" t="s">
        <v>14</v>
      </c>
      <c r="B388" s="1">
        <v>45869</v>
      </c>
      <c r="C388">
        <v>546013</v>
      </c>
      <c r="D388">
        <v>25.413</v>
      </c>
      <c r="E388" t="s">
        <v>6</v>
      </c>
      <c r="F388" t="s">
        <v>51</v>
      </c>
      <c r="G388" t="s">
        <v>8</v>
      </c>
    </row>
    <row r="389" spans="1:7" x14ac:dyDescent="0.3">
      <c r="A389" t="s">
        <v>14</v>
      </c>
      <c r="B389" s="1">
        <v>45869</v>
      </c>
      <c r="C389">
        <v>546035</v>
      </c>
      <c r="D389">
        <v>1636.876</v>
      </c>
      <c r="E389" t="s">
        <v>6</v>
      </c>
      <c r="F389" t="s">
        <v>51</v>
      </c>
      <c r="G389" t="s">
        <v>8</v>
      </c>
    </row>
    <row r="390" spans="1:7" x14ac:dyDescent="0.3">
      <c r="A390" t="s">
        <v>14</v>
      </c>
      <c r="B390" s="1">
        <v>45869</v>
      </c>
      <c r="C390">
        <v>547002</v>
      </c>
      <c r="D390">
        <v>-2269.8240000000001</v>
      </c>
      <c r="E390" t="s">
        <v>6</v>
      </c>
      <c r="F390" t="s">
        <v>54</v>
      </c>
      <c r="G390" t="s">
        <v>8</v>
      </c>
    </row>
    <row r="391" spans="1:7" x14ac:dyDescent="0.3">
      <c r="A391" t="s">
        <v>14</v>
      </c>
      <c r="B391" s="1">
        <v>45869</v>
      </c>
      <c r="C391">
        <v>550003</v>
      </c>
      <c r="D391">
        <v>-2379.6170000000002</v>
      </c>
      <c r="E391" t="s">
        <v>6</v>
      </c>
      <c r="F391" t="s">
        <v>62</v>
      </c>
      <c r="G391" t="s">
        <v>8</v>
      </c>
    </row>
    <row r="392" spans="1:7" x14ac:dyDescent="0.3">
      <c r="A392" t="s">
        <v>14</v>
      </c>
      <c r="B392" s="1">
        <v>45869</v>
      </c>
      <c r="C392">
        <v>551003</v>
      </c>
      <c r="D392">
        <v>1485.229</v>
      </c>
      <c r="E392" t="s">
        <v>6</v>
      </c>
      <c r="F392" t="s">
        <v>63</v>
      </c>
      <c r="G392" t="s">
        <v>8</v>
      </c>
    </row>
    <row r="393" spans="1:7" x14ac:dyDescent="0.3">
      <c r="A393" t="s">
        <v>14</v>
      </c>
      <c r="B393" s="1">
        <v>45869</v>
      </c>
      <c r="C393">
        <v>552502</v>
      </c>
      <c r="D393">
        <v>228.69</v>
      </c>
      <c r="E393" t="s">
        <v>6</v>
      </c>
      <c r="F393" t="s">
        <v>55</v>
      </c>
      <c r="G393" t="s">
        <v>8</v>
      </c>
    </row>
    <row r="394" spans="1:7" x14ac:dyDescent="0.3">
      <c r="A394" t="s">
        <v>14</v>
      </c>
      <c r="B394" s="1">
        <v>45869</v>
      </c>
      <c r="C394">
        <v>554005</v>
      </c>
      <c r="D394">
        <v>560.25400000000002</v>
      </c>
      <c r="E394" t="s">
        <v>6</v>
      </c>
      <c r="F394" t="s">
        <v>55</v>
      </c>
      <c r="G394" t="s">
        <v>8</v>
      </c>
    </row>
    <row r="395" spans="1:7" x14ac:dyDescent="0.3">
      <c r="A395" t="s">
        <v>14</v>
      </c>
      <c r="B395" s="1">
        <v>45869</v>
      </c>
      <c r="C395">
        <v>554008</v>
      </c>
      <c r="D395">
        <v>42.639000000000003</v>
      </c>
      <c r="E395" t="s">
        <v>6</v>
      </c>
      <c r="F395" t="s">
        <v>55</v>
      </c>
      <c r="G395" t="s">
        <v>8</v>
      </c>
    </row>
    <row r="396" spans="1:7" x14ac:dyDescent="0.3">
      <c r="A396" t="s">
        <v>14</v>
      </c>
      <c r="B396" s="1">
        <v>45869</v>
      </c>
      <c r="C396">
        <v>555004</v>
      </c>
      <c r="D396">
        <v>68.379000000000005</v>
      </c>
      <c r="E396" t="s">
        <v>6</v>
      </c>
      <c r="F396" t="s">
        <v>55</v>
      </c>
      <c r="G396" t="s">
        <v>8</v>
      </c>
    </row>
    <row r="397" spans="1:7" x14ac:dyDescent="0.3">
      <c r="A397" t="s">
        <v>14</v>
      </c>
      <c r="B397" s="1">
        <v>45869</v>
      </c>
      <c r="C397">
        <v>555007</v>
      </c>
      <c r="D397">
        <v>242.62700000000001</v>
      </c>
      <c r="E397" t="s">
        <v>6</v>
      </c>
      <c r="F397" t="s">
        <v>55</v>
      </c>
      <c r="G397" t="s">
        <v>8</v>
      </c>
    </row>
    <row r="398" spans="1:7" x14ac:dyDescent="0.3">
      <c r="A398" t="s">
        <v>14</v>
      </c>
      <c r="B398" s="1">
        <v>45869</v>
      </c>
      <c r="C398">
        <v>555508</v>
      </c>
      <c r="D398">
        <v>8.0079999999999991</v>
      </c>
      <c r="E398" t="s">
        <v>6</v>
      </c>
      <c r="F398" t="s">
        <v>55</v>
      </c>
      <c r="G398" t="s">
        <v>8</v>
      </c>
    </row>
    <row r="399" spans="1:7" x14ac:dyDescent="0.3">
      <c r="A399" t="s">
        <v>14</v>
      </c>
      <c r="B399" s="1">
        <v>45869</v>
      </c>
      <c r="C399">
        <v>556002</v>
      </c>
      <c r="D399">
        <v>400.12200000000001</v>
      </c>
      <c r="E399" t="s">
        <v>6</v>
      </c>
      <c r="F399" t="s">
        <v>60</v>
      </c>
      <c r="G399" t="s">
        <v>8</v>
      </c>
    </row>
    <row r="400" spans="1:7" x14ac:dyDescent="0.3">
      <c r="A400" t="s">
        <v>14</v>
      </c>
      <c r="B400" s="1">
        <v>45869</v>
      </c>
      <c r="C400">
        <v>556004</v>
      </c>
      <c r="D400">
        <v>11.298</v>
      </c>
      <c r="E400" t="s">
        <v>6</v>
      </c>
      <c r="F400" t="s">
        <v>55</v>
      </c>
      <c r="G400" t="s">
        <v>8</v>
      </c>
    </row>
    <row r="401" spans="1:7" x14ac:dyDescent="0.3">
      <c r="A401" t="s">
        <v>14</v>
      </c>
      <c r="B401" s="1">
        <v>45869</v>
      </c>
      <c r="C401">
        <v>557002</v>
      </c>
      <c r="D401">
        <v>2699.9580000000001</v>
      </c>
      <c r="E401" t="s">
        <v>6</v>
      </c>
      <c r="F401" t="s">
        <v>56</v>
      </c>
      <c r="G401" t="s">
        <v>8</v>
      </c>
    </row>
    <row r="402" spans="1:7" x14ac:dyDescent="0.3">
      <c r="A402" t="s">
        <v>14</v>
      </c>
      <c r="B402" s="1">
        <v>45869</v>
      </c>
      <c r="C402">
        <v>557003</v>
      </c>
      <c r="D402">
        <v>532.42899999999997</v>
      </c>
      <c r="E402" t="s">
        <v>6</v>
      </c>
      <c r="F402" t="s">
        <v>56</v>
      </c>
      <c r="G402" t="s">
        <v>8</v>
      </c>
    </row>
    <row r="403" spans="1:7" x14ac:dyDescent="0.3">
      <c r="A403" t="s">
        <v>14</v>
      </c>
      <c r="B403" s="1">
        <v>45869</v>
      </c>
      <c r="C403">
        <v>558012</v>
      </c>
      <c r="D403">
        <v>7.109</v>
      </c>
      <c r="E403" t="s">
        <v>6</v>
      </c>
      <c r="F403" t="s">
        <v>60</v>
      </c>
      <c r="G403" t="s">
        <v>8</v>
      </c>
    </row>
    <row r="404" spans="1:7" x14ac:dyDescent="0.3">
      <c r="A404" t="s">
        <v>14</v>
      </c>
      <c r="B404" s="1">
        <v>45869</v>
      </c>
      <c r="C404">
        <v>563002</v>
      </c>
      <c r="D404">
        <v>-249.678</v>
      </c>
      <c r="E404" t="s">
        <v>6</v>
      </c>
      <c r="F404" t="s">
        <v>57</v>
      </c>
      <c r="G404" t="s">
        <v>8</v>
      </c>
    </row>
    <row r="405" spans="1:7" x14ac:dyDescent="0.3">
      <c r="A405" t="s">
        <v>14</v>
      </c>
      <c r="B405" s="1">
        <v>45869</v>
      </c>
      <c r="C405">
        <v>564004</v>
      </c>
      <c r="D405">
        <v>1853.998</v>
      </c>
      <c r="E405" t="s">
        <v>6</v>
      </c>
      <c r="F405" t="s">
        <v>51</v>
      </c>
      <c r="G405" t="s">
        <v>8</v>
      </c>
    </row>
    <row r="406" spans="1:7" x14ac:dyDescent="0.3">
      <c r="A406" t="s">
        <v>14</v>
      </c>
      <c r="B406" s="1">
        <v>45869</v>
      </c>
      <c r="C406">
        <v>564006</v>
      </c>
      <c r="D406">
        <v>5.7000000000000002E-2</v>
      </c>
      <c r="E406" t="s">
        <v>6</v>
      </c>
      <c r="F406" t="s">
        <v>57</v>
      </c>
      <c r="G406" t="s">
        <v>8</v>
      </c>
    </row>
    <row r="407" spans="1:7" x14ac:dyDescent="0.3">
      <c r="A407" t="s">
        <v>14</v>
      </c>
      <c r="B407" s="1">
        <v>45869</v>
      </c>
      <c r="C407">
        <v>564008</v>
      </c>
      <c r="D407">
        <v>119.14</v>
      </c>
      <c r="E407" t="s">
        <v>6</v>
      </c>
      <c r="F407" t="s">
        <v>55</v>
      </c>
      <c r="G407" t="s">
        <v>8</v>
      </c>
    </row>
    <row r="408" spans="1:7" x14ac:dyDescent="0.3">
      <c r="A408" t="s">
        <v>14</v>
      </c>
      <c r="B408" s="1">
        <v>45869</v>
      </c>
      <c r="C408">
        <v>564020</v>
      </c>
      <c r="D408">
        <v>444.11399999999998</v>
      </c>
      <c r="E408" t="s">
        <v>6</v>
      </c>
      <c r="F408" t="s">
        <v>57</v>
      </c>
      <c r="G408" t="s">
        <v>8</v>
      </c>
    </row>
    <row r="409" spans="1:7" x14ac:dyDescent="0.3">
      <c r="A409" t="s">
        <v>14</v>
      </c>
      <c r="B409" s="1">
        <v>45869</v>
      </c>
      <c r="C409">
        <v>564023</v>
      </c>
      <c r="D409">
        <v>133.73500000000001</v>
      </c>
      <c r="E409" t="s">
        <v>6</v>
      </c>
      <c r="F409" t="s">
        <v>67</v>
      </c>
      <c r="G409" t="s">
        <v>8</v>
      </c>
    </row>
    <row r="410" spans="1:7" x14ac:dyDescent="0.3">
      <c r="A410" t="s">
        <v>14</v>
      </c>
      <c r="B410" s="1">
        <v>45869</v>
      </c>
      <c r="C410">
        <v>570002</v>
      </c>
      <c r="D410">
        <v>121.2</v>
      </c>
      <c r="E410" t="s">
        <v>6</v>
      </c>
      <c r="F410" t="s">
        <v>66</v>
      </c>
      <c r="G410" t="s">
        <v>8</v>
      </c>
    </row>
    <row r="411" spans="1:7" x14ac:dyDescent="0.3">
      <c r="A411" t="s">
        <v>14</v>
      </c>
      <c r="B411" s="1">
        <v>45869</v>
      </c>
      <c r="C411">
        <v>580005</v>
      </c>
      <c r="D411">
        <v>-11512.684999999999</v>
      </c>
      <c r="E411" t="s">
        <v>6</v>
      </c>
      <c r="F411" t="s">
        <v>64</v>
      </c>
      <c r="G411" t="s">
        <v>8</v>
      </c>
    </row>
    <row r="412" spans="1:7" x14ac:dyDescent="0.3">
      <c r="A412" t="s">
        <v>15</v>
      </c>
      <c r="B412" s="1">
        <v>45869</v>
      </c>
      <c r="C412">
        <v>210002</v>
      </c>
      <c r="D412">
        <v>-868016.80799999996</v>
      </c>
      <c r="E412" t="s">
        <v>4</v>
      </c>
      <c r="F412" t="s">
        <v>42</v>
      </c>
      <c r="G412" t="s">
        <v>5</v>
      </c>
    </row>
    <row r="413" spans="1:7" x14ac:dyDescent="0.3">
      <c r="A413" t="s">
        <v>15</v>
      </c>
      <c r="B413" s="1">
        <v>45869</v>
      </c>
      <c r="C413">
        <v>220005</v>
      </c>
      <c r="D413">
        <v>-6971447.5930000003</v>
      </c>
      <c r="E413" t="s">
        <v>4</v>
      </c>
      <c r="F413" t="s">
        <v>42</v>
      </c>
      <c r="G413" t="s">
        <v>5</v>
      </c>
    </row>
    <row r="414" spans="1:7" x14ac:dyDescent="0.3">
      <c r="A414" t="s">
        <v>15</v>
      </c>
      <c r="B414" s="1">
        <v>45869</v>
      </c>
      <c r="C414">
        <v>220006</v>
      </c>
      <c r="D414">
        <v>-15323196.128</v>
      </c>
      <c r="E414" t="s">
        <v>4</v>
      </c>
      <c r="F414" t="s">
        <v>42</v>
      </c>
      <c r="G414" t="s">
        <v>5</v>
      </c>
    </row>
    <row r="415" spans="1:7" x14ac:dyDescent="0.3">
      <c r="A415" t="s">
        <v>15</v>
      </c>
      <c r="B415" s="1">
        <v>45869</v>
      </c>
      <c r="C415">
        <v>220008</v>
      </c>
      <c r="D415">
        <v>-79666.899999999994</v>
      </c>
      <c r="E415" t="s">
        <v>4</v>
      </c>
      <c r="F415" t="s">
        <v>42</v>
      </c>
      <c r="G415" t="s">
        <v>5</v>
      </c>
    </row>
    <row r="416" spans="1:7" x14ac:dyDescent="0.3">
      <c r="A416" t="s">
        <v>15</v>
      </c>
      <c r="B416" s="1">
        <v>45869</v>
      </c>
      <c r="C416">
        <v>220010</v>
      </c>
      <c r="D416">
        <v>182819.435</v>
      </c>
      <c r="E416" t="s">
        <v>4</v>
      </c>
      <c r="F416" t="s">
        <v>42</v>
      </c>
      <c r="G416" t="s">
        <v>5</v>
      </c>
    </row>
    <row r="417" spans="1:7" x14ac:dyDescent="0.3">
      <c r="A417" t="s">
        <v>15</v>
      </c>
      <c r="B417" s="1">
        <v>45869</v>
      </c>
      <c r="C417">
        <v>220012</v>
      </c>
      <c r="D417">
        <v>-62000</v>
      </c>
      <c r="E417" t="s">
        <v>4</v>
      </c>
      <c r="F417" t="s">
        <v>42</v>
      </c>
      <c r="G417" t="s">
        <v>5</v>
      </c>
    </row>
    <row r="418" spans="1:7" x14ac:dyDescent="0.3">
      <c r="A418" t="s">
        <v>15</v>
      </c>
      <c r="B418" s="1">
        <v>45869</v>
      </c>
      <c r="C418">
        <v>220013</v>
      </c>
      <c r="D418">
        <v>-432144.59700000001</v>
      </c>
      <c r="E418" t="s">
        <v>4</v>
      </c>
      <c r="F418" t="s">
        <v>42</v>
      </c>
      <c r="G418" t="s">
        <v>5</v>
      </c>
    </row>
    <row r="419" spans="1:7" x14ac:dyDescent="0.3">
      <c r="A419" t="s">
        <v>15</v>
      </c>
      <c r="B419" s="1">
        <v>45869</v>
      </c>
      <c r="C419">
        <v>220014</v>
      </c>
      <c r="D419">
        <v>231659.84</v>
      </c>
      <c r="E419" t="s">
        <v>4</v>
      </c>
      <c r="F419" t="s">
        <v>42</v>
      </c>
      <c r="G419" t="s">
        <v>5</v>
      </c>
    </row>
    <row r="420" spans="1:7" x14ac:dyDescent="0.3">
      <c r="A420" t="s">
        <v>15</v>
      </c>
      <c r="B420" s="1">
        <v>45869</v>
      </c>
      <c r="C420">
        <v>220015</v>
      </c>
      <c r="D420">
        <v>-67819.441999999995</v>
      </c>
      <c r="E420" t="s">
        <v>4</v>
      </c>
      <c r="F420" t="s">
        <v>42</v>
      </c>
      <c r="G420" t="s">
        <v>5</v>
      </c>
    </row>
    <row r="421" spans="1:7" x14ac:dyDescent="0.3">
      <c r="A421" t="s">
        <v>15</v>
      </c>
      <c r="B421" s="1">
        <v>45869</v>
      </c>
      <c r="C421">
        <v>234003</v>
      </c>
      <c r="D421">
        <v>-1523935.564</v>
      </c>
      <c r="E421" t="s">
        <v>4</v>
      </c>
      <c r="F421" t="s">
        <v>43</v>
      </c>
      <c r="G421" t="s">
        <v>5</v>
      </c>
    </row>
    <row r="422" spans="1:7" x14ac:dyDescent="0.3">
      <c r="A422" t="s">
        <v>15</v>
      </c>
      <c r="B422" s="1">
        <v>45869</v>
      </c>
      <c r="C422">
        <v>234004</v>
      </c>
      <c r="D422">
        <v>-6186.0609999999997</v>
      </c>
      <c r="E422" t="s">
        <v>4</v>
      </c>
      <c r="F422" t="s">
        <v>43</v>
      </c>
      <c r="G422" t="s">
        <v>5</v>
      </c>
    </row>
    <row r="423" spans="1:7" x14ac:dyDescent="0.3">
      <c r="A423" t="s">
        <v>15</v>
      </c>
      <c r="B423" s="1">
        <v>45869</v>
      </c>
      <c r="C423">
        <v>240002</v>
      </c>
      <c r="D423">
        <v>-56688.267</v>
      </c>
      <c r="E423" t="s">
        <v>4</v>
      </c>
      <c r="F423" t="s">
        <v>43</v>
      </c>
      <c r="G423" t="s">
        <v>5</v>
      </c>
    </row>
    <row r="424" spans="1:7" x14ac:dyDescent="0.3">
      <c r="A424" t="s">
        <v>15</v>
      </c>
      <c r="B424" s="1">
        <v>45869</v>
      </c>
      <c r="C424">
        <v>240003</v>
      </c>
      <c r="D424">
        <v>1303.8610000000001</v>
      </c>
      <c r="E424" t="s">
        <v>4</v>
      </c>
      <c r="F424" t="s">
        <v>43</v>
      </c>
      <c r="G424" t="s">
        <v>5</v>
      </c>
    </row>
    <row r="425" spans="1:7" x14ac:dyDescent="0.3">
      <c r="A425" t="s">
        <v>15</v>
      </c>
      <c r="B425" s="1">
        <v>45869</v>
      </c>
      <c r="C425">
        <v>240005</v>
      </c>
      <c r="D425">
        <v>-1544.0609999999999</v>
      </c>
      <c r="E425" t="s">
        <v>4</v>
      </c>
      <c r="F425" t="s">
        <v>49</v>
      </c>
      <c r="G425" t="s">
        <v>5</v>
      </c>
    </row>
    <row r="426" spans="1:7" x14ac:dyDescent="0.3">
      <c r="A426" t="s">
        <v>15</v>
      </c>
      <c r="B426" s="1">
        <v>45869</v>
      </c>
      <c r="C426">
        <v>240009</v>
      </c>
      <c r="D426">
        <v>-2185.913</v>
      </c>
      <c r="E426" t="s">
        <v>4</v>
      </c>
      <c r="F426" t="s">
        <v>43</v>
      </c>
      <c r="G426" t="s">
        <v>5</v>
      </c>
    </row>
    <row r="427" spans="1:7" x14ac:dyDescent="0.3">
      <c r="A427" t="s">
        <v>15</v>
      </c>
      <c r="B427" s="1">
        <v>45869</v>
      </c>
      <c r="C427">
        <v>240010</v>
      </c>
      <c r="D427">
        <v>-7460.7420000000002</v>
      </c>
      <c r="E427" t="s">
        <v>4</v>
      </c>
      <c r="F427" t="s">
        <v>43</v>
      </c>
      <c r="G427" t="s">
        <v>5</v>
      </c>
    </row>
    <row r="428" spans="1:7" x14ac:dyDescent="0.3">
      <c r="A428" t="s">
        <v>15</v>
      </c>
      <c r="B428" s="1">
        <v>45869</v>
      </c>
      <c r="C428">
        <v>242018</v>
      </c>
      <c r="D428">
        <v>-20503.05</v>
      </c>
      <c r="E428" t="s">
        <v>4</v>
      </c>
      <c r="F428" t="s">
        <v>43</v>
      </c>
      <c r="G428" t="s">
        <v>5</v>
      </c>
    </row>
    <row r="429" spans="1:7" x14ac:dyDescent="0.3">
      <c r="A429" t="s">
        <v>15</v>
      </c>
      <c r="B429" s="1">
        <v>45869</v>
      </c>
      <c r="C429">
        <v>242041</v>
      </c>
      <c r="D429">
        <v>-1002.086</v>
      </c>
      <c r="E429" t="s">
        <v>4</v>
      </c>
      <c r="F429" t="s">
        <v>43</v>
      </c>
      <c r="G429" t="s">
        <v>5</v>
      </c>
    </row>
    <row r="430" spans="1:7" x14ac:dyDescent="0.3">
      <c r="A430" t="s">
        <v>15</v>
      </c>
      <c r="B430" s="1">
        <v>45869</v>
      </c>
      <c r="C430">
        <v>243002</v>
      </c>
      <c r="D430">
        <v>-799711.52599999995</v>
      </c>
      <c r="E430" t="s">
        <v>4</v>
      </c>
      <c r="F430" t="s">
        <v>43</v>
      </c>
      <c r="G430" t="s">
        <v>5</v>
      </c>
    </row>
    <row r="431" spans="1:7" x14ac:dyDescent="0.3">
      <c r="A431" t="s">
        <v>15</v>
      </c>
      <c r="B431" s="1">
        <v>45869</v>
      </c>
      <c r="C431">
        <v>243003</v>
      </c>
      <c r="D431">
        <v>-51297.476999999999</v>
      </c>
      <c r="E431" t="s">
        <v>4</v>
      </c>
      <c r="F431" t="s">
        <v>43</v>
      </c>
      <c r="G431" t="s">
        <v>5</v>
      </c>
    </row>
    <row r="432" spans="1:7" x14ac:dyDescent="0.3">
      <c r="A432" t="s">
        <v>15</v>
      </c>
      <c r="B432" s="1">
        <v>45869</v>
      </c>
      <c r="C432">
        <v>243004</v>
      </c>
      <c r="D432">
        <v>-135727.00399999999</v>
      </c>
      <c r="E432" t="s">
        <v>4</v>
      </c>
      <c r="F432" t="s">
        <v>43</v>
      </c>
      <c r="G432" t="s">
        <v>5</v>
      </c>
    </row>
    <row r="433" spans="1:7" x14ac:dyDescent="0.3">
      <c r="A433" t="s">
        <v>15</v>
      </c>
      <c r="B433" s="1">
        <v>45869</v>
      </c>
      <c r="C433">
        <v>243005</v>
      </c>
      <c r="D433">
        <v>-8525.0059999999994</v>
      </c>
      <c r="E433" t="s">
        <v>4</v>
      </c>
      <c r="F433" t="s">
        <v>43</v>
      </c>
      <c r="G433" t="s">
        <v>5</v>
      </c>
    </row>
    <row r="434" spans="1:7" x14ac:dyDescent="0.3">
      <c r="A434" t="s">
        <v>15</v>
      </c>
      <c r="B434" s="1">
        <v>45869</v>
      </c>
      <c r="C434">
        <v>243009</v>
      </c>
      <c r="D434">
        <v>-22215.107</v>
      </c>
      <c r="E434" t="s">
        <v>4</v>
      </c>
      <c r="F434" t="s">
        <v>43</v>
      </c>
      <c r="G434" t="s">
        <v>5</v>
      </c>
    </row>
    <row r="435" spans="1:7" x14ac:dyDescent="0.3">
      <c r="A435" t="s">
        <v>15</v>
      </c>
      <c r="B435" s="1">
        <v>45869</v>
      </c>
      <c r="C435">
        <v>243010</v>
      </c>
      <c r="D435">
        <v>-59626.188999999998</v>
      </c>
      <c r="E435" t="s">
        <v>4</v>
      </c>
      <c r="F435" t="s">
        <v>43</v>
      </c>
      <c r="G435" t="s">
        <v>5</v>
      </c>
    </row>
    <row r="436" spans="1:7" x14ac:dyDescent="0.3">
      <c r="A436" t="s">
        <v>15</v>
      </c>
      <c r="B436" s="1">
        <v>45869</v>
      </c>
      <c r="C436">
        <v>245002</v>
      </c>
      <c r="D436">
        <v>-1571.087</v>
      </c>
      <c r="E436" t="s">
        <v>4</v>
      </c>
      <c r="F436" t="s">
        <v>43</v>
      </c>
      <c r="G436" t="s">
        <v>5</v>
      </c>
    </row>
    <row r="437" spans="1:7" x14ac:dyDescent="0.3">
      <c r="A437" t="s">
        <v>15</v>
      </c>
      <c r="B437" s="1">
        <v>45869</v>
      </c>
      <c r="C437">
        <v>245004</v>
      </c>
      <c r="D437">
        <v>601.47799999999995</v>
      </c>
      <c r="E437" t="s">
        <v>4</v>
      </c>
      <c r="F437" t="s">
        <v>43</v>
      </c>
      <c r="G437" t="s">
        <v>5</v>
      </c>
    </row>
    <row r="438" spans="1:7" x14ac:dyDescent="0.3">
      <c r="A438" t="s">
        <v>15</v>
      </c>
      <c r="B438" s="1">
        <v>45869</v>
      </c>
      <c r="C438">
        <v>245006</v>
      </c>
      <c r="D438">
        <v>67.298000000000002</v>
      </c>
      <c r="E438" t="s">
        <v>4</v>
      </c>
      <c r="F438" t="s">
        <v>43</v>
      </c>
      <c r="G438" t="s">
        <v>5</v>
      </c>
    </row>
    <row r="439" spans="1:7" x14ac:dyDescent="0.3">
      <c r="A439" t="s">
        <v>15</v>
      </c>
      <c r="B439" s="1">
        <v>45869</v>
      </c>
      <c r="C439">
        <v>245010</v>
      </c>
      <c r="D439">
        <v>-359640.27799999999</v>
      </c>
      <c r="E439" t="s">
        <v>4</v>
      </c>
      <c r="F439" t="s">
        <v>44</v>
      </c>
      <c r="G439" t="s">
        <v>5</v>
      </c>
    </row>
    <row r="440" spans="1:7" x14ac:dyDescent="0.3">
      <c r="A440" t="s">
        <v>15</v>
      </c>
      <c r="B440" s="1">
        <v>45869</v>
      </c>
      <c r="C440">
        <v>245015</v>
      </c>
      <c r="D440">
        <v>-19242.580000000002</v>
      </c>
      <c r="E440" t="s">
        <v>4</v>
      </c>
      <c r="F440" t="s">
        <v>43</v>
      </c>
      <c r="G440" t="s">
        <v>5</v>
      </c>
    </row>
    <row r="441" spans="1:7" x14ac:dyDescent="0.3">
      <c r="A441" t="s">
        <v>15</v>
      </c>
      <c r="B441" s="1">
        <v>45869</v>
      </c>
      <c r="C441">
        <v>245017</v>
      </c>
      <c r="D441">
        <v>-4081.9340000000002</v>
      </c>
      <c r="E441" t="s">
        <v>4</v>
      </c>
      <c r="F441" t="s">
        <v>43</v>
      </c>
      <c r="G441" t="s">
        <v>5</v>
      </c>
    </row>
    <row r="442" spans="1:7" x14ac:dyDescent="0.3">
      <c r="A442" t="s">
        <v>15</v>
      </c>
      <c r="B442" s="1">
        <v>45869</v>
      </c>
      <c r="C442">
        <v>245018</v>
      </c>
      <c r="D442">
        <v>-95751.956000000006</v>
      </c>
      <c r="E442" t="s">
        <v>4</v>
      </c>
      <c r="F442" t="s">
        <v>43</v>
      </c>
      <c r="G442" t="s">
        <v>5</v>
      </c>
    </row>
    <row r="443" spans="1:7" x14ac:dyDescent="0.3">
      <c r="A443" t="s">
        <v>15</v>
      </c>
      <c r="B443" s="1">
        <v>45869</v>
      </c>
      <c r="C443">
        <v>245020</v>
      </c>
      <c r="D443">
        <v>-6061.0609999999997</v>
      </c>
      <c r="E443" t="s">
        <v>4</v>
      </c>
      <c r="F443" t="s">
        <v>44</v>
      </c>
      <c r="G443" t="s">
        <v>5</v>
      </c>
    </row>
    <row r="444" spans="1:7" x14ac:dyDescent="0.3">
      <c r="A444" t="s">
        <v>15</v>
      </c>
      <c r="B444" s="1">
        <v>45869</v>
      </c>
      <c r="C444">
        <v>245038</v>
      </c>
      <c r="D444">
        <v>-7417.2929999999997</v>
      </c>
      <c r="E444" t="s">
        <v>4</v>
      </c>
      <c r="F444" t="s">
        <v>45</v>
      </c>
      <c r="G444" t="s">
        <v>5</v>
      </c>
    </row>
    <row r="445" spans="1:7" x14ac:dyDescent="0.3">
      <c r="A445" t="s">
        <v>15</v>
      </c>
      <c r="B445" s="1">
        <v>45869</v>
      </c>
      <c r="C445">
        <v>245041</v>
      </c>
      <c r="D445">
        <v>-38031.925999999999</v>
      </c>
      <c r="E445" t="s">
        <v>4</v>
      </c>
      <c r="F445" t="s">
        <v>43</v>
      </c>
      <c r="G445" t="s">
        <v>5</v>
      </c>
    </row>
    <row r="446" spans="1:7" x14ac:dyDescent="0.3">
      <c r="A446" t="s">
        <v>15</v>
      </c>
      <c r="B446" s="1">
        <v>45869</v>
      </c>
      <c r="C446">
        <v>245044</v>
      </c>
      <c r="D446">
        <v>-9449.2739999999994</v>
      </c>
      <c r="E446" t="s">
        <v>4</v>
      </c>
      <c r="F446" t="s">
        <v>43</v>
      </c>
      <c r="G446" t="s">
        <v>5</v>
      </c>
    </row>
    <row r="447" spans="1:7" x14ac:dyDescent="0.3">
      <c r="A447" t="s">
        <v>15</v>
      </c>
      <c r="B447" s="1">
        <v>45869</v>
      </c>
      <c r="C447">
        <v>245050</v>
      </c>
      <c r="D447">
        <v>-43290.711000000003</v>
      </c>
      <c r="E447" t="s">
        <v>4</v>
      </c>
      <c r="F447" t="s">
        <v>43</v>
      </c>
      <c r="G447" t="s">
        <v>5</v>
      </c>
    </row>
    <row r="448" spans="1:7" x14ac:dyDescent="0.3">
      <c r="A448" t="s">
        <v>15</v>
      </c>
      <c r="B448" s="1">
        <v>45869</v>
      </c>
      <c r="C448">
        <v>245055</v>
      </c>
      <c r="D448">
        <v>-17869.762999999999</v>
      </c>
      <c r="E448" t="s">
        <v>4</v>
      </c>
      <c r="F448" t="s">
        <v>43</v>
      </c>
      <c r="G448" t="s">
        <v>5</v>
      </c>
    </row>
    <row r="449" spans="1:7" x14ac:dyDescent="0.3">
      <c r="A449" t="s">
        <v>15</v>
      </c>
      <c r="B449" s="1">
        <v>45869</v>
      </c>
      <c r="C449">
        <v>245056</v>
      </c>
      <c r="D449">
        <v>-10773.816999999999</v>
      </c>
      <c r="E449" t="s">
        <v>4</v>
      </c>
      <c r="F449" t="s">
        <v>49</v>
      </c>
      <c r="G449" t="s">
        <v>5</v>
      </c>
    </row>
    <row r="450" spans="1:7" x14ac:dyDescent="0.3">
      <c r="A450" t="s">
        <v>15</v>
      </c>
      <c r="B450" s="1">
        <v>45869</v>
      </c>
      <c r="C450">
        <v>245057</v>
      </c>
      <c r="D450">
        <v>-50394.235000000001</v>
      </c>
      <c r="E450" t="s">
        <v>4</v>
      </c>
      <c r="F450" t="s">
        <v>43</v>
      </c>
      <c r="G450" t="s">
        <v>5</v>
      </c>
    </row>
    <row r="451" spans="1:7" x14ac:dyDescent="0.3">
      <c r="A451" t="s">
        <v>15</v>
      </c>
      <c r="B451" s="1">
        <v>45869</v>
      </c>
      <c r="C451">
        <v>245059</v>
      </c>
      <c r="D451">
        <v>510.58199999999999</v>
      </c>
      <c r="E451" t="s">
        <v>4</v>
      </c>
      <c r="F451" t="s">
        <v>43</v>
      </c>
      <c r="G451" t="s">
        <v>5</v>
      </c>
    </row>
    <row r="452" spans="1:7" x14ac:dyDescent="0.3">
      <c r="A452" t="s">
        <v>15</v>
      </c>
      <c r="B452" s="1">
        <v>45869</v>
      </c>
      <c r="C452">
        <v>245061</v>
      </c>
      <c r="D452">
        <v>199.21199999999999</v>
      </c>
      <c r="E452" t="s">
        <v>4</v>
      </c>
      <c r="F452" t="s">
        <v>43</v>
      </c>
      <c r="G452" t="s">
        <v>5</v>
      </c>
    </row>
    <row r="453" spans="1:7" x14ac:dyDescent="0.3">
      <c r="A453" t="s">
        <v>15</v>
      </c>
      <c r="B453" s="1">
        <v>45869</v>
      </c>
      <c r="C453">
        <v>245062</v>
      </c>
      <c r="D453">
        <v>-346104.22499999998</v>
      </c>
      <c r="E453" t="s">
        <v>4</v>
      </c>
      <c r="F453" t="s">
        <v>43</v>
      </c>
      <c r="G453" t="s">
        <v>5</v>
      </c>
    </row>
    <row r="454" spans="1:7" x14ac:dyDescent="0.3">
      <c r="A454" t="s">
        <v>15</v>
      </c>
      <c r="B454" s="1">
        <v>45869</v>
      </c>
      <c r="C454">
        <v>249002</v>
      </c>
      <c r="D454">
        <v>-989285.82299999997</v>
      </c>
      <c r="E454" t="s">
        <v>4</v>
      </c>
      <c r="F454" t="s">
        <v>44</v>
      </c>
      <c r="G454" t="s">
        <v>5</v>
      </c>
    </row>
    <row r="455" spans="1:7" x14ac:dyDescent="0.3">
      <c r="A455" t="s">
        <v>15</v>
      </c>
      <c r="B455" s="1">
        <v>45869</v>
      </c>
      <c r="C455">
        <v>249003</v>
      </c>
      <c r="D455">
        <v>-58782.203999999998</v>
      </c>
      <c r="E455" t="s">
        <v>4</v>
      </c>
      <c r="F455" t="s">
        <v>44</v>
      </c>
      <c r="G455" t="s">
        <v>5</v>
      </c>
    </row>
    <row r="456" spans="1:7" x14ac:dyDescent="0.3">
      <c r="A456" t="s">
        <v>15</v>
      </c>
      <c r="B456" s="1">
        <v>45869</v>
      </c>
      <c r="C456">
        <v>249004</v>
      </c>
      <c r="D456">
        <v>12898.691999999999</v>
      </c>
      <c r="E456" t="s">
        <v>4</v>
      </c>
      <c r="F456" t="s">
        <v>44</v>
      </c>
      <c r="G456" t="s">
        <v>5</v>
      </c>
    </row>
    <row r="457" spans="1:7" x14ac:dyDescent="0.3">
      <c r="A457" t="s">
        <v>15</v>
      </c>
      <c r="B457" s="1">
        <v>45869</v>
      </c>
      <c r="C457">
        <v>250003</v>
      </c>
      <c r="D457">
        <v>-44853.535000000003</v>
      </c>
      <c r="E457" t="s">
        <v>4</v>
      </c>
      <c r="F457" t="s">
        <v>45</v>
      </c>
      <c r="G457" t="s">
        <v>5</v>
      </c>
    </row>
    <row r="458" spans="1:7" x14ac:dyDescent="0.3">
      <c r="A458" t="s">
        <v>15</v>
      </c>
      <c r="B458" s="1">
        <v>45869</v>
      </c>
      <c r="C458">
        <v>250009</v>
      </c>
      <c r="D458">
        <v>-669.6</v>
      </c>
      <c r="E458" t="s">
        <v>4</v>
      </c>
      <c r="F458" t="s">
        <v>43</v>
      </c>
      <c r="G458" t="s">
        <v>5</v>
      </c>
    </row>
    <row r="459" spans="1:7" x14ac:dyDescent="0.3">
      <c r="A459" t="s">
        <v>15</v>
      </c>
      <c r="B459" s="1">
        <v>45869</v>
      </c>
      <c r="C459">
        <v>250017</v>
      </c>
      <c r="D459">
        <v>397638.66</v>
      </c>
      <c r="E459" t="s">
        <v>4</v>
      </c>
      <c r="F459" t="s">
        <v>44</v>
      </c>
      <c r="G459" t="s">
        <v>5</v>
      </c>
    </row>
    <row r="460" spans="1:7" x14ac:dyDescent="0.3">
      <c r="A460" t="s">
        <v>15</v>
      </c>
      <c r="B460" s="1">
        <v>45869</v>
      </c>
      <c r="C460">
        <v>250019</v>
      </c>
      <c r="D460">
        <v>-3100</v>
      </c>
      <c r="E460" t="s">
        <v>4</v>
      </c>
      <c r="F460" t="s">
        <v>45</v>
      </c>
      <c r="G460" t="s">
        <v>5</v>
      </c>
    </row>
    <row r="461" spans="1:7" x14ac:dyDescent="0.3">
      <c r="A461" t="s">
        <v>15</v>
      </c>
      <c r="B461" s="1">
        <v>45869</v>
      </c>
      <c r="C461">
        <v>250020</v>
      </c>
      <c r="D461">
        <v>-895.91800000000001</v>
      </c>
      <c r="E461" t="s">
        <v>4</v>
      </c>
      <c r="F461" t="s">
        <v>45</v>
      </c>
      <c r="G461" t="s">
        <v>5</v>
      </c>
    </row>
    <row r="462" spans="1:7" x14ac:dyDescent="0.3">
      <c r="A462" t="s">
        <v>15</v>
      </c>
      <c r="B462" s="1">
        <v>45869</v>
      </c>
      <c r="C462">
        <v>250021</v>
      </c>
      <c r="D462">
        <v>-30413.647000000001</v>
      </c>
      <c r="E462" t="s">
        <v>4</v>
      </c>
      <c r="F462" t="s">
        <v>45</v>
      </c>
      <c r="G462" t="s">
        <v>5</v>
      </c>
    </row>
    <row r="463" spans="1:7" x14ac:dyDescent="0.3">
      <c r="A463" t="s">
        <v>15</v>
      </c>
      <c r="B463" s="1">
        <v>45869</v>
      </c>
      <c r="C463">
        <v>250022</v>
      </c>
      <c r="D463">
        <v>25876.642</v>
      </c>
      <c r="E463" t="s">
        <v>4</v>
      </c>
      <c r="F463" t="s">
        <v>45</v>
      </c>
      <c r="G463" t="s">
        <v>5</v>
      </c>
    </row>
    <row r="464" spans="1:7" x14ac:dyDescent="0.3">
      <c r="A464" t="s">
        <v>15</v>
      </c>
      <c r="B464" s="1">
        <v>45869</v>
      </c>
      <c r="C464">
        <v>251002</v>
      </c>
      <c r="D464">
        <v>-2753.6489999999999</v>
      </c>
      <c r="E464" t="s">
        <v>4</v>
      </c>
      <c r="F464" t="s">
        <v>45</v>
      </c>
      <c r="G464" t="s">
        <v>5</v>
      </c>
    </row>
    <row r="465" spans="1:7" x14ac:dyDescent="0.3">
      <c r="A465" t="s">
        <v>15</v>
      </c>
      <c r="B465" s="1">
        <v>45869</v>
      </c>
      <c r="C465">
        <v>251003</v>
      </c>
      <c r="D465">
        <v>-3254.5920000000001</v>
      </c>
      <c r="E465" t="s">
        <v>4</v>
      </c>
      <c r="F465" t="s">
        <v>45</v>
      </c>
      <c r="G465" t="s">
        <v>5</v>
      </c>
    </row>
    <row r="466" spans="1:7" x14ac:dyDescent="0.3">
      <c r="A466" t="s">
        <v>15</v>
      </c>
      <c r="B466" s="1">
        <v>45869</v>
      </c>
      <c r="C466">
        <v>255008</v>
      </c>
      <c r="D466">
        <v>-2747.308</v>
      </c>
      <c r="E466" t="s">
        <v>4</v>
      </c>
      <c r="F466" t="s">
        <v>43</v>
      </c>
      <c r="G466" t="s">
        <v>5</v>
      </c>
    </row>
    <row r="467" spans="1:7" x14ac:dyDescent="0.3">
      <c r="A467" t="s">
        <v>15</v>
      </c>
      <c r="B467" s="1">
        <v>45869</v>
      </c>
      <c r="C467">
        <v>255009</v>
      </c>
      <c r="D467">
        <v>-1052.415</v>
      </c>
      <c r="E467" t="s">
        <v>4</v>
      </c>
      <c r="F467" t="s">
        <v>43</v>
      </c>
      <c r="G467" t="s">
        <v>5</v>
      </c>
    </row>
    <row r="468" spans="1:7" x14ac:dyDescent="0.3">
      <c r="A468" t="s">
        <v>15</v>
      </c>
      <c r="B468" s="1">
        <v>45869</v>
      </c>
      <c r="C468">
        <v>255010</v>
      </c>
      <c r="D468">
        <v>-960.99099999999999</v>
      </c>
      <c r="E468" t="s">
        <v>4</v>
      </c>
      <c r="F468" t="s">
        <v>43</v>
      </c>
      <c r="G468" t="s">
        <v>5</v>
      </c>
    </row>
    <row r="469" spans="1:7" x14ac:dyDescent="0.3">
      <c r="A469" t="s">
        <v>15</v>
      </c>
      <c r="B469" s="1">
        <v>45869</v>
      </c>
      <c r="C469">
        <v>255011</v>
      </c>
      <c r="D469">
        <v>-1831.722</v>
      </c>
      <c r="E469" t="s">
        <v>4</v>
      </c>
      <c r="F469" t="s">
        <v>43</v>
      </c>
      <c r="G469" t="s">
        <v>5</v>
      </c>
    </row>
    <row r="470" spans="1:7" x14ac:dyDescent="0.3">
      <c r="A470" t="s">
        <v>15</v>
      </c>
      <c r="B470" s="1">
        <v>45869</v>
      </c>
      <c r="C470">
        <v>255012</v>
      </c>
      <c r="D470">
        <v>-1143.0150000000001</v>
      </c>
      <c r="E470" t="s">
        <v>4</v>
      </c>
      <c r="F470" t="s">
        <v>43</v>
      </c>
      <c r="G470" t="s">
        <v>5</v>
      </c>
    </row>
    <row r="471" spans="1:7" x14ac:dyDescent="0.3">
      <c r="A471" t="s">
        <v>15</v>
      </c>
      <c r="B471" s="1">
        <v>45869</v>
      </c>
      <c r="C471">
        <v>255015</v>
      </c>
      <c r="D471">
        <v>-1016.847</v>
      </c>
      <c r="E471" t="s">
        <v>4</v>
      </c>
      <c r="F471" t="s">
        <v>43</v>
      </c>
      <c r="G471" t="s">
        <v>5</v>
      </c>
    </row>
    <row r="472" spans="1:7" x14ac:dyDescent="0.3">
      <c r="A472" t="s">
        <v>15</v>
      </c>
      <c r="B472" s="1">
        <v>45869</v>
      </c>
      <c r="C472">
        <v>255016</v>
      </c>
      <c r="D472">
        <v>-597.12800000000004</v>
      </c>
      <c r="E472" t="s">
        <v>4</v>
      </c>
      <c r="F472" t="s">
        <v>43</v>
      </c>
      <c r="G472" t="s">
        <v>5</v>
      </c>
    </row>
    <row r="473" spans="1:7" x14ac:dyDescent="0.3">
      <c r="A473" t="s">
        <v>15</v>
      </c>
      <c r="B473" s="1">
        <v>45869</v>
      </c>
      <c r="C473">
        <v>255017</v>
      </c>
      <c r="D473">
        <v>-570.61099999999999</v>
      </c>
      <c r="E473" t="s">
        <v>4</v>
      </c>
      <c r="F473" t="s">
        <v>43</v>
      </c>
      <c r="G473" t="s">
        <v>5</v>
      </c>
    </row>
    <row r="474" spans="1:7" x14ac:dyDescent="0.3">
      <c r="A474" t="s">
        <v>15</v>
      </c>
      <c r="B474" s="1">
        <v>45869</v>
      </c>
      <c r="C474">
        <v>255018</v>
      </c>
      <c r="D474">
        <v>-570.08500000000004</v>
      </c>
      <c r="E474" t="s">
        <v>4</v>
      </c>
      <c r="F474" t="s">
        <v>43</v>
      </c>
      <c r="G474" t="s">
        <v>5</v>
      </c>
    </row>
    <row r="475" spans="1:7" x14ac:dyDescent="0.3">
      <c r="A475" t="s">
        <v>15</v>
      </c>
      <c r="B475" s="1">
        <v>45869</v>
      </c>
      <c r="C475">
        <v>255019</v>
      </c>
      <c r="D475">
        <v>-1214.8710000000001</v>
      </c>
      <c r="E475" t="s">
        <v>4</v>
      </c>
      <c r="F475" t="s">
        <v>43</v>
      </c>
      <c r="G475" t="s">
        <v>5</v>
      </c>
    </row>
    <row r="476" spans="1:7" x14ac:dyDescent="0.3">
      <c r="A476" t="s">
        <v>15</v>
      </c>
      <c r="B476" s="1">
        <v>45869</v>
      </c>
      <c r="C476">
        <v>255020</v>
      </c>
      <c r="D476">
        <v>-867.76400000000001</v>
      </c>
      <c r="E476" t="s">
        <v>4</v>
      </c>
      <c r="F476" t="s">
        <v>43</v>
      </c>
      <c r="G476" t="s">
        <v>5</v>
      </c>
    </row>
    <row r="477" spans="1:7" x14ac:dyDescent="0.3">
      <c r="A477" t="s">
        <v>15</v>
      </c>
      <c r="B477" s="1">
        <v>45869</v>
      </c>
      <c r="C477">
        <v>257002</v>
      </c>
      <c r="D477">
        <v>-101.893</v>
      </c>
      <c r="E477" t="s">
        <v>4</v>
      </c>
      <c r="F477" t="s">
        <v>45</v>
      </c>
      <c r="G477" t="s">
        <v>5</v>
      </c>
    </row>
    <row r="478" spans="1:7" x14ac:dyDescent="0.3">
      <c r="A478" t="s">
        <v>15</v>
      </c>
      <c r="B478" s="1">
        <v>45869</v>
      </c>
      <c r="C478">
        <v>257003</v>
      </c>
      <c r="D478">
        <v>-3106.4250000000002</v>
      </c>
      <c r="E478" t="s">
        <v>4</v>
      </c>
      <c r="F478" t="s">
        <v>45</v>
      </c>
      <c r="G478" t="s">
        <v>5</v>
      </c>
    </row>
    <row r="479" spans="1:7" x14ac:dyDescent="0.3">
      <c r="A479" t="s">
        <v>15</v>
      </c>
      <c r="B479" s="1">
        <v>45869</v>
      </c>
      <c r="C479">
        <v>257005</v>
      </c>
      <c r="D479">
        <v>-157827.122</v>
      </c>
      <c r="E479" t="s">
        <v>4</v>
      </c>
      <c r="F479" t="s">
        <v>45</v>
      </c>
      <c r="G479" t="s">
        <v>5</v>
      </c>
    </row>
    <row r="480" spans="1:7" x14ac:dyDescent="0.3">
      <c r="A480" t="s">
        <v>15</v>
      </c>
      <c r="B480" s="1">
        <v>45869</v>
      </c>
      <c r="C480">
        <v>257014</v>
      </c>
      <c r="D480">
        <v>-227089.231</v>
      </c>
      <c r="E480" t="s">
        <v>4</v>
      </c>
      <c r="F480" t="s">
        <v>45</v>
      </c>
      <c r="G480" t="s">
        <v>5</v>
      </c>
    </row>
    <row r="481" spans="1:7" x14ac:dyDescent="0.3">
      <c r="A481" t="s">
        <v>15</v>
      </c>
      <c r="B481" s="1">
        <v>45869</v>
      </c>
      <c r="C481">
        <v>257015</v>
      </c>
      <c r="D481">
        <v>-14101.116</v>
      </c>
      <c r="E481" t="s">
        <v>4</v>
      </c>
      <c r="F481" t="s">
        <v>45</v>
      </c>
      <c r="G481" t="s">
        <v>5</v>
      </c>
    </row>
    <row r="482" spans="1:7" x14ac:dyDescent="0.3">
      <c r="A482" t="s">
        <v>15</v>
      </c>
      <c r="B482" s="1">
        <v>45869</v>
      </c>
      <c r="C482">
        <v>257016</v>
      </c>
      <c r="D482">
        <v>-778.85500000000002</v>
      </c>
      <c r="E482" t="s">
        <v>4</v>
      </c>
      <c r="F482" t="s">
        <v>45</v>
      </c>
      <c r="G482" t="s">
        <v>5</v>
      </c>
    </row>
    <row r="483" spans="1:7" x14ac:dyDescent="0.3">
      <c r="A483" t="s">
        <v>15</v>
      </c>
      <c r="B483" s="1">
        <v>45869</v>
      </c>
      <c r="C483">
        <v>257018</v>
      </c>
      <c r="D483">
        <v>-4770.6319999999996</v>
      </c>
      <c r="E483" t="s">
        <v>4</v>
      </c>
      <c r="F483" t="s">
        <v>45</v>
      </c>
      <c r="G483" t="s">
        <v>5</v>
      </c>
    </row>
    <row r="484" spans="1:7" x14ac:dyDescent="0.3">
      <c r="A484" t="s">
        <v>15</v>
      </c>
      <c r="B484" s="1">
        <v>45869</v>
      </c>
      <c r="C484">
        <v>257020</v>
      </c>
      <c r="D484">
        <v>-0.27</v>
      </c>
      <c r="E484" t="s">
        <v>4</v>
      </c>
      <c r="F484" t="s">
        <v>45</v>
      </c>
      <c r="G484" t="s">
        <v>5</v>
      </c>
    </row>
    <row r="485" spans="1:7" x14ac:dyDescent="0.3">
      <c r="A485" t="s">
        <v>15</v>
      </c>
      <c r="B485" s="1">
        <v>45869</v>
      </c>
      <c r="C485">
        <v>257028</v>
      </c>
      <c r="D485">
        <v>-105.277</v>
      </c>
      <c r="E485" t="s">
        <v>4</v>
      </c>
      <c r="F485" t="s">
        <v>45</v>
      </c>
      <c r="G485" t="s">
        <v>5</v>
      </c>
    </row>
    <row r="486" spans="1:7" x14ac:dyDescent="0.3">
      <c r="A486" t="s">
        <v>15</v>
      </c>
      <c r="B486" s="1">
        <v>45869</v>
      </c>
      <c r="C486">
        <v>257029</v>
      </c>
      <c r="D486">
        <v>-367.71100000000001</v>
      </c>
      <c r="E486" t="s">
        <v>4</v>
      </c>
      <c r="F486" t="s">
        <v>45</v>
      </c>
      <c r="G486" t="s">
        <v>5</v>
      </c>
    </row>
    <row r="487" spans="1:7" x14ac:dyDescent="0.3">
      <c r="A487" t="s">
        <v>15</v>
      </c>
      <c r="B487" s="1">
        <v>45869</v>
      </c>
      <c r="C487">
        <v>257030</v>
      </c>
      <c r="D487">
        <v>-993.21900000000005</v>
      </c>
      <c r="E487" t="s">
        <v>4</v>
      </c>
      <c r="F487" t="s">
        <v>45</v>
      </c>
      <c r="G487" t="s">
        <v>5</v>
      </c>
    </row>
    <row r="488" spans="1:7" x14ac:dyDescent="0.3">
      <c r="A488" t="s">
        <v>15</v>
      </c>
      <c r="B488" s="1">
        <v>45869</v>
      </c>
      <c r="C488">
        <v>257036</v>
      </c>
      <c r="D488">
        <v>-0.68200000000000005</v>
      </c>
      <c r="E488" t="s">
        <v>4</v>
      </c>
      <c r="F488" t="s">
        <v>45</v>
      </c>
      <c r="G488" t="s">
        <v>5</v>
      </c>
    </row>
    <row r="489" spans="1:7" x14ac:dyDescent="0.3">
      <c r="A489" t="s">
        <v>15</v>
      </c>
      <c r="B489" s="1">
        <v>45869</v>
      </c>
      <c r="C489">
        <v>257038</v>
      </c>
      <c r="D489">
        <v>-91.34</v>
      </c>
      <c r="E489" t="s">
        <v>4</v>
      </c>
      <c r="F489" t="s">
        <v>45</v>
      </c>
      <c r="G489" t="s">
        <v>5</v>
      </c>
    </row>
    <row r="490" spans="1:7" x14ac:dyDescent="0.3">
      <c r="A490" t="s">
        <v>15</v>
      </c>
      <c r="B490" s="1">
        <v>45869</v>
      </c>
      <c r="C490">
        <v>261014</v>
      </c>
      <c r="D490">
        <v>3165.6129999999998</v>
      </c>
      <c r="E490" t="s">
        <v>4</v>
      </c>
      <c r="F490" t="s">
        <v>45</v>
      </c>
      <c r="G490" t="s">
        <v>5</v>
      </c>
    </row>
    <row r="491" spans="1:7" x14ac:dyDescent="0.3">
      <c r="A491" t="s">
        <v>15</v>
      </c>
      <c r="B491" s="1">
        <v>45869</v>
      </c>
      <c r="C491">
        <v>261015</v>
      </c>
      <c r="D491">
        <v>0.70099999999999996</v>
      </c>
      <c r="E491" t="s">
        <v>4</v>
      </c>
      <c r="F491" t="s">
        <v>45</v>
      </c>
      <c r="G491" t="s">
        <v>5</v>
      </c>
    </row>
    <row r="492" spans="1:7" x14ac:dyDescent="0.3">
      <c r="A492" t="s">
        <v>15</v>
      </c>
      <c r="B492" s="1">
        <v>45869</v>
      </c>
      <c r="C492">
        <v>261016</v>
      </c>
      <c r="D492">
        <v>0.35</v>
      </c>
      <c r="E492" t="s">
        <v>4</v>
      </c>
      <c r="F492" t="s">
        <v>45</v>
      </c>
      <c r="G492" t="s">
        <v>5</v>
      </c>
    </row>
    <row r="493" spans="1:7" x14ac:dyDescent="0.3">
      <c r="A493" t="s">
        <v>15</v>
      </c>
      <c r="B493" s="1">
        <v>45869</v>
      </c>
      <c r="C493">
        <v>261017</v>
      </c>
      <c r="D493">
        <v>2.3809999999999998</v>
      </c>
      <c r="E493" t="s">
        <v>4</v>
      </c>
      <c r="F493" t="s">
        <v>45</v>
      </c>
      <c r="G493" t="s">
        <v>5</v>
      </c>
    </row>
    <row r="494" spans="1:7" x14ac:dyDescent="0.3">
      <c r="A494" t="s">
        <v>15</v>
      </c>
      <c r="B494" s="1">
        <v>45869</v>
      </c>
      <c r="C494">
        <v>261019</v>
      </c>
      <c r="D494">
        <v>628.71199999999999</v>
      </c>
      <c r="E494" t="s">
        <v>4</v>
      </c>
      <c r="F494" t="s">
        <v>45</v>
      </c>
      <c r="G494" t="s">
        <v>5</v>
      </c>
    </row>
    <row r="495" spans="1:7" x14ac:dyDescent="0.3">
      <c r="A495" t="s">
        <v>15</v>
      </c>
      <c r="B495" s="1">
        <v>45869</v>
      </c>
      <c r="C495">
        <v>261023</v>
      </c>
      <c r="D495">
        <v>17603.915000000001</v>
      </c>
      <c r="E495" t="s">
        <v>4</v>
      </c>
      <c r="F495" t="s">
        <v>45</v>
      </c>
      <c r="G495" t="s">
        <v>5</v>
      </c>
    </row>
    <row r="496" spans="1:7" x14ac:dyDescent="0.3">
      <c r="A496" t="s">
        <v>15</v>
      </c>
      <c r="B496" s="1">
        <v>45869</v>
      </c>
      <c r="C496">
        <v>261024</v>
      </c>
      <c r="D496">
        <v>628.71199999999999</v>
      </c>
      <c r="E496" t="s">
        <v>4</v>
      </c>
      <c r="F496" t="s">
        <v>45</v>
      </c>
      <c r="G496" t="s">
        <v>5</v>
      </c>
    </row>
    <row r="497" spans="1:7" x14ac:dyDescent="0.3">
      <c r="A497" t="s">
        <v>15</v>
      </c>
      <c r="B497" s="1">
        <v>45869</v>
      </c>
      <c r="C497">
        <v>263006</v>
      </c>
      <c r="D497">
        <v>-103079.174</v>
      </c>
      <c r="E497" t="s">
        <v>4</v>
      </c>
      <c r="F497" t="s">
        <v>45</v>
      </c>
      <c r="G497" t="s">
        <v>5</v>
      </c>
    </row>
    <row r="498" spans="1:7" x14ac:dyDescent="0.3">
      <c r="A498" t="s">
        <v>15</v>
      </c>
      <c r="B498" s="1">
        <v>45869</v>
      </c>
      <c r="C498">
        <v>263007</v>
      </c>
      <c r="D498">
        <v>-86736.468999999997</v>
      </c>
      <c r="E498" t="s">
        <v>4</v>
      </c>
      <c r="F498" t="s">
        <v>45</v>
      </c>
      <c r="G498" t="s">
        <v>5</v>
      </c>
    </row>
    <row r="499" spans="1:7" x14ac:dyDescent="0.3">
      <c r="A499" t="s">
        <v>15</v>
      </c>
      <c r="B499" s="1">
        <v>45869</v>
      </c>
      <c r="C499">
        <v>263008</v>
      </c>
      <c r="D499">
        <v>-215540.557</v>
      </c>
      <c r="E499" t="s">
        <v>4</v>
      </c>
      <c r="F499" t="s">
        <v>45</v>
      </c>
      <c r="G499" t="s">
        <v>5</v>
      </c>
    </row>
    <row r="500" spans="1:7" x14ac:dyDescent="0.3">
      <c r="A500" t="s">
        <v>15</v>
      </c>
      <c r="B500" s="1">
        <v>45869</v>
      </c>
      <c r="C500">
        <v>263010</v>
      </c>
      <c r="D500">
        <v>-1022.831</v>
      </c>
      <c r="E500" t="s">
        <v>4</v>
      </c>
      <c r="F500" t="s">
        <v>45</v>
      </c>
      <c r="G500" t="s">
        <v>5</v>
      </c>
    </row>
    <row r="501" spans="1:7" x14ac:dyDescent="0.3">
      <c r="A501" t="s">
        <v>15</v>
      </c>
      <c r="B501" s="1">
        <v>45869</v>
      </c>
      <c r="C501">
        <v>263012</v>
      </c>
      <c r="D501">
        <v>-115.176</v>
      </c>
      <c r="E501" t="s">
        <v>4</v>
      </c>
      <c r="F501" t="s">
        <v>45</v>
      </c>
      <c r="G501" t="s">
        <v>5</v>
      </c>
    </row>
    <row r="502" spans="1:7" x14ac:dyDescent="0.3">
      <c r="A502" t="s">
        <v>15</v>
      </c>
      <c r="B502" s="1">
        <v>45869</v>
      </c>
      <c r="C502">
        <v>263013</v>
      </c>
      <c r="D502">
        <v>-115.176</v>
      </c>
      <c r="E502" t="s">
        <v>4</v>
      </c>
      <c r="F502" t="s">
        <v>45</v>
      </c>
      <c r="G502" t="s">
        <v>5</v>
      </c>
    </row>
    <row r="503" spans="1:7" x14ac:dyDescent="0.3">
      <c r="A503" t="s">
        <v>15</v>
      </c>
      <c r="B503" s="1">
        <v>45869</v>
      </c>
      <c r="C503">
        <v>263014</v>
      </c>
      <c r="D503">
        <v>-10273.373</v>
      </c>
      <c r="E503" t="s">
        <v>4</v>
      </c>
      <c r="F503" t="s">
        <v>45</v>
      </c>
      <c r="G503" t="s">
        <v>5</v>
      </c>
    </row>
    <row r="504" spans="1:7" x14ac:dyDescent="0.3">
      <c r="A504" t="s">
        <v>15</v>
      </c>
      <c r="B504" s="1">
        <v>45869</v>
      </c>
      <c r="C504">
        <v>270003</v>
      </c>
      <c r="D504">
        <v>-6238.777</v>
      </c>
      <c r="E504" t="s">
        <v>4</v>
      </c>
      <c r="F504" t="s">
        <v>58</v>
      </c>
      <c r="G504" t="s">
        <v>5</v>
      </c>
    </row>
    <row r="505" spans="1:7" x14ac:dyDescent="0.3">
      <c r="A505" t="s">
        <v>15</v>
      </c>
      <c r="B505" s="1">
        <v>45869</v>
      </c>
      <c r="C505">
        <v>270005</v>
      </c>
      <c r="D505">
        <v>-44268.635999999999</v>
      </c>
      <c r="E505" t="s">
        <v>4</v>
      </c>
      <c r="F505" t="s">
        <v>58</v>
      </c>
      <c r="G505" t="s">
        <v>5</v>
      </c>
    </row>
    <row r="506" spans="1:7" x14ac:dyDescent="0.3">
      <c r="A506" t="s">
        <v>15</v>
      </c>
      <c r="B506" s="1">
        <v>45869</v>
      </c>
      <c r="C506">
        <v>270007</v>
      </c>
      <c r="D506">
        <v>-32285.670999999998</v>
      </c>
      <c r="E506" t="s">
        <v>4</v>
      </c>
      <c r="F506" t="s">
        <v>58</v>
      </c>
      <c r="G506" t="s">
        <v>5</v>
      </c>
    </row>
    <row r="507" spans="1:7" x14ac:dyDescent="0.3">
      <c r="A507" t="s">
        <v>15</v>
      </c>
      <c r="B507" s="1">
        <v>45869</v>
      </c>
      <c r="C507">
        <v>270009</v>
      </c>
      <c r="D507">
        <v>-2088.143</v>
      </c>
      <c r="E507" t="s">
        <v>4</v>
      </c>
      <c r="F507" t="s">
        <v>58</v>
      </c>
      <c r="G507" t="s">
        <v>5</v>
      </c>
    </row>
    <row r="508" spans="1:7" x14ac:dyDescent="0.3">
      <c r="A508" t="s">
        <v>15</v>
      </c>
      <c r="B508" s="1">
        <v>45869</v>
      </c>
      <c r="C508">
        <v>270011</v>
      </c>
      <c r="D508">
        <v>-994.77</v>
      </c>
      <c r="E508" t="s">
        <v>4</v>
      </c>
      <c r="F508" t="s">
        <v>58</v>
      </c>
      <c r="G508" t="s">
        <v>5</v>
      </c>
    </row>
    <row r="509" spans="1:7" x14ac:dyDescent="0.3">
      <c r="A509" t="s">
        <v>15</v>
      </c>
      <c r="B509" s="1">
        <v>45869</v>
      </c>
      <c r="C509">
        <v>270012</v>
      </c>
      <c r="D509">
        <v>-666.05399999999997</v>
      </c>
      <c r="E509" t="s">
        <v>4</v>
      </c>
      <c r="F509" t="s">
        <v>58</v>
      </c>
      <c r="G509" t="s">
        <v>5</v>
      </c>
    </row>
    <row r="510" spans="1:7" x14ac:dyDescent="0.3">
      <c r="A510" t="s">
        <v>15</v>
      </c>
      <c r="B510" s="1">
        <v>45869</v>
      </c>
      <c r="C510">
        <v>270014</v>
      </c>
      <c r="D510">
        <v>-2417.2849999999999</v>
      </c>
      <c r="E510" t="s">
        <v>4</v>
      </c>
      <c r="F510" t="s">
        <v>58</v>
      </c>
      <c r="G510" t="s">
        <v>5</v>
      </c>
    </row>
    <row r="511" spans="1:7" x14ac:dyDescent="0.3">
      <c r="A511" t="s">
        <v>15</v>
      </c>
      <c r="B511" s="1">
        <v>45869</v>
      </c>
      <c r="C511">
        <v>270015</v>
      </c>
      <c r="D511">
        <v>-1244.0550000000001</v>
      </c>
      <c r="E511" t="s">
        <v>4</v>
      </c>
      <c r="F511" t="s">
        <v>58</v>
      </c>
      <c r="G511" t="s">
        <v>5</v>
      </c>
    </row>
    <row r="512" spans="1:7" x14ac:dyDescent="0.3">
      <c r="A512" t="s">
        <v>15</v>
      </c>
      <c r="B512" s="1">
        <v>45869</v>
      </c>
      <c r="C512">
        <v>270016</v>
      </c>
      <c r="D512">
        <v>-556.70000000000005</v>
      </c>
      <c r="E512" t="s">
        <v>4</v>
      </c>
      <c r="F512" t="s">
        <v>58</v>
      </c>
      <c r="G512" t="s">
        <v>5</v>
      </c>
    </row>
    <row r="513" spans="1:7" x14ac:dyDescent="0.3">
      <c r="A513" t="s">
        <v>15</v>
      </c>
      <c r="B513" s="1">
        <v>45869</v>
      </c>
      <c r="C513">
        <v>270018</v>
      </c>
      <c r="D513">
        <v>-5731.09</v>
      </c>
      <c r="E513" t="s">
        <v>4</v>
      </c>
      <c r="F513" t="s">
        <v>58</v>
      </c>
      <c r="G513" t="s">
        <v>5</v>
      </c>
    </row>
    <row r="514" spans="1:7" x14ac:dyDescent="0.3">
      <c r="A514" t="s">
        <v>15</v>
      </c>
      <c r="B514" s="1">
        <v>45869</v>
      </c>
      <c r="C514">
        <v>270020</v>
      </c>
      <c r="D514">
        <v>-619848.52300000004</v>
      </c>
      <c r="E514" t="s">
        <v>4</v>
      </c>
      <c r="F514" t="s">
        <v>58</v>
      </c>
      <c r="G514" t="s">
        <v>5</v>
      </c>
    </row>
    <row r="515" spans="1:7" x14ac:dyDescent="0.3">
      <c r="A515" t="s">
        <v>15</v>
      </c>
      <c r="B515" s="1">
        <v>45869</v>
      </c>
      <c r="C515">
        <v>270021</v>
      </c>
      <c r="D515">
        <v>-4424.2290000000003</v>
      </c>
      <c r="E515" t="s">
        <v>4</v>
      </c>
      <c r="F515" t="s">
        <v>58</v>
      </c>
      <c r="G515" t="s">
        <v>5</v>
      </c>
    </row>
    <row r="516" spans="1:7" x14ac:dyDescent="0.3">
      <c r="A516" t="s">
        <v>15</v>
      </c>
      <c r="B516" s="1">
        <v>45869</v>
      </c>
      <c r="C516">
        <v>270024</v>
      </c>
      <c r="D516">
        <v>-378953.07500000001</v>
      </c>
      <c r="E516" t="s">
        <v>4</v>
      </c>
      <c r="F516" t="s">
        <v>58</v>
      </c>
      <c r="G516" t="s">
        <v>5</v>
      </c>
    </row>
    <row r="517" spans="1:7" x14ac:dyDescent="0.3">
      <c r="A517" t="s">
        <v>15</v>
      </c>
      <c r="B517" s="1">
        <v>45869</v>
      </c>
      <c r="C517">
        <v>270025</v>
      </c>
      <c r="D517">
        <v>-319374.87599999999</v>
      </c>
      <c r="E517" t="s">
        <v>4</v>
      </c>
      <c r="F517" t="s">
        <v>58</v>
      </c>
      <c r="G517" t="s">
        <v>5</v>
      </c>
    </row>
    <row r="518" spans="1:7" x14ac:dyDescent="0.3">
      <c r="A518" t="s">
        <v>15</v>
      </c>
      <c r="B518" s="1">
        <v>45869</v>
      </c>
      <c r="C518">
        <v>270026</v>
      </c>
      <c r="D518">
        <v>-1445042.3529999999</v>
      </c>
      <c r="E518" t="s">
        <v>4</v>
      </c>
      <c r="F518" t="s">
        <v>58</v>
      </c>
      <c r="G518" t="s">
        <v>5</v>
      </c>
    </row>
    <row r="519" spans="1:7" x14ac:dyDescent="0.3">
      <c r="A519" t="s">
        <v>15</v>
      </c>
      <c r="B519" s="1">
        <v>45869</v>
      </c>
      <c r="C519">
        <v>270027</v>
      </c>
      <c r="D519">
        <v>-395682.99599999998</v>
      </c>
      <c r="E519" t="s">
        <v>4</v>
      </c>
      <c r="F519" t="s">
        <v>58</v>
      </c>
      <c r="G519" t="s">
        <v>5</v>
      </c>
    </row>
    <row r="520" spans="1:7" x14ac:dyDescent="0.3">
      <c r="A520" t="s">
        <v>15</v>
      </c>
      <c r="B520" s="1">
        <v>45869</v>
      </c>
      <c r="C520">
        <v>275002</v>
      </c>
      <c r="D520">
        <v>54117.902999999998</v>
      </c>
      <c r="E520" t="s">
        <v>4</v>
      </c>
      <c r="F520" t="s">
        <v>58</v>
      </c>
      <c r="G520" t="s">
        <v>5</v>
      </c>
    </row>
    <row r="521" spans="1:7" x14ac:dyDescent="0.3">
      <c r="A521" t="s">
        <v>15</v>
      </c>
      <c r="B521" s="1">
        <v>45869</v>
      </c>
      <c r="C521">
        <v>300002</v>
      </c>
      <c r="D521">
        <v>123858.61500000001</v>
      </c>
      <c r="E521" t="s">
        <v>4</v>
      </c>
      <c r="F521" t="s">
        <v>65</v>
      </c>
      <c r="G521" t="s">
        <v>5</v>
      </c>
    </row>
    <row r="522" spans="1:7" x14ac:dyDescent="0.3">
      <c r="A522" t="s">
        <v>15</v>
      </c>
      <c r="B522" s="1">
        <v>45869</v>
      </c>
      <c r="C522">
        <v>300003</v>
      </c>
      <c r="D522">
        <v>1124519.148</v>
      </c>
      <c r="E522" t="s">
        <v>4</v>
      </c>
      <c r="F522" t="s">
        <v>65</v>
      </c>
      <c r="G522" t="s">
        <v>5</v>
      </c>
    </row>
    <row r="523" spans="1:7" x14ac:dyDescent="0.3">
      <c r="A523" t="s">
        <v>15</v>
      </c>
      <c r="B523" s="1">
        <v>45869</v>
      </c>
      <c r="C523">
        <v>300004</v>
      </c>
      <c r="D523">
        <v>1033880.209</v>
      </c>
      <c r="E523" t="s">
        <v>4</v>
      </c>
      <c r="F523" t="s">
        <v>65</v>
      </c>
      <c r="G523" t="s">
        <v>5</v>
      </c>
    </row>
    <row r="524" spans="1:7" x14ac:dyDescent="0.3">
      <c r="A524" t="s">
        <v>15</v>
      </c>
      <c r="B524" s="1">
        <v>45869</v>
      </c>
      <c r="C524">
        <v>300005</v>
      </c>
      <c r="D524">
        <v>465579.28700000001</v>
      </c>
      <c r="E524" t="s">
        <v>4</v>
      </c>
      <c r="F524" t="s">
        <v>65</v>
      </c>
      <c r="G524" t="s">
        <v>5</v>
      </c>
    </row>
    <row r="525" spans="1:7" x14ac:dyDescent="0.3">
      <c r="A525" t="s">
        <v>15</v>
      </c>
      <c r="B525" s="1">
        <v>45869</v>
      </c>
      <c r="C525">
        <v>300006</v>
      </c>
      <c r="D525">
        <v>5661.5780000000004</v>
      </c>
      <c r="E525" t="s">
        <v>4</v>
      </c>
      <c r="F525" t="s">
        <v>65</v>
      </c>
      <c r="G525" t="s">
        <v>5</v>
      </c>
    </row>
    <row r="526" spans="1:7" x14ac:dyDescent="0.3">
      <c r="A526" t="s">
        <v>15</v>
      </c>
      <c r="B526" s="1">
        <v>45869</v>
      </c>
      <c r="C526">
        <v>300008</v>
      </c>
      <c r="D526">
        <v>1374476.314</v>
      </c>
      <c r="E526" t="s">
        <v>4</v>
      </c>
      <c r="F526" t="s">
        <v>65</v>
      </c>
      <c r="G526" t="s">
        <v>5</v>
      </c>
    </row>
    <row r="527" spans="1:7" x14ac:dyDescent="0.3">
      <c r="A527" t="s">
        <v>15</v>
      </c>
      <c r="B527" s="1">
        <v>45869</v>
      </c>
      <c r="C527">
        <v>300009</v>
      </c>
      <c r="D527">
        <v>277794.86599999998</v>
      </c>
      <c r="E527" t="s">
        <v>4</v>
      </c>
      <c r="F527" t="s">
        <v>65</v>
      </c>
      <c r="G527" t="s">
        <v>5</v>
      </c>
    </row>
    <row r="528" spans="1:7" x14ac:dyDescent="0.3">
      <c r="A528" t="s">
        <v>15</v>
      </c>
      <c r="B528" s="1">
        <v>45869</v>
      </c>
      <c r="C528">
        <v>300010</v>
      </c>
      <c r="D528">
        <v>17407.902999999998</v>
      </c>
      <c r="E528" t="s">
        <v>4</v>
      </c>
      <c r="F528" t="s">
        <v>65</v>
      </c>
      <c r="G528" t="s">
        <v>5</v>
      </c>
    </row>
    <row r="529" spans="1:7" x14ac:dyDescent="0.3">
      <c r="A529" t="s">
        <v>15</v>
      </c>
      <c r="B529" s="1">
        <v>45869</v>
      </c>
      <c r="C529">
        <v>300011</v>
      </c>
      <c r="D529">
        <v>22888.400000000001</v>
      </c>
      <c r="E529" t="s">
        <v>4</v>
      </c>
      <c r="F529" t="s">
        <v>65</v>
      </c>
      <c r="G529" t="s">
        <v>5</v>
      </c>
    </row>
    <row r="530" spans="1:7" x14ac:dyDescent="0.3">
      <c r="A530" t="s">
        <v>15</v>
      </c>
      <c r="B530" s="1">
        <v>45869</v>
      </c>
      <c r="C530">
        <v>300012</v>
      </c>
      <c r="D530">
        <v>1777656.6070000001</v>
      </c>
      <c r="E530" t="s">
        <v>4</v>
      </c>
      <c r="F530" t="s">
        <v>65</v>
      </c>
      <c r="G530" t="s">
        <v>5</v>
      </c>
    </row>
    <row r="531" spans="1:7" x14ac:dyDescent="0.3">
      <c r="A531" t="s">
        <v>15</v>
      </c>
      <c r="B531" s="1">
        <v>45869</v>
      </c>
      <c r="C531">
        <v>300014</v>
      </c>
      <c r="D531">
        <v>1482029.45</v>
      </c>
      <c r="E531" t="s">
        <v>4</v>
      </c>
      <c r="F531" t="s">
        <v>65</v>
      </c>
      <c r="G531" t="s">
        <v>5</v>
      </c>
    </row>
    <row r="532" spans="1:7" x14ac:dyDescent="0.3">
      <c r="A532" t="s">
        <v>15</v>
      </c>
      <c r="B532" s="1">
        <v>45869</v>
      </c>
      <c r="C532">
        <v>300502</v>
      </c>
      <c r="D532">
        <v>-34733.857000000004</v>
      </c>
      <c r="E532" t="s">
        <v>4</v>
      </c>
      <c r="F532" t="s">
        <v>65</v>
      </c>
      <c r="G532" t="s">
        <v>5</v>
      </c>
    </row>
    <row r="533" spans="1:7" x14ac:dyDescent="0.3">
      <c r="A533" t="s">
        <v>15</v>
      </c>
      <c r="B533" s="1">
        <v>45869</v>
      </c>
      <c r="C533">
        <v>300503</v>
      </c>
      <c r="D533">
        <v>-761850.25800000003</v>
      </c>
      <c r="E533" t="s">
        <v>4</v>
      </c>
      <c r="F533" t="s">
        <v>65</v>
      </c>
      <c r="G533" t="s">
        <v>5</v>
      </c>
    </row>
    <row r="534" spans="1:7" x14ac:dyDescent="0.3">
      <c r="A534" t="s">
        <v>15</v>
      </c>
      <c r="B534" s="1">
        <v>45869</v>
      </c>
      <c r="C534">
        <v>300504</v>
      </c>
      <c r="D534">
        <v>-779855.674</v>
      </c>
      <c r="E534" t="s">
        <v>4</v>
      </c>
      <c r="F534" t="s">
        <v>65</v>
      </c>
      <c r="G534" t="s">
        <v>5</v>
      </c>
    </row>
    <row r="535" spans="1:7" x14ac:dyDescent="0.3">
      <c r="A535" t="s">
        <v>15</v>
      </c>
      <c r="B535" s="1">
        <v>45869</v>
      </c>
      <c r="C535">
        <v>300505</v>
      </c>
      <c r="D535">
        <v>-437049.81699999998</v>
      </c>
      <c r="E535" t="s">
        <v>4</v>
      </c>
      <c r="F535" t="s">
        <v>65</v>
      </c>
      <c r="G535" t="s">
        <v>5</v>
      </c>
    </row>
    <row r="536" spans="1:7" x14ac:dyDescent="0.3">
      <c r="A536" t="s">
        <v>15</v>
      </c>
      <c r="B536" s="1">
        <v>45869</v>
      </c>
      <c r="C536">
        <v>300506</v>
      </c>
      <c r="D536">
        <v>-1894.32</v>
      </c>
      <c r="E536" t="s">
        <v>4</v>
      </c>
      <c r="F536" t="s">
        <v>65</v>
      </c>
      <c r="G536" t="s">
        <v>5</v>
      </c>
    </row>
    <row r="537" spans="1:7" x14ac:dyDescent="0.3">
      <c r="A537" t="s">
        <v>15</v>
      </c>
      <c r="B537" s="1">
        <v>45869</v>
      </c>
      <c r="C537">
        <v>300508</v>
      </c>
      <c r="D537">
        <v>-704489.42500000005</v>
      </c>
      <c r="E537" t="s">
        <v>4</v>
      </c>
      <c r="F537" t="s">
        <v>65</v>
      </c>
      <c r="G537" t="s">
        <v>5</v>
      </c>
    </row>
    <row r="538" spans="1:7" x14ac:dyDescent="0.3">
      <c r="A538" t="s">
        <v>15</v>
      </c>
      <c r="B538" s="1">
        <v>45869</v>
      </c>
      <c r="C538">
        <v>300509</v>
      </c>
      <c r="D538">
        <v>-253169.29300000001</v>
      </c>
      <c r="E538" t="s">
        <v>4</v>
      </c>
      <c r="F538" t="s">
        <v>65</v>
      </c>
      <c r="G538" t="s">
        <v>5</v>
      </c>
    </row>
    <row r="539" spans="1:7" x14ac:dyDescent="0.3">
      <c r="A539" t="s">
        <v>15</v>
      </c>
      <c r="B539" s="1">
        <v>45869</v>
      </c>
      <c r="C539">
        <v>300510</v>
      </c>
      <c r="D539">
        <v>-17157.203000000001</v>
      </c>
      <c r="E539" t="s">
        <v>4</v>
      </c>
      <c r="F539" t="s">
        <v>65</v>
      </c>
      <c r="G539" t="s">
        <v>5</v>
      </c>
    </row>
    <row r="540" spans="1:7" x14ac:dyDescent="0.3">
      <c r="A540" t="s">
        <v>15</v>
      </c>
      <c r="B540" s="1">
        <v>45869</v>
      </c>
      <c r="C540">
        <v>300511</v>
      </c>
      <c r="D540">
        <v>-22157.323</v>
      </c>
      <c r="E540" t="s">
        <v>4</v>
      </c>
      <c r="F540" t="s">
        <v>65</v>
      </c>
      <c r="G540" t="s">
        <v>5</v>
      </c>
    </row>
    <row r="541" spans="1:7" x14ac:dyDescent="0.3">
      <c r="A541" t="s">
        <v>15</v>
      </c>
      <c r="B541" s="1">
        <v>45869</v>
      </c>
      <c r="C541">
        <v>300512</v>
      </c>
      <c r="D541">
        <v>-1559746.841</v>
      </c>
      <c r="E541" t="s">
        <v>4</v>
      </c>
      <c r="F541" t="s">
        <v>65</v>
      </c>
      <c r="G541" t="s">
        <v>5</v>
      </c>
    </row>
    <row r="542" spans="1:7" x14ac:dyDescent="0.3">
      <c r="A542" t="s">
        <v>15</v>
      </c>
      <c r="B542" s="1">
        <v>45869</v>
      </c>
      <c r="C542">
        <v>300514</v>
      </c>
      <c r="D542">
        <v>-990011.34299999999</v>
      </c>
      <c r="E542" t="s">
        <v>4</v>
      </c>
      <c r="F542" t="s">
        <v>65</v>
      </c>
      <c r="G542" t="s">
        <v>5</v>
      </c>
    </row>
    <row r="543" spans="1:7" x14ac:dyDescent="0.3">
      <c r="A543" t="s">
        <v>15</v>
      </c>
      <c r="B543" s="1">
        <v>45869</v>
      </c>
      <c r="C543">
        <v>301002</v>
      </c>
      <c r="D543">
        <v>126927.077</v>
      </c>
      <c r="E543" t="s">
        <v>4</v>
      </c>
      <c r="F543" t="s">
        <v>68</v>
      </c>
      <c r="G543" t="s">
        <v>5</v>
      </c>
    </row>
    <row r="544" spans="1:7" x14ac:dyDescent="0.3">
      <c r="A544" t="s">
        <v>15</v>
      </c>
      <c r="B544" s="1">
        <v>45869</v>
      </c>
      <c r="C544">
        <v>301004</v>
      </c>
      <c r="D544">
        <v>1967526.5</v>
      </c>
      <c r="E544" t="s">
        <v>4</v>
      </c>
      <c r="F544" t="s">
        <v>65</v>
      </c>
      <c r="G544" t="s">
        <v>5</v>
      </c>
    </row>
    <row r="545" spans="1:7" x14ac:dyDescent="0.3">
      <c r="A545" t="s">
        <v>15</v>
      </c>
      <c r="B545" s="1">
        <v>45869</v>
      </c>
      <c r="C545">
        <v>301005</v>
      </c>
      <c r="D545">
        <v>292417.38400000002</v>
      </c>
      <c r="E545" t="s">
        <v>4</v>
      </c>
      <c r="F545" t="s">
        <v>65</v>
      </c>
      <c r="G545" t="s">
        <v>5</v>
      </c>
    </row>
    <row r="546" spans="1:7" x14ac:dyDescent="0.3">
      <c r="A546" t="s">
        <v>15</v>
      </c>
      <c r="B546" s="1">
        <v>45869</v>
      </c>
      <c r="C546">
        <v>301502</v>
      </c>
      <c r="D546">
        <v>-126927.07399999999</v>
      </c>
      <c r="E546" t="s">
        <v>4</v>
      </c>
      <c r="F546" t="s">
        <v>68</v>
      </c>
      <c r="G546" t="s">
        <v>5</v>
      </c>
    </row>
    <row r="547" spans="1:7" x14ac:dyDescent="0.3">
      <c r="A547" t="s">
        <v>15</v>
      </c>
      <c r="B547" s="1">
        <v>45869</v>
      </c>
      <c r="C547">
        <v>301504</v>
      </c>
      <c r="D547">
        <v>-1842146.9920000001</v>
      </c>
      <c r="E547" t="s">
        <v>4</v>
      </c>
      <c r="F547" t="s">
        <v>65</v>
      </c>
      <c r="G547" t="s">
        <v>5</v>
      </c>
    </row>
    <row r="548" spans="1:7" x14ac:dyDescent="0.3">
      <c r="A548" t="s">
        <v>15</v>
      </c>
      <c r="B548" s="1">
        <v>45869</v>
      </c>
      <c r="C548">
        <v>301505</v>
      </c>
      <c r="D548">
        <v>-292417.37800000003</v>
      </c>
      <c r="E548" t="s">
        <v>4</v>
      </c>
      <c r="F548" t="s">
        <v>65</v>
      </c>
      <c r="G548" t="s">
        <v>5</v>
      </c>
    </row>
    <row r="549" spans="1:7" x14ac:dyDescent="0.3">
      <c r="A549" t="s">
        <v>15</v>
      </c>
      <c r="B549" s="1">
        <v>45869</v>
      </c>
      <c r="C549">
        <v>303002</v>
      </c>
      <c r="D549">
        <v>284559.00599999999</v>
      </c>
      <c r="E549" t="s">
        <v>4</v>
      </c>
      <c r="F549" t="s">
        <v>65</v>
      </c>
      <c r="G549" t="s">
        <v>5</v>
      </c>
    </row>
    <row r="550" spans="1:7" x14ac:dyDescent="0.3">
      <c r="A550" t="s">
        <v>15</v>
      </c>
      <c r="B550" s="1">
        <v>45869</v>
      </c>
      <c r="C550">
        <v>303003</v>
      </c>
      <c r="D550">
        <v>19790.762999999999</v>
      </c>
      <c r="E550" t="s">
        <v>4</v>
      </c>
      <c r="F550" t="s">
        <v>65</v>
      </c>
      <c r="G550" t="s">
        <v>5</v>
      </c>
    </row>
    <row r="551" spans="1:7" x14ac:dyDescent="0.3">
      <c r="A551" t="s">
        <v>15</v>
      </c>
      <c r="B551" s="1">
        <v>45869</v>
      </c>
      <c r="C551">
        <v>304002</v>
      </c>
      <c r="D551">
        <v>2397246.04</v>
      </c>
      <c r="E551" t="s">
        <v>4</v>
      </c>
      <c r="F551" t="s">
        <v>65</v>
      </c>
      <c r="G551" t="s">
        <v>5</v>
      </c>
    </row>
    <row r="552" spans="1:7" x14ac:dyDescent="0.3">
      <c r="A552" t="s">
        <v>15</v>
      </c>
      <c r="B552" s="1">
        <v>45869</v>
      </c>
      <c r="C552">
        <v>304502</v>
      </c>
      <c r="D552">
        <v>-1114314.0290000001</v>
      </c>
      <c r="E552" t="s">
        <v>4</v>
      </c>
      <c r="F552" t="s">
        <v>65</v>
      </c>
      <c r="G552" t="s">
        <v>5</v>
      </c>
    </row>
    <row r="553" spans="1:7" x14ac:dyDescent="0.3">
      <c r="A553" t="s">
        <v>15</v>
      </c>
      <c r="B553" s="1">
        <v>45869</v>
      </c>
      <c r="C553">
        <v>310002</v>
      </c>
      <c r="D553">
        <v>4196708.7220000001</v>
      </c>
      <c r="E553" t="s">
        <v>4</v>
      </c>
      <c r="F553" t="s">
        <v>42</v>
      </c>
      <c r="G553" t="s">
        <v>5</v>
      </c>
    </row>
    <row r="554" spans="1:7" x14ac:dyDescent="0.3">
      <c r="A554" t="s">
        <v>15</v>
      </c>
      <c r="B554" s="1">
        <v>45869</v>
      </c>
      <c r="C554">
        <v>310004</v>
      </c>
      <c r="D554">
        <v>127099.955</v>
      </c>
      <c r="E554" t="s">
        <v>4</v>
      </c>
      <c r="F554" t="s">
        <v>42</v>
      </c>
      <c r="G554" t="s">
        <v>5</v>
      </c>
    </row>
    <row r="555" spans="1:7" x14ac:dyDescent="0.3">
      <c r="A555" t="s">
        <v>15</v>
      </c>
      <c r="B555" s="1">
        <v>45869</v>
      </c>
      <c r="C555">
        <v>310005</v>
      </c>
      <c r="D555">
        <v>138903.25</v>
      </c>
      <c r="E555" t="s">
        <v>4</v>
      </c>
      <c r="F555" t="s">
        <v>42</v>
      </c>
      <c r="G555" t="s">
        <v>5</v>
      </c>
    </row>
    <row r="556" spans="1:7" x14ac:dyDescent="0.3">
      <c r="A556" t="s">
        <v>15</v>
      </c>
      <c r="B556" s="1">
        <v>45869</v>
      </c>
      <c r="C556">
        <v>310007</v>
      </c>
      <c r="D556">
        <v>334751.18699999998</v>
      </c>
      <c r="E556" t="s">
        <v>4</v>
      </c>
      <c r="F556" t="s">
        <v>42</v>
      </c>
      <c r="G556" t="s">
        <v>5</v>
      </c>
    </row>
    <row r="557" spans="1:7" x14ac:dyDescent="0.3">
      <c r="A557" t="s">
        <v>15</v>
      </c>
      <c r="B557" s="1">
        <v>45869</v>
      </c>
      <c r="C557">
        <v>310016</v>
      </c>
      <c r="D557">
        <v>727512.65</v>
      </c>
      <c r="E557" t="s">
        <v>4</v>
      </c>
      <c r="F557" t="s">
        <v>42</v>
      </c>
      <c r="G557" t="s">
        <v>5</v>
      </c>
    </row>
    <row r="558" spans="1:7" x14ac:dyDescent="0.3">
      <c r="A558" t="s">
        <v>15</v>
      </c>
      <c r="B558" s="1">
        <v>45869</v>
      </c>
      <c r="C558">
        <v>310017</v>
      </c>
      <c r="D558">
        <v>39387.707000000002</v>
      </c>
      <c r="E558" t="s">
        <v>4</v>
      </c>
      <c r="F558" t="s">
        <v>42</v>
      </c>
      <c r="G558" t="s">
        <v>5</v>
      </c>
    </row>
    <row r="559" spans="1:7" x14ac:dyDescent="0.3">
      <c r="A559" t="s">
        <v>15</v>
      </c>
      <c r="B559" s="1">
        <v>45869</v>
      </c>
      <c r="C559">
        <v>310021</v>
      </c>
      <c r="D559">
        <v>63.031999999999996</v>
      </c>
      <c r="E559" t="s">
        <v>4</v>
      </c>
      <c r="F559" t="s">
        <v>42</v>
      </c>
      <c r="G559" t="s">
        <v>5</v>
      </c>
    </row>
    <row r="560" spans="1:7" x14ac:dyDescent="0.3">
      <c r="A560" t="s">
        <v>15</v>
      </c>
      <c r="B560" s="1">
        <v>45869</v>
      </c>
      <c r="C560">
        <v>310031</v>
      </c>
      <c r="D560">
        <v>73609.5</v>
      </c>
      <c r="E560" t="s">
        <v>4</v>
      </c>
      <c r="F560" t="s">
        <v>42</v>
      </c>
      <c r="G560" t="s">
        <v>5</v>
      </c>
    </row>
    <row r="561" spans="1:7" x14ac:dyDescent="0.3">
      <c r="A561" t="s">
        <v>15</v>
      </c>
      <c r="B561" s="1">
        <v>45869</v>
      </c>
      <c r="C561">
        <v>310034</v>
      </c>
      <c r="D561">
        <v>3.9E-2</v>
      </c>
      <c r="E561" t="s">
        <v>4</v>
      </c>
      <c r="F561" t="s">
        <v>42</v>
      </c>
      <c r="G561" t="s">
        <v>5</v>
      </c>
    </row>
    <row r="562" spans="1:7" x14ac:dyDescent="0.3">
      <c r="A562" t="s">
        <v>15</v>
      </c>
      <c r="B562" s="1">
        <v>45869</v>
      </c>
      <c r="C562">
        <v>310036</v>
      </c>
      <c r="D562">
        <v>40145.775000000001</v>
      </c>
      <c r="E562" t="s">
        <v>4</v>
      </c>
      <c r="F562" t="s">
        <v>42</v>
      </c>
      <c r="G562" t="s">
        <v>5</v>
      </c>
    </row>
    <row r="563" spans="1:7" x14ac:dyDescent="0.3">
      <c r="A563" t="s">
        <v>15</v>
      </c>
      <c r="B563" s="1">
        <v>45869</v>
      </c>
      <c r="C563">
        <v>315003</v>
      </c>
      <c r="D563">
        <v>313331.38299999997</v>
      </c>
      <c r="E563" t="s">
        <v>4</v>
      </c>
      <c r="F563" t="s">
        <v>47</v>
      </c>
      <c r="G563" t="s">
        <v>5</v>
      </c>
    </row>
    <row r="564" spans="1:7" x14ac:dyDescent="0.3">
      <c r="A564" t="s">
        <v>15</v>
      </c>
      <c r="B564" s="1">
        <v>45869</v>
      </c>
      <c r="C564">
        <v>315004</v>
      </c>
      <c r="D564">
        <v>119958.97199999999</v>
      </c>
      <c r="E564" t="s">
        <v>4</v>
      </c>
      <c r="F564" t="s">
        <v>47</v>
      </c>
      <c r="G564" t="s">
        <v>5</v>
      </c>
    </row>
    <row r="565" spans="1:7" x14ac:dyDescent="0.3">
      <c r="A565" t="s">
        <v>15</v>
      </c>
      <c r="B565" s="1">
        <v>45869</v>
      </c>
      <c r="C565">
        <v>315010</v>
      </c>
      <c r="D565">
        <v>16089.795</v>
      </c>
      <c r="E565" t="s">
        <v>4</v>
      </c>
      <c r="F565" t="s">
        <v>47</v>
      </c>
      <c r="G565" t="s">
        <v>5</v>
      </c>
    </row>
    <row r="566" spans="1:7" x14ac:dyDescent="0.3">
      <c r="A566" t="s">
        <v>15</v>
      </c>
      <c r="B566" s="1">
        <v>45869</v>
      </c>
      <c r="C566">
        <v>315011</v>
      </c>
      <c r="D566">
        <v>310443.89500000002</v>
      </c>
      <c r="E566" t="s">
        <v>4</v>
      </c>
      <c r="F566" t="s">
        <v>47</v>
      </c>
      <c r="G566" t="s">
        <v>5</v>
      </c>
    </row>
    <row r="567" spans="1:7" x14ac:dyDescent="0.3">
      <c r="A567" t="s">
        <v>15</v>
      </c>
      <c r="B567" s="1">
        <v>45869</v>
      </c>
      <c r="C567">
        <v>315012</v>
      </c>
      <c r="D567">
        <v>95520.066000000006</v>
      </c>
      <c r="E567" t="s">
        <v>4</v>
      </c>
      <c r="F567" t="s">
        <v>47</v>
      </c>
      <c r="G567" t="s">
        <v>5</v>
      </c>
    </row>
    <row r="568" spans="1:7" x14ac:dyDescent="0.3">
      <c r="A568" t="s">
        <v>15</v>
      </c>
      <c r="B568" s="1">
        <v>45869</v>
      </c>
      <c r="C568">
        <v>315013</v>
      </c>
      <c r="D568">
        <v>299737.24200000003</v>
      </c>
      <c r="E568" t="s">
        <v>4</v>
      </c>
      <c r="F568" t="s">
        <v>47</v>
      </c>
      <c r="G568" t="s">
        <v>5</v>
      </c>
    </row>
    <row r="569" spans="1:7" x14ac:dyDescent="0.3">
      <c r="A569" t="s">
        <v>15</v>
      </c>
      <c r="B569" s="1">
        <v>45869</v>
      </c>
      <c r="C569">
        <v>315017</v>
      </c>
      <c r="D569">
        <v>61996.9</v>
      </c>
      <c r="E569" t="s">
        <v>4</v>
      </c>
      <c r="F569" t="s">
        <v>47</v>
      </c>
      <c r="G569" t="s">
        <v>5</v>
      </c>
    </row>
    <row r="570" spans="1:7" x14ac:dyDescent="0.3">
      <c r="A570" t="s">
        <v>15</v>
      </c>
      <c r="B570" s="1">
        <v>45869</v>
      </c>
      <c r="C570">
        <v>315018</v>
      </c>
      <c r="D570">
        <v>232779.80900000001</v>
      </c>
      <c r="E570" t="s">
        <v>4</v>
      </c>
      <c r="F570" t="s">
        <v>47</v>
      </c>
      <c r="G570" t="s">
        <v>5</v>
      </c>
    </row>
    <row r="571" spans="1:7" x14ac:dyDescent="0.3">
      <c r="A571" t="s">
        <v>15</v>
      </c>
      <c r="B571" s="1">
        <v>45869</v>
      </c>
      <c r="C571">
        <v>316002</v>
      </c>
      <c r="D571">
        <v>155259.005</v>
      </c>
      <c r="E571" t="s">
        <v>4</v>
      </c>
      <c r="F571" t="s">
        <v>47</v>
      </c>
      <c r="G571" t="s">
        <v>5</v>
      </c>
    </row>
    <row r="572" spans="1:7" x14ac:dyDescent="0.3">
      <c r="A572" t="s">
        <v>15</v>
      </c>
      <c r="B572" s="1">
        <v>45869</v>
      </c>
      <c r="C572">
        <v>316003</v>
      </c>
      <c r="D572">
        <v>308953.74800000002</v>
      </c>
      <c r="E572" t="s">
        <v>4</v>
      </c>
      <c r="F572" t="s">
        <v>47</v>
      </c>
      <c r="G572" t="s">
        <v>5</v>
      </c>
    </row>
    <row r="573" spans="1:7" x14ac:dyDescent="0.3">
      <c r="A573" t="s">
        <v>15</v>
      </c>
      <c r="B573" s="1">
        <v>45869</v>
      </c>
      <c r="C573">
        <v>316004</v>
      </c>
      <c r="D573">
        <v>155000.155</v>
      </c>
      <c r="E573" t="s">
        <v>4</v>
      </c>
      <c r="F573" t="s">
        <v>47</v>
      </c>
      <c r="G573" t="s">
        <v>5</v>
      </c>
    </row>
    <row r="574" spans="1:7" x14ac:dyDescent="0.3">
      <c r="A574" t="s">
        <v>15</v>
      </c>
      <c r="B574" s="1">
        <v>45869</v>
      </c>
      <c r="C574">
        <v>316005</v>
      </c>
      <c r="D574">
        <v>312774.511</v>
      </c>
      <c r="E574" t="s">
        <v>4</v>
      </c>
      <c r="F574" t="s">
        <v>47</v>
      </c>
      <c r="G574" t="s">
        <v>5</v>
      </c>
    </row>
    <row r="575" spans="1:7" x14ac:dyDescent="0.3">
      <c r="A575" t="s">
        <v>15</v>
      </c>
      <c r="B575" s="1">
        <v>45869</v>
      </c>
      <c r="C575">
        <v>320002</v>
      </c>
      <c r="D575">
        <v>115596.681</v>
      </c>
      <c r="E575" t="s">
        <v>4</v>
      </c>
      <c r="F575" t="s">
        <v>46</v>
      </c>
      <c r="G575" t="s">
        <v>5</v>
      </c>
    </row>
    <row r="576" spans="1:7" x14ac:dyDescent="0.3">
      <c r="A576" t="s">
        <v>15</v>
      </c>
      <c r="B576" s="1">
        <v>45869</v>
      </c>
      <c r="C576">
        <v>320003</v>
      </c>
      <c r="D576">
        <v>1240393.676</v>
      </c>
      <c r="E576" t="s">
        <v>4</v>
      </c>
      <c r="F576" t="s">
        <v>46</v>
      </c>
      <c r="G576" t="s">
        <v>5</v>
      </c>
    </row>
    <row r="577" spans="1:7" x14ac:dyDescent="0.3">
      <c r="A577" t="s">
        <v>15</v>
      </c>
      <c r="B577" s="1">
        <v>45869</v>
      </c>
      <c r="C577">
        <v>320004</v>
      </c>
      <c r="D577">
        <v>1535.115</v>
      </c>
      <c r="E577" t="s">
        <v>4</v>
      </c>
      <c r="F577" t="s">
        <v>46</v>
      </c>
      <c r="G577" t="s">
        <v>5</v>
      </c>
    </row>
    <row r="578" spans="1:7" x14ac:dyDescent="0.3">
      <c r="A578" t="s">
        <v>15</v>
      </c>
      <c r="B578" s="1">
        <v>45869</v>
      </c>
      <c r="C578">
        <v>320006</v>
      </c>
      <c r="D578">
        <v>-322.97399999999999</v>
      </c>
      <c r="E578" t="s">
        <v>4</v>
      </c>
      <c r="F578" t="s">
        <v>46</v>
      </c>
      <c r="G578" t="s">
        <v>5</v>
      </c>
    </row>
    <row r="579" spans="1:7" x14ac:dyDescent="0.3">
      <c r="A579" t="s">
        <v>15</v>
      </c>
      <c r="B579" s="1">
        <v>45869</v>
      </c>
      <c r="C579">
        <v>320008</v>
      </c>
      <c r="D579">
        <v>-360.39699999999999</v>
      </c>
      <c r="E579" t="s">
        <v>4</v>
      </c>
      <c r="F579" t="s">
        <v>46</v>
      </c>
      <c r="G579" t="s">
        <v>5</v>
      </c>
    </row>
    <row r="580" spans="1:7" x14ac:dyDescent="0.3">
      <c r="A580" t="s">
        <v>15</v>
      </c>
      <c r="B580" s="1">
        <v>45869</v>
      </c>
      <c r="C580">
        <v>320010</v>
      </c>
      <c r="D580">
        <v>-83042.706000000006</v>
      </c>
      <c r="E580" t="s">
        <v>4</v>
      </c>
      <c r="F580" t="s">
        <v>46</v>
      </c>
      <c r="G580" t="s">
        <v>5</v>
      </c>
    </row>
    <row r="581" spans="1:7" x14ac:dyDescent="0.3">
      <c r="A581" t="s">
        <v>15</v>
      </c>
      <c r="B581" s="1">
        <v>45869</v>
      </c>
      <c r="C581">
        <v>320013</v>
      </c>
      <c r="D581">
        <v>-36576.688000000002</v>
      </c>
      <c r="E581" t="s">
        <v>4</v>
      </c>
      <c r="F581" t="s">
        <v>46</v>
      </c>
      <c r="G581" t="s">
        <v>5</v>
      </c>
    </row>
    <row r="582" spans="1:7" x14ac:dyDescent="0.3">
      <c r="A582" t="s">
        <v>15</v>
      </c>
      <c r="B582" s="1">
        <v>45869</v>
      </c>
      <c r="C582">
        <v>320016</v>
      </c>
      <c r="D582">
        <v>-25104.531999999999</v>
      </c>
      <c r="E582" t="s">
        <v>4</v>
      </c>
      <c r="F582" t="s">
        <v>46</v>
      </c>
      <c r="G582" t="s">
        <v>5</v>
      </c>
    </row>
    <row r="583" spans="1:7" x14ac:dyDescent="0.3">
      <c r="A583" t="s">
        <v>15</v>
      </c>
      <c r="B583" s="1">
        <v>45869</v>
      </c>
      <c r="C583">
        <v>320017</v>
      </c>
      <c r="D583">
        <v>1585.3969999999999</v>
      </c>
      <c r="E583" t="s">
        <v>4</v>
      </c>
      <c r="F583" t="s">
        <v>46</v>
      </c>
      <c r="G583" t="s">
        <v>5</v>
      </c>
    </row>
    <row r="584" spans="1:7" x14ac:dyDescent="0.3">
      <c r="A584" t="s">
        <v>15</v>
      </c>
      <c r="B584" s="1">
        <v>45869</v>
      </c>
      <c r="C584">
        <v>320018</v>
      </c>
      <c r="D584">
        <v>-1247.9570000000001</v>
      </c>
      <c r="E584" t="s">
        <v>4</v>
      </c>
      <c r="F584" t="s">
        <v>46</v>
      </c>
      <c r="G584" t="s">
        <v>5</v>
      </c>
    </row>
    <row r="585" spans="1:7" x14ac:dyDescent="0.3">
      <c r="A585" t="s">
        <v>15</v>
      </c>
      <c r="B585" s="1">
        <v>45869</v>
      </c>
      <c r="C585">
        <v>320019</v>
      </c>
      <c r="D585">
        <v>-21.771000000000001</v>
      </c>
      <c r="E585" t="s">
        <v>4</v>
      </c>
      <c r="F585" t="s">
        <v>46</v>
      </c>
      <c r="G585" t="s">
        <v>5</v>
      </c>
    </row>
    <row r="586" spans="1:7" x14ac:dyDescent="0.3">
      <c r="A586" t="s">
        <v>15</v>
      </c>
      <c r="B586" s="1">
        <v>45869</v>
      </c>
      <c r="C586">
        <v>320020</v>
      </c>
      <c r="D586">
        <v>-2391.4409999999998</v>
      </c>
      <c r="E586" t="s">
        <v>4</v>
      </c>
      <c r="F586" t="s">
        <v>46</v>
      </c>
      <c r="G586" t="s">
        <v>5</v>
      </c>
    </row>
    <row r="587" spans="1:7" x14ac:dyDescent="0.3">
      <c r="A587" t="s">
        <v>15</v>
      </c>
      <c r="B587" s="1">
        <v>45869</v>
      </c>
      <c r="C587">
        <v>320023</v>
      </c>
      <c r="D587">
        <v>-164990.63099999999</v>
      </c>
      <c r="E587" t="s">
        <v>4</v>
      </c>
      <c r="F587" t="s">
        <v>46</v>
      </c>
      <c r="G587" t="s">
        <v>5</v>
      </c>
    </row>
    <row r="588" spans="1:7" x14ac:dyDescent="0.3">
      <c r="A588" t="s">
        <v>15</v>
      </c>
      <c r="B588" s="1">
        <v>45869</v>
      </c>
      <c r="C588">
        <v>320024</v>
      </c>
      <c r="D588">
        <v>22203.683000000001</v>
      </c>
      <c r="E588" t="s">
        <v>4</v>
      </c>
      <c r="F588" t="s">
        <v>46</v>
      </c>
      <c r="G588" t="s">
        <v>5</v>
      </c>
    </row>
    <row r="589" spans="1:7" x14ac:dyDescent="0.3">
      <c r="A589" t="s">
        <v>15</v>
      </c>
      <c r="B589" s="1">
        <v>45869</v>
      </c>
      <c r="C589">
        <v>320025</v>
      </c>
      <c r="D589">
        <v>-18663.946</v>
      </c>
      <c r="E589" t="s">
        <v>4</v>
      </c>
      <c r="F589" t="s">
        <v>46</v>
      </c>
      <c r="G589" t="s">
        <v>5</v>
      </c>
    </row>
    <row r="590" spans="1:7" x14ac:dyDescent="0.3">
      <c r="A590" t="s">
        <v>15</v>
      </c>
      <c r="B590" s="1">
        <v>45869</v>
      </c>
      <c r="C590">
        <v>321002</v>
      </c>
      <c r="D590">
        <v>1238917.452</v>
      </c>
      <c r="E590" t="s">
        <v>4</v>
      </c>
      <c r="F590" t="s">
        <v>46</v>
      </c>
      <c r="G590" t="s">
        <v>5</v>
      </c>
    </row>
    <row r="591" spans="1:7" x14ac:dyDescent="0.3">
      <c r="A591" t="s">
        <v>15</v>
      </c>
      <c r="B591" s="1">
        <v>45869</v>
      </c>
      <c r="C591">
        <v>321004</v>
      </c>
      <c r="D591">
        <v>164519.95300000001</v>
      </c>
      <c r="E591" t="s">
        <v>4</v>
      </c>
      <c r="F591" t="s">
        <v>46</v>
      </c>
      <c r="G591" t="s">
        <v>5</v>
      </c>
    </row>
    <row r="592" spans="1:7" x14ac:dyDescent="0.3">
      <c r="A592" t="s">
        <v>15</v>
      </c>
      <c r="B592" s="1">
        <v>45869</v>
      </c>
      <c r="C592">
        <v>321010</v>
      </c>
      <c r="D592">
        <v>-131763.761</v>
      </c>
      <c r="E592" t="s">
        <v>4</v>
      </c>
      <c r="F592" t="s">
        <v>46</v>
      </c>
      <c r="G592" t="s">
        <v>5</v>
      </c>
    </row>
    <row r="593" spans="1:7" x14ac:dyDescent="0.3">
      <c r="A593" t="s">
        <v>15</v>
      </c>
      <c r="B593" s="1">
        <v>45869</v>
      </c>
      <c r="C593">
        <v>321012</v>
      </c>
      <c r="D593">
        <v>138161.35399999999</v>
      </c>
      <c r="E593" t="s">
        <v>4</v>
      </c>
      <c r="F593" t="s">
        <v>46</v>
      </c>
      <c r="G593" t="s">
        <v>5</v>
      </c>
    </row>
    <row r="594" spans="1:7" x14ac:dyDescent="0.3">
      <c r="A594" t="s">
        <v>15</v>
      </c>
      <c r="B594" s="1">
        <v>45869</v>
      </c>
      <c r="C594">
        <v>321013</v>
      </c>
      <c r="D594">
        <v>547557.505</v>
      </c>
      <c r="E594" t="s">
        <v>4</v>
      </c>
      <c r="F594" t="s">
        <v>46</v>
      </c>
      <c r="G594" t="s">
        <v>5</v>
      </c>
    </row>
    <row r="595" spans="1:7" x14ac:dyDescent="0.3">
      <c r="A595" t="s">
        <v>15</v>
      </c>
      <c r="B595" s="1">
        <v>45869</v>
      </c>
      <c r="C595">
        <v>321014</v>
      </c>
      <c r="D595">
        <v>69229.006999999998</v>
      </c>
      <c r="E595" t="s">
        <v>4</v>
      </c>
      <c r="F595" t="s">
        <v>46</v>
      </c>
      <c r="G595" t="s">
        <v>5</v>
      </c>
    </row>
    <row r="596" spans="1:7" x14ac:dyDescent="0.3">
      <c r="A596" t="s">
        <v>15</v>
      </c>
      <c r="B596" s="1">
        <v>45869</v>
      </c>
      <c r="C596">
        <v>321017</v>
      </c>
      <c r="D596">
        <v>-10871.42</v>
      </c>
      <c r="E596" t="s">
        <v>4</v>
      </c>
      <c r="F596" t="s">
        <v>46</v>
      </c>
      <c r="G596" t="s">
        <v>5</v>
      </c>
    </row>
    <row r="597" spans="1:7" x14ac:dyDescent="0.3">
      <c r="A597" t="s">
        <v>15</v>
      </c>
      <c r="B597" s="1">
        <v>45869</v>
      </c>
      <c r="C597">
        <v>321018</v>
      </c>
      <c r="D597">
        <v>8703.9380000000001</v>
      </c>
      <c r="E597" t="s">
        <v>4</v>
      </c>
      <c r="F597" t="s">
        <v>46</v>
      </c>
      <c r="G597" t="s">
        <v>5</v>
      </c>
    </row>
    <row r="598" spans="1:7" x14ac:dyDescent="0.3">
      <c r="A598" t="s">
        <v>15</v>
      </c>
      <c r="B598" s="1">
        <v>45869</v>
      </c>
      <c r="C598">
        <v>321021</v>
      </c>
      <c r="D598">
        <v>288865.13900000002</v>
      </c>
      <c r="E598" t="s">
        <v>4</v>
      </c>
      <c r="F598" t="s">
        <v>46</v>
      </c>
      <c r="G598" t="s">
        <v>5</v>
      </c>
    </row>
    <row r="599" spans="1:7" x14ac:dyDescent="0.3">
      <c r="A599" t="s">
        <v>15</v>
      </c>
      <c r="B599" s="1">
        <v>45869</v>
      </c>
      <c r="C599">
        <v>321025</v>
      </c>
      <c r="D599">
        <v>612374.59900000005</v>
      </c>
      <c r="E599" t="s">
        <v>4</v>
      </c>
      <c r="F599" t="s">
        <v>46</v>
      </c>
      <c r="G599" t="s">
        <v>5</v>
      </c>
    </row>
    <row r="600" spans="1:7" x14ac:dyDescent="0.3">
      <c r="A600" t="s">
        <v>15</v>
      </c>
      <c r="B600" s="1">
        <v>45869</v>
      </c>
      <c r="C600">
        <v>321027</v>
      </c>
      <c r="D600">
        <v>39498.055999999997</v>
      </c>
      <c r="E600" t="s">
        <v>4</v>
      </c>
      <c r="F600" t="s">
        <v>46</v>
      </c>
      <c r="G600" t="s">
        <v>5</v>
      </c>
    </row>
    <row r="601" spans="1:7" x14ac:dyDescent="0.3">
      <c r="A601" t="s">
        <v>15</v>
      </c>
      <c r="B601" s="1">
        <v>45869</v>
      </c>
      <c r="C601">
        <v>321028</v>
      </c>
      <c r="D601">
        <v>56107.146000000001</v>
      </c>
      <c r="E601" t="s">
        <v>4</v>
      </c>
      <c r="F601" t="s">
        <v>46</v>
      </c>
      <c r="G601" t="s">
        <v>5</v>
      </c>
    </row>
    <row r="602" spans="1:7" x14ac:dyDescent="0.3">
      <c r="A602" t="s">
        <v>15</v>
      </c>
      <c r="B602" s="1">
        <v>45869</v>
      </c>
      <c r="C602">
        <v>321029</v>
      </c>
      <c r="D602">
        <v>68061.971999999994</v>
      </c>
      <c r="E602" t="s">
        <v>4</v>
      </c>
      <c r="F602" t="s">
        <v>46</v>
      </c>
      <c r="G602" t="s">
        <v>5</v>
      </c>
    </row>
    <row r="603" spans="1:7" x14ac:dyDescent="0.3">
      <c r="A603" t="s">
        <v>15</v>
      </c>
      <c r="B603" s="1">
        <v>45869</v>
      </c>
      <c r="C603">
        <v>321030</v>
      </c>
      <c r="D603">
        <v>133526.546</v>
      </c>
      <c r="E603" t="s">
        <v>4</v>
      </c>
      <c r="F603" t="s">
        <v>46</v>
      </c>
      <c r="G603" t="s">
        <v>5</v>
      </c>
    </row>
    <row r="604" spans="1:7" x14ac:dyDescent="0.3">
      <c r="A604" t="s">
        <v>15</v>
      </c>
      <c r="B604" s="1">
        <v>45869</v>
      </c>
      <c r="C604">
        <v>321031</v>
      </c>
      <c r="D604">
        <v>255429.796</v>
      </c>
      <c r="E604" t="s">
        <v>4</v>
      </c>
      <c r="F604" t="s">
        <v>46</v>
      </c>
      <c r="G604" t="s">
        <v>5</v>
      </c>
    </row>
    <row r="605" spans="1:7" x14ac:dyDescent="0.3">
      <c r="A605" t="s">
        <v>15</v>
      </c>
      <c r="B605" s="1">
        <v>45869</v>
      </c>
      <c r="C605">
        <v>321038</v>
      </c>
      <c r="D605">
        <v>716.96299999999997</v>
      </c>
      <c r="E605" t="s">
        <v>4</v>
      </c>
      <c r="F605" t="s">
        <v>46</v>
      </c>
      <c r="G605" t="s">
        <v>5</v>
      </c>
    </row>
    <row r="606" spans="1:7" x14ac:dyDescent="0.3">
      <c r="A606" t="s">
        <v>15</v>
      </c>
      <c r="B606" s="1">
        <v>45869</v>
      </c>
      <c r="C606">
        <v>321041</v>
      </c>
      <c r="D606">
        <v>22275.537</v>
      </c>
      <c r="E606" t="s">
        <v>4</v>
      </c>
      <c r="F606" t="s">
        <v>46</v>
      </c>
      <c r="G606" t="s">
        <v>5</v>
      </c>
    </row>
    <row r="607" spans="1:7" x14ac:dyDescent="0.3">
      <c r="A607" t="s">
        <v>15</v>
      </c>
      <c r="B607" s="1">
        <v>45869</v>
      </c>
      <c r="C607">
        <v>321042</v>
      </c>
      <c r="D607">
        <v>-12806.379000000001</v>
      </c>
      <c r="E607" t="s">
        <v>4</v>
      </c>
      <c r="F607" t="s">
        <v>46</v>
      </c>
      <c r="G607" t="s">
        <v>5</v>
      </c>
    </row>
    <row r="608" spans="1:7" x14ac:dyDescent="0.3">
      <c r="A608" t="s">
        <v>15</v>
      </c>
      <c r="B608" s="1">
        <v>45869</v>
      </c>
      <c r="C608">
        <v>321045</v>
      </c>
      <c r="D608">
        <v>22262.508999999998</v>
      </c>
      <c r="E608" t="s">
        <v>4</v>
      </c>
      <c r="F608" t="s">
        <v>46</v>
      </c>
      <c r="G608" t="s">
        <v>5</v>
      </c>
    </row>
    <row r="609" spans="1:7" x14ac:dyDescent="0.3">
      <c r="A609" t="s">
        <v>15</v>
      </c>
      <c r="B609" s="1">
        <v>45869</v>
      </c>
      <c r="C609">
        <v>330002</v>
      </c>
      <c r="D609">
        <v>18770.806</v>
      </c>
      <c r="E609" t="s">
        <v>4</v>
      </c>
      <c r="F609" t="s">
        <v>43</v>
      </c>
      <c r="G609" t="s">
        <v>5</v>
      </c>
    </row>
    <row r="610" spans="1:7" x14ac:dyDescent="0.3">
      <c r="A610" t="s">
        <v>15</v>
      </c>
      <c r="B610" s="1">
        <v>45869</v>
      </c>
      <c r="C610">
        <v>330019</v>
      </c>
      <c r="D610">
        <v>-22239.883999999998</v>
      </c>
      <c r="E610" t="s">
        <v>4</v>
      </c>
      <c r="F610" t="s">
        <v>43</v>
      </c>
      <c r="G610" t="s">
        <v>5</v>
      </c>
    </row>
    <row r="611" spans="1:7" x14ac:dyDescent="0.3">
      <c r="A611" t="s">
        <v>15</v>
      </c>
      <c r="B611" s="1">
        <v>45869</v>
      </c>
      <c r="C611">
        <v>330020</v>
      </c>
      <c r="D611">
        <v>1466.354</v>
      </c>
      <c r="E611" t="s">
        <v>4</v>
      </c>
      <c r="F611" t="s">
        <v>43</v>
      </c>
      <c r="G611" t="s">
        <v>5</v>
      </c>
    </row>
    <row r="612" spans="1:7" x14ac:dyDescent="0.3">
      <c r="A612" t="s">
        <v>15</v>
      </c>
      <c r="B612" s="1">
        <v>45869</v>
      </c>
      <c r="C612">
        <v>330033</v>
      </c>
      <c r="D612">
        <v>33.048000000000002</v>
      </c>
      <c r="E612" t="s">
        <v>4</v>
      </c>
      <c r="F612" t="s">
        <v>43</v>
      </c>
      <c r="G612" t="s">
        <v>5</v>
      </c>
    </row>
    <row r="613" spans="1:7" x14ac:dyDescent="0.3">
      <c r="A613" t="s">
        <v>15</v>
      </c>
      <c r="B613" s="1">
        <v>45869</v>
      </c>
      <c r="C613">
        <v>330044</v>
      </c>
      <c r="D613">
        <v>-2057.29</v>
      </c>
      <c r="E613" t="s">
        <v>4</v>
      </c>
      <c r="F613" t="s">
        <v>43</v>
      </c>
      <c r="G613" t="s">
        <v>5</v>
      </c>
    </row>
    <row r="614" spans="1:7" x14ac:dyDescent="0.3">
      <c r="A614" t="s">
        <v>15</v>
      </c>
      <c r="B614" s="1">
        <v>45869</v>
      </c>
      <c r="C614">
        <v>330051</v>
      </c>
      <c r="D614">
        <v>5350.3530000000001</v>
      </c>
      <c r="E614" t="s">
        <v>4</v>
      </c>
      <c r="F614" t="s">
        <v>43</v>
      </c>
      <c r="G614" t="s">
        <v>5</v>
      </c>
    </row>
    <row r="615" spans="1:7" x14ac:dyDescent="0.3">
      <c r="A615" t="s">
        <v>15</v>
      </c>
      <c r="B615" s="1">
        <v>45869</v>
      </c>
      <c r="C615">
        <v>330052</v>
      </c>
      <c r="D615">
        <v>755.21199999999999</v>
      </c>
      <c r="E615" t="s">
        <v>4</v>
      </c>
      <c r="F615" t="s">
        <v>43</v>
      </c>
      <c r="G615" t="s">
        <v>5</v>
      </c>
    </row>
    <row r="616" spans="1:7" x14ac:dyDescent="0.3">
      <c r="A616" t="s">
        <v>15</v>
      </c>
      <c r="B616" s="1">
        <v>45869</v>
      </c>
      <c r="C616">
        <v>330054</v>
      </c>
      <c r="D616">
        <v>1727.6949999999999</v>
      </c>
      <c r="E616" t="s">
        <v>4</v>
      </c>
      <c r="F616" t="s">
        <v>43</v>
      </c>
      <c r="G616" t="s">
        <v>5</v>
      </c>
    </row>
    <row r="617" spans="1:7" x14ac:dyDescent="0.3">
      <c r="A617" t="s">
        <v>15</v>
      </c>
      <c r="B617" s="1">
        <v>45869</v>
      </c>
      <c r="C617">
        <v>330055</v>
      </c>
      <c r="D617">
        <v>-134.07900000000001</v>
      </c>
      <c r="E617" t="s">
        <v>4</v>
      </c>
      <c r="F617" t="s">
        <v>43</v>
      </c>
      <c r="G617" t="s">
        <v>5</v>
      </c>
    </row>
    <row r="618" spans="1:7" x14ac:dyDescent="0.3">
      <c r="A618" t="s">
        <v>15</v>
      </c>
      <c r="B618" s="1">
        <v>45869</v>
      </c>
      <c r="C618">
        <v>330091</v>
      </c>
      <c r="D618">
        <v>7264.817</v>
      </c>
      <c r="E618" t="s">
        <v>4</v>
      </c>
      <c r="F618" t="s">
        <v>43</v>
      </c>
      <c r="G618" t="s">
        <v>5</v>
      </c>
    </row>
    <row r="619" spans="1:7" x14ac:dyDescent="0.3">
      <c r="A619" t="s">
        <v>15</v>
      </c>
      <c r="B619" s="1">
        <v>45869</v>
      </c>
      <c r="C619">
        <v>330097</v>
      </c>
      <c r="D619">
        <v>471.23099999999999</v>
      </c>
      <c r="E619" t="s">
        <v>4</v>
      </c>
      <c r="F619" t="s">
        <v>43</v>
      </c>
      <c r="G619" t="s">
        <v>5</v>
      </c>
    </row>
    <row r="620" spans="1:7" x14ac:dyDescent="0.3">
      <c r="A620" t="s">
        <v>15</v>
      </c>
      <c r="B620" s="1">
        <v>45869</v>
      </c>
      <c r="C620">
        <v>330107</v>
      </c>
      <c r="D620">
        <v>1039.5840000000001</v>
      </c>
      <c r="E620" t="s">
        <v>4</v>
      </c>
      <c r="F620" t="s">
        <v>43</v>
      </c>
      <c r="G620" t="s">
        <v>5</v>
      </c>
    </row>
    <row r="621" spans="1:7" x14ac:dyDescent="0.3">
      <c r="A621" t="s">
        <v>15</v>
      </c>
      <c r="B621" s="1">
        <v>45869</v>
      </c>
      <c r="C621">
        <v>330126</v>
      </c>
      <c r="D621">
        <v>3559.4340000000002</v>
      </c>
      <c r="E621" t="s">
        <v>4</v>
      </c>
      <c r="F621" t="s">
        <v>43</v>
      </c>
      <c r="G621" t="s">
        <v>5</v>
      </c>
    </row>
    <row r="622" spans="1:7" x14ac:dyDescent="0.3">
      <c r="A622" t="s">
        <v>15</v>
      </c>
      <c r="B622" s="1">
        <v>45869</v>
      </c>
      <c r="C622">
        <v>330129</v>
      </c>
      <c r="D622">
        <v>24375.62</v>
      </c>
      <c r="E622" t="s">
        <v>4</v>
      </c>
      <c r="F622" t="s">
        <v>43</v>
      </c>
      <c r="G622" t="s">
        <v>5</v>
      </c>
    </row>
    <row r="623" spans="1:7" x14ac:dyDescent="0.3">
      <c r="A623" t="s">
        <v>15</v>
      </c>
      <c r="B623" s="1">
        <v>45869</v>
      </c>
      <c r="C623">
        <v>330130</v>
      </c>
      <c r="D623">
        <v>39785.582000000002</v>
      </c>
      <c r="E623" t="s">
        <v>4</v>
      </c>
      <c r="F623" t="s">
        <v>43</v>
      </c>
      <c r="G623" t="s">
        <v>5</v>
      </c>
    </row>
    <row r="624" spans="1:7" x14ac:dyDescent="0.3">
      <c r="A624" t="s">
        <v>15</v>
      </c>
      <c r="B624" s="1">
        <v>45869</v>
      </c>
      <c r="C624">
        <v>330131</v>
      </c>
      <c r="D624">
        <v>-44678.387000000002</v>
      </c>
      <c r="E624" t="s">
        <v>4</v>
      </c>
      <c r="F624" t="s">
        <v>43</v>
      </c>
      <c r="G624" t="s">
        <v>5</v>
      </c>
    </row>
    <row r="625" spans="1:7" x14ac:dyDescent="0.3">
      <c r="A625" t="s">
        <v>15</v>
      </c>
      <c r="B625" s="1">
        <v>45869</v>
      </c>
      <c r="C625">
        <v>330132</v>
      </c>
      <c r="D625">
        <v>9484.8449999999993</v>
      </c>
      <c r="E625" t="s">
        <v>4</v>
      </c>
      <c r="F625" t="s">
        <v>43</v>
      </c>
      <c r="G625" t="s">
        <v>5</v>
      </c>
    </row>
    <row r="626" spans="1:7" x14ac:dyDescent="0.3">
      <c r="A626" t="s">
        <v>15</v>
      </c>
      <c r="B626" s="1">
        <v>45869</v>
      </c>
      <c r="C626">
        <v>330137</v>
      </c>
      <c r="D626">
        <v>5398.2969999999996</v>
      </c>
      <c r="E626" t="s">
        <v>4</v>
      </c>
      <c r="F626" t="s">
        <v>43</v>
      </c>
      <c r="G626" t="s">
        <v>5</v>
      </c>
    </row>
    <row r="627" spans="1:7" x14ac:dyDescent="0.3">
      <c r="A627" t="s">
        <v>15</v>
      </c>
      <c r="B627" s="1">
        <v>45869</v>
      </c>
      <c r="C627">
        <v>340003</v>
      </c>
      <c r="D627">
        <v>27.684000000000001</v>
      </c>
      <c r="E627" t="s">
        <v>4</v>
      </c>
      <c r="F627" t="s">
        <v>47</v>
      </c>
      <c r="G627" t="s">
        <v>5</v>
      </c>
    </row>
    <row r="628" spans="1:7" x14ac:dyDescent="0.3">
      <c r="A628" t="s">
        <v>15</v>
      </c>
      <c r="B628" s="1">
        <v>45869</v>
      </c>
      <c r="C628">
        <v>340004</v>
      </c>
      <c r="D628">
        <v>3905.19</v>
      </c>
      <c r="E628" t="s">
        <v>4</v>
      </c>
      <c r="F628" t="s">
        <v>47</v>
      </c>
      <c r="G628" t="s">
        <v>5</v>
      </c>
    </row>
    <row r="629" spans="1:7" x14ac:dyDescent="0.3">
      <c r="A629" t="s">
        <v>15</v>
      </c>
      <c r="B629" s="1">
        <v>45869</v>
      </c>
      <c r="C629">
        <v>340006</v>
      </c>
      <c r="D629">
        <v>4234347.1270000003</v>
      </c>
      <c r="E629" t="s">
        <v>4</v>
      </c>
      <c r="F629" t="s">
        <v>47</v>
      </c>
      <c r="G629" t="s">
        <v>5</v>
      </c>
    </row>
    <row r="630" spans="1:7" x14ac:dyDescent="0.3">
      <c r="A630" t="s">
        <v>15</v>
      </c>
      <c r="B630" s="1">
        <v>45869</v>
      </c>
      <c r="C630">
        <v>340012</v>
      </c>
      <c r="D630">
        <v>909155.58700000006</v>
      </c>
      <c r="E630" t="s">
        <v>4</v>
      </c>
      <c r="F630" t="s">
        <v>47</v>
      </c>
      <c r="G630" t="s">
        <v>5</v>
      </c>
    </row>
    <row r="631" spans="1:7" x14ac:dyDescent="0.3">
      <c r="A631" t="s">
        <v>15</v>
      </c>
      <c r="B631" s="1">
        <v>45869</v>
      </c>
      <c r="C631">
        <v>340013</v>
      </c>
      <c r="D631">
        <v>101291466.12899999</v>
      </c>
      <c r="E631" t="s">
        <v>4</v>
      </c>
      <c r="F631" t="s">
        <v>47</v>
      </c>
      <c r="G631" t="s">
        <v>5</v>
      </c>
    </row>
    <row r="632" spans="1:7" x14ac:dyDescent="0.3">
      <c r="A632" t="s">
        <v>15</v>
      </c>
      <c r="B632" s="1">
        <v>45869</v>
      </c>
      <c r="C632">
        <v>340014</v>
      </c>
      <c r="D632">
        <v>-102169471.891</v>
      </c>
      <c r="E632" t="s">
        <v>4</v>
      </c>
      <c r="F632" t="s">
        <v>47</v>
      </c>
      <c r="G632" t="s">
        <v>5</v>
      </c>
    </row>
    <row r="633" spans="1:7" x14ac:dyDescent="0.3">
      <c r="A633" t="s">
        <v>15</v>
      </c>
      <c r="B633" s="1">
        <v>45869</v>
      </c>
      <c r="C633">
        <v>340022</v>
      </c>
      <c r="D633">
        <v>817727.701</v>
      </c>
      <c r="E633" t="s">
        <v>4</v>
      </c>
      <c r="F633" t="s">
        <v>47</v>
      </c>
      <c r="G633" t="s">
        <v>5</v>
      </c>
    </row>
    <row r="634" spans="1:7" x14ac:dyDescent="0.3">
      <c r="A634" t="s">
        <v>15</v>
      </c>
      <c r="B634" s="1">
        <v>45869</v>
      </c>
      <c r="C634">
        <v>340023</v>
      </c>
      <c r="D634">
        <v>33452.457000000002</v>
      </c>
      <c r="E634" t="s">
        <v>4</v>
      </c>
      <c r="F634" t="s">
        <v>47</v>
      </c>
      <c r="G634" t="s">
        <v>5</v>
      </c>
    </row>
    <row r="635" spans="1:7" x14ac:dyDescent="0.3">
      <c r="A635" t="s">
        <v>15</v>
      </c>
      <c r="B635" s="1">
        <v>45869</v>
      </c>
      <c r="C635">
        <v>340024</v>
      </c>
      <c r="D635">
        <v>-851180.15800000005</v>
      </c>
      <c r="E635" t="s">
        <v>4</v>
      </c>
      <c r="F635" t="s">
        <v>47</v>
      </c>
      <c r="G635" t="s">
        <v>5</v>
      </c>
    </row>
    <row r="636" spans="1:7" x14ac:dyDescent="0.3">
      <c r="A636" t="s">
        <v>15</v>
      </c>
      <c r="B636" s="1">
        <v>45869</v>
      </c>
      <c r="C636">
        <v>340029</v>
      </c>
      <c r="D636">
        <v>187.33699999999999</v>
      </c>
      <c r="E636" t="s">
        <v>4</v>
      </c>
      <c r="F636" t="s">
        <v>47</v>
      </c>
      <c r="G636" t="s">
        <v>5</v>
      </c>
    </row>
    <row r="637" spans="1:7" x14ac:dyDescent="0.3">
      <c r="A637" t="s">
        <v>15</v>
      </c>
      <c r="B637" s="1">
        <v>45869</v>
      </c>
      <c r="C637">
        <v>340033</v>
      </c>
      <c r="D637">
        <v>164.06</v>
      </c>
      <c r="E637" t="s">
        <v>4</v>
      </c>
      <c r="F637" t="s">
        <v>47</v>
      </c>
      <c r="G637" t="s">
        <v>5</v>
      </c>
    </row>
    <row r="638" spans="1:7" x14ac:dyDescent="0.3">
      <c r="A638" t="s">
        <v>15</v>
      </c>
      <c r="B638" s="1">
        <v>45869</v>
      </c>
      <c r="C638">
        <v>340038</v>
      </c>
      <c r="D638">
        <v>1757.0360000000001</v>
      </c>
      <c r="E638" t="s">
        <v>4</v>
      </c>
      <c r="F638" t="s">
        <v>47</v>
      </c>
      <c r="G638" t="s">
        <v>5</v>
      </c>
    </row>
    <row r="639" spans="1:7" x14ac:dyDescent="0.3">
      <c r="A639" t="s">
        <v>15</v>
      </c>
      <c r="B639" s="1">
        <v>45869</v>
      </c>
      <c r="C639">
        <v>340055</v>
      </c>
      <c r="D639">
        <v>63.481999999999999</v>
      </c>
      <c r="E639" t="s">
        <v>4</v>
      </c>
      <c r="F639" t="s">
        <v>47</v>
      </c>
      <c r="G639" t="s">
        <v>5</v>
      </c>
    </row>
    <row r="640" spans="1:7" x14ac:dyDescent="0.3">
      <c r="A640" t="s">
        <v>15</v>
      </c>
      <c r="B640" s="1">
        <v>45869</v>
      </c>
      <c r="C640">
        <v>340056</v>
      </c>
      <c r="D640">
        <v>1200.933</v>
      </c>
      <c r="E640" t="s">
        <v>4</v>
      </c>
      <c r="F640" t="s">
        <v>47</v>
      </c>
      <c r="G640" t="s">
        <v>5</v>
      </c>
    </row>
    <row r="641" spans="1:7" x14ac:dyDescent="0.3">
      <c r="A641" t="s">
        <v>15</v>
      </c>
      <c r="B641" s="1">
        <v>45869</v>
      </c>
      <c r="C641">
        <v>340058</v>
      </c>
      <c r="D641">
        <v>114170.952</v>
      </c>
      <c r="E641" t="s">
        <v>4</v>
      </c>
      <c r="F641" t="s">
        <v>47</v>
      </c>
      <c r="G641" t="s">
        <v>5</v>
      </c>
    </row>
    <row r="642" spans="1:7" x14ac:dyDescent="0.3">
      <c r="A642" t="s">
        <v>15</v>
      </c>
      <c r="B642" s="1">
        <v>45869</v>
      </c>
      <c r="C642">
        <v>340060</v>
      </c>
      <c r="D642">
        <v>1603.6379999999999</v>
      </c>
      <c r="E642" t="s">
        <v>4</v>
      </c>
      <c r="F642" t="s">
        <v>47</v>
      </c>
      <c r="G642" t="s">
        <v>5</v>
      </c>
    </row>
    <row r="643" spans="1:7" x14ac:dyDescent="0.3">
      <c r="A643" t="s">
        <v>15</v>
      </c>
      <c r="B643" s="1">
        <v>45869</v>
      </c>
      <c r="C643">
        <v>340070</v>
      </c>
      <c r="D643">
        <v>12567.616</v>
      </c>
      <c r="E643" t="s">
        <v>4</v>
      </c>
      <c r="F643" t="s">
        <v>47</v>
      </c>
      <c r="G643" t="s">
        <v>5</v>
      </c>
    </row>
    <row r="644" spans="1:7" x14ac:dyDescent="0.3">
      <c r="A644" t="s">
        <v>15</v>
      </c>
      <c r="B644" s="1">
        <v>45869</v>
      </c>
      <c r="C644">
        <v>340076</v>
      </c>
      <c r="D644">
        <v>245.49299999999999</v>
      </c>
      <c r="E644" t="s">
        <v>4</v>
      </c>
      <c r="F644" t="s">
        <v>47</v>
      </c>
      <c r="G644" t="s">
        <v>5</v>
      </c>
    </row>
    <row r="645" spans="1:7" x14ac:dyDescent="0.3">
      <c r="A645" t="s">
        <v>15</v>
      </c>
      <c r="B645" s="1">
        <v>45869</v>
      </c>
      <c r="C645">
        <v>340089</v>
      </c>
      <c r="D645">
        <v>2.7919999999999998</v>
      </c>
      <c r="E645" t="s">
        <v>4</v>
      </c>
      <c r="F645" t="s">
        <v>47</v>
      </c>
      <c r="G645" t="s">
        <v>5</v>
      </c>
    </row>
    <row r="646" spans="1:7" x14ac:dyDescent="0.3">
      <c r="A646" t="s">
        <v>15</v>
      </c>
      <c r="B646" s="1">
        <v>45869</v>
      </c>
      <c r="C646">
        <v>340135</v>
      </c>
      <c r="D646">
        <v>8538842.5899999999</v>
      </c>
      <c r="E646" t="s">
        <v>4</v>
      </c>
      <c r="F646" t="s">
        <v>47</v>
      </c>
      <c r="G646" t="s">
        <v>5</v>
      </c>
    </row>
    <row r="647" spans="1:7" x14ac:dyDescent="0.3">
      <c r="A647" t="s">
        <v>15</v>
      </c>
      <c r="B647" s="1">
        <v>45869</v>
      </c>
      <c r="C647">
        <v>340136</v>
      </c>
      <c r="D647">
        <v>-8500491.8609999996</v>
      </c>
      <c r="E647" t="s">
        <v>4</v>
      </c>
      <c r="F647" t="s">
        <v>47</v>
      </c>
      <c r="G647" t="s">
        <v>5</v>
      </c>
    </row>
    <row r="648" spans="1:7" x14ac:dyDescent="0.3">
      <c r="A648" t="s">
        <v>15</v>
      </c>
      <c r="B648" s="1">
        <v>45869</v>
      </c>
      <c r="C648">
        <v>340138</v>
      </c>
      <c r="D648">
        <v>-4838052.1069999998</v>
      </c>
      <c r="E648" t="s">
        <v>4</v>
      </c>
      <c r="F648" t="s">
        <v>47</v>
      </c>
      <c r="G648" t="s">
        <v>5</v>
      </c>
    </row>
    <row r="649" spans="1:7" x14ac:dyDescent="0.3">
      <c r="A649" t="s">
        <v>15</v>
      </c>
      <c r="B649" s="1">
        <v>45869</v>
      </c>
      <c r="C649">
        <v>340268</v>
      </c>
      <c r="D649">
        <v>804431.52599999995</v>
      </c>
      <c r="E649" t="s">
        <v>4</v>
      </c>
      <c r="F649" t="s">
        <v>47</v>
      </c>
      <c r="G649" t="s">
        <v>5</v>
      </c>
    </row>
    <row r="650" spans="1:7" x14ac:dyDescent="0.3">
      <c r="A650" t="s">
        <v>15</v>
      </c>
      <c r="B650" s="1">
        <v>45869</v>
      </c>
      <c r="C650">
        <v>340269</v>
      </c>
      <c r="D650">
        <v>3276439.6349999998</v>
      </c>
      <c r="E650" t="s">
        <v>4</v>
      </c>
      <c r="F650" t="s">
        <v>47</v>
      </c>
      <c r="G650" t="s">
        <v>5</v>
      </c>
    </row>
    <row r="651" spans="1:7" x14ac:dyDescent="0.3">
      <c r="A651" t="s">
        <v>15</v>
      </c>
      <c r="B651" s="1">
        <v>45869</v>
      </c>
      <c r="C651">
        <v>340270</v>
      </c>
      <c r="D651">
        <v>-4074533.9339999999</v>
      </c>
      <c r="E651" t="s">
        <v>4</v>
      </c>
      <c r="F651" t="s">
        <v>47</v>
      </c>
      <c r="G651" t="s">
        <v>5</v>
      </c>
    </row>
    <row r="652" spans="1:7" x14ac:dyDescent="0.3">
      <c r="A652" t="s">
        <v>15</v>
      </c>
      <c r="B652" s="1">
        <v>45869</v>
      </c>
      <c r="C652">
        <v>340274</v>
      </c>
      <c r="D652">
        <v>304949.625</v>
      </c>
      <c r="E652" t="s">
        <v>4</v>
      </c>
      <c r="F652" t="s">
        <v>47</v>
      </c>
      <c r="G652" t="s">
        <v>5</v>
      </c>
    </row>
    <row r="653" spans="1:7" x14ac:dyDescent="0.3">
      <c r="A653" t="s">
        <v>15</v>
      </c>
      <c r="B653" s="1">
        <v>45869</v>
      </c>
      <c r="C653">
        <v>340275</v>
      </c>
      <c r="D653">
        <v>38841847.924000002</v>
      </c>
      <c r="E653" t="s">
        <v>4</v>
      </c>
      <c r="F653" t="s">
        <v>47</v>
      </c>
      <c r="G653" t="s">
        <v>5</v>
      </c>
    </row>
    <row r="654" spans="1:7" x14ac:dyDescent="0.3">
      <c r="A654" t="s">
        <v>15</v>
      </c>
      <c r="B654" s="1">
        <v>45869</v>
      </c>
      <c r="C654">
        <v>340276</v>
      </c>
      <c r="D654">
        <v>-39008637.495999999</v>
      </c>
      <c r="E654" t="s">
        <v>4</v>
      </c>
      <c r="F654" t="s">
        <v>47</v>
      </c>
      <c r="G654" t="s">
        <v>5</v>
      </c>
    </row>
    <row r="655" spans="1:7" x14ac:dyDescent="0.3">
      <c r="A655" t="s">
        <v>15</v>
      </c>
      <c r="B655" s="1">
        <v>45869</v>
      </c>
      <c r="C655">
        <v>340286</v>
      </c>
      <c r="D655">
        <v>910.16</v>
      </c>
      <c r="E655" t="s">
        <v>4</v>
      </c>
      <c r="F655" t="s">
        <v>47</v>
      </c>
      <c r="G655" t="s">
        <v>5</v>
      </c>
    </row>
    <row r="656" spans="1:7" x14ac:dyDescent="0.3">
      <c r="A656" t="s">
        <v>15</v>
      </c>
      <c r="B656" s="1">
        <v>45869</v>
      </c>
      <c r="C656">
        <v>340289</v>
      </c>
      <c r="D656">
        <v>1763.367</v>
      </c>
      <c r="E656" t="s">
        <v>4</v>
      </c>
      <c r="F656" t="s">
        <v>47</v>
      </c>
      <c r="G656" t="s">
        <v>5</v>
      </c>
    </row>
    <row r="657" spans="1:7" x14ac:dyDescent="0.3">
      <c r="A657" t="s">
        <v>15</v>
      </c>
      <c r="B657" s="1">
        <v>45869</v>
      </c>
      <c r="C657">
        <v>340299</v>
      </c>
      <c r="D657">
        <v>7642585.358</v>
      </c>
      <c r="E657" t="s">
        <v>4</v>
      </c>
      <c r="F657" t="s">
        <v>47</v>
      </c>
      <c r="G657" t="s">
        <v>5</v>
      </c>
    </row>
    <row r="658" spans="1:7" x14ac:dyDescent="0.3">
      <c r="A658" t="s">
        <v>15</v>
      </c>
      <c r="B658" s="1">
        <v>45869</v>
      </c>
      <c r="C658">
        <v>340300</v>
      </c>
      <c r="D658">
        <v>-7022940.8530000001</v>
      </c>
      <c r="E658" t="s">
        <v>4</v>
      </c>
      <c r="F658" t="s">
        <v>47</v>
      </c>
      <c r="G658" t="s">
        <v>5</v>
      </c>
    </row>
    <row r="659" spans="1:7" x14ac:dyDescent="0.3">
      <c r="A659" t="s">
        <v>15</v>
      </c>
      <c r="B659" s="1">
        <v>45869</v>
      </c>
      <c r="C659">
        <v>340301</v>
      </c>
      <c r="D659">
        <v>156383.20800000001</v>
      </c>
      <c r="E659" t="s">
        <v>4</v>
      </c>
      <c r="F659" t="s">
        <v>47</v>
      </c>
      <c r="G659" t="s">
        <v>5</v>
      </c>
    </row>
    <row r="660" spans="1:7" x14ac:dyDescent="0.3">
      <c r="A660" t="s">
        <v>15</v>
      </c>
      <c r="B660" s="1">
        <v>45869</v>
      </c>
      <c r="C660">
        <v>340302</v>
      </c>
      <c r="D660">
        <v>-158069.364</v>
      </c>
      <c r="E660" t="s">
        <v>4</v>
      </c>
      <c r="F660" t="s">
        <v>47</v>
      </c>
      <c r="G660" t="s">
        <v>5</v>
      </c>
    </row>
    <row r="661" spans="1:7" x14ac:dyDescent="0.3">
      <c r="A661" t="s">
        <v>15</v>
      </c>
      <c r="B661" s="1">
        <v>45869</v>
      </c>
      <c r="C661">
        <v>340303</v>
      </c>
      <c r="D661">
        <v>193175.08499999999</v>
      </c>
      <c r="E661" t="s">
        <v>4</v>
      </c>
      <c r="F661" t="s">
        <v>47</v>
      </c>
      <c r="G661" t="s">
        <v>5</v>
      </c>
    </row>
    <row r="662" spans="1:7" x14ac:dyDescent="0.3">
      <c r="A662" t="s">
        <v>15</v>
      </c>
      <c r="B662" s="1">
        <v>45869</v>
      </c>
      <c r="C662">
        <v>340304</v>
      </c>
      <c r="D662">
        <v>-186458.18900000001</v>
      </c>
      <c r="E662" t="s">
        <v>4</v>
      </c>
      <c r="F662" t="s">
        <v>47</v>
      </c>
      <c r="G662" t="s">
        <v>5</v>
      </c>
    </row>
    <row r="663" spans="1:7" x14ac:dyDescent="0.3">
      <c r="A663" t="s">
        <v>15</v>
      </c>
      <c r="B663" s="1">
        <v>45869</v>
      </c>
      <c r="C663">
        <v>340305</v>
      </c>
      <c r="D663">
        <v>65085.633000000002</v>
      </c>
      <c r="E663" t="s">
        <v>4</v>
      </c>
      <c r="F663" t="s">
        <v>47</v>
      </c>
      <c r="G663" t="s">
        <v>5</v>
      </c>
    </row>
    <row r="664" spans="1:7" x14ac:dyDescent="0.3">
      <c r="A664" t="s">
        <v>15</v>
      </c>
      <c r="B664" s="1">
        <v>45869</v>
      </c>
      <c r="C664">
        <v>340306</v>
      </c>
      <c r="D664">
        <v>-47354.864999999998</v>
      </c>
      <c r="E664" t="s">
        <v>4</v>
      </c>
      <c r="F664" t="s">
        <v>47</v>
      </c>
      <c r="G664" t="s">
        <v>5</v>
      </c>
    </row>
    <row r="665" spans="1:7" x14ac:dyDescent="0.3">
      <c r="A665" t="s">
        <v>15</v>
      </c>
      <c r="B665" s="1">
        <v>45869</v>
      </c>
      <c r="C665">
        <v>340307</v>
      </c>
      <c r="D665">
        <v>1461756.517</v>
      </c>
      <c r="E665" t="s">
        <v>4</v>
      </c>
      <c r="F665" t="s">
        <v>47</v>
      </c>
      <c r="G665" t="s">
        <v>5</v>
      </c>
    </row>
    <row r="666" spans="1:7" x14ac:dyDescent="0.3">
      <c r="A666" t="s">
        <v>15</v>
      </c>
      <c r="B666" s="1">
        <v>45869</v>
      </c>
      <c r="C666">
        <v>340308</v>
      </c>
      <c r="D666">
        <v>-1548657.7209999999</v>
      </c>
      <c r="E666" t="s">
        <v>4</v>
      </c>
      <c r="F666" t="s">
        <v>47</v>
      </c>
      <c r="G666" t="s">
        <v>5</v>
      </c>
    </row>
    <row r="667" spans="1:7" x14ac:dyDescent="0.3">
      <c r="A667" t="s">
        <v>15</v>
      </c>
      <c r="B667" s="1">
        <v>45869</v>
      </c>
      <c r="C667">
        <v>340309</v>
      </c>
      <c r="D667">
        <v>1.141</v>
      </c>
      <c r="E667" t="s">
        <v>4</v>
      </c>
      <c r="F667" t="s">
        <v>47</v>
      </c>
      <c r="G667" t="s">
        <v>5</v>
      </c>
    </row>
    <row r="668" spans="1:7" x14ac:dyDescent="0.3">
      <c r="A668" t="s">
        <v>15</v>
      </c>
      <c r="B668" s="1">
        <v>45869</v>
      </c>
      <c r="C668">
        <v>340310</v>
      </c>
      <c r="D668">
        <v>-19.216999999999999</v>
      </c>
      <c r="E668" t="s">
        <v>4</v>
      </c>
      <c r="F668" t="s">
        <v>47</v>
      </c>
      <c r="G668" t="s">
        <v>5</v>
      </c>
    </row>
    <row r="669" spans="1:7" x14ac:dyDescent="0.3">
      <c r="A669" t="s">
        <v>15</v>
      </c>
      <c r="B669" s="1">
        <v>45869</v>
      </c>
      <c r="C669">
        <v>340311</v>
      </c>
      <c r="D669">
        <v>2265931.0079999999</v>
      </c>
      <c r="E669" t="s">
        <v>4</v>
      </c>
      <c r="F669" t="s">
        <v>47</v>
      </c>
      <c r="G669" t="s">
        <v>5</v>
      </c>
    </row>
    <row r="670" spans="1:7" x14ac:dyDescent="0.3">
      <c r="A670" t="s">
        <v>15</v>
      </c>
      <c r="B670" s="1">
        <v>45869</v>
      </c>
      <c r="C670">
        <v>340312</v>
      </c>
      <c r="D670">
        <v>-2261568.1060000001</v>
      </c>
      <c r="E670" t="s">
        <v>4</v>
      </c>
      <c r="F670" t="s">
        <v>47</v>
      </c>
      <c r="G670" t="s">
        <v>5</v>
      </c>
    </row>
    <row r="671" spans="1:7" x14ac:dyDescent="0.3">
      <c r="A671" t="s">
        <v>15</v>
      </c>
      <c r="B671" s="1">
        <v>45869</v>
      </c>
      <c r="C671">
        <v>340321</v>
      </c>
      <c r="D671">
        <v>155</v>
      </c>
      <c r="E671" t="s">
        <v>4</v>
      </c>
      <c r="F671" t="s">
        <v>47</v>
      </c>
      <c r="G671" t="s">
        <v>5</v>
      </c>
    </row>
    <row r="672" spans="1:7" x14ac:dyDescent="0.3">
      <c r="A672" t="s">
        <v>15</v>
      </c>
      <c r="B672" s="1">
        <v>45869</v>
      </c>
      <c r="C672">
        <v>345004</v>
      </c>
      <c r="D672">
        <v>3420.7170000000001</v>
      </c>
      <c r="E672" t="s">
        <v>4</v>
      </c>
      <c r="F672" t="s">
        <v>47</v>
      </c>
      <c r="G672" t="s">
        <v>5</v>
      </c>
    </row>
    <row r="673" spans="1:7" x14ac:dyDescent="0.3">
      <c r="A673" t="s">
        <v>15</v>
      </c>
      <c r="B673" s="1">
        <v>45869</v>
      </c>
      <c r="C673">
        <v>345005</v>
      </c>
      <c r="D673">
        <v>131973.49299999999</v>
      </c>
      <c r="E673" t="s">
        <v>4</v>
      </c>
      <c r="F673" t="s">
        <v>47</v>
      </c>
      <c r="G673" t="s">
        <v>5</v>
      </c>
    </row>
    <row r="674" spans="1:7" x14ac:dyDescent="0.3">
      <c r="A674" t="s">
        <v>15</v>
      </c>
      <c r="B674" s="1">
        <v>45869</v>
      </c>
      <c r="C674">
        <v>345006</v>
      </c>
      <c r="D674">
        <v>700526.37899999996</v>
      </c>
      <c r="E674" t="s">
        <v>4</v>
      </c>
      <c r="F674" t="s">
        <v>47</v>
      </c>
      <c r="G674" t="s">
        <v>5</v>
      </c>
    </row>
    <row r="675" spans="1:7" x14ac:dyDescent="0.3">
      <c r="A675" t="s">
        <v>15</v>
      </c>
      <c r="B675" s="1">
        <v>45869</v>
      </c>
      <c r="C675">
        <v>345011</v>
      </c>
      <c r="D675">
        <v>566406.31200000003</v>
      </c>
      <c r="E675" t="s">
        <v>4</v>
      </c>
      <c r="F675" t="s">
        <v>47</v>
      </c>
      <c r="G675" t="s">
        <v>5</v>
      </c>
    </row>
    <row r="676" spans="1:7" x14ac:dyDescent="0.3">
      <c r="A676" t="s">
        <v>15</v>
      </c>
      <c r="B676" s="1">
        <v>45869</v>
      </c>
      <c r="C676">
        <v>345015</v>
      </c>
      <c r="D676">
        <v>4036046.355</v>
      </c>
      <c r="E676" t="s">
        <v>4</v>
      </c>
      <c r="F676" t="s">
        <v>47</v>
      </c>
      <c r="G676" t="s">
        <v>5</v>
      </c>
    </row>
    <row r="677" spans="1:7" x14ac:dyDescent="0.3">
      <c r="A677" t="s">
        <v>15</v>
      </c>
      <c r="B677" s="1">
        <v>45869</v>
      </c>
      <c r="C677">
        <v>345016</v>
      </c>
      <c r="D677">
        <v>1860000</v>
      </c>
      <c r="E677" t="s">
        <v>4</v>
      </c>
      <c r="F677" t="s">
        <v>47</v>
      </c>
      <c r="G677" t="s">
        <v>5</v>
      </c>
    </row>
    <row r="678" spans="1:7" x14ac:dyDescent="0.3">
      <c r="A678" t="s">
        <v>15</v>
      </c>
      <c r="B678" s="1">
        <v>45869</v>
      </c>
      <c r="C678">
        <v>345017</v>
      </c>
      <c r="D678">
        <v>1007500</v>
      </c>
      <c r="E678" t="s">
        <v>4</v>
      </c>
      <c r="F678" t="s">
        <v>47</v>
      </c>
      <c r="G678" t="s">
        <v>5</v>
      </c>
    </row>
    <row r="679" spans="1:7" x14ac:dyDescent="0.3">
      <c r="A679" t="s">
        <v>15</v>
      </c>
      <c r="B679" s="1">
        <v>45869</v>
      </c>
      <c r="C679">
        <v>345018</v>
      </c>
      <c r="D679">
        <v>232500</v>
      </c>
      <c r="E679" t="s">
        <v>4</v>
      </c>
      <c r="F679" t="s">
        <v>47</v>
      </c>
      <c r="G679" t="s">
        <v>5</v>
      </c>
    </row>
    <row r="680" spans="1:7" x14ac:dyDescent="0.3">
      <c r="A680" t="s">
        <v>15</v>
      </c>
      <c r="B680" s="1">
        <v>45869</v>
      </c>
      <c r="C680">
        <v>345024</v>
      </c>
      <c r="D680">
        <v>837000</v>
      </c>
      <c r="E680" t="s">
        <v>4</v>
      </c>
      <c r="F680" t="s">
        <v>47</v>
      </c>
      <c r="G680" t="s">
        <v>5</v>
      </c>
    </row>
    <row r="681" spans="1:7" x14ac:dyDescent="0.3">
      <c r="A681" t="s">
        <v>15</v>
      </c>
      <c r="B681" s="1">
        <v>45869</v>
      </c>
      <c r="C681">
        <v>348007</v>
      </c>
      <c r="D681">
        <v>2747.308</v>
      </c>
      <c r="E681" t="s">
        <v>4</v>
      </c>
      <c r="F681" t="s">
        <v>47</v>
      </c>
      <c r="G681" t="s">
        <v>5</v>
      </c>
    </row>
    <row r="682" spans="1:7" x14ac:dyDescent="0.3">
      <c r="A682" t="s">
        <v>15</v>
      </c>
      <c r="B682" s="1">
        <v>45869</v>
      </c>
      <c r="C682">
        <v>348008</v>
      </c>
      <c r="D682">
        <v>1052.415</v>
      </c>
      <c r="E682" t="s">
        <v>4</v>
      </c>
      <c r="F682" t="s">
        <v>47</v>
      </c>
      <c r="G682" t="s">
        <v>5</v>
      </c>
    </row>
    <row r="683" spans="1:7" x14ac:dyDescent="0.3">
      <c r="A683" t="s">
        <v>15</v>
      </c>
      <c r="B683" s="1">
        <v>45869</v>
      </c>
      <c r="C683">
        <v>348009</v>
      </c>
      <c r="D683">
        <v>960.99099999999999</v>
      </c>
      <c r="E683" t="s">
        <v>4</v>
      </c>
      <c r="F683" t="s">
        <v>47</v>
      </c>
      <c r="G683" t="s">
        <v>5</v>
      </c>
    </row>
    <row r="684" spans="1:7" x14ac:dyDescent="0.3">
      <c r="A684" t="s">
        <v>15</v>
      </c>
      <c r="B684" s="1">
        <v>45869</v>
      </c>
      <c r="C684">
        <v>348010</v>
      </c>
      <c r="D684">
        <v>1831.722</v>
      </c>
      <c r="E684" t="s">
        <v>4</v>
      </c>
      <c r="F684" t="s">
        <v>47</v>
      </c>
      <c r="G684" t="s">
        <v>5</v>
      </c>
    </row>
    <row r="685" spans="1:7" x14ac:dyDescent="0.3">
      <c r="A685" t="s">
        <v>15</v>
      </c>
      <c r="B685" s="1">
        <v>45869</v>
      </c>
      <c r="C685">
        <v>348011</v>
      </c>
      <c r="D685">
        <v>1143.0150000000001</v>
      </c>
      <c r="E685" t="s">
        <v>4</v>
      </c>
      <c r="F685" t="s">
        <v>47</v>
      </c>
      <c r="G685" t="s">
        <v>5</v>
      </c>
    </row>
    <row r="686" spans="1:7" x14ac:dyDescent="0.3">
      <c r="A686" t="s">
        <v>15</v>
      </c>
      <c r="B686" s="1">
        <v>45869</v>
      </c>
      <c r="C686">
        <v>348014</v>
      </c>
      <c r="D686">
        <v>1016.847</v>
      </c>
      <c r="E686" t="s">
        <v>4</v>
      </c>
      <c r="F686" t="s">
        <v>47</v>
      </c>
      <c r="G686" t="s">
        <v>5</v>
      </c>
    </row>
    <row r="687" spans="1:7" x14ac:dyDescent="0.3">
      <c r="A687" t="s">
        <v>15</v>
      </c>
      <c r="B687" s="1">
        <v>45869</v>
      </c>
      <c r="C687">
        <v>348015</v>
      </c>
      <c r="D687">
        <v>597.12800000000004</v>
      </c>
      <c r="E687" t="s">
        <v>4</v>
      </c>
      <c r="F687" t="s">
        <v>47</v>
      </c>
      <c r="G687" t="s">
        <v>5</v>
      </c>
    </row>
    <row r="688" spans="1:7" x14ac:dyDescent="0.3">
      <c r="A688" t="s">
        <v>15</v>
      </c>
      <c r="B688" s="1">
        <v>45869</v>
      </c>
      <c r="C688">
        <v>348016</v>
      </c>
      <c r="D688">
        <v>570.61099999999999</v>
      </c>
      <c r="E688" t="s">
        <v>4</v>
      </c>
      <c r="F688" t="s">
        <v>47</v>
      </c>
      <c r="G688" t="s">
        <v>5</v>
      </c>
    </row>
    <row r="689" spans="1:7" x14ac:dyDescent="0.3">
      <c r="A689" t="s">
        <v>15</v>
      </c>
      <c r="B689" s="1">
        <v>45869</v>
      </c>
      <c r="C689">
        <v>348017</v>
      </c>
      <c r="D689">
        <v>570.08500000000004</v>
      </c>
      <c r="E689" t="s">
        <v>4</v>
      </c>
      <c r="F689" t="s">
        <v>47</v>
      </c>
      <c r="G689" t="s">
        <v>5</v>
      </c>
    </row>
    <row r="690" spans="1:7" x14ac:dyDescent="0.3">
      <c r="A690" t="s">
        <v>15</v>
      </c>
      <c r="B690" s="1">
        <v>45869</v>
      </c>
      <c r="C690">
        <v>348018</v>
      </c>
      <c r="D690">
        <v>1214.8710000000001</v>
      </c>
      <c r="E690" t="s">
        <v>4</v>
      </c>
      <c r="F690" t="s">
        <v>47</v>
      </c>
      <c r="G690" t="s">
        <v>5</v>
      </c>
    </row>
    <row r="691" spans="1:7" x14ac:dyDescent="0.3">
      <c r="A691" t="s">
        <v>15</v>
      </c>
      <c r="B691" s="1">
        <v>45869</v>
      </c>
      <c r="C691">
        <v>348019</v>
      </c>
      <c r="D691">
        <v>867.76499999999999</v>
      </c>
      <c r="E691" t="s">
        <v>4</v>
      </c>
      <c r="F691" t="s">
        <v>47</v>
      </c>
      <c r="G691" t="s">
        <v>5</v>
      </c>
    </row>
    <row r="692" spans="1:7" x14ac:dyDescent="0.3">
      <c r="A692" t="s">
        <v>15</v>
      </c>
      <c r="B692" s="1">
        <v>45869</v>
      </c>
      <c r="C692">
        <v>348020</v>
      </c>
      <c r="D692">
        <v>23250</v>
      </c>
      <c r="E692" t="s">
        <v>4</v>
      </c>
      <c r="F692" t="s">
        <v>47</v>
      </c>
      <c r="G692" t="s">
        <v>5</v>
      </c>
    </row>
    <row r="693" spans="1:7" x14ac:dyDescent="0.3">
      <c r="A693" t="s">
        <v>15</v>
      </c>
      <c r="B693" s="1">
        <v>45869</v>
      </c>
      <c r="C693">
        <v>350002</v>
      </c>
      <c r="D693">
        <v>6705.7250000000004</v>
      </c>
      <c r="E693" t="s">
        <v>4</v>
      </c>
      <c r="F693" t="s">
        <v>49</v>
      </c>
      <c r="G693" t="s">
        <v>5</v>
      </c>
    </row>
    <row r="694" spans="1:7" x14ac:dyDescent="0.3">
      <c r="A694" t="s">
        <v>15</v>
      </c>
      <c r="B694" s="1">
        <v>45869</v>
      </c>
      <c r="C694">
        <v>350003</v>
      </c>
      <c r="D694">
        <v>39289.497000000003</v>
      </c>
      <c r="E694" t="s">
        <v>4</v>
      </c>
      <c r="F694" t="s">
        <v>49</v>
      </c>
      <c r="G694" t="s">
        <v>5</v>
      </c>
    </row>
    <row r="695" spans="1:7" x14ac:dyDescent="0.3">
      <c r="A695" t="s">
        <v>15</v>
      </c>
      <c r="B695" s="1">
        <v>45869</v>
      </c>
      <c r="C695">
        <v>350006</v>
      </c>
      <c r="D695">
        <v>344938.4</v>
      </c>
      <c r="E695" t="s">
        <v>4</v>
      </c>
      <c r="F695" t="s">
        <v>43</v>
      </c>
      <c r="G695" t="s">
        <v>5</v>
      </c>
    </row>
    <row r="696" spans="1:7" x14ac:dyDescent="0.3">
      <c r="A696" t="s">
        <v>15</v>
      </c>
      <c r="B696" s="1">
        <v>45869</v>
      </c>
      <c r="C696">
        <v>350007</v>
      </c>
      <c r="D696">
        <v>16.917000000000002</v>
      </c>
      <c r="E696" t="s">
        <v>4</v>
      </c>
      <c r="F696" t="s">
        <v>49</v>
      </c>
      <c r="G696" t="s">
        <v>5</v>
      </c>
    </row>
    <row r="697" spans="1:7" x14ac:dyDescent="0.3">
      <c r="A697" t="s">
        <v>15</v>
      </c>
      <c r="B697" s="1">
        <v>45869</v>
      </c>
      <c r="C697">
        <v>350012</v>
      </c>
      <c r="D697">
        <v>-64834.178999999996</v>
      </c>
      <c r="E697" t="s">
        <v>4</v>
      </c>
      <c r="F697" t="s">
        <v>49</v>
      </c>
      <c r="G697" t="s">
        <v>5</v>
      </c>
    </row>
    <row r="698" spans="1:7" x14ac:dyDescent="0.3">
      <c r="A698" t="s">
        <v>15</v>
      </c>
      <c r="B698" s="1">
        <v>45869</v>
      </c>
      <c r="C698">
        <v>350031</v>
      </c>
      <c r="D698">
        <v>-13122.561</v>
      </c>
      <c r="E698" t="s">
        <v>4</v>
      </c>
      <c r="F698" t="s">
        <v>43</v>
      </c>
      <c r="G698" t="s">
        <v>5</v>
      </c>
    </row>
    <row r="699" spans="1:7" x14ac:dyDescent="0.3">
      <c r="A699" t="s">
        <v>15</v>
      </c>
      <c r="B699" s="1">
        <v>45869</v>
      </c>
      <c r="C699">
        <v>350034</v>
      </c>
      <c r="D699">
        <v>10773.816999999999</v>
      </c>
      <c r="E699" t="s">
        <v>4</v>
      </c>
      <c r="F699" t="s">
        <v>49</v>
      </c>
      <c r="G699" t="s">
        <v>5</v>
      </c>
    </row>
    <row r="700" spans="1:7" x14ac:dyDescent="0.3">
      <c r="A700" t="s">
        <v>15</v>
      </c>
      <c r="B700" s="1">
        <v>45869</v>
      </c>
      <c r="C700">
        <v>350035</v>
      </c>
      <c r="D700">
        <v>64624.474999999999</v>
      </c>
      <c r="E700" t="s">
        <v>4</v>
      </c>
      <c r="F700" t="s">
        <v>49</v>
      </c>
      <c r="G700" t="s">
        <v>5</v>
      </c>
    </row>
    <row r="701" spans="1:7" x14ac:dyDescent="0.3">
      <c r="A701" t="s">
        <v>15</v>
      </c>
      <c r="B701" s="1">
        <v>45869</v>
      </c>
      <c r="C701">
        <v>352002</v>
      </c>
      <c r="D701">
        <v>281746.49400000001</v>
      </c>
      <c r="E701" t="s">
        <v>4</v>
      </c>
      <c r="F701" t="s">
        <v>48</v>
      </c>
      <c r="G701" t="s">
        <v>5</v>
      </c>
    </row>
    <row r="702" spans="1:7" x14ac:dyDescent="0.3">
      <c r="A702" t="s">
        <v>15</v>
      </c>
      <c r="B702" s="1">
        <v>45869</v>
      </c>
      <c r="C702">
        <v>352003</v>
      </c>
      <c r="D702">
        <v>14719.718999999999</v>
      </c>
      <c r="E702" t="s">
        <v>4</v>
      </c>
      <c r="F702" t="s">
        <v>48</v>
      </c>
      <c r="G702" t="s">
        <v>5</v>
      </c>
    </row>
    <row r="703" spans="1:7" x14ac:dyDescent="0.3">
      <c r="A703" t="s">
        <v>15</v>
      </c>
      <c r="B703" s="1">
        <v>45869</v>
      </c>
      <c r="C703">
        <v>352005</v>
      </c>
      <c r="D703">
        <v>-14228.74</v>
      </c>
      <c r="E703" t="s">
        <v>4</v>
      </c>
      <c r="F703" t="s">
        <v>48</v>
      </c>
      <c r="G703" t="s">
        <v>5</v>
      </c>
    </row>
    <row r="704" spans="1:7" x14ac:dyDescent="0.3">
      <c r="A704" t="s">
        <v>15</v>
      </c>
      <c r="B704" s="1">
        <v>45869</v>
      </c>
      <c r="C704">
        <v>352006</v>
      </c>
      <c r="D704">
        <v>-46017.097999999998</v>
      </c>
      <c r="E704" t="s">
        <v>4</v>
      </c>
      <c r="F704" t="s">
        <v>48</v>
      </c>
      <c r="G704" t="s">
        <v>5</v>
      </c>
    </row>
    <row r="705" spans="1:7" x14ac:dyDescent="0.3">
      <c r="A705" t="s">
        <v>15</v>
      </c>
      <c r="B705" s="1">
        <v>45869</v>
      </c>
      <c r="C705">
        <v>354008</v>
      </c>
      <c r="D705">
        <v>-50064.233</v>
      </c>
      <c r="E705" t="s">
        <v>4</v>
      </c>
      <c r="F705" t="s">
        <v>46</v>
      </c>
      <c r="G705" t="s">
        <v>5</v>
      </c>
    </row>
    <row r="706" spans="1:7" x14ac:dyDescent="0.3">
      <c r="A706" t="s">
        <v>15</v>
      </c>
      <c r="B706" s="1">
        <v>45869</v>
      </c>
      <c r="C706">
        <v>354011</v>
      </c>
      <c r="D706">
        <v>-21307.763999999999</v>
      </c>
      <c r="E706" t="s">
        <v>4</v>
      </c>
      <c r="F706" t="s">
        <v>46</v>
      </c>
      <c r="G706" t="s">
        <v>5</v>
      </c>
    </row>
    <row r="707" spans="1:7" x14ac:dyDescent="0.3">
      <c r="A707" t="s">
        <v>15</v>
      </c>
      <c r="B707" s="1">
        <v>45869</v>
      </c>
      <c r="C707">
        <v>354012</v>
      </c>
      <c r="D707">
        <v>36823.565000000002</v>
      </c>
      <c r="E707" t="s">
        <v>4</v>
      </c>
      <c r="F707" t="s">
        <v>46</v>
      </c>
      <c r="G707" t="s">
        <v>5</v>
      </c>
    </row>
    <row r="708" spans="1:7" x14ac:dyDescent="0.3">
      <c r="A708" t="s">
        <v>15</v>
      </c>
      <c r="B708" s="1">
        <v>45869</v>
      </c>
      <c r="C708">
        <v>354013</v>
      </c>
      <c r="D708">
        <v>49161.233</v>
      </c>
      <c r="E708" t="s">
        <v>4</v>
      </c>
      <c r="F708" t="s">
        <v>46</v>
      </c>
      <c r="G708" t="s">
        <v>5</v>
      </c>
    </row>
    <row r="709" spans="1:7" x14ac:dyDescent="0.3">
      <c r="A709" t="s">
        <v>15</v>
      </c>
      <c r="B709" s="1">
        <v>45869</v>
      </c>
      <c r="C709">
        <v>354014</v>
      </c>
      <c r="D709">
        <v>235631.83799999999</v>
      </c>
      <c r="E709" t="s">
        <v>4</v>
      </c>
      <c r="F709" t="s">
        <v>46</v>
      </c>
      <c r="G709" t="s">
        <v>5</v>
      </c>
    </row>
    <row r="710" spans="1:7" x14ac:dyDescent="0.3">
      <c r="A710" t="s">
        <v>15</v>
      </c>
      <c r="B710" s="1">
        <v>45869</v>
      </c>
      <c r="C710">
        <v>354015</v>
      </c>
      <c r="D710">
        <v>20980.165000000001</v>
      </c>
      <c r="E710" t="s">
        <v>4</v>
      </c>
      <c r="F710" t="s">
        <v>46</v>
      </c>
      <c r="G710" t="s">
        <v>5</v>
      </c>
    </row>
    <row r="711" spans="1:7" x14ac:dyDescent="0.3">
      <c r="A711" t="s">
        <v>15</v>
      </c>
      <c r="B711" s="1">
        <v>45869</v>
      </c>
      <c r="C711">
        <v>355002</v>
      </c>
      <c r="D711">
        <v>563214.82799999998</v>
      </c>
      <c r="E711" t="s">
        <v>4</v>
      </c>
      <c r="F711" t="s">
        <v>49</v>
      </c>
      <c r="G711" t="s">
        <v>5</v>
      </c>
    </row>
    <row r="712" spans="1:7" x14ac:dyDescent="0.3">
      <c r="A712" t="s">
        <v>15</v>
      </c>
      <c r="B712" s="1">
        <v>45869</v>
      </c>
      <c r="C712">
        <v>355009</v>
      </c>
      <c r="D712">
        <v>61327.358999999997</v>
      </c>
      <c r="E712" t="s">
        <v>4</v>
      </c>
      <c r="F712" t="s">
        <v>49</v>
      </c>
      <c r="G712" t="s">
        <v>5</v>
      </c>
    </row>
    <row r="713" spans="1:7" x14ac:dyDescent="0.3">
      <c r="A713" t="s">
        <v>15</v>
      </c>
      <c r="B713" s="1">
        <v>45869</v>
      </c>
      <c r="C713">
        <v>355013</v>
      </c>
      <c r="D713">
        <v>35687.722999999998</v>
      </c>
      <c r="E713" t="s">
        <v>4</v>
      </c>
      <c r="F713" t="s">
        <v>49</v>
      </c>
      <c r="G713" t="s">
        <v>5</v>
      </c>
    </row>
    <row r="714" spans="1:7" x14ac:dyDescent="0.3">
      <c r="A714" t="s">
        <v>15</v>
      </c>
      <c r="B714" s="1">
        <v>45869</v>
      </c>
      <c r="C714">
        <v>355014</v>
      </c>
      <c r="D714">
        <v>102602.533</v>
      </c>
      <c r="E714" t="s">
        <v>4</v>
      </c>
      <c r="F714" t="s">
        <v>49</v>
      </c>
      <c r="G714" t="s">
        <v>5</v>
      </c>
    </row>
    <row r="715" spans="1:7" x14ac:dyDescent="0.3">
      <c r="A715" t="s">
        <v>15</v>
      </c>
      <c r="B715" s="1">
        <v>45869</v>
      </c>
      <c r="C715">
        <v>355015</v>
      </c>
      <c r="D715">
        <v>224527.22099999999</v>
      </c>
      <c r="E715" t="s">
        <v>4</v>
      </c>
      <c r="F715" t="s">
        <v>49</v>
      </c>
      <c r="G715" t="s">
        <v>5</v>
      </c>
    </row>
    <row r="716" spans="1:7" x14ac:dyDescent="0.3">
      <c r="A716" t="s">
        <v>15</v>
      </c>
      <c r="B716" s="1">
        <v>45869</v>
      </c>
      <c r="C716">
        <v>356002</v>
      </c>
      <c r="D716">
        <v>195090.59400000001</v>
      </c>
      <c r="E716" t="s">
        <v>4</v>
      </c>
      <c r="F716" t="s">
        <v>48</v>
      </c>
      <c r="G716" t="s">
        <v>5</v>
      </c>
    </row>
    <row r="717" spans="1:7" x14ac:dyDescent="0.3">
      <c r="A717" t="s">
        <v>15</v>
      </c>
      <c r="B717" s="1">
        <v>45869</v>
      </c>
      <c r="C717">
        <v>356003</v>
      </c>
      <c r="D717">
        <v>-236941.73</v>
      </c>
      <c r="E717" t="s">
        <v>4</v>
      </c>
      <c r="F717" t="s">
        <v>48</v>
      </c>
      <c r="G717" t="s">
        <v>5</v>
      </c>
    </row>
    <row r="718" spans="1:7" x14ac:dyDescent="0.3">
      <c r="A718" t="s">
        <v>15</v>
      </c>
      <c r="B718" s="1">
        <v>45869</v>
      </c>
      <c r="C718">
        <v>356004</v>
      </c>
      <c r="D718">
        <v>7885.8789999999999</v>
      </c>
      <c r="E718" t="s">
        <v>4</v>
      </c>
      <c r="F718" t="s">
        <v>48</v>
      </c>
      <c r="G718" t="s">
        <v>5</v>
      </c>
    </row>
    <row r="719" spans="1:7" x14ac:dyDescent="0.3">
      <c r="A719" t="s">
        <v>15</v>
      </c>
      <c r="B719" s="1">
        <v>45869</v>
      </c>
      <c r="C719">
        <v>356005</v>
      </c>
      <c r="D719">
        <v>1278.5250000000001</v>
      </c>
      <c r="E719" t="s">
        <v>4</v>
      </c>
      <c r="F719" t="s">
        <v>48</v>
      </c>
      <c r="G719" t="s">
        <v>5</v>
      </c>
    </row>
    <row r="720" spans="1:7" x14ac:dyDescent="0.3">
      <c r="A720" t="s">
        <v>15</v>
      </c>
      <c r="B720" s="1">
        <v>45869</v>
      </c>
      <c r="C720">
        <v>360003</v>
      </c>
      <c r="D720">
        <v>4351.6270000000004</v>
      </c>
      <c r="E720" t="s">
        <v>4</v>
      </c>
      <c r="F720" t="s">
        <v>58</v>
      </c>
      <c r="G720" t="s">
        <v>5</v>
      </c>
    </row>
    <row r="721" spans="1:7" x14ac:dyDescent="0.3">
      <c r="A721" t="s">
        <v>15</v>
      </c>
      <c r="B721" s="1">
        <v>45869</v>
      </c>
      <c r="C721">
        <v>360005</v>
      </c>
      <c r="D721">
        <v>46653.572999999997</v>
      </c>
      <c r="E721" t="s">
        <v>4</v>
      </c>
      <c r="F721" t="s">
        <v>58</v>
      </c>
      <c r="G721" t="s">
        <v>5</v>
      </c>
    </row>
    <row r="722" spans="1:7" x14ac:dyDescent="0.3">
      <c r="A722" t="s">
        <v>15</v>
      </c>
      <c r="B722" s="1">
        <v>45869</v>
      </c>
      <c r="C722">
        <v>360009</v>
      </c>
      <c r="D722">
        <v>40429.805999999997</v>
      </c>
      <c r="E722" t="s">
        <v>4</v>
      </c>
      <c r="F722" t="s">
        <v>58</v>
      </c>
      <c r="G722" t="s">
        <v>5</v>
      </c>
    </row>
    <row r="723" spans="1:7" x14ac:dyDescent="0.3">
      <c r="A723" t="s">
        <v>15</v>
      </c>
      <c r="B723" s="1">
        <v>45869</v>
      </c>
      <c r="C723">
        <v>360013</v>
      </c>
      <c r="D723">
        <v>59455.959000000003</v>
      </c>
      <c r="E723" t="s">
        <v>4</v>
      </c>
      <c r="F723" t="s">
        <v>58</v>
      </c>
      <c r="G723" t="s">
        <v>5</v>
      </c>
    </row>
    <row r="724" spans="1:7" x14ac:dyDescent="0.3">
      <c r="A724" t="s">
        <v>15</v>
      </c>
      <c r="B724" s="1">
        <v>45869</v>
      </c>
      <c r="C724">
        <v>360016</v>
      </c>
      <c r="D724">
        <v>10108.454</v>
      </c>
      <c r="E724" t="s">
        <v>4</v>
      </c>
      <c r="F724" t="s">
        <v>58</v>
      </c>
      <c r="G724" t="s">
        <v>5</v>
      </c>
    </row>
    <row r="725" spans="1:7" x14ac:dyDescent="0.3">
      <c r="A725" t="s">
        <v>15</v>
      </c>
      <c r="B725" s="1">
        <v>45869</v>
      </c>
      <c r="C725">
        <v>360017</v>
      </c>
      <c r="D725">
        <v>71672.911999999997</v>
      </c>
      <c r="E725" t="s">
        <v>4</v>
      </c>
      <c r="F725" t="s">
        <v>58</v>
      </c>
      <c r="G725" t="s">
        <v>5</v>
      </c>
    </row>
    <row r="726" spans="1:7" x14ac:dyDescent="0.3">
      <c r="A726" t="s">
        <v>15</v>
      </c>
      <c r="B726" s="1">
        <v>45869</v>
      </c>
      <c r="C726">
        <v>360019</v>
      </c>
      <c r="D726">
        <v>1147</v>
      </c>
      <c r="E726" t="s">
        <v>4</v>
      </c>
      <c r="F726" t="s">
        <v>58</v>
      </c>
      <c r="G726" t="s">
        <v>5</v>
      </c>
    </row>
    <row r="727" spans="1:7" x14ac:dyDescent="0.3">
      <c r="A727" t="s">
        <v>15</v>
      </c>
      <c r="B727" s="1">
        <v>45869</v>
      </c>
      <c r="C727">
        <v>360030</v>
      </c>
      <c r="D727">
        <v>1061750</v>
      </c>
      <c r="E727" t="s">
        <v>4</v>
      </c>
      <c r="F727" t="s">
        <v>58</v>
      </c>
      <c r="G727" t="s">
        <v>5</v>
      </c>
    </row>
    <row r="728" spans="1:7" x14ac:dyDescent="0.3">
      <c r="A728" t="s">
        <v>15</v>
      </c>
      <c r="B728" s="1">
        <v>45869</v>
      </c>
      <c r="C728">
        <v>360031</v>
      </c>
      <c r="D728">
        <v>673.58500000000004</v>
      </c>
      <c r="E728" t="s">
        <v>4</v>
      </c>
      <c r="F728" t="s">
        <v>58</v>
      </c>
      <c r="G728" t="s">
        <v>5</v>
      </c>
    </row>
    <row r="729" spans="1:7" x14ac:dyDescent="0.3">
      <c r="A729" t="s">
        <v>15</v>
      </c>
      <c r="B729" s="1">
        <v>45869</v>
      </c>
      <c r="C729">
        <v>360032</v>
      </c>
      <c r="D729">
        <v>186387.59299999999</v>
      </c>
      <c r="E729" t="s">
        <v>4</v>
      </c>
      <c r="F729" t="s">
        <v>58</v>
      </c>
      <c r="G729" t="s">
        <v>5</v>
      </c>
    </row>
    <row r="730" spans="1:7" x14ac:dyDescent="0.3">
      <c r="A730" t="s">
        <v>15</v>
      </c>
      <c r="B730" s="1">
        <v>45869</v>
      </c>
      <c r="C730">
        <v>360033</v>
      </c>
      <c r="D730">
        <v>7694.8810000000003</v>
      </c>
      <c r="E730" t="s">
        <v>4</v>
      </c>
      <c r="F730" t="s">
        <v>58</v>
      </c>
      <c r="G730" t="s">
        <v>5</v>
      </c>
    </row>
    <row r="731" spans="1:7" x14ac:dyDescent="0.3">
      <c r="A731" t="s">
        <v>15</v>
      </c>
      <c r="B731" s="1">
        <v>45869</v>
      </c>
      <c r="C731">
        <v>362006</v>
      </c>
      <c r="D731">
        <v>-1E-3</v>
      </c>
      <c r="E731" t="s">
        <v>4</v>
      </c>
      <c r="F731" t="s">
        <v>58</v>
      </c>
      <c r="G731" t="s">
        <v>5</v>
      </c>
    </row>
    <row r="732" spans="1:7" x14ac:dyDescent="0.3">
      <c r="A732" t="s">
        <v>15</v>
      </c>
      <c r="B732" s="1">
        <v>45869</v>
      </c>
      <c r="C732">
        <v>362007</v>
      </c>
      <c r="D732">
        <v>18564.174999999999</v>
      </c>
      <c r="E732" t="s">
        <v>4</v>
      </c>
      <c r="F732" t="s">
        <v>58</v>
      </c>
      <c r="G732" t="s">
        <v>5</v>
      </c>
    </row>
    <row r="733" spans="1:7" x14ac:dyDescent="0.3">
      <c r="A733" t="s">
        <v>15</v>
      </c>
      <c r="B733" s="1">
        <v>45869</v>
      </c>
      <c r="C733">
        <v>362012</v>
      </c>
      <c r="D733">
        <v>-1E-3</v>
      </c>
      <c r="E733" t="s">
        <v>4</v>
      </c>
      <c r="F733" t="s">
        <v>58</v>
      </c>
      <c r="G733" t="s">
        <v>5</v>
      </c>
    </row>
    <row r="734" spans="1:7" x14ac:dyDescent="0.3">
      <c r="A734" t="s">
        <v>15</v>
      </c>
      <c r="B734" s="1">
        <v>45869</v>
      </c>
      <c r="C734">
        <v>362015</v>
      </c>
      <c r="D734">
        <v>491310.32400000002</v>
      </c>
      <c r="E734" t="s">
        <v>4</v>
      </c>
      <c r="F734" t="s">
        <v>58</v>
      </c>
      <c r="G734" t="s">
        <v>5</v>
      </c>
    </row>
    <row r="735" spans="1:7" x14ac:dyDescent="0.3">
      <c r="A735" t="s">
        <v>15</v>
      </c>
      <c r="B735" s="1">
        <v>45869</v>
      </c>
      <c r="C735">
        <v>362016</v>
      </c>
      <c r="D735">
        <v>408785.99699999997</v>
      </c>
      <c r="E735" t="s">
        <v>4</v>
      </c>
      <c r="F735" t="s">
        <v>58</v>
      </c>
      <c r="G735" t="s">
        <v>5</v>
      </c>
    </row>
    <row r="736" spans="1:7" x14ac:dyDescent="0.3">
      <c r="A736" t="s">
        <v>15</v>
      </c>
      <c r="B736" s="1">
        <v>45869</v>
      </c>
      <c r="C736">
        <v>362017</v>
      </c>
      <c r="D736">
        <v>334634.141</v>
      </c>
      <c r="E736" t="s">
        <v>4</v>
      </c>
      <c r="F736" t="s">
        <v>58</v>
      </c>
      <c r="G736" t="s">
        <v>5</v>
      </c>
    </row>
    <row r="737" spans="1:7" x14ac:dyDescent="0.3">
      <c r="A737" t="s">
        <v>15</v>
      </c>
      <c r="B737" s="1">
        <v>45869</v>
      </c>
      <c r="C737">
        <v>362018</v>
      </c>
      <c r="D737">
        <v>298958.58500000002</v>
      </c>
      <c r="E737" t="s">
        <v>4</v>
      </c>
      <c r="F737" t="s">
        <v>58</v>
      </c>
      <c r="G737" t="s">
        <v>5</v>
      </c>
    </row>
    <row r="738" spans="1:7" x14ac:dyDescent="0.3">
      <c r="A738" t="s">
        <v>15</v>
      </c>
      <c r="B738" s="1">
        <v>45869</v>
      </c>
      <c r="C738">
        <v>362019</v>
      </c>
      <c r="D738">
        <v>30332.788</v>
      </c>
      <c r="E738" t="s">
        <v>4</v>
      </c>
      <c r="F738" t="s">
        <v>58</v>
      </c>
      <c r="G738" t="s">
        <v>5</v>
      </c>
    </row>
    <row r="739" spans="1:7" x14ac:dyDescent="0.3">
      <c r="A739" t="s">
        <v>15</v>
      </c>
      <c r="B739" s="1">
        <v>45869</v>
      </c>
      <c r="C739">
        <v>364502</v>
      </c>
      <c r="D739">
        <v>624022.96</v>
      </c>
      <c r="E739" t="s">
        <v>4</v>
      </c>
      <c r="F739" t="s">
        <v>58</v>
      </c>
      <c r="G739" t="s">
        <v>5</v>
      </c>
    </row>
    <row r="740" spans="1:7" x14ac:dyDescent="0.3">
      <c r="A740" t="s">
        <v>15</v>
      </c>
      <c r="B740" s="1">
        <v>45869</v>
      </c>
      <c r="C740">
        <v>365002</v>
      </c>
      <c r="D740">
        <v>360.017</v>
      </c>
      <c r="E740" t="s">
        <v>4</v>
      </c>
      <c r="F740" t="s">
        <v>45</v>
      </c>
      <c r="G740" t="s">
        <v>5</v>
      </c>
    </row>
    <row r="741" spans="1:7" x14ac:dyDescent="0.3">
      <c r="A741" t="s">
        <v>15</v>
      </c>
      <c r="B741" s="1">
        <v>45869</v>
      </c>
      <c r="C741">
        <v>365003</v>
      </c>
      <c r="D741">
        <v>39260.870999999999</v>
      </c>
      <c r="E741" t="s">
        <v>4</v>
      </c>
      <c r="F741" t="s">
        <v>45</v>
      </c>
      <c r="G741" t="s">
        <v>5</v>
      </c>
    </row>
    <row r="742" spans="1:7" x14ac:dyDescent="0.3">
      <c r="A742" t="s">
        <v>15</v>
      </c>
      <c r="B742" s="1">
        <v>45869</v>
      </c>
      <c r="C742">
        <v>365004</v>
      </c>
      <c r="D742">
        <v>155381.31599999999</v>
      </c>
      <c r="E742" t="s">
        <v>4</v>
      </c>
      <c r="F742" t="s">
        <v>45</v>
      </c>
      <c r="G742" t="s">
        <v>5</v>
      </c>
    </row>
    <row r="743" spans="1:7" x14ac:dyDescent="0.3">
      <c r="A743" t="s">
        <v>15</v>
      </c>
      <c r="B743" s="1">
        <v>45869</v>
      </c>
      <c r="C743">
        <v>365005</v>
      </c>
      <c r="D743">
        <v>360.017</v>
      </c>
      <c r="E743" t="s">
        <v>4</v>
      </c>
      <c r="F743" t="s">
        <v>45</v>
      </c>
      <c r="G743" t="s">
        <v>5</v>
      </c>
    </row>
    <row r="744" spans="1:7" x14ac:dyDescent="0.3">
      <c r="A744" t="s">
        <v>15</v>
      </c>
      <c r="B744" s="1">
        <v>45869</v>
      </c>
      <c r="C744">
        <v>365006</v>
      </c>
      <c r="D744">
        <v>39105.379000000001</v>
      </c>
      <c r="E744" t="s">
        <v>4</v>
      </c>
      <c r="F744" t="s">
        <v>45</v>
      </c>
      <c r="G744" t="s">
        <v>5</v>
      </c>
    </row>
    <row r="745" spans="1:7" x14ac:dyDescent="0.3">
      <c r="A745" t="s">
        <v>15</v>
      </c>
      <c r="B745" s="1">
        <v>45869</v>
      </c>
      <c r="C745">
        <v>365007</v>
      </c>
      <c r="D745">
        <v>126230.719</v>
      </c>
      <c r="E745" t="s">
        <v>4</v>
      </c>
      <c r="F745" t="s">
        <v>45</v>
      </c>
      <c r="G745" t="s">
        <v>5</v>
      </c>
    </row>
    <row r="746" spans="1:7" x14ac:dyDescent="0.3">
      <c r="A746" t="s">
        <v>15</v>
      </c>
      <c r="B746" s="1">
        <v>45869</v>
      </c>
      <c r="C746">
        <v>365008</v>
      </c>
      <c r="D746">
        <v>14679.284</v>
      </c>
      <c r="E746" t="s">
        <v>4</v>
      </c>
      <c r="F746" t="s">
        <v>45</v>
      </c>
      <c r="G746" t="s">
        <v>5</v>
      </c>
    </row>
    <row r="747" spans="1:7" x14ac:dyDescent="0.3">
      <c r="A747" t="s">
        <v>15</v>
      </c>
      <c r="B747" s="1">
        <v>45869</v>
      </c>
      <c r="C747">
        <v>365009</v>
      </c>
      <c r="D747">
        <v>295603.02799999999</v>
      </c>
      <c r="E747" t="s">
        <v>4</v>
      </c>
      <c r="F747" t="s">
        <v>45</v>
      </c>
      <c r="G747" t="s">
        <v>5</v>
      </c>
    </row>
    <row r="748" spans="1:7" x14ac:dyDescent="0.3">
      <c r="A748" t="s">
        <v>15</v>
      </c>
      <c r="B748" s="1">
        <v>45869</v>
      </c>
      <c r="C748">
        <v>365010</v>
      </c>
      <c r="D748">
        <v>283427.55599999998</v>
      </c>
      <c r="E748" t="s">
        <v>4</v>
      </c>
      <c r="F748" t="s">
        <v>45</v>
      </c>
      <c r="G748" t="s">
        <v>5</v>
      </c>
    </row>
    <row r="749" spans="1:7" x14ac:dyDescent="0.3">
      <c r="A749" t="s">
        <v>15</v>
      </c>
      <c r="B749" s="1">
        <v>45869</v>
      </c>
      <c r="C749">
        <v>365020</v>
      </c>
      <c r="D749">
        <v>370.69200000000001</v>
      </c>
      <c r="E749" t="s">
        <v>4</v>
      </c>
      <c r="F749" t="s">
        <v>45</v>
      </c>
      <c r="G749" t="s">
        <v>5</v>
      </c>
    </row>
    <row r="750" spans="1:7" x14ac:dyDescent="0.3">
      <c r="A750" t="s">
        <v>15</v>
      </c>
      <c r="B750" s="1">
        <v>45869</v>
      </c>
      <c r="C750">
        <v>365021</v>
      </c>
      <c r="D750">
        <v>183076.32199999999</v>
      </c>
      <c r="E750" t="s">
        <v>4</v>
      </c>
      <c r="F750" t="s">
        <v>45</v>
      </c>
      <c r="G750" t="s">
        <v>5</v>
      </c>
    </row>
    <row r="751" spans="1:7" x14ac:dyDescent="0.3">
      <c r="A751" t="s">
        <v>15</v>
      </c>
      <c r="B751" s="1">
        <v>45869</v>
      </c>
      <c r="C751">
        <v>370002</v>
      </c>
      <c r="D751">
        <v>54408.339</v>
      </c>
      <c r="E751" t="s">
        <v>4</v>
      </c>
      <c r="F751" t="s">
        <v>45</v>
      </c>
      <c r="G751" t="s">
        <v>5</v>
      </c>
    </row>
    <row r="752" spans="1:7" x14ac:dyDescent="0.3">
      <c r="A752" t="s">
        <v>15</v>
      </c>
      <c r="B752" s="1">
        <v>45869</v>
      </c>
      <c r="C752">
        <v>372008</v>
      </c>
      <c r="D752">
        <v>1162.0940000000001</v>
      </c>
      <c r="E752" t="s">
        <v>4</v>
      </c>
      <c r="F752" t="s">
        <v>45</v>
      </c>
      <c r="G752" t="s">
        <v>5</v>
      </c>
    </row>
    <row r="753" spans="1:7" x14ac:dyDescent="0.3">
      <c r="A753" t="s">
        <v>15</v>
      </c>
      <c r="B753" s="1">
        <v>45869</v>
      </c>
      <c r="C753">
        <v>400002</v>
      </c>
      <c r="D753">
        <v>-114986.931</v>
      </c>
      <c r="E753" t="s">
        <v>6</v>
      </c>
      <c r="F753" t="s">
        <v>50</v>
      </c>
      <c r="G753" t="s">
        <v>5</v>
      </c>
    </row>
    <row r="754" spans="1:7" x14ac:dyDescent="0.3">
      <c r="A754" t="s">
        <v>15</v>
      </c>
      <c r="B754" s="1">
        <v>45869</v>
      </c>
      <c r="C754">
        <v>410002</v>
      </c>
      <c r="D754">
        <v>-3365802.4049999998</v>
      </c>
      <c r="E754" t="s">
        <v>6</v>
      </c>
      <c r="F754" t="s">
        <v>51</v>
      </c>
      <c r="G754" t="s">
        <v>5</v>
      </c>
    </row>
    <row r="755" spans="1:7" x14ac:dyDescent="0.3">
      <c r="A755" t="s">
        <v>15</v>
      </c>
      <c r="B755" s="1">
        <v>45869</v>
      </c>
      <c r="C755">
        <v>410005</v>
      </c>
      <c r="D755">
        <v>-282897.451</v>
      </c>
      <c r="E755" t="s">
        <v>6</v>
      </c>
      <c r="F755" t="s">
        <v>51</v>
      </c>
      <c r="G755" t="s">
        <v>5</v>
      </c>
    </row>
    <row r="756" spans="1:7" x14ac:dyDescent="0.3">
      <c r="A756" t="s">
        <v>15</v>
      </c>
      <c r="B756" s="1">
        <v>45869</v>
      </c>
      <c r="C756">
        <v>410006</v>
      </c>
      <c r="D756">
        <v>-588319.20900000003</v>
      </c>
      <c r="E756" t="s">
        <v>6</v>
      </c>
      <c r="F756" t="s">
        <v>51</v>
      </c>
      <c r="G756" t="s">
        <v>5</v>
      </c>
    </row>
    <row r="757" spans="1:7" x14ac:dyDescent="0.3">
      <c r="A757" t="s">
        <v>15</v>
      </c>
      <c r="B757" s="1">
        <v>45869</v>
      </c>
      <c r="C757">
        <v>410008</v>
      </c>
      <c r="D757">
        <v>-657.91899999999998</v>
      </c>
      <c r="E757" t="s">
        <v>6</v>
      </c>
      <c r="F757" t="s">
        <v>51</v>
      </c>
      <c r="G757" t="s">
        <v>5</v>
      </c>
    </row>
    <row r="758" spans="1:7" x14ac:dyDescent="0.3">
      <c r="A758" t="s">
        <v>15</v>
      </c>
      <c r="B758" s="1">
        <v>45869</v>
      </c>
      <c r="C758">
        <v>410009</v>
      </c>
      <c r="D758">
        <v>-323390.34600000002</v>
      </c>
      <c r="E758" t="s">
        <v>6</v>
      </c>
      <c r="F758" t="s">
        <v>51</v>
      </c>
      <c r="G758" t="s">
        <v>5</v>
      </c>
    </row>
    <row r="759" spans="1:7" x14ac:dyDescent="0.3">
      <c r="A759" t="s">
        <v>15</v>
      </c>
      <c r="B759" s="1">
        <v>45869</v>
      </c>
      <c r="C759">
        <v>410015</v>
      </c>
      <c r="D759">
        <v>-260277.78400000001</v>
      </c>
      <c r="E759" t="s">
        <v>6</v>
      </c>
      <c r="F759" t="s">
        <v>51</v>
      </c>
      <c r="G759" t="s">
        <v>5</v>
      </c>
    </row>
    <row r="760" spans="1:7" x14ac:dyDescent="0.3">
      <c r="A760" t="s">
        <v>15</v>
      </c>
      <c r="B760" s="1">
        <v>45869</v>
      </c>
      <c r="C760">
        <v>410016</v>
      </c>
      <c r="D760">
        <v>-11097.272999999999</v>
      </c>
      <c r="E760" t="s">
        <v>6</v>
      </c>
      <c r="F760" t="s">
        <v>51</v>
      </c>
      <c r="G760" t="s">
        <v>5</v>
      </c>
    </row>
    <row r="761" spans="1:7" x14ac:dyDescent="0.3">
      <c r="A761" t="s">
        <v>15</v>
      </c>
      <c r="B761" s="1">
        <v>45869</v>
      </c>
      <c r="C761">
        <v>410018</v>
      </c>
      <c r="D761">
        <v>-163344.334</v>
      </c>
      <c r="E761" t="s">
        <v>6</v>
      </c>
      <c r="F761" t="s">
        <v>51</v>
      </c>
      <c r="G761" t="s">
        <v>5</v>
      </c>
    </row>
    <row r="762" spans="1:7" x14ac:dyDescent="0.3">
      <c r="A762" t="s">
        <v>15</v>
      </c>
      <c r="B762" s="1">
        <v>45869</v>
      </c>
      <c r="C762">
        <v>410019</v>
      </c>
      <c r="D762">
        <v>-41874.928</v>
      </c>
      <c r="E762" t="s">
        <v>6</v>
      </c>
      <c r="F762" t="s">
        <v>51</v>
      </c>
      <c r="G762" t="s">
        <v>5</v>
      </c>
    </row>
    <row r="763" spans="1:7" x14ac:dyDescent="0.3">
      <c r="A763" t="s">
        <v>15</v>
      </c>
      <c r="B763" s="1">
        <v>45869</v>
      </c>
      <c r="C763">
        <v>410032</v>
      </c>
      <c r="D763">
        <v>-366813.10200000001</v>
      </c>
      <c r="E763" t="s">
        <v>6</v>
      </c>
      <c r="F763" t="s">
        <v>51</v>
      </c>
      <c r="G763" t="s">
        <v>5</v>
      </c>
    </row>
    <row r="764" spans="1:7" x14ac:dyDescent="0.3">
      <c r="A764" t="s">
        <v>15</v>
      </c>
      <c r="B764" s="1">
        <v>45869</v>
      </c>
      <c r="C764">
        <v>410035</v>
      </c>
      <c r="D764">
        <v>-30543.984</v>
      </c>
      <c r="E764" t="s">
        <v>6</v>
      </c>
      <c r="F764" t="s">
        <v>51</v>
      </c>
      <c r="G764" t="s">
        <v>5</v>
      </c>
    </row>
    <row r="765" spans="1:7" x14ac:dyDescent="0.3">
      <c r="A765" t="s">
        <v>15</v>
      </c>
      <c r="B765" s="1">
        <v>45869</v>
      </c>
      <c r="C765">
        <v>410036</v>
      </c>
      <c r="D765">
        <v>-307218.65600000002</v>
      </c>
      <c r="E765" t="s">
        <v>6</v>
      </c>
      <c r="F765" t="s">
        <v>51</v>
      </c>
      <c r="G765" t="s">
        <v>5</v>
      </c>
    </row>
    <row r="766" spans="1:7" x14ac:dyDescent="0.3">
      <c r="A766" t="s">
        <v>15</v>
      </c>
      <c r="B766" s="1">
        <v>45869</v>
      </c>
      <c r="C766">
        <v>410037</v>
      </c>
      <c r="D766">
        <v>-3507233.7519999999</v>
      </c>
      <c r="E766" t="s">
        <v>6</v>
      </c>
      <c r="F766" t="s">
        <v>51</v>
      </c>
      <c r="G766" t="s">
        <v>5</v>
      </c>
    </row>
    <row r="767" spans="1:7" x14ac:dyDescent="0.3">
      <c r="A767" t="s">
        <v>15</v>
      </c>
      <c r="B767" s="1">
        <v>45869</v>
      </c>
      <c r="C767">
        <v>410039</v>
      </c>
      <c r="D767">
        <v>-297280.19199999998</v>
      </c>
      <c r="E767" t="s">
        <v>6</v>
      </c>
      <c r="F767" t="s">
        <v>51</v>
      </c>
      <c r="G767" t="s">
        <v>5</v>
      </c>
    </row>
    <row r="768" spans="1:7" x14ac:dyDescent="0.3">
      <c r="A768" t="s">
        <v>15</v>
      </c>
      <c r="B768" s="1">
        <v>45869</v>
      </c>
      <c r="C768">
        <v>410040</v>
      </c>
      <c r="D768">
        <v>-60044.675000000003</v>
      </c>
      <c r="E768" t="s">
        <v>6</v>
      </c>
      <c r="F768" t="s">
        <v>51</v>
      </c>
      <c r="G768" t="s">
        <v>5</v>
      </c>
    </row>
    <row r="769" spans="1:7" x14ac:dyDescent="0.3">
      <c r="A769" t="s">
        <v>15</v>
      </c>
      <c r="B769" s="1">
        <v>45869</v>
      </c>
      <c r="C769">
        <v>410046</v>
      </c>
      <c r="D769">
        <v>-6656.8680000000004</v>
      </c>
      <c r="E769" t="s">
        <v>6</v>
      </c>
      <c r="F769" t="s">
        <v>51</v>
      </c>
      <c r="G769" t="s">
        <v>5</v>
      </c>
    </row>
    <row r="770" spans="1:7" x14ac:dyDescent="0.3">
      <c r="A770" t="s">
        <v>15</v>
      </c>
      <c r="B770" s="1">
        <v>45869</v>
      </c>
      <c r="C770">
        <v>410049</v>
      </c>
      <c r="D770">
        <v>-831.45699999999999</v>
      </c>
      <c r="E770" t="s">
        <v>6</v>
      </c>
      <c r="F770" t="s">
        <v>51</v>
      </c>
      <c r="G770" t="s">
        <v>5</v>
      </c>
    </row>
    <row r="771" spans="1:7" x14ac:dyDescent="0.3">
      <c r="A771" t="s">
        <v>15</v>
      </c>
      <c r="B771" s="1">
        <v>45869</v>
      </c>
      <c r="C771">
        <v>415002</v>
      </c>
      <c r="D771">
        <v>-1119792.81</v>
      </c>
      <c r="E771" t="s">
        <v>6</v>
      </c>
      <c r="F771" t="s">
        <v>50</v>
      </c>
      <c r="G771" t="s">
        <v>5</v>
      </c>
    </row>
    <row r="772" spans="1:7" x14ac:dyDescent="0.3">
      <c r="A772" t="s">
        <v>15</v>
      </c>
      <c r="B772" s="1">
        <v>45869</v>
      </c>
      <c r="C772">
        <v>415003</v>
      </c>
      <c r="D772">
        <v>-111.938</v>
      </c>
      <c r="E772" t="s">
        <v>6</v>
      </c>
      <c r="F772" t="s">
        <v>50</v>
      </c>
      <c r="G772" t="s">
        <v>5</v>
      </c>
    </row>
    <row r="773" spans="1:7" x14ac:dyDescent="0.3">
      <c r="A773" t="s">
        <v>15</v>
      </c>
      <c r="B773" s="1">
        <v>45869</v>
      </c>
      <c r="C773">
        <v>415008</v>
      </c>
      <c r="D773">
        <v>-355.875</v>
      </c>
      <c r="E773" t="s">
        <v>6</v>
      </c>
      <c r="F773" t="s">
        <v>50</v>
      </c>
      <c r="G773" t="s">
        <v>5</v>
      </c>
    </row>
    <row r="774" spans="1:7" x14ac:dyDescent="0.3">
      <c r="A774" t="s">
        <v>15</v>
      </c>
      <c r="B774" s="1">
        <v>45869</v>
      </c>
      <c r="C774">
        <v>420003</v>
      </c>
      <c r="D774">
        <v>6841.8590000000004</v>
      </c>
      <c r="E774" t="s">
        <v>6</v>
      </c>
      <c r="F774" t="s">
        <v>52</v>
      </c>
      <c r="G774" t="s">
        <v>5</v>
      </c>
    </row>
    <row r="775" spans="1:7" x14ac:dyDescent="0.3">
      <c r="A775" t="s">
        <v>15</v>
      </c>
      <c r="B775" s="1">
        <v>45869</v>
      </c>
      <c r="C775">
        <v>420004</v>
      </c>
      <c r="D775">
        <v>-187731.133</v>
      </c>
      <c r="E775" t="s">
        <v>6</v>
      </c>
      <c r="F775" t="s">
        <v>52</v>
      </c>
      <c r="G775" t="s">
        <v>5</v>
      </c>
    </row>
    <row r="776" spans="1:7" x14ac:dyDescent="0.3">
      <c r="A776" t="s">
        <v>15</v>
      </c>
      <c r="B776" s="1">
        <v>45869</v>
      </c>
      <c r="C776">
        <v>420006</v>
      </c>
      <c r="D776">
        <v>-16443.882000000001</v>
      </c>
      <c r="E776" t="s">
        <v>6</v>
      </c>
      <c r="F776" t="s">
        <v>52</v>
      </c>
      <c r="G776" t="s">
        <v>5</v>
      </c>
    </row>
    <row r="777" spans="1:7" x14ac:dyDescent="0.3">
      <c r="A777" t="s">
        <v>15</v>
      </c>
      <c r="B777" s="1">
        <v>45869</v>
      </c>
      <c r="C777">
        <v>420007</v>
      </c>
      <c r="D777">
        <v>-1257.904</v>
      </c>
      <c r="E777" t="s">
        <v>6</v>
      </c>
      <c r="F777" t="s">
        <v>52</v>
      </c>
      <c r="G777" t="s">
        <v>5</v>
      </c>
    </row>
    <row r="778" spans="1:7" x14ac:dyDescent="0.3">
      <c r="A778" t="s">
        <v>15</v>
      </c>
      <c r="B778" s="1">
        <v>45869</v>
      </c>
      <c r="C778">
        <v>421002</v>
      </c>
      <c r="D778">
        <v>-37063.597999999998</v>
      </c>
      <c r="E778" t="s">
        <v>6</v>
      </c>
      <c r="F778" t="s">
        <v>52</v>
      </c>
      <c r="G778" t="s">
        <v>5</v>
      </c>
    </row>
    <row r="779" spans="1:7" x14ac:dyDescent="0.3">
      <c r="A779" t="s">
        <v>15</v>
      </c>
      <c r="B779" s="1">
        <v>45869</v>
      </c>
      <c r="C779">
        <v>421003</v>
      </c>
      <c r="D779">
        <v>12020.967000000001</v>
      </c>
      <c r="E779" t="s">
        <v>6</v>
      </c>
      <c r="F779" t="s">
        <v>52</v>
      </c>
      <c r="G779" t="s">
        <v>5</v>
      </c>
    </row>
    <row r="780" spans="1:7" x14ac:dyDescent="0.3">
      <c r="A780" t="s">
        <v>15</v>
      </c>
      <c r="B780" s="1">
        <v>45869</v>
      </c>
      <c r="C780">
        <v>421004</v>
      </c>
      <c r="D780">
        <v>-880.35500000000002</v>
      </c>
      <c r="E780" t="s">
        <v>6</v>
      </c>
      <c r="F780" t="s">
        <v>52</v>
      </c>
      <c r="G780" t="s">
        <v>5</v>
      </c>
    </row>
    <row r="781" spans="1:7" x14ac:dyDescent="0.3">
      <c r="A781" t="s">
        <v>15</v>
      </c>
      <c r="B781" s="1">
        <v>45869</v>
      </c>
      <c r="C781">
        <v>421007</v>
      </c>
      <c r="D781">
        <v>14096.344999999999</v>
      </c>
      <c r="E781" t="s">
        <v>6</v>
      </c>
      <c r="F781" t="s">
        <v>52</v>
      </c>
      <c r="G781" t="s">
        <v>5</v>
      </c>
    </row>
    <row r="782" spans="1:7" x14ac:dyDescent="0.3">
      <c r="A782" t="s">
        <v>15</v>
      </c>
      <c r="B782" s="1">
        <v>45869</v>
      </c>
      <c r="C782">
        <v>421008</v>
      </c>
      <c r="D782">
        <v>-105380.92600000001</v>
      </c>
      <c r="E782" t="s">
        <v>6</v>
      </c>
      <c r="F782" t="s">
        <v>52</v>
      </c>
      <c r="G782" t="s">
        <v>5</v>
      </c>
    </row>
    <row r="783" spans="1:7" x14ac:dyDescent="0.3">
      <c r="A783" t="s">
        <v>15</v>
      </c>
      <c r="B783" s="1">
        <v>45869</v>
      </c>
      <c r="C783">
        <v>423002</v>
      </c>
      <c r="D783">
        <v>-2792.3429999999998</v>
      </c>
      <c r="E783" t="s">
        <v>6</v>
      </c>
      <c r="F783" t="s">
        <v>52</v>
      </c>
      <c r="G783" t="s">
        <v>5</v>
      </c>
    </row>
    <row r="784" spans="1:7" x14ac:dyDescent="0.3">
      <c r="A784" t="s">
        <v>15</v>
      </c>
      <c r="B784" s="1">
        <v>45869</v>
      </c>
      <c r="C784">
        <v>423005</v>
      </c>
      <c r="D784">
        <v>0</v>
      </c>
      <c r="E784" t="s">
        <v>6</v>
      </c>
      <c r="F784" t="s">
        <v>52</v>
      </c>
      <c r="G784" t="s">
        <v>5</v>
      </c>
    </row>
    <row r="785" spans="1:7" x14ac:dyDescent="0.3">
      <c r="A785" t="s">
        <v>15</v>
      </c>
      <c r="B785" s="1">
        <v>45869</v>
      </c>
      <c r="C785">
        <v>423011</v>
      </c>
      <c r="D785">
        <v>5182.1080000000002</v>
      </c>
      <c r="E785" t="s">
        <v>6</v>
      </c>
      <c r="F785" t="s">
        <v>52</v>
      </c>
      <c r="G785" t="s">
        <v>5</v>
      </c>
    </row>
    <row r="786" spans="1:7" x14ac:dyDescent="0.3">
      <c r="A786" t="s">
        <v>15</v>
      </c>
      <c r="B786" s="1">
        <v>45869</v>
      </c>
      <c r="C786">
        <v>423012</v>
      </c>
      <c r="D786">
        <v>-26634.71</v>
      </c>
      <c r="E786" t="s">
        <v>6</v>
      </c>
      <c r="F786" t="s">
        <v>52</v>
      </c>
      <c r="G786" t="s">
        <v>5</v>
      </c>
    </row>
    <row r="787" spans="1:7" x14ac:dyDescent="0.3">
      <c r="A787" t="s">
        <v>15</v>
      </c>
      <c r="B787" s="1">
        <v>45869</v>
      </c>
      <c r="C787">
        <v>510002</v>
      </c>
      <c r="D787">
        <v>2313000.673</v>
      </c>
      <c r="E787" t="s">
        <v>6</v>
      </c>
      <c r="F787" t="s">
        <v>53</v>
      </c>
      <c r="G787" t="s">
        <v>5</v>
      </c>
    </row>
    <row r="788" spans="1:7" x14ac:dyDescent="0.3">
      <c r="A788" t="s">
        <v>15</v>
      </c>
      <c r="B788" s="1">
        <v>45869</v>
      </c>
      <c r="C788">
        <v>510003</v>
      </c>
      <c r="D788">
        <v>297720.783</v>
      </c>
      <c r="E788" t="s">
        <v>6</v>
      </c>
      <c r="F788" t="s">
        <v>53</v>
      </c>
      <c r="G788" t="s">
        <v>5</v>
      </c>
    </row>
    <row r="789" spans="1:7" x14ac:dyDescent="0.3">
      <c r="A789" t="s">
        <v>15</v>
      </c>
      <c r="B789" s="1">
        <v>45869</v>
      </c>
      <c r="C789">
        <v>510004</v>
      </c>
      <c r="D789">
        <v>3964291.105</v>
      </c>
      <c r="E789" t="s">
        <v>6</v>
      </c>
      <c r="F789" t="s">
        <v>53</v>
      </c>
      <c r="G789" t="s">
        <v>5</v>
      </c>
    </row>
    <row r="790" spans="1:7" x14ac:dyDescent="0.3">
      <c r="A790" t="s">
        <v>15</v>
      </c>
      <c r="B790" s="1">
        <v>45869</v>
      </c>
      <c r="C790">
        <v>510005</v>
      </c>
      <c r="D790">
        <v>92449.857000000004</v>
      </c>
      <c r="E790" t="s">
        <v>6</v>
      </c>
      <c r="F790" t="s">
        <v>53</v>
      </c>
      <c r="G790" t="s">
        <v>5</v>
      </c>
    </row>
    <row r="791" spans="1:7" x14ac:dyDescent="0.3">
      <c r="A791" t="s">
        <v>15</v>
      </c>
      <c r="B791" s="1">
        <v>45869</v>
      </c>
      <c r="C791">
        <v>510006</v>
      </c>
      <c r="D791">
        <v>97679.4</v>
      </c>
      <c r="E791" t="s">
        <v>6</v>
      </c>
      <c r="F791" t="s">
        <v>53</v>
      </c>
      <c r="G791" t="s">
        <v>5</v>
      </c>
    </row>
    <row r="792" spans="1:7" x14ac:dyDescent="0.3">
      <c r="A792" t="s">
        <v>15</v>
      </c>
      <c r="B792" s="1">
        <v>45869</v>
      </c>
      <c r="C792">
        <v>510007</v>
      </c>
      <c r="D792">
        <v>354371.027</v>
      </c>
      <c r="E792" t="s">
        <v>6</v>
      </c>
      <c r="F792" t="s">
        <v>53</v>
      </c>
      <c r="G792" t="s">
        <v>5</v>
      </c>
    </row>
    <row r="793" spans="1:7" x14ac:dyDescent="0.3">
      <c r="A793" t="s">
        <v>15</v>
      </c>
      <c r="B793" s="1">
        <v>45869</v>
      </c>
      <c r="C793">
        <v>510009</v>
      </c>
      <c r="D793">
        <v>21232.091</v>
      </c>
      <c r="E793" t="s">
        <v>6</v>
      </c>
      <c r="F793" t="s">
        <v>53</v>
      </c>
      <c r="G793" t="s">
        <v>5</v>
      </c>
    </row>
    <row r="794" spans="1:7" x14ac:dyDescent="0.3">
      <c r="A794" t="s">
        <v>15</v>
      </c>
      <c r="B794" s="1">
        <v>45869</v>
      </c>
      <c r="C794">
        <v>510011</v>
      </c>
      <c r="D794">
        <v>128136.018</v>
      </c>
      <c r="E794" t="s">
        <v>6</v>
      </c>
      <c r="F794" t="s">
        <v>53</v>
      </c>
      <c r="G794" t="s">
        <v>5</v>
      </c>
    </row>
    <row r="795" spans="1:7" x14ac:dyDescent="0.3">
      <c r="A795" t="s">
        <v>15</v>
      </c>
      <c r="B795" s="1">
        <v>45869</v>
      </c>
      <c r="C795">
        <v>510012</v>
      </c>
      <c r="D795">
        <v>50704.237000000001</v>
      </c>
      <c r="E795" t="s">
        <v>6</v>
      </c>
      <c r="F795" t="s">
        <v>53</v>
      </c>
      <c r="G795" t="s">
        <v>5</v>
      </c>
    </row>
    <row r="796" spans="1:7" x14ac:dyDescent="0.3">
      <c r="A796" t="s">
        <v>15</v>
      </c>
      <c r="B796" s="1">
        <v>45869</v>
      </c>
      <c r="C796">
        <v>510013</v>
      </c>
      <c r="D796">
        <v>-550.29</v>
      </c>
      <c r="E796" t="s">
        <v>6</v>
      </c>
      <c r="F796" t="s">
        <v>53</v>
      </c>
      <c r="G796" t="s">
        <v>5</v>
      </c>
    </row>
    <row r="797" spans="1:7" x14ac:dyDescent="0.3">
      <c r="A797" t="s">
        <v>15</v>
      </c>
      <c r="B797" s="1">
        <v>45869</v>
      </c>
      <c r="C797">
        <v>510018</v>
      </c>
      <c r="D797">
        <v>101243.042</v>
      </c>
      <c r="E797" t="s">
        <v>6</v>
      </c>
      <c r="F797" t="s">
        <v>53</v>
      </c>
      <c r="G797" t="s">
        <v>5</v>
      </c>
    </row>
    <row r="798" spans="1:7" x14ac:dyDescent="0.3">
      <c r="A798" t="s">
        <v>15</v>
      </c>
      <c r="B798" s="1">
        <v>45869</v>
      </c>
      <c r="C798">
        <v>510021</v>
      </c>
      <c r="D798">
        <v>16706.98</v>
      </c>
      <c r="E798" t="s">
        <v>6</v>
      </c>
      <c r="F798" t="s">
        <v>53</v>
      </c>
      <c r="G798" t="s">
        <v>5</v>
      </c>
    </row>
    <row r="799" spans="1:7" x14ac:dyDescent="0.3">
      <c r="A799" t="s">
        <v>15</v>
      </c>
      <c r="B799" s="1">
        <v>45869</v>
      </c>
      <c r="C799">
        <v>510026</v>
      </c>
      <c r="D799">
        <v>38538.673000000003</v>
      </c>
      <c r="E799" t="s">
        <v>6</v>
      </c>
      <c r="F799" t="s">
        <v>53</v>
      </c>
      <c r="G799" t="s">
        <v>5</v>
      </c>
    </row>
    <row r="800" spans="1:7" x14ac:dyDescent="0.3">
      <c r="A800" t="s">
        <v>15</v>
      </c>
      <c r="B800" s="1">
        <v>45869</v>
      </c>
      <c r="C800">
        <v>510046</v>
      </c>
      <c r="D800">
        <v>13.321999999999999</v>
      </c>
      <c r="E800" t="s">
        <v>6</v>
      </c>
      <c r="F800" t="s">
        <v>53</v>
      </c>
      <c r="G800" t="s">
        <v>5</v>
      </c>
    </row>
    <row r="801" spans="1:7" x14ac:dyDescent="0.3">
      <c r="A801" t="s">
        <v>15</v>
      </c>
      <c r="B801" s="1">
        <v>45869</v>
      </c>
      <c r="C801">
        <v>510048</v>
      </c>
      <c r="D801">
        <v>11919.406999999999</v>
      </c>
      <c r="E801" t="s">
        <v>6</v>
      </c>
      <c r="F801" t="s">
        <v>61</v>
      </c>
      <c r="G801" t="s">
        <v>5</v>
      </c>
    </row>
    <row r="802" spans="1:7" x14ac:dyDescent="0.3">
      <c r="A802" t="s">
        <v>15</v>
      </c>
      <c r="B802" s="1">
        <v>45869</v>
      </c>
      <c r="C802">
        <v>510049</v>
      </c>
      <c r="D802">
        <v>454.14400000000001</v>
      </c>
      <c r="E802" t="s">
        <v>6</v>
      </c>
      <c r="F802" t="s">
        <v>60</v>
      </c>
      <c r="G802" t="s">
        <v>5</v>
      </c>
    </row>
    <row r="803" spans="1:7" x14ac:dyDescent="0.3">
      <c r="A803" t="s">
        <v>15</v>
      </c>
      <c r="B803" s="1">
        <v>45869</v>
      </c>
      <c r="C803">
        <v>510057</v>
      </c>
      <c r="D803">
        <v>567.83799999999997</v>
      </c>
      <c r="E803" t="s">
        <v>6</v>
      </c>
      <c r="F803" t="s">
        <v>53</v>
      </c>
      <c r="G803" t="s">
        <v>5</v>
      </c>
    </row>
    <row r="804" spans="1:7" x14ac:dyDescent="0.3">
      <c r="A804" t="s">
        <v>15</v>
      </c>
      <c r="B804" s="1">
        <v>45869</v>
      </c>
      <c r="C804">
        <v>510059</v>
      </c>
      <c r="D804">
        <v>12599.094999999999</v>
      </c>
      <c r="E804" t="s">
        <v>6</v>
      </c>
      <c r="F804" t="s">
        <v>53</v>
      </c>
      <c r="G804" t="s">
        <v>5</v>
      </c>
    </row>
    <row r="805" spans="1:7" x14ac:dyDescent="0.3">
      <c r="A805" t="s">
        <v>15</v>
      </c>
      <c r="B805" s="1">
        <v>45869</v>
      </c>
      <c r="C805">
        <v>510060</v>
      </c>
      <c r="D805">
        <v>-12442.111000000001</v>
      </c>
      <c r="E805" t="s">
        <v>6</v>
      </c>
      <c r="F805" t="s">
        <v>53</v>
      </c>
      <c r="G805" t="s">
        <v>5</v>
      </c>
    </row>
    <row r="806" spans="1:7" x14ac:dyDescent="0.3">
      <c r="A806" t="s">
        <v>15</v>
      </c>
      <c r="B806" s="1">
        <v>45869</v>
      </c>
      <c r="C806">
        <v>510062</v>
      </c>
      <c r="D806">
        <v>33829.58</v>
      </c>
      <c r="E806" t="s">
        <v>6</v>
      </c>
      <c r="F806" t="s">
        <v>53</v>
      </c>
      <c r="G806" t="s">
        <v>5</v>
      </c>
    </row>
    <row r="807" spans="1:7" x14ac:dyDescent="0.3">
      <c r="A807" t="s">
        <v>15</v>
      </c>
      <c r="B807" s="1">
        <v>45869</v>
      </c>
      <c r="C807">
        <v>510063</v>
      </c>
      <c r="D807">
        <v>18493.692999999999</v>
      </c>
      <c r="E807" t="s">
        <v>6</v>
      </c>
      <c r="F807" t="s">
        <v>53</v>
      </c>
      <c r="G807" t="s">
        <v>5</v>
      </c>
    </row>
    <row r="808" spans="1:7" x14ac:dyDescent="0.3">
      <c r="A808" t="s">
        <v>15</v>
      </c>
      <c r="B808" s="1">
        <v>45869</v>
      </c>
      <c r="C808">
        <v>510064</v>
      </c>
      <c r="D808">
        <v>141947.109</v>
      </c>
      <c r="E808" t="s">
        <v>6</v>
      </c>
      <c r="F808" t="s">
        <v>53</v>
      </c>
      <c r="G808" t="s">
        <v>5</v>
      </c>
    </row>
    <row r="809" spans="1:7" x14ac:dyDescent="0.3">
      <c r="A809" t="s">
        <v>15</v>
      </c>
      <c r="B809" s="1">
        <v>45869</v>
      </c>
      <c r="C809">
        <v>520020</v>
      </c>
      <c r="D809">
        <v>10172.341</v>
      </c>
      <c r="E809" t="s">
        <v>6</v>
      </c>
      <c r="F809" t="s">
        <v>53</v>
      </c>
      <c r="G809" t="s">
        <v>5</v>
      </c>
    </row>
    <row r="810" spans="1:7" x14ac:dyDescent="0.3">
      <c r="A810" t="s">
        <v>15</v>
      </c>
      <c r="B810" s="1">
        <v>45869</v>
      </c>
      <c r="C810">
        <v>520021</v>
      </c>
      <c r="D810">
        <v>3613.1480000000001</v>
      </c>
      <c r="E810" t="s">
        <v>6</v>
      </c>
      <c r="F810" t="s">
        <v>60</v>
      </c>
      <c r="G810" t="s">
        <v>5</v>
      </c>
    </row>
    <row r="811" spans="1:7" x14ac:dyDescent="0.3">
      <c r="A811" t="s">
        <v>15</v>
      </c>
      <c r="B811" s="1">
        <v>45869</v>
      </c>
      <c r="C811">
        <v>520022</v>
      </c>
      <c r="D811">
        <v>1776.135</v>
      </c>
      <c r="E811" t="s">
        <v>6</v>
      </c>
      <c r="F811" t="s">
        <v>53</v>
      </c>
      <c r="G811" t="s">
        <v>5</v>
      </c>
    </row>
    <row r="812" spans="1:7" x14ac:dyDescent="0.3">
      <c r="A812" t="s">
        <v>15</v>
      </c>
      <c r="B812" s="1">
        <v>45869</v>
      </c>
      <c r="C812">
        <v>520037</v>
      </c>
      <c r="D812">
        <v>8978.0650000000005</v>
      </c>
      <c r="E812" t="s">
        <v>6</v>
      </c>
      <c r="F812" t="s">
        <v>53</v>
      </c>
      <c r="G812" t="s">
        <v>5</v>
      </c>
    </row>
    <row r="813" spans="1:7" x14ac:dyDescent="0.3">
      <c r="A813" t="s">
        <v>15</v>
      </c>
      <c r="B813" s="1">
        <v>45869</v>
      </c>
      <c r="C813">
        <v>521002</v>
      </c>
      <c r="D813">
        <v>0</v>
      </c>
      <c r="E813" t="s">
        <v>6</v>
      </c>
      <c r="F813" t="s">
        <v>53</v>
      </c>
      <c r="G813" t="s">
        <v>5</v>
      </c>
    </row>
    <row r="814" spans="1:7" x14ac:dyDescent="0.3">
      <c r="A814" t="s">
        <v>15</v>
      </c>
      <c r="B814" s="1">
        <v>45869</v>
      </c>
      <c r="C814">
        <v>521003</v>
      </c>
      <c r="D814">
        <v>0</v>
      </c>
      <c r="E814" t="s">
        <v>6</v>
      </c>
      <c r="F814" t="s">
        <v>53</v>
      </c>
      <c r="G814" t="s">
        <v>5</v>
      </c>
    </row>
    <row r="815" spans="1:7" x14ac:dyDescent="0.3">
      <c r="A815" t="s">
        <v>15</v>
      </c>
      <c r="B815" s="1">
        <v>45869</v>
      </c>
      <c r="C815">
        <v>540004</v>
      </c>
      <c r="D815">
        <v>269.48099999999999</v>
      </c>
      <c r="E815" t="s">
        <v>6</v>
      </c>
      <c r="F815" t="s">
        <v>67</v>
      </c>
      <c r="G815" t="s">
        <v>5</v>
      </c>
    </row>
    <row r="816" spans="1:7" x14ac:dyDescent="0.3">
      <c r="A816" t="s">
        <v>15</v>
      </c>
      <c r="B816" s="1">
        <v>45869</v>
      </c>
      <c r="C816">
        <v>540008</v>
      </c>
      <c r="D816">
        <v>44269.732000000004</v>
      </c>
      <c r="E816" t="s">
        <v>6</v>
      </c>
      <c r="F816" t="s">
        <v>67</v>
      </c>
      <c r="G816" t="s">
        <v>5</v>
      </c>
    </row>
    <row r="817" spans="1:7" x14ac:dyDescent="0.3">
      <c r="A817" t="s">
        <v>15</v>
      </c>
      <c r="B817" s="1">
        <v>45869</v>
      </c>
      <c r="C817">
        <v>541003</v>
      </c>
      <c r="D817">
        <v>38129.199999999997</v>
      </c>
      <c r="E817" t="s">
        <v>6</v>
      </c>
      <c r="F817" t="s">
        <v>61</v>
      </c>
      <c r="G817" t="s">
        <v>5</v>
      </c>
    </row>
    <row r="818" spans="1:7" x14ac:dyDescent="0.3">
      <c r="A818" t="s">
        <v>15</v>
      </c>
      <c r="B818" s="1">
        <v>45869</v>
      </c>
      <c r="C818">
        <v>541004</v>
      </c>
      <c r="D818">
        <v>14222.356</v>
      </c>
      <c r="E818" t="s">
        <v>6</v>
      </c>
      <c r="F818" t="s">
        <v>61</v>
      </c>
      <c r="G818" t="s">
        <v>5</v>
      </c>
    </row>
    <row r="819" spans="1:7" x14ac:dyDescent="0.3">
      <c r="A819" t="s">
        <v>15</v>
      </c>
      <c r="B819" s="1">
        <v>45869</v>
      </c>
      <c r="C819">
        <v>541008</v>
      </c>
      <c r="D819">
        <v>-5641.8069999999998</v>
      </c>
      <c r="E819" t="s">
        <v>6</v>
      </c>
      <c r="F819" t="s">
        <v>61</v>
      </c>
      <c r="G819" t="s">
        <v>5</v>
      </c>
    </row>
    <row r="820" spans="1:7" x14ac:dyDescent="0.3">
      <c r="A820" t="s">
        <v>15</v>
      </c>
      <c r="B820" s="1">
        <v>45869</v>
      </c>
      <c r="C820">
        <v>541009</v>
      </c>
      <c r="D820">
        <v>-3748.95</v>
      </c>
      <c r="E820" t="s">
        <v>6</v>
      </c>
      <c r="F820" t="s">
        <v>61</v>
      </c>
      <c r="G820" t="s">
        <v>5</v>
      </c>
    </row>
    <row r="821" spans="1:7" x14ac:dyDescent="0.3">
      <c r="A821" t="s">
        <v>15</v>
      </c>
      <c r="B821" s="1">
        <v>45869</v>
      </c>
      <c r="C821">
        <v>541010</v>
      </c>
      <c r="D821">
        <v>26724.498</v>
      </c>
      <c r="E821" t="s">
        <v>6</v>
      </c>
      <c r="F821" t="s">
        <v>61</v>
      </c>
      <c r="G821" t="s">
        <v>5</v>
      </c>
    </row>
    <row r="822" spans="1:7" x14ac:dyDescent="0.3">
      <c r="A822" t="s">
        <v>15</v>
      </c>
      <c r="B822" s="1">
        <v>45869</v>
      </c>
      <c r="C822">
        <v>541013</v>
      </c>
      <c r="D822">
        <v>59024.192999999999</v>
      </c>
      <c r="E822" t="s">
        <v>6</v>
      </c>
      <c r="F822" t="s">
        <v>61</v>
      </c>
      <c r="G822" t="s">
        <v>5</v>
      </c>
    </row>
    <row r="823" spans="1:7" x14ac:dyDescent="0.3">
      <c r="A823" t="s">
        <v>15</v>
      </c>
      <c r="B823" s="1">
        <v>45869</v>
      </c>
      <c r="C823">
        <v>541021</v>
      </c>
      <c r="D823">
        <v>-26709.441999999999</v>
      </c>
      <c r="E823" t="s">
        <v>6</v>
      </c>
      <c r="F823" t="s">
        <v>61</v>
      </c>
      <c r="G823" t="s">
        <v>5</v>
      </c>
    </row>
    <row r="824" spans="1:7" x14ac:dyDescent="0.3">
      <c r="A824" t="s">
        <v>15</v>
      </c>
      <c r="B824" s="1">
        <v>45869</v>
      </c>
      <c r="C824">
        <v>541022</v>
      </c>
      <c r="D824">
        <v>1417.1410000000001</v>
      </c>
      <c r="E824" t="s">
        <v>6</v>
      </c>
      <c r="F824" t="s">
        <v>61</v>
      </c>
      <c r="G824" t="s">
        <v>5</v>
      </c>
    </row>
    <row r="825" spans="1:7" x14ac:dyDescent="0.3">
      <c r="A825" t="s">
        <v>15</v>
      </c>
      <c r="B825" s="1">
        <v>45869</v>
      </c>
      <c r="C825">
        <v>544002</v>
      </c>
      <c r="D825">
        <v>18543.436000000002</v>
      </c>
      <c r="E825" t="s">
        <v>6</v>
      </c>
      <c r="F825" t="s">
        <v>61</v>
      </c>
      <c r="G825" t="s">
        <v>5</v>
      </c>
    </row>
    <row r="826" spans="1:7" x14ac:dyDescent="0.3">
      <c r="A826" t="s">
        <v>15</v>
      </c>
      <c r="B826" s="1">
        <v>45869</v>
      </c>
      <c r="C826">
        <v>544003</v>
      </c>
      <c r="D826">
        <v>-1905.653</v>
      </c>
      <c r="E826" t="s">
        <v>6</v>
      </c>
      <c r="F826" t="s">
        <v>61</v>
      </c>
      <c r="G826" t="s">
        <v>5</v>
      </c>
    </row>
    <row r="827" spans="1:7" x14ac:dyDescent="0.3">
      <c r="A827" t="s">
        <v>15</v>
      </c>
      <c r="B827" s="1">
        <v>45869</v>
      </c>
      <c r="C827">
        <v>544006</v>
      </c>
      <c r="D827">
        <v>-724.99800000000005</v>
      </c>
      <c r="E827" t="s">
        <v>6</v>
      </c>
      <c r="F827" t="s">
        <v>61</v>
      </c>
      <c r="G827" t="s">
        <v>5</v>
      </c>
    </row>
    <row r="828" spans="1:7" x14ac:dyDescent="0.3">
      <c r="A828" t="s">
        <v>15</v>
      </c>
      <c r="B828" s="1">
        <v>45869</v>
      </c>
      <c r="C828">
        <v>547002</v>
      </c>
      <c r="D828">
        <v>85322.4</v>
      </c>
      <c r="E828" t="s">
        <v>6</v>
      </c>
      <c r="F828" t="s">
        <v>54</v>
      </c>
      <c r="G828" t="s">
        <v>5</v>
      </c>
    </row>
    <row r="829" spans="1:7" x14ac:dyDescent="0.3">
      <c r="A829" t="s">
        <v>15</v>
      </c>
      <c r="B829" s="1">
        <v>45869</v>
      </c>
      <c r="C829">
        <v>547006</v>
      </c>
      <c r="D829">
        <v>88352.009000000005</v>
      </c>
      <c r="E829" t="s">
        <v>6</v>
      </c>
      <c r="F829" t="s">
        <v>54</v>
      </c>
      <c r="G829" t="s">
        <v>5</v>
      </c>
    </row>
    <row r="830" spans="1:7" x14ac:dyDescent="0.3">
      <c r="A830" t="s">
        <v>15</v>
      </c>
      <c r="B830" s="1">
        <v>45869</v>
      </c>
      <c r="C830">
        <v>547011</v>
      </c>
      <c r="D830">
        <v>794.05600000000004</v>
      </c>
      <c r="E830" t="s">
        <v>6</v>
      </c>
      <c r="F830" t="s">
        <v>54</v>
      </c>
      <c r="G830" t="s">
        <v>5</v>
      </c>
    </row>
    <row r="831" spans="1:7" x14ac:dyDescent="0.3">
      <c r="A831" t="s">
        <v>15</v>
      </c>
      <c r="B831" s="1">
        <v>45869</v>
      </c>
      <c r="C831">
        <v>550002</v>
      </c>
      <c r="D831">
        <v>132154.38399999999</v>
      </c>
      <c r="E831" t="s">
        <v>6</v>
      </c>
      <c r="F831" t="s">
        <v>62</v>
      </c>
      <c r="G831" t="s">
        <v>5</v>
      </c>
    </row>
    <row r="832" spans="1:7" x14ac:dyDescent="0.3">
      <c r="A832" t="s">
        <v>15</v>
      </c>
      <c r="B832" s="1">
        <v>45869</v>
      </c>
      <c r="C832">
        <v>550003</v>
      </c>
      <c r="D832">
        <v>55818.415000000001</v>
      </c>
      <c r="E832" t="s">
        <v>6</v>
      </c>
      <c r="F832" t="s">
        <v>62</v>
      </c>
      <c r="G832" t="s">
        <v>5</v>
      </c>
    </row>
    <row r="833" spans="1:7" x14ac:dyDescent="0.3">
      <c r="A833" t="s">
        <v>15</v>
      </c>
      <c r="B833" s="1">
        <v>45869</v>
      </c>
      <c r="C833">
        <v>550004</v>
      </c>
      <c r="D833">
        <v>7574.7</v>
      </c>
      <c r="E833" t="s">
        <v>6</v>
      </c>
      <c r="F833" t="s">
        <v>62</v>
      </c>
      <c r="G833" t="s">
        <v>5</v>
      </c>
    </row>
    <row r="834" spans="1:7" x14ac:dyDescent="0.3">
      <c r="A834" t="s">
        <v>15</v>
      </c>
      <c r="B834" s="1">
        <v>45869</v>
      </c>
      <c r="C834">
        <v>550007</v>
      </c>
      <c r="D834">
        <v>-556.30899999999997</v>
      </c>
      <c r="E834" t="s">
        <v>6</v>
      </c>
      <c r="F834" t="s">
        <v>62</v>
      </c>
      <c r="G834" t="s">
        <v>5</v>
      </c>
    </row>
    <row r="835" spans="1:7" x14ac:dyDescent="0.3">
      <c r="A835" t="s">
        <v>15</v>
      </c>
      <c r="B835" s="1">
        <v>45869</v>
      </c>
      <c r="C835">
        <v>551002</v>
      </c>
      <c r="D835">
        <v>22522.668000000001</v>
      </c>
      <c r="E835" t="s">
        <v>6</v>
      </c>
      <c r="F835" t="s">
        <v>63</v>
      </c>
      <c r="G835" t="s">
        <v>5</v>
      </c>
    </row>
    <row r="836" spans="1:7" x14ac:dyDescent="0.3">
      <c r="A836" t="s">
        <v>15</v>
      </c>
      <c r="B836" s="1">
        <v>45869</v>
      </c>
      <c r="C836">
        <v>551003</v>
      </c>
      <c r="D836">
        <v>227114.82</v>
      </c>
      <c r="E836" t="s">
        <v>6</v>
      </c>
      <c r="F836" t="s">
        <v>63</v>
      </c>
      <c r="G836" t="s">
        <v>5</v>
      </c>
    </row>
    <row r="837" spans="1:7" x14ac:dyDescent="0.3">
      <c r="A837" t="s">
        <v>15</v>
      </c>
      <c r="B837" s="1">
        <v>45869</v>
      </c>
      <c r="C837">
        <v>551007</v>
      </c>
      <c r="D837">
        <v>124</v>
      </c>
      <c r="E837" t="s">
        <v>6</v>
      </c>
      <c r="F837" t="s">
        <v>63</v>
      </c>
      <c r="G837" t="s">
        <v>5</v>
      </c>
    </row>
    <row r="838" spans="1:7" x14ac:dyDescent="0.3">
      <c r="A838" t="s">
        <v>15</v>
      </c>
      <c r="B838" s="1">
        <v>45869</v>
      </c>
      <c r="C838">
        <v>551008</v>
      </c>
      <c r="D838">
        <v>4397.549</v>
      </c>
      <c r="E838" t="s">
        <v>6</v>
      </c>
      <c r="F838" t="s">
        <v>63</v>
      </c>
      <c r="G838" t="s">
        <v>5</v>
      </c>
    </row>
    <row r="839" spans="1:7" x14ac:dyDescent="0.3">
      <c r="A839" t="s">
        <v>15</v>
      </c>
      <c r="B839" s="1">
        <v>45869</v>
      </c>
      <c r="C839">
        <v>551011</v>
      </c>
      <c r="D839">
        <v>3473.0050000000001</v>
      </c>
      <c r="E839" t="s">
        <v>6</v>
      </c>
      <c r="F839" t="s">
        <v>61</v>
      </c>
      <c r="G839" t="s">
        <v>5</v>
      </c>
    </row>
    <row r="840" spans="1:7" x14ac:dyDescent="0.3">
      <c r="A840" t="s">
        <v>15</v>
      </c>
      <c r="B840" s="1">
        <v>45869</v>
      </c>
      <c r="C840">
        <v>551012</v>
      </c>
      <c r="D840">
        <v>10132.263999999999</v>
      </c>
      <c r="E840" t="s">
        <v>6</v>
      </c>
      <c r="F840" t="s">
        <v>63</v>
      </c>
      <c r="G840" t="s">
        <v>5</v>
      </c>
    </row>
    <row r="841" spans="1:7" x14ac:dyDescent="0.3">
      <c r="A841" t="s">
        <v>15</v>
      </c>
      <c r="B841" s="1">
        <v>45869</v>
      </c>
      <c r="C841">
        <v>551014</v>
      </c>
      <c r="D841">
        <v>10480.52</v>
      </c>
      <c r="E841" t="s">
        <v>6</v>
      </c>
      <c r="F841" t="s">
        <v>63</v>
      </c>
      <c r="G841" t="s">
        <v>5</v>
      </c>
    </row>
    <row r="842" spans="1:7" x14ac:dyDescent="0.3">
      <c r="A842" t="s">
        <v>15</v>
      </c>
      <c r="B842" s="1">
        <v>45869</v>
      </c>
      <c r="C842">
        <v>552002</v>
      </c>
      <c r="D842">
        <v>38101.184000000001</v>
      </c>
      <c r="E842" t="s">
        <v>6</v>
      </c>
      <c r="F842" t="s">
        <v>55</v>
      </c>
      <c r="G842" t="s">
        <v>5</v>
      </c>
    </row>
    <row r="843" spans="1:7" x14ac:dyDescent="0.3">
      <c r="A843" t="s">
        <v>15</v>
      </c>
      <c r="B843" s="1">
        <v>45869</v>
      </c>
      <c r="C843">
        <v>552502</v>
      </c>
      <c r="D843">
        <v>-2226.4479999999999</v>
      </c>
      <c r="E843" t="s">
        <v>6</v>
      </c>
      <c r="F843" t="s">
        <v>55</v>
      </c>
      <c r="G843" t="s">
        <v>5</v>
      </c>
    </row>
    <row r="844" spans="1:7" x14ac:dyDescent="0.3">
      <c r="A844" t="s">
        <v>15</v>
      </c>
      <c r="B844" s="1">
        <v>45869</v>
      </c>
      <c r="C844">
        <v>552503</v>
      </c>
      <c r="D844">
        <v>3327.2159999999999</v>
      </c>
      <c r="E844" t="s">
        <v>6</v>
      </c>
      <c r="F844" t="s">
        <v>55</v>
      </c>
      <c r="G844" t="s">
        <v>5</v>
      </c>
    </row>
    <row r="845" spans="1:7" x14ac:dyDescent="0.3">
      <c r="A845" t="s">
        <v>15</v>
      </c>
      <c r="B845" s="1">
        <v>45869</v>
      </c>
      <c r="C845">
        <v>552504</v>
      </c>
      <c r="D845">
        <v>817.98800000000006</v>
      </c>
      <c r="E845" t="s">
        <v>6</v>
      </c>
      <c r="F845" t="s">
        <v>55</v>
      </c>
      <c r="G845" t="s">
        <v>5</v>
      </c>
    </row>
    <row r="846" spans="1:7" x14ac:dyDescent="0.3">
      <c r="A846" t="s">
        <v>15</v>
      </c>
      <c r="B846" s="1">
        <v>45869</v>
      </c>
      <c r="C846">
        <v>554002</v>
      </c>
      <c r="D846">
        <v>32513.493999999999</v>
      </c>
      <c r="E846" t="s">
        <v>6</v>
      </c>
      <c r="F846" t="s">
        <v>55</v>
      </c>
      <c r="G846" t="s">
        <v>5</v>
      </c>
    </row>
    <row r="847" spans="1:7" x14ac:dyDescent="0.3">
      <c r="A847" t="s">
        <v>15</v>
      </c>
      <c r="B847" s="1">
        <v>45869</v>
      </c>
      <c r="C847">
        <v>554003</v>
      </c>
      <c r="D847">
        <v>29250.942999999999</v>
      </c>
      <c r="E847" t="s">
        <v>6</v>
      </c>
      <c r="F847" t="s">
        <v>55</v>
      </c>
      <c r="G847" t="s">
        <v>5</v>
      </c>
    </row>
    <row r="848" spans="1:7" x14ac:dyDescent="0.3">
      <c r="A848" t="s">
        <v>15</v>
      </c>
      <c r="B848" s="1">
        <v>45869</v>
      </c>
      <c r="C848">
        <v>554004</v>
      </c>
      <c r="D848">
        <v>29072.249</v>
      </c>
      <c r="E848" t="s">
        <v>6</v>
      </c>
      <c r="F848" t="s">
        <v>55</v>
      </c>
      <c r="G848" t="s">
        <v>5</v>
      </c>
    </row>
    <row r="849" spans="1:7" x14ac:dyDescent="0.3">
      <c r="A849" t="s">
        <v>15</v>
      </c>
      <c r="B849" s="1">
        <v>45869</v>
      </c>
      <c r="C849">
        <v>554005</v>
      </c>
      <c r="D849">
        <v>2995.634</v>
      </c>
      <c r="E849" t="s">
        <v>6</v>
      </c>
      <c r="F849" t="s">
        <v>55</v>
      </c>
      <c r="G849" t="s">
        <v>5</v>
      </c>
    </row>
    <row r="850" spans="1:7" x14ac:dyDescent="0.3">
      <c r="A850" t="s">
        <v>15</v>
      </c>
      <c r="B850" s="1">
        <v>45869</v>
      </c>
      <c r="C850">
        <v>554006</v>
      </c>
      <c r="D850">
        <v>2996.7049999999999</v>
      </c>
      <c r="E850" t="s">
        <v>6</v>
      </c>
      <c r="F850" t="s">
        <v>55</v>
      </c>
      <c r="G850" t="s">
        <v>5</v>
      </c>
    </row>
    <row r="851" spans="1:7" x14ac:dyDescent="0.3">
      <c r="A851" t="s">
        <v>15</v>
      </c>
      <c r="B851" s="1">
        <v>45869</v>
      </c>
      <c r="C851">
        <v>554007</v>
      </c>
      <c r="D851">
        <v>266857.43699999998</v>
      </c>
      <c r="E851" t="s">
        <v>6</v>
      </c>
      <c r="F851" t="s">
        <v>55</v>
      </c>
      <c r="G851" t="s">
        <v>5</v>
      </c>
    </row>
    <row r="852" spans="1:7" x14ac:dyDescent="0.3">
      <c r="A852" t="s">
        <v>15</v>
      </c>
      <c r="B852" s="1">
        <v>45869</v>
      </c>
      <c r="C852">
        <v>554008</v>
      </c>
      <c r="D852">
        <v>1222.021</v>
      </c>
      <c r="E852" t="s">
        <v>6</v>
      </c>
      <c r="F852" t="s">
        <v>55</v>
      </c>
      <c r="G852" t="s">
        <v>5</v>
      </c>
    </row>
    <row r="853" spans="1:7" x14ac:dyDescent="0.3">
      <c r="A853" t="s">
        <v>15</v>
      </c>
      <c r="B853" s="1">
        <v>45869</v>
      </c>
      <c r="C853">
        <v>555002</v>
      </c>
      <c r="D853">
        <v>182.48099999999999</v>
      </c>
      <c r="E853" t="s">
        <v>6</v>
      </c>
      <c r="F853" t="s">
        <v>55</v>
      </c>
      <c r="G853" t="s">
        <v>5</v>
      </c>
    </row>
    <row r="854" spans="1:7" x14ac:dyDescent="0.3">
      <c r="A854" t="s">
        <v>15</v>
      </c>
      <c r="B854" s="1">
        <v>45869</v>
      </c>
      <c r="C854">
        <v>555003</v>
      </c>
      <c r="D854">
        <v>76.016999999999996</v>
      </c>
      <c r="E854" t="s">
        <v>6</v>
      </c>
      <c r="F854" t="s">
        <v>55</v>
      </c>
      <c r="G854" t="s">
        <v>5</v>
      </c>
    </row>
    <row r="855" spans="1:7" x14ac:dyDescent="0.3">
      <c r="A855" t="s">
        <v>15</v>
      </c>
      <c r="B855" s="1">
        <v>45869</v>
      </c>
      <c r="C855">
        <v>555004</v>
      </c>
      <c r="D855">
        <v>17.648</v>
      </c>
      <c r="E855" t="s">
        <v>6</v>
      </c>
      <c r="F855" t="s">
        <v>55</v>
      </c>
      <c r="G855" t="s">
        <v>5</v>
      </c>
    </row>
    <row r="856" spans="1:7" x14ac:dyDescent="0.3">
      <c r="A856" t="s">
        <v>15</v>
      </c>
      <c r="B856" s="1">
        <v>45869</v>
      </c>
      <c r="C856">
        <v>555005</v>
      </c>
      <c r="D856">
        <v>6470.2839999999997</v>
      </c>
      <c r="E856" t="s">
        <v>6</v>
      </c>
      <c r="F856" t="s">
        <v>55</v>
      </c>
      <c r="G856" t="s">
        <v>5</v>
      </c>
    </row>
    <row r="857" spans="1:7" x14ac:dyDescent="0.3">
      <c r="A857" t="s">
        <v>15</v>
      </c>
      <c r="B857" s="1">
        <v>45869</v>
      </c>
      <c r="C857">
        <v>555007</v>
      </c>
      <c r="D857">
        <v>8210.3580000000002</v>
      </c>
      <c r="E857" t="s">
        <v>6</v>
      </c>
      <c r="F857" t="s">
        <v>55</v>
      </c>
      <c r="G857" t="s">
        <v>5</v>
      </c>
    </row>
    <row r="858" spans="1:7" x14ac:dyDescent="0.3">
      <c r="A858" t="s">
        <v>15</v>
      </c>
      <c r="B858" s="1">
        <v>45869</v>
      </c>
      <c r="C858">
        <v>555008</v>
      </c>
      <c r="D858">
        <v>772.88199999999995</v>
      </c>
      <c r="E858" t="s">
        <v>6</v>
      </c>
      <c r="F858" t="s">
        <v>55</v>
      </c>
      <c r="G858" t="s">
        <v>5</v>
      </c>
    </row>
    <row r="859" spans="1:7" x14ac:dyDescent="0.3">
      <c r="A859" t="s">
        <v>15</v>
      </c>
      <c r="B859" s="1">
        <v>45869</v>
      </c>
      <c r="C859">
        <v>555009</v>
      </c>
      <c r="D859">
        <v>24438.544000000002</v>
      </c>
      <c r="E859" t="s">
        <v>6</v>
      </c>
      <c r="F859" t="s">
        <v>53</v>
      </c>
      <c r="G859" t="s">
        <v>5</v>
      </c>
    </row>
    <row r="860" spans="1:7" x14ac:dyDescent="0.3">
      <c r="A860" t="s">
        <v>15</v>
      </c>
      <c r="B860" s="1">
        <v>45869</v>
      </c>
      <c r="C860">
        <v>555010</v>
      </c>
      <c r="D860">
        <v>2870.078</v>
      </c>
      <c r="E860" t="s">
        <v>6</v>
      </c>
      <c r="F860" t="s">
        <v>55</v>
      </c>
      <c r="G860" t="s">
        <v>5</v>
      </c>
    </row>
    <row r="861" spans="1:7" x14ac:dyDescent="0.3">
      <c r="A861" t="s">
        <v>15</v>
      </c>
      <c r="B861" s="1">
        <v>45869</v>
      </c>
      <c r="C861">
        <v>555504</v>
      </c>
      <c r="D861">
        <v>1534.047</v>
      </c>
      <c r="E861" t="s">
        <v>6</v>
      </c>
      <c r="F861" t="s">
        <v>55</v>
      </c>
      <c r="G861" t="s">
        <v>5</v>
      </c>
    </row>
    <row r="862" spans="1:7" x14ac:dyDescent="0.3">
      <c r="A862" t="s">
        <v>15</v>
      </c>
      <c r="B862" s="1">
        <v>45869</v>
      </c>
      <c r="C862">
        <v>555508</v>
      </c>
      <c r="D862">
        <v>4735.9309999999996</v>
      </c>
      <c r="E862" t="s">
        <v>6</v>
      </c>
      <c r="F862" t="s">
        <v>55</v>
      </c>
      <c r="G862" t="s">
        <v>5</v>
      </c>
    </row>
    <row r="863" spans="1:7" x14ac:dyDescent="0.3">
      <c r="A863" t="s">
        <v>15</v>
      </c>
      <c r="B863" s="1">
        <v>45869</v>
      </c>
      <c r="C863">
        <v>555511</v>
      </c>
      <c r="D863">
        <v>1330.4169999999999</v>
      </c>
      <c r="E863" t="s">
        <v>6</v>
      </c>
      <c r="F863" t="s">
        <v>55</v>
      </c>
      <c r="G863" t="s">
        <v>5</v>
      </c>
    </row>
    <row r="864" spans="1:7" x14ac:dyDescent="0.3">
      <c r="A864" t="s">
        <v>15</v>
      </c>
      <c r="B864" s="1">
        <v>45869</v>
      </c>
      <c r="C864">
        <v>556002</v>
      </c>
      <c r="D864">
        <v>12184.554</v>
      </c>
      <c r="E864" t="s">
        <v>6</v>
      </c>
      <c r="F864" t="s">
        <v>60</v>
      </c>
      <c r="G864" t="s">
        <v>5</v>
      </c>
    </row>
    <row r="865" spans="1:7" x14ac:dyDescent="0.3">
      <c r="A865" t="s">
        <v>15</v>
      </c>
      <c r="B865" s="1">
        <v>45869</v>
      </c>
      <c r="C865">
        <v>556003</v>
      </c>
      <c r="D865">
        <v>21561.899000000001</v>
      </c>
      <c r="E865" t="s">
        <v>6</v>
      </c>
      <c r="F865" t="s">
        <v>55</v>
      </c>
      <c r="G865" t="s">
        <v>5</v>
      </c>
    </row>
    <row r="866" spans="1:7" x14ac:dyDescent="0.3">
      <c r="A866" t="s">
        <v>15</v>
      </c>
      <c r="B866" s="1">
        <v>45869</v>
      </c>
      <c r="C866">
        <v>556004</v>
      </c>
      <c r="D866">
        <v>7925.4459999999999</v>
      </c>
      <c r="E866" t="s">
        <v>6</v>
      </c>
      <c r="F866" t="s">
        <v>55</v>
      </c>
      <c r="G866" t="s">
        <v>5</v>
      </c>
    </row>
    <row r="867" spans="1:7" x14ac:dyDescent="0.3">
      <c r="A867" t="s">
        <v>15</v>
      </c>
      <c r="B867" s="1">
        <v>45869</v>
      </c>
      <c r="C867">
        <v>557002</v>
      </c>
      <c r="D867">
        <v>364270.52399999998</v>
      </c>
      <c r="E867" t="s">
        <v>6</v>
      </c>
      <c r="F867" t="s">
        <v>56</v>
      </c>
      <c r="G867" t="s">
        <v>5</v>
      </c>
    </row>
    <row r="868" spans="1:7" x14ac:dyDescent="0.3">
      <c r="A868" t="s">
        <v>15</v>
      </c>
      <c r="B868" s="1">
        <v>45869</v>
      </c>
      <c r="C868">
        <v>557003</v>
      </c>
      <c r="D868">
        <v>13817.793</v>
      </c>
      <c r="E868" t="s">
        <v>6</v>
      </c>
      <c r="F868" t="s">
        <v>56</v>
      </c>
      <c r="G868" t="s">
        <v>5</v>
      </c>
    </row>
    <row r="869" spans="1:7" x14ac:dyDescent="0.3">
      <c r="A869" t="s">
        <v>15</v>
      </c>
      <c r="B869" s="1">
        <v>45869</v>
      </c>
      <c r="C869">
        <v>557006</v>
      </c>
      <c r="D869">
        <v>2015</v>
      </c>
      <c r="E869" t="s">
        <v>6</v>
      </c>
      <c r="F869" t="s">
        <v>56</v>
      </c>
      <c r="G869" t="s">
        <v>5</v>
      </c>
    </row>
    <row r="870" spans="1:7" x14ac:dyDescent="0.3">
      <c r="A870" t="s">
        <v>15</v>
      </c>
      <c r="B870" s="1">
        <v>45869</v>
      </c>
      <c r="C870">
        <v>557008</v>
      </c>
      <c r="D870">
        <v>34.643000000000001</v>
      </c>
      <c r="E870" t="s">
        <v>6</v>
      </c>
      <c r="F870" t="s">
        <v>56</v>
      </c>
      <c r="G870" t="s">
        <v>5</v>
      </c>
    </row>
    <row r="871" spans="1:7" x14ac:dyDescent="0.3">
      <c r="A871" t="s">
        <v>15</v>
      </c>
      <c r="B871" s="1">
        <v>45869</v>
      </c>
      <c r="C871">
        <v>558003</v>
      </c>
      <c r="D871">
        <v>3858.2919999999999</v>
      </c>
      <c r="E871" t="s">
        <v>6</v>
      </c>
      <c r="F871" t="s">
        <v>57</v>
      </c>
      <c r="G871" t="s">
        <v>5</v>
      </c>
    </row>
    <row r="872" spans="1:7" x14ac:dyDescent="0.3">
      <c r="A872" t="s">
        <v>15</v>
      </c>
      <c r="B872" s="1">
        <v>45869</v>
      </c>
      <c r="C872">
        <v>558006</v>
      </c>
      <c r="D872">
        <v>47022.658000000003</v>
      </c>
      <c r="E872" t="s">
        <v>6</v>
      </c>
      <c r="F872" t="s">
        <v>57</v>
      </c>
      <c r="G872" t="s">
        <v>5</v>
      </c>
    </row>
    <row r="873" spans="1:7" x14ac:dyDescent="0.3">
      <c r="A873" t="s">
        <v>15</v>
      </c>
      <c r="B873" s="1">
        <v>45869</v>
      </c>
      <c r="C873">
        <v>558011</v>
      </c>
      <c r="D873">
        <v>1135.1679999999999</v>
      </c>
      <c r="E873" t="s">
        <v>6</v>
      </c>
      <c r="F873" t="s">
        <v>57</v>
      </c>
      <c r="G873" t="s">
        <v>5</v>
      </c>
    </row>
    <row r="874" spans="1:7" x14ac:dyDescent="0.3">
      <c r="A874" t="s">
        <v>15</v>
      </c>
      <c r="B874" s="1">
        <v>45869</v>
      </c>
      <c r="C874">
        <v>558012</v>
      </c>
      <c r="D874">
        <v>427.31099999999998</v>
      </c>
      <c r="E874" t="s">
        <v>6</v>
      </c>
      <c r="F874" t="s">
        <v>60</v>
      </c>
      <c r="G874" t="s">
        <v>5</v>
      </c>
    </row>
    <row r="875" spans="1:7" x14ac:dyDescent="0.3">
      <c r="A875" t="s">
        <v>15</v>
      </c>
      <c r="B875" s="1">
        <v>45869</v>
      </c>
      <c r="C875">
        <v>559002</v>
      </c>
      <c r="D875">
        <v>2896.3229999999999</v>
      </c>
      <c r="E875" t="s">
        <v>6</v>
      </c>
      <c r="F875" t="s">
        <v>60</v>
      </c>
      <c r="G875" t="s">
        <v>5</v>
      </c>
    </row>
    <row r="876" spans="1:7" x14ac:dyDescent="0.3">
      <c r="A876" t="s">
        <v>15</v>
      </c>
      <c r="B876" s="1">
        <v>45869</v>
      </c>
      <c r="C876">
        <v>560002</v>
      </c>
      <c r="D876">
        <v>5312.4530000000004</v>
      </c>
      <c r="E876" t="s">
        <v>6</v>
      </c>
      <c r="F876" t="s">
        <v>56</v>
      </c>
      <c r="G876" t="s">
        <v>5</v>
      </c>
    </row>
    <row r="877" spans="1:7" x14ac:dyDescent="0.3">
      <c r="A877" t="s">
        <v>15</v>
      </c>
      <c r="B877" s="1">
        <v>45869</v>
      </c>
      <c r="C877">
        <v>560006</v>
      </c>
      <c r="D877">
        <v>1046.25</v>
      </c>
      <c r="E877" t="s">
        <v>6</v>
      </c>
      <c r="F877" t="s">
        <v>56</v>
      </c>
      <c r="G877" t="s">
        <v>5</v>
      </c>
    </row>
    <row r="878" spans="1:7" x14ac:dyDescent="0.3">
      <c r="A878" t="s">
        <v>15</v>
      </c>
      <c r="B878" s="1">
        <v>45869</v>
      </c>
      <c r="C878">
        <v>560007</v>
      </c>
      <c r="D878">
        <v>1291.6659999999999</v>
      </c>
      <c r="E878" t="s">
        <v>6</v>
      </c>
      <c r="F878" t="s">
        <v>56</v>
      </c>
      <c r="G878" t="s">
        <v>5</v>
      </c>
    </row>
    <row r="879" spans="1:7" x14ac:dyDescent="0.3">
      <c r="A879" t="s">
        <v>15</v>
      </c>
      <c r="B879" s="1">
        <v>45869</v>
      </c>
      <c r="C879">
        <v>561002</v>
      </c>
      <c r="D879">
        <v>-429.08</v>
      </c>
      <c r="E879" t="s">
        <v>6</v>
      </c>
      <c r="F879" t="s">
        <v>70</v>
      </c>
      <c r="G879" t="s">
        <v>5</v>
      </c>
    </row>
    <row r="880" spans="1:7" x14ac:dyDescent="0.3">
      <c r="A880" t="s">
        <v>15</v>
      </c>
      <c r="B880" s="1">
        <v>45869</v>
      </c>
      <c r="C880">
        <v>562002</v>
      </c>
      <c r="D880">
        <v>5406.3559999999998</v>
      </c>
      <c r="E880" t="s">
        <v>6</v>
      </c>
      <c r="F880" t="s">
        <v>57</v>
      </c>
      <c r="G880" t="s">
        <v>5</v>
      </c>
    </row>
    <row r="881" spans="1:7" x14ac:dyDescent="0.3">
      <c r="A881" t="s">
        <v>15</v>
      </c>
      <c r="B881" s="1">
        <v>45869</v>
      </c>
      <c r="C881">
        <v>563002</v>
      </c>
      <c r="D881">
        <v>5166.4859999999999</v>
      </c>
      <c r="E881" t="s">
        <v>6</v>
      </c>
      <c r="F881" t="s">
        <v>57</v>
      </c>
      <c r="G881" t="s">
        <v>5</v>
      </c>
    </row>
    <row r="882" spans="1:7" x14ac:dyDescent="0.3">
      <c r="A882" t="s">
        <v>15</v>
      </c>
      <c r="B882" s="1">
        <v>45869</v>
      </c>
      <c r="C882">
        <v>564004</v>
      </c>
      <c r="D882">
        <v>-287171.96999999997</v>
      </c>
      <c r="E882" t="s">
        <v>6</v>
      </c>
      <c r="F882" t="s">
        <v>51</v>
      </c>
      <c r="G882" t="s">
        <v>5</v>
      </c>
    </row>
    <row r="883" spans="1:7" x14ac:dyDescent="0.3">
      <c r="A883" t="s">
        <v>15</v>
      </c>
      <c r="B883" s="1">
        <v>45869</v>
      </c>
      <c r="C883">
        <v>564005</v>
      </c>
      <c r="D883">
        <v>8525.0059999999994</v>
      </c>
      <c r="E883" t="s">
        <v>6</v>
      </c>
      <c r="F883" t="s">
        <v>56</v>
      </c>
      <c r="G883" t="s">
        <v>5</v>
      </c>
    </row>
    <row r="884" spans="1:7" x14ac:dyDescent="0.3">
      <c r="A884" t="s">
        <v>15</v>
      </c>
      <c r="B884" s="1">
        <v>45869</v>
      </c>
      <c r="C884">
        <v>564006</v>
      </c>
      <c r="D884">
        <v>9.5690000000000008</v>
      </c>
      <c r="E884" t="s">
        <v>6</v>
      </c>
      <c r="F884" t="s">
        <v>57</v>
      </c>
      <c r="G884" t="s">
        <v>5</v>
      </c>
    </row>
    <row r="885" spans="1:7" x14ac:dyDescent="0.3">
      <c r="A885" t="s">
        <v>15</v>
      </c>
      <c r="B885" s="1">
        <v>45869</v>
      </c>
      <c r="C885">
        <v>564008</v>
      </c>
      <c r="D885">
        <v>773.27800000000002</v>
      </c>
      <c r="E885" t="s">
        <v>6</v>
      </c>
      <c r="F885" t="s">
        <v>55</v>
      </c>
      <c r="G885" t="s">
        <v>5</v>
      </c>
    </row>
    <row r="886" spans="1:7" x14ac:dyDescent="0.3">
      <c r="A886" t="s">
        <v>15</v>
      </c>
      <c r="B886" s="1">
        <v>45869</v>
      </c>
      <c r="C886">
        <v>564011</v>
      </c>
      <c r="D886">
        <v>823.20500000000004</v>
      </c>
      <c r="E886" t="s">
        <v>6</v>
      </c>
      <c r="F886" t="s">
        <v>55</v>
      </c>
      <c r="G886" t="s">
        <v>5</v>
      </c>
    </row>
    <row r="887" spans="1:7" x14ac:dyDescent="0.3">
      <c r="A887" t="s">
        <v>15</v>
      </c>
      <c r="B887" s="1">
        <v>45869</v>
      </c>
      <c r="C887">
        <v>564014</v>
      </c>
      <c r="D887">
        <v>1829.6369999999999</v>
      </c>
      <c r="E887" t="s">
        <v>6</v>
      </c>
      <c r="F887" t="s">
        <v>55</v>
      </c>
      <c r="G887" t="s">
        <v>5</v>
      </c>
    </row>
    <row r="888" spans="1:7" x14ac:dyDescent="0.3">
      <c r="A888" t="s">
        <v>15</v>
      </c>
      <c r="B888" s="1">
        <v>45869</v>
      </c>
      <c r="C888">
        <v>564015</v>
      </c>
      <c r="D888">
        <v>21999.197</v>
      </c>
      <c r="E888" t="s">
        <v>6</v>
      </c>
      <c r="F888" t="s">
        <v>55</v>
      </c>
      <c r="G888" t="s">
        <v>5</v>
      </c>
    </row>
    <row r="889" spans="1:7" x14ac:dyDescent="0.3">
      <c r="A889" t="s">
        <v>15</v>
      </c>
      <c r="B889" s="1">
        <v>45869</v>
      </c>
      <c r="C889">
        <v>564016</v>
      </c>
      <c r="D889">
        <v>24702.281999999999</v>
      </c>
      <c r="E889" t="s">
        <v>6</v>
      </c>
      <c r="F889" t="s">
        <v>55</v>
      </c>
      <c r="G889" t="s">
        <v>5</v>
      </c>
    </row>
    <row r="890" spans="1:7" x14ac:dyDescent="0.3">
      <c r="A890" t="s">
        <v>15</v>
      </c>
      <c r="B890" s="1">
        <v>45869</v>
      </c>
      <c r="C890">
        <v>564017</v>
      </c>
      <c r="D890">
        <v>19605.260999999999</v>
      </c>
      <c r="E890" t="s">
        <v>6</v>
      </c>
      <c r="F890" t="s">
        <v>55</v>
      </c>
      <c r="G890" t="s">
        <v>5</v>
      </c>
    </row>
    <row r="891" spans="1:7" x14ac:dyDescent="0.3">
      <c r="A891" t="s">
        <v>15</v>
      </c>
      <c r="B891" s="1">
        <v>45869</v>
      </c>
      <c r="C891">
        <v>564019</v>
      </c>
      <c r="D891">
        <v>-54932.883000000002</v>
      </c>
      <c r="E891" t="s">
        <v>6</v>
      </c>
      <c r="F891" t="s">
        <v>51</v>
      </c>
      <c r="G891" t="s">
        <v>5</v>
      </c>
    </row>
    <row r="892" spans="1:7" x14ac:dyDescent="0.3">
      <c r="A892" t="s">
        <v>15</v>
      </c>
      <c r="B892" s="1">
        <v>45869</v>
      </c>
      <c r="C892">
        <v>564020</v>
      </c>
      <c r="D892">
        <v>1235.5930000000001</v>
      </c>
      <c r="E892" t="s">
        <v>6</v>
      </c>
      <c r="F892" t="s">
        <v>57</v>
      </c>
      <c r="G892" t="s">
        <v>5</v>
      </c>
    </row>
    <row r="893" spans="1:7" x14ac:dyDescent="0.3">
      <c r="A893" t="s">
        <v>15</v>
      </c>
      <c r="B893" s="1">
        <v>45869</v>
      </c>
      <c r="C893">
        <v>564021</v>
      </c>
      <c r="D893">
        <v>188.49100000000001</v>
      </c>
      <c r="E893" t="s">
        <v>6</v>
      </c>
      <c r="F893" t="s">
        <v>57</v>
      </c>
      <c r="G893" t="s">
        <v>5</v>
      </c>
    </row>
    <row r="894" spans="1:7" x14ac:dyDescent="0.3">
      <c r="A894" t="s">
        <v>15</v>
      </c>
      <c r="B894" s="1">
        <v>45869</v>
      </c>
      <c r="C894">
        <v>564023</v>
      </c>
      <c r="D894">
        <v>3982.2510000000002</v>
      </c>
      <c r="E894" t="s">
        <v>6</v>
      </c>
      <c r="F894" t="s">
        <v>67</v>
      </c>
      <c r="G894" t="s">
        <v>5</v>
      </c>
    </row>
    <row r="895" spans="1:7" x14ac:dyDescent="0.3">
      <c r="A895" t="s">
        <v>15</v>
      </c>
      <c r="B895" s="1">
        <v>45869</v>
      </c>
      <c r="C895">
        <v>564030</v>
      </c>
      <c r="D895">
        <v>31213.404999999999</v>
      </c>
      <c r="E895" t="s">
        <v>6</v>
      </c>
      <c r="F895" t="s">
        <v>69</v>
      </c>
      <c r="G895" t="s">
        <v>5</v>
      </c>
    </row>
    <row r="896" spans="1:7" x14ac:dyDescent="0.3">
      <c r="A896" t="s">
        <v>15</v>
      </c>
      <c r="B896" s="1">
        <v>45869</v>
      </c>
      <c r="C896">
        <v>570002</v>
      </c>
      <c r="D896">
        <v>241496.92</v>
      </c>
      <c r="E896" t="s">
        <v>6</v>
      </c>
      <c r="F896" t="s">
        <v>66</v>
      </c>
      <c r="G896" t="s">
        <v>5</v>
      </c>
    </row>
    <row r="897" spans="1:7" x14ac:dyDescent="0.3">
      <c r="A897" t="s">
        <v>15</v>
      </c>
      <c r="B897" s="1">
        <v>45869</v>
      </c>
      <c r="C897">
        <v>570004</v>
      </c>
      <c r="D897">
        <v>135904.731</v>
      </c>
      <c r="E897" t="s">
        <v>6</v>
      </c>
      <c r="F897" t="s">
        <v>66</v>
      </c>
      <c r="G897" t="s">
        <v>5</v>
      </c>
    </row>
    <row r="898" spans="1:7" x14ac:dyDescent="0.3">
      <c r="A898" t="s">
        <v>15</v>
      </c>
      <c r="B898" s="1">
        <v>45869</v>
      </c>
      <c r="C898">
        <v>580002</v>
      </c>
      <c r="D898">
        <v>397205.212</v>
      </c>
      <c r="E898" t="s">
        <v>6</v>
      </c>
      <c r="F898" t="s">
        <v>64</v>
      </c>
      <c r="G898" t="s">
        <v>5</v>
      </c>
    </row>
    <row r="899" spans="1:7" x14ac:dyDescent="0.3">
      <c r="A899" t="s">
        <v>15</v>
      </c>
      <c r="B899" s="1">
        <v>45869</v>
      </c>
      <c r="C899">
        <v>580003</v>
      </c>
      <c r="D899">
        <v>-902.94299999999998</v>
      </c>
      <c r="E899" t="s">
        <v>6</v>
      </c>
      <c r="F899" t="s">
        <v>64</v>
      </c>
      <c r="G899" t="s">
        <v>5</v>
      </c>
    </row>
    <row r="900" spans="1:7" x14ac:dyDescent="0.3">
      <c r="A900" t="s">
        <v>15</v>
      </c>
      <c r="B900" s="1">
        <v>45869</v>
      </c>
      <c r="C900">
        <v>580005</v>
      </c>
      <c r="D900">
        <v>40.783999999999999</v>
      </c>
      <c r="E900" t="s">
        <v>6</v>
      </c>
      <c r="F900" t="s">
        <v>64</v>
      </c>
      <c r="G900" t="s">
        <v>5</v>
      </c>
    </row>
    <row r="901" spans="1:7" x14ac:dyDescent="0.3">
      <c r="A901" t="s">
        <v>16</v>
      </c>
      <c r="B901" s="1">
        <v>45869</v>
      </c>
      <c r="C901">
        <v>210002</v>
      </c>
      <c r="D901">
        <v>46912.298000000003</v>
      </c>
      <c r="E901" t="s">
        <v>4</v>
      </c>
      <c r="F901" t="s">
        <v>42</v>
      </c>
      <c r="G901" t="s">
        <v>5</v>
      </c>
    </row>
    <row r="902" spans="1:7" x14ac:dyDescent="0.3">
      <c r="A902" t="s">
        <v>16</v>
      </c>
      <c r="B902" s="1">
        <v>45869</v>
      </c>
      <c r="C902">
        <v>220003</v>
      </c>
      <c r="D902">
        <v>-3170112.03</v>
      </c>
      <c r="E902" t="s">
        <v>4</v>
      </c>
      <c r="F902" t="s">
        <v>42</v>
      </c>
      <c r="G902" t="s">
        <v>5</v>
      </c>
    </row>
    <row r="903" spans="1:7" x14ac:dyDescent="0.3">
      <c r="A903" t="s">
        <v>16</v>
      </c>
      <c r="B903" s="1">
        <v>45869</v>
      </c>
      <c r="C903">
        <v>220004</v>
      </c>
      <c r="D903">
        <v>-707177.39500000002</v>
      </c>
      <c r="E903" t="s">
        <v>4</v>
      </c>
      <c r="F903" t="s">
        <v>42</v>
      </c>
      <c r="G903" t="s">
        <v>5</v>
      </c>
    </row>
    <row r="904" spans="1:7" x14ac:dyDescent="0.3">
      <c r="A904" t="s">
        <v>16</v>
      </c>
      <c r="B904" s="1">
        <v>45869</v>
      </c>
      <c r="C904">
        <v>220006</v>
      </c>
      <c r="D904">
        <v>4334378.7359999996</v>
      </c>
      <c r="E904" t="s">
        <v>4</v>
      </c>
      <c r="F904" t="s">
        <v>42</v>
      </c>
      <c r="G904" t="s">
        <v>5</v>
      </c>
    </row>
    <row r="905" spans="1:7" x14ac:dyDescent="0.3">
      <c r="A905" t="s">
        <v>16</v>
      </c>
      <c r="B905" s="1">
        <v>45869</v>
      </c>
      <c r="C905">
        <v>220007</v>
      </c>
      <c r="D905">
        <v>-457013.18400000001</v>
      </c>
      <c r="E905" t="s">
        <v>4</v>
      </c>
      <c r="F905" t="s">
        <v>42</v>
      </c>
      <c r="G905" t="s">
        <v>5</v>
      </c>
    </row>
    <row r="906" spans="1:7" x14ac:dyDescent="0.3">
      <c r="A906" t="s">
        <v>16</v>
      </c>
      <c r="B906" s="1">
        <v>45869</v>
      </c>
      <c r="C906">
        <v>310016</v>
      </c>
      <c r="D906">
        <v>-7227.65</v>
      </c>
      <c r="E906" t="s">
        <v>4</v>
      </c>
      <c r="F906" t="s">
        <v>42</v>
      </c>
      <c r="G906" t="s">
        <v>5</v>
      </c>
    </row>
    <row r="907" spans="1:7" x14ac:dyDescent="0.3">
      <c r="A907" t="s">
        <v>16</v>
      </c>
      <c r="B907" s="1">
        <v>45869</v>
      </c>
      <c r="C907">
        <v>310017</v>
      </c>
      <c r="D907">
        <v>-39387.707000000002</v>
      </c>
      <c r="E907" t="s">
        <v>4</v>
      </c>
      <c r="F907" t="s">
        <v>42</v>
      </c>
      <c r="G907" t="s">
        <v>5</v>
      </c>
    </row>
    <row r="908" spans="1:7" x14ac:dyDescent="0.3">
      <c r="A908" t="s">
        <v>16</v>
      </c>
      <c r="B908" s="1">
        <v>45869</v>
      </c>
      <c r="C908">
        <v>310021</v>
      </c>
      <c r="D908">
        <v>-63.031999999999996</v>
      </c>
      <c r="E908" t="s">
        <v>4</v>
      </c>
      <c r="F908" t="s">
        <v>42</v>
      </c>
      <c r="G908" t="s">
        <v>5</v>
      </c>
    </row>
    <row r="909" spans="1:7" x14ac:dyDescent="0.3">
      <c r="A909" t="s">
        <v>16</v>
      </c>
      <c r="B909" s="1">
        <v>45869</v>
      </c>
      <c r="C909">
        <v>310032</v>
      </c>
      <c r="D909">
        <v>-310.036</v>
      </c>
      <c r="E909" t="s">
        <v>4</v>
      </c>
      <c r="F909" t="s">
        <v>42</v>
      </c>
      <c r="G909" t="s">
        <v>5</v>
      </c>
    </row>
    <row r="910" spans="1:7" x14ac:dyDescent="0.3">
      <c r="A910" t="s">
        <v>18</v>
      </c>
      <c r="B910" s="1">
        <v>45869</v>
      </c>
      <c r="C910">
        <v>220006</v>
      </c>
      <c r="D910">
        <v>-80159.082999999999</v>
      </c>
      <c r="E910" t="s">
        <v>4</v>
      </c>
      <c r="F910" t="s">
        <v>42</v>
      </c>
      <c r="G910" t="s">
        <v>5</v>
      </c>
    </row>
    <row r="911" spans="1:7" x14ac:dyDescent="0.3">
      <c r="A911" t="s">
        <v>18</v>
      </c>
      <c r="B911" s="1">
        <v>45869</v>
      </c>
      <c r="C911">
        <v>243002</v>
      </c>
      <c r="D911">
        <v>-470.81299999999999</v>
      </c>
      <c r="E911" t="s">
        <v>4</v>
      </c>
      <c r="F911" t="s">
        <v>43</v>
      </c>
      <c r="G911" t="s">
        <v>5</v>
      </c>
    </row>
    <row r="912" spans="1:7" x14ac:dyDescent="0.3">
      <c r="A912" t="s">
        <v>18</v>
      </c>
      <c r="B912" s="1">
        <v>45869</v>
      </c>
      <c r="C912">
        <v>300004</v>
      </c>
      <c r="D912">
        <v>13.183</v>
      </c>
      <c r="E912" t="s">
        <v>4</v>
      </c>
      <c r="F912" t="s">
        <v>65</v>
      </c>
      <c r="G912" t="s">
        <v>5</v>
      </c>
    </row>
    <row r="913" spans="1:7" x14ac:dyDescent="0.3">
      <c r="A913" t="s">
        <v>18</v>
      </c>
      <c r="B913" s="1">
        <v>45869</v>
      </c>
      <c r="C913">
        <v>300005</v>
      </c>
      <c r="D913">
        <v>958.19799999999998</v>
      </c>
      <c r="E913" t="s">
        <v>4</v>
      </c>
      <c r="F913" t="s">
        <v>65</v>
      </c>
      <c r="G913" t="s">
        <v>5</v>
      </c>
    </row>
    <row r="914" spans="1:7" x14ac:dyDescent="0.3">
      <c r="A914" t="s">
        <v>18</v>
      </c>
      <c r="B914" s="1">
        <v>45869</v>
      </c>
      <c r="C914">
        <v>300008</v>
      </c>
      <c r="D914">
        <v>1043.04</v>
      </c>
      <c r="E914" t="s">
        <v>4</v>
      </c>
      <c r="F914" t="s">
        <v>65</v>
      </c>
      <c r="G914" t="s">
        <v>5</v>
      </c>
    </row>
    <row r="915" spans="1:7" x14ac:dyDescent="0.3">
      <c r="A915" t="s">
        <v>18</v>
      </c>
      <c r="B915" s="1">
        <v>45869</v>
      </c>
      <c r="C915">
        <v>300009</v>
      </c>
      <c r="D915">
        <v>111.762</v>
      </c>
      <c r="E915" t="s">
        <v>4</v>
      </c>
      <c r="F915" t="s">
        <v>65</v>
      </c>
      <c r="G915" t="s">
        <v>5</v>
      </c>
    </row>
    <row r="916" spans="1:7" x14ac:dyDescent="0.3">
      <c r="A916" t="s">
        <v>18</v>
      </c>
      <c r="B916" s="1">
        <v>45869</v>
      </c>
      <c r="C916">
        <v>300014</v>
      </c>
      <c r="D916">
        <v>489.64499999999998</v>
      </c>
      <c r="E916" t="s">
        <v>4</v>
      </c>
      <c r="F916" t="s">
        <v>65</v>
      </c>
      <c r="G916" t="s">
        <v>5</v>
      </c>
    </row>
    <row r="917" spans="1:7" x14ac:dyDescent="0.3">
      <c r="A917" t="s">
        <v>18</v>
      </c>
      <c r="B917" s="1">
        <v>45869</v>
      </c>
      <c r="C917">
        <v>300504</v>
      </c>
      <c r="D917">
        <v>-13.183</v>
      </c>
      <c r="E917" t="s">
        <v>4</v>
      </c>
      <c r="F917" t="s">
        <v>65</v>
      </c>
      <c r="G917" t="s">
        <v>5</v>
      </c>
    </row>
    <row r="918" spans="1:7" x14ac:dyDescent="0.3">
      <c r="A918" t="s">
        <v>18</v>
      </c>
      <c r="B918" s="1">
        <v>45869</v>
      </c>
      <c r="C918">
        <v>300505</v>
      </c>
      <c r="D918">
        <v>-958.19799999999998</v>
      </c>
      <c r="E918" t="s">
        <v>4</v>
      </c>
      <c r="F918" t="s">
        <v>65</v>
      </c>
      <c r="G918" t="s">
        <v>5</v>
      </c>
    </row>
    <row r="919" spans="1:7" x14ac:dyDescent="0.3">
      <c r="A919" t="s">
        <v>18</v>
      </c>
      <c r="B919" s="1">
        <v>45869</v>
      </c>
      <c r="C919">
        <v>300508</v>
      </c>
      <c r="D919">
        <v>-1043.04</v>
      </c>
      <c r="E919" t="s">
        <v>4</v>
      </c>
      <c r="F919" t="s">
        <v>65</v>
      </c>
      <c r="G919" t="s">
        <v>5</v>
      </c>
    </row>
    <row r="920" spans="1:7" x14ac:dyDescent="0.3">
      <c r="A920" t="s">
        <v>18</v>
      </c>
      <c r="B920" s="1">
        <v>45869</v>
      </c>
      <c r="C920">
        <v>300509</v>
      </c>
      <c r="D920">
        <v>-111.762</v>
      </c>
      <c r="E920" t="s">
        <v>4</v>
      </c>
      <c r="F920" t="s">
        <v>65</v>
      </c>
      <c r="G920" t="s">
        <v>5</v>
      </c>
    </row>
    <row r="921" spans="1:7" x14ac:dyDescent="0.3">
      <c r="A921" t="s">
        <v>18</v>
      </c>
      <c r="B921" s="1">
        <v>45869</v>
      </c>
      <c r="C921">
        <v>300514</v>
      </c>
      <c r="D921">
        <v>-489.64499999999998</v>
      </c>
      <c r="E921" t="s">
        <v>4</v>
      </c>
      <c r="F921" t="s">
        <v>65</v>
      </c>
      <c r="G921" t="s">
        <v>5</v>
      </c>
    </row>
    <row r="922" spans="1:7" x14ac:dyDescent="0.3">
      <c r="A922" t="s">
        <v>18</v>
      </c>
      <c r="B922" s="1">
        <v>45869</v>
      </c>
      <c r="C922">
        <v>330060</v>
      </c>
      <c r="D922">
        <v>79944.903999999995</v>
      </c>
      <c r="E922" t="s">
        <v>4</v>
      </c>
      <c r="F922" t="s">
        <v>43</v>
      </c>
      <c r="G922" t="s">
        <v>5</v>
      </c>
    </row>
    <row r="923" spans="1:7" x14ac:dyDescent="0.3">
      <c r="A923" t="s">
        <v>18</v>
      </c>
      <c r="B923" s="1">
        <v>45869</v>
      </c>
      <c r="C923">
        <v>340048</v>
      </c>
      <c r="D923">
        <v>1881.8689999999999</v>
      </c>
      <c r="E923" t="s">
        <v>4</v>
      </c>
      <c r="F923" t="s">
        <v>47</v>
      </c>
      <c r="G923" t="s">
        <v>5</v>
      </c>
    </row>
    <row r="924" spans="1:7" x14ac:dyDescent="0.3">
      <c r="A924" t="s">
        <v>18</v>
      </c>
      <c r="B924" s="1">
        <v>45869</v>
      </c>
      <c r="C924">
        <v>362018</v>
      </c>
      <c r="D924">
        <v>3.28</v>
      </c>
      <c r="E924" t="s">
        <v>4</v>
      </c>
      <c r="F924" t="s">
        <v>58</v>
      </c>
      <c r="G924" t="s">
        <v>5</v>
      </c>
    </row>
    <row r="925" spans="1:7" x14ac:dyDescent="0.3">
      <c r="A925" t="s">
        <v>18</v>
      </c>
      <c r="B925" s="1">
        <v>45869</v>
      </c>
      <c r="C925">
        <v>364502</v>
      </c>
      <c r="D925">
        <v>305.15699999999998</v>
      </c>
      <c r="E925" t="s">
        <v>4</v>
      </c>
      <c r="F925" t="s">
        <v>58</v>
      </c>
      <c r="G925" t="s">
        <v>5</v>
      </c>
    </row>
    <row r="926" spans="1:7" x14ac:dyDescent="0.3">
      <c r="A926" t="s">
        <v>18</v>
      </c>
      <c r="B926" s="1">
        <v>45869</v>
      </c>
      <c r="C926">
        <v>421002</v>
      </c>
      <c r="D926">
        <v>16.832000000000001</v>
      </c>
      <c r="E926" t="s">
        <v>6</v>
      </c>
      <c r="F926" t="s">
        <v>52</v>
      </c>
      <c r="G926" t="s">
        <v>5</v>
      </c>
    </row>
    <row r="927" spans="1:7" x14ac:dyDescent="0.3">
      <c r="A927" t="s">
        <v>18</v>
      </c>
      <c r="B927" s="1">
        <v>45869</v>
      </c>
      <c r="C927">
        <v>421003</v>
      </c>
      <c r="D927">
        <v>-2009.711</v>
      </c>
      <c r="E927" t="s">
        <v>6</v>
      </c>
      <c r="F927" t="s">
        <v>52</v>
      </c>
      <c r="G927" t="s">
        <v>5</v>
      </c>
    </row>
    <row r="928" spans="1:7" x14ac:dyDescent="0.3">
      <c r="A928" t="s">
        <v>18</v>
      </c>
      <c r="B928" s="1">
        <v>45869</v>
      </c>
      <c r="C928">
        <v>557002</v>
      </c>
      <c r="D928">
        <v>474.80399999999997</v>
      </c>
      <c r="E928" t="s">
        <v>6</v>
      </c>
      <c r="F928" t="s">
        <v>56</v>
      </c>
      <c r="G928" t="s">
        <v>5</v>
      </c>
    </row>
    <row r="929" spans="1:7" x14ac:dyDescent="0.3">
      <c r="A929" t="s">
        <v>19</v>
      </c>
      <c r="B929" s="1">
        <v>45869</v>
      </c>
      <c r="C929">
        <v>210002</v>
      </c>
      <c r="D929">
        <v>-39725.233999999997</v>
      </c>
      <c r="E929" t="s">
        <v>4</v>
      </c>
      <c r="F929" t="s">
        <v>42</v>
      </c>
      <c r="G929" t="s">
        <v>5</v>
      </c>
    </row>
    <row r="930" spans="1:7" x14ac:dyDescent="0.3">
      <c r="A930" t="s">
        <v>19</v>
      </c>
      <c r="B930" s="1">
        <v>45869</v>
      </c>
      <c r="C930">
        <v>220006</v>
      </c>
      <c r="D930">
        <v>-247025.24799999999</v>
      </c>
      <c r="E930" t="s">
        <v>4</v>
      </c>
      <c r="F930" t="s">
        <v>42</v>
      </c>
      <c r="G930" t="s">
        <v>5</v>
      </c>
    </row>
    <row r="931" spans="1:7" x14ac:dyDescent="0.3">
      <c r="A931" t="s">
        <v>19</v>
      </c>
      <c r="B931" s="1">
        <v>45869</v>
      </c>
      <c r="C931">
        <v>240002</v>
      </c>
      <c r="D931">
        <v>1065.5250000000001</v>
      </c>
      <c r="E931" t="s">
        <v>4</v>
      </c>
      <c r="F931" t="s">
        <v>43</v>
      </c>
      <c r="G931" t="s">
        <v>5</v>
      </c>
    </row>
    <row r="932" spans="1:7" x14ac:dyDescent="0.3">
      <c r="A932" t="s">
        <v>19</v>
      </c>
      <c r="B932" s="1">
        <v>45869</v>
      </c>
      <c r="C932">
        <v>240009</v>
      </c>
      <c r="D932">
        <v>-1094.1310000000001</v>
      </c>
      <c r="E932" t="s">
        <v>4</v>
      </c>
      <c r="F932" t="s">
        <v>43</v>
      </c>
      <c r="G932" t="s">
        <v>5</v>
      </c>
    </row>
    <row r="933" spans="1:7" x14ac:dyDescent="0.3">
      <c r="A933" t="s">
        <v>19</v>
      </c>
      <c r="B933" s="1">
        <v>45869</v>
      </c>
      <c r="C933">
        <v>242003</v>
      </c>
      <c r="D933">
        <v>9653.9089999999997</v>
      </c>
      <c r="E933" t="s">
        <v>4</v>
      </c>
      <c r="F933" t="s">
        <v>43</v>
      </c>
      <c r="G933" t="s">
        <v>5</v>
      </c>
    </row>
    <row r="934" spans="1:7" x14ac:dyDescent="0.3">
      <c r="A934" t="s">
        <v>19</v>
      </c>
      <c r="B934" s="1">
        <v>45869</v>
      </c>
      <c r="C934">
        <v>242041</v>
      </c>
      <c r="D934">
        <v>30.957000000000001</v>
      </c>
      <c r="E934" t="s">
        <v>4</v>
      </c>
      <c r="F934" t="s">
        <v>43</v>
      </c>
      <c r="G934" t="s">
        <v>5</v>
      </c>
    </row>
    <row r="935" spans="1:7" x14ac:dyDescent="0.3">
      <c r="A935" t="s">
        <v>19</v>
      </c>
      <c r="B935" s="1">
        <v>45869</v>
      </c>
      <c r="C935">
        <v>243002</v>
      </c>
      <c r="D935">
        <v>-308.09199999999998</v>
      </c>
      <c r="E935" t="s">
        <v>4</v>
      </c>
      <c r="F935" t="s">
        <v>43</v>
      </c>
      <c r="G935" t="s">
        <v>5</v>
      </c>
    </row>
    <row r="936" spans="1:7" x14ac:dyDescent="0.3">
      <c r="A936" t="s">
        <v>19</v>
      </c>
      <c r="B936" s="1">
        <v>45869</v>
      </c>
      <c r="C936">
        <v>245010</v>
      </c>
      <c r="D936">
        <v>-3465.098</v>
      </c>
      <c r="E936" t="s">
        <v>4</v>
      </c>
      <c r="F936" t="s">
        <v>44</v>
      </c>
      <c r="G936" t="s">
        <v>5</v>
      </c>
    </row>
    <row r="937" spans="1:7" x14ac:dyDescent="0.3">
      <c r="A937" t="s">
        <v>19</v>
      </c>
      <c r="B937" s="1">
        <v>45869</v>
      </c>
      <c r="C937">
        <v>245062</v>
      </c>
      <c r="D937">
        <v>-1466.569</v>
      </c>
      <c r="E937" t="s">
        <v>4</v>
      </c>
      <c r="F937" t="s">
        <v>43</v>
      </c>
      <c r="G937" t="s">
        <v>5</v>
      </c>
    </row>
    <row r="938" spans="1:7" x14ac:dyDescent="0.3">
      <c r="A938" t="s">
        <v>19</v>
      </c>
      <c r="B938" s="1">
        <v>45869</v>
      </c>
      <c r="C938">
        <v>249002</v>
      </c>
      <c r="D938">
        <v>-12831.169</v>
      </c>
      <c r="E938" t="s">
        <v>4</v>
      </c>
      <c r="F938" t="s">
        <v>44</v>
      </c>
      <c r="G938" t="s">
        <v>5</v>
      </c>
    </row>
    <row r="939" spans="1:7" x14ac:dyDescent="0.3">
      <c r="A939" t="s">
        <v>19</v>
      </c>
      <c r="B939" s="1">
        <v>45869</v>
      </c>
      <c r="C939">
        <v>251003</v>
      </c>
      <c r="D939">
        <v>-1709.318</v>
      </c>
      <c r="E939" t="s">
        <v>4</v>
      </c>
      <c r="F939" t="s">
        <v>45</v>
      </c>
      <c r="G939" t="s">
        <v>5</v>
      </c>
    </row>
    <row r="940" spans="1:7" x14ac:dyDescent="0.3">
      <c r="A940" t="s">
        <v>19</v>
      </c>
      <c r="B940" s="1">
        <v>45869</v>
      </c>
      <c r="C940">
        <v>260004</v>
      </c>
      <c r="D940">
        <v>-123.033</v>
      </c>
      <c r="E940" t="s">
        <v>4</v>
      </c>
      <c r="F940" t="s">
        <v>45</v>
      </c>
      <c r="G940" t="s">
        <v>5</v>
      </c>
    </row>
    <row r="941" spans="1:7" x14ac:dyDescent="0.3">
      <c r="A941" t="s">
        <v>19</v>
      </c>
      <c r="B941" s="1">
        <v>45869</v>
      </c>
      <c r="C941">
        <v>300005</v>
      </c>
      <c r="D941">
        <v>6609.1419999999998</v>
      </c>
      <c r="E941" t="s">
        <v>4</v>
      </c>
      <c r="F941" t="s">
        <v>65</v>
      </c>
      <c r="G941" t="s">
        <v>5</v>
      </c>
    </row>
    <row r="942" spans="1:7" x14ac:dyDescent="0.3">
      <c r="A942" t="s">
        <v>19</v>
      </c>
      <c r="B942" s="1">
        <v>45869</v>
      </c>
      <c r="C942">
        <v>300008</v>
      </c>
      <c r="D942">
        <v>4849.66</v>
      </c>
      <c r="E942" t="s">
        <v>4</v>
      </c>
      <c r="F942" t="s">
        <v>65</v>
      </c>
      <c r="G942" t="s">
        <v>5</v>
      </c>
    </row>
    <row r="943" spans="1:7" x14ac:dyDescent="0.3">
      <c r="A943" t="s">
        <v>19</v>
      </c>
      <c r="B943" s="1">
        <v>45869</v>
      </c>
      <c r="C943">
        <v>300011</v>
      </c>
      <c r="D943">
        <v>19.934999999999999</v>
      </c>
      <c r="E943" t="s">
        <v>4</v>
      </c>
      <c r="F943" t="s">
        <v>65</v>
      </c>
      <c r="G943" t="s">
        <v>5</v>
      </c>
    </row>
    <row r="944" spans="1:7" x14ac:dyDescent="0.3">
      <c r="A944" t="s">
        <v>19</v>
      </c>
      <c r="B944" s="1">
        <v>45869</v>
      </c>
      <c r="C944">
        <v>300012</v>
      </c>
      <c r="D944">
        <v>3751.3580000000002</v>
      </c>
      <c r="E944" t="s">
        <v>4</v>
      </c>
      <c r="F944" t="s">
        <v>65</v>
      </c>
      <c r="G944" t="s">
        <v>5</v>
      </c>
    </row>
    <row r="945" spans="1:7" x14ac:dyDescent="0.3">
      <c r="A945" t="s">
        <v>19</v>
      </c>
      <c r="B945" s="1">
        <v>45869</v>
      </c>
      <c r="C945">
        <v>300505</v>
      </c>
      <c r="D945">
        <v>-6347.6769999999997</v>
      </c>
      <c r="E945" t="s">
        <v>4</v>
      </c>
      <c r="F945" t="s">
        <v>65</v>
      </c>
      <c r="G945" t="s">
        <v>5</v>
      </c>
    </row>
    <row r="946" spans="1:7" x14ac:dyDescent="0.3">
      <c r="A946" t="s">
        <v>19</v>
      </c>
      <c r="B946" s="1">
        <v>45869</v>
      </c>
      <c r="C946">
        <v>300508</v>
      </c>
      <c r="D946">
        <v>-4849.66</v>
      </c>
      <c r="E946" t="s">
        <v>4</v>
      </c>
      <c r="F946" t="s">
        <v>65</v>
      </c>
      <c r="G946" t="s">
        <v>5</v>
      </c>
    </row>
    <row r="947" spans="1:7" x14ac:dyDescent="0.3">
      <c r="A947" t="s">
        <v>19</v>
      </c>
      <c r="B947" s="1">
        <v>45869</v>
      </c>
      <c r="C947">
        <v>300511</v>
      </c>
      <c r="D947">
        <v>-19.934999999999999</v>
      </c>
      <c r="E947" t="s">
        <v>4</v>
      </c>
      <c r="F947" t="s">
        <v>65</v>
      </c>
      <c r="G947" t="s">
        <v>5</v>
      </c>
    </row>
    <row r="948" spans="1:7" x14ac:dyDescent="0.3">
      <c r="A948" t="s">
        <v>19</v>
      </c>
      <c r="B948" s="1">
        <v>45869</v>
      </c>
      <c r="C948">
        <v>300512</v>
      </c>
      <c r="D948">
        <v>-3751.3580000000002</v>
      </c>
      <c r="E948" t="s">
        <v>4</v>
      </c>
      <c r="F948" t="s">
        <v>65</v>
      </c>
      <c r="G948" t="s">
        <v>5</v>
      </c>
    </row>
    <row r="949" spans="1:7" x14ac:dyDescent="0.3">
      <c r="A949" t="s">
        <v>19</v>
      </c>
      <c r="B949" s="1">
        <v>45869</v>
      </c>
      <c r="C949">
        <v>320003</v>
      </c>
      <c r="D949">
        <v>2583.6869999999999</v>
      </c>
      <c r="E949" t="s">
        <v>4</v>
      </c>
      <c r="F949" t="s">
        <v>46</v>
      </c>
      <c r="G949" t="s">
        <v>5</v>
      </c>
    </row>
    <row r="950" spans="1:7" x14ac:dyDescent="0.3">
      <c r="A950" t="s">
        <v>19</v>
      </c>
      <c r="B950" s="1">
        <v>45869</v>
      </c>
      <c r="C950">
        <v>321006</v>
      </c>
      <c r="D950">
        <v>24461.66</v>
      </c>
      <c r="E950" t="s">
        <v>4</v>
      </c>
      <c r="F950" t="s">
        <v>46</v>
      </c>
      <c r="G950" t="s">
        <v>5</v>
      </c>
    </row>
    <row r="951" spans="1:7" x14ac:dyDescent="0.3">
      <c r="A951" t="s">
        <v>19</v>
      </c>
      <c r="B951" s="1">
        <v>45869</v>
      </c>
      <c r="C951">
        <v>321014</v>
      </c>
      <c r="D951">
        <v>9611.0249999999996</v>
      </c>
      <c r="E951" t="s">
        <v>4</v>
      </c>
      <c r="F951" t="s">
        <v>46</v>
      </c>
      <c r="G951" t="s">
        <v>5</v>
      </c>
    </row>
    <row r="952" spans="1:7" x14ac:dyDescent="0.3">
      <c r="A952" t="s">
        <v>19</v>
      </c>
      <c r="B952" s="1">
        <v>45869</v>
      </c>
      <c r="C952">
        <v>321031</v>
      </c>
      <c r="D952">
        <v>7008.8190000000004</v>
      </c>
      <c r="E952" t="s">
        <v>4</v>
      </c>
      <c r="F952" t="s">
        <v>46</v>
      </c>
      <c r="G952" t="s">
        <v>5</v>
      </c>
    </row>
    <row r="953" spans="1:7" x14ac:dyDescent="0.3">
      <c r="A953" t="s">
        <v>19</v>
      </c>
      <c r="B953" s="1">
        <v>45869</v>
      </c>
      <c r="C953">
        <v>321042</v>
      </c>
      <c r="D953">
        <v>-14.132</v>
      </c>
      <c r="E953" t="s">
        <v>4</v>
      </c>
      <c r="F953" t="s">
        <v>46</v>
      </c>
      <c r="G953" t="s">
        <v>5</v>
      </c>
    </row>
    <row r="954" spans="1:7" x14ac:dyDescent="0.3">
      <c r="A954" t="s">
        <v>19</v>
      </c>
      <c r="B954" s="1">
        <v>45869</v>
      </c>
      <c r="C954">
        <v>330049</v>
      </c>
      <c r="D954">
        <v>168164.60699999999</v>
      </c>
      <c r="E954" t="s">
        <v>4</v>
      </c>
      <c r="F954" t="s">
        <v>43</v>
      </c>
      <c r="G954" t="s">
        <v>5</v>
      </c>
    </row>
    <row r="955" spans="1:7" x14ac:dyDescent="0.3">
      <c r="A955" t="s">
        <v>19</v>
      </c>
      <c r="B955" s="1">
        <v>45869</v>
      </c>
      <c r="C955">
        <v>330060</v>
      </c>
      <c r="D955">
        <v>-80217.281000000003</v>
      </c>
      <c r="E955" t="s">
        <v>4</v>
      </c>
      <c r="F955" t="s">
        <v>43</v>
      </c>
      <c r="G955" t="s">
        <v>5</v>
      </c>
    </row>
    <row r="956" spans="1:7" x14ac:dyDescent="0.3">
      <c r="A956" t="s">
        <v>19</v>
      </c>
      <c r="B956" s="1">
        <v>45869</v>
      </c>
      <c r="C956">
        <v>340101</v>
      </c>
      <c r="D956">
        <v>4611.3639999999996</v>
      </c>
      <c r="E956" t="s">
        <v>4</v>
      </c>
      <c r="F956" t="s">
        <v>48</v>
      </c>
      <c r="G956" t="s">
        <v>5</v>
      </c>
    </row>
    <row r="957" spans="1:7" x14ac:dyDescent="0.3">
      <c r="A957" t="s">
        <v>19</v>
      </c>
      <c r="B957" s="1">
        <v>45869</v>
      </c>
      <c r="C957">
        <v>340121</v>
      </c>
      <c r="D957">
        <v>147538.663</v>
      </c>
      <c r="E957" t="s">
        <v>4</v>
      </c>
      <c r="F957" t="s">
        <v>47</v>
      </c>
      <c r="G957" t="s">
        <v>5</v>
      </c>
    </row>
    <row r="958" spans="1:7" x14ac:dyDescent="0.3">
      <c r="A958" t="s">
        <v>19</v>
      </c>
      <c r="B958" s="1">
        <v>45869</v>
      </c>
      <c r="C958">
        <v>350003</v>
      </c>
      <c r="D958">
        <v>56.77</v>
      </c>
      <c r="E958" t="s">
        <v>4</v>
      </c>
      <c r="F958" t="s">
        <v>49</v>
      </c>
      <c r="G958" t="s">
        <v>5</v>
      </c>
    </row>
    <row r="959" spans="1:7" x14ac:dyDescent="0.3">
      <c r="A959" t="s">
        <v>19</v>
      </c>
      <c r="B959" s="1">
        <v>45869</v>
      </c>
      <c r="C959">
        <v>350031</v>
      </c>
      <c r="D959">
        <v>1094.1310000000001</v>
      </c>
      <c r="E959" t="s">
        <v>4</v>
      </c>
      <c r="F959" t="s">
        <v>43</v>
      </c>
      <c r="G959" t="s">
        <v>5</v>
      </c>
    </row>
    <row r="960" spans="1:7" x14ac:dyDescent="0.3">
      <c r="A960" t="s">
        <v>19</v>
      </c>
      <c r="B960" s="1">
        <v>45869</v>
      </c>
      <c r="C960">
        <v>352002</v>
      </c>
      <c r="D960">
        <v>1005.1420000000001</v>
      </c>
      <c r="E960" t="s">
        <v>4</v>
      </c>
      <c r="F960" t="s">
        <v>48</v>
      </c>
      <c r="G960" t="s">
        <v>5</v>
      </c>
    </row>
    <row r="961" spans="1:7" x14ac:dyDescent="0.3">
      <c r="A961" t="s">
        <v>19</v>
      </c>
      <c r="B961" s="1">
        <v>45869</v>
      </c>
      <c r="C961">
        <v>355002</v>
      </c>
      <c r="D961">
        <v>2186.453</v>
      </c>
      <c r="E961" t="s">
        <v>4</v>
      </c>
      <c r="F961" t="s">
        <v>49</v>
      </c>
      <c r="G961" t="s">
        <v>5</v>
      </c>
    </row>
    <row r="962" spans="1:7" x14ac:dyDescent="0.3">
      <c r="A962" t="s">
        <v>19</v>
      </c>
      <c r="B962" s="1">
        <v>45869</v>
      </c>
      <c r="C962">
        <v>355014</v>
      </c>
      <c r="D962">
        <v>85.653000000000006</v>
      </c>
      <c r="E962" t="s">
        <v>4</v>
      </c>
      <c r="F962" t="s">
        <v>49</v>
      </c>
      <c r="G962" t="s">
        <v>5</v>
      </c>
    </row>
    <row r="963" spans="1:7" x14ac:dyDescent="0.3">
      <c r="A963" t="s">
        <v>19</v>
      </c>
      <c r="B963" s="1">
        <v>45869</v>
      </c>
      <c r="C963">
        <v>372004</v>
      </c>
      <c r="D963">
        <v>124.328</v>
      </c>
      <c r="E963" t="s">
        <v>4</v>
      </c>
      <c r="F963" t="s">
        <v>45</v>
      </c>
      <c r="G963" t="s">
        <v>5</v>
      </c>
    </row>
    <row r="964" spans="1:7" x14ac:dyDescent="0.3">
      <c r="A964" t="s">
        <v>19</v>
      </c>
      <c r="B964" s="1">
        <v>45869</v>
      </c>
      <c r="C964">
        <v>410009</v>
      </c>
      <c r="D964">
        <v>-2969.5419999999999</v>
      </c>
      <c r="E964" t="s">
        <v>6</v>
      </c>
      <c r="F964" t="s">
        <v>51</v>
      </c>
      <c r="G964" t="s">
        <v>5</v>
      </c>
    </row>
    <row r="965" spans="1:7" x14ac:dyDescent="0.3">
      <c r="A965" t="s">
        <v>19</v>
      </c>
      <c r="B965" s="1">
        <v>45869</v>
      </c>
      <c r="C965">
        <v>410039</v>
      </c>
      <c r="D965">
        <v>-3168.8159999999998</v>
      </c>
      <c r="E965" t="s">
        <v>6</v>
      </c>
      <c r="F965" t="s">
        <v>51</v>
      </c>
      <c r="G965" t="s">
        <v>5</v>
      </c>
    </row>
    <row r="966" spans="1:7" x14ac:dyDescent="0.3">
      <c r="A966" t="s">
        <v>19</v>
      </c>
      <c r="B966" s="1">
        <v>45869</v>
      </c>
      <c r="C966">
        <v>415004</v>
      </c>
      <c r="D966">
        <v>-739.42</v>
      </c>
      <c r="E966" t="s">
        <v>6</v>
      </c>
      <c r="F966" t="s">
        <v>50</v>
      </c>
      <c r="G966" t="s">
        <v>5</v>
      </c>
    </row>
    <row r="967" spans="1:7" x14ac:dyDescent="0.3">
      <c r="A967" t="s">
        <v>19</v>
      </c>
      <c r="B967" s="1">
        <v>45869</v>
      </c>
      <c r="C967">
        <v>421003</v>
      </c>
      <c r="D967">
        <v>-663.84199999999998</v>
      </c>
      <c r="E967" t="s">
        <v>6</v>
      </c>
      <c r="F967" t="s">
        <v>52</v>
      </c>
      <c r="G967" t="s">
        <v>5</v>
      </c>
    </row>
    <row r="968" spans="1:7" x14ac:dyDescent="0.3">
      <c r="A968" t="s">
        <v>19</v>
      </c>
      <c r="B968" s="1">
        <v>45869</v>
      </c>
      <c r="C968">
        <v>421007</v>
      </c>
      <c r="D968">
        <v>25.263999999999999</v>
      </c>
      <c r="E968" t="s">
        <v>6</v>
      </c>
      <c r="F968" t="s">
        <v>52</v>
      </c>
      <c r="G968" t="s">
        <v>5</v>
      </c>
    </row>
    <row r="969" spans="1:7" x14ac:dyDescent="0.3">
      <c r="A969" t="s">
        <v>19</v>
      </c>
      <c r="B969" s="1">
        <v>45869</v>
      </c>
      <c r="C969">
        <v>510002</v>
      </c>
      <c r="D969">
        <v>10539.171</v>
      </c>
      <c r="E969" t="s">
        <v>6</v>
      </c>
      <c r="F969" t="s">
        <v>53</v>
      </c>
      <c r="G969" t="s">
        <v>5</v>
      </c>
    </row>
    <row r="970" spans="1:7" x14ac:dyDescent="0.3">
      <c r="A970" t="s">
        <v>19</v>
      </c>
      <c r="B970" s="1">
        <v>45869</v>
      </c>
      <c r="C970">
        <v>510005</v>
      </c>
      <c r="D970">
        <v>865.33699999999999</v>
      </c>
      <c r="E970" t="s">
        <v>6</v>
      </c>
      <c r="F970" t="s">
        <v>53</v>
      </c>
      <c r="G970" t="s">
        <v>5</v>
      </c>
    </row>
    <row r="971" spans="1:7" x14ac:dyDescent="0.3">
      <c r="A971" t="s">
        <v>19</v>
      </c>
      <c r="B971" s="1">
        <v>45869</v>
      </c>
      <c r="C971">
        <v>510006</v>
      </c>
      <c r="D971">
        <v>657.721</v>
      </c>
      <c r="E971" t="s">
        <v>6</v>
      </c>
      <c r="F971" t="s">
        <v>53</v>
      </c>
      <c r="G971" t="s">
        <v>5</v>
      </c>
    </row>
    <row r="972" spans="1:7" x14ac:dyDescent="0.3">
      <c r="A972" t="s">
        <v>19</v>
      </c>
      <c r="B972" s="1">
        <v>45869</v>
      </c>
      <c r="C972">
        <v>510007</v>
      </c>
      <c r="D972">
        <v>-1966.4549999999999</v>
      </c>
      <c r="E972" t="s">
        <v>6</v>
      </c>
      <c r="F972" t="s">
        <v>53</v>
      </c>
      <c r="G972" t="s">
        <v>5</v>
      </c>
    </row>
    <row r="973" spans="1:7" x14ac:dyDescent="0.3">
      <c r="A973" t="s">
        <v>19</v>
      </c>
      <c r="B973" s="1">
        <v>45869</v>
      </c>
      <c r="C973">
        <v>510062</v>
      </c>
      <c r="D973">
        <v>1154.432</v>
      </c>
      <c r="E973" t="s">
        <v>6</v>
      </c>
      <c r="F973" t="s">
        <v>53</v>
      </c>
      <c r="G973" t="s">
        <v>5</v>
      </c>
    </row>
    <row r="974" spans="1:7" x14ac:dyDescent="0.3">
      <c r="A974" t="s">
        <v>19</v>
      </c>
      <c r="B974" s="1">
        <v>45869</v>
      </c>
      <c r="C974">
        <v>510065</v>
      </c>
      <c r="D974">
        <v>51.713999999999999</v>
      </c>
      <c r="E974" t="s">
        <v>6</v>
      </c>
      <c r="F974" t="s">
        <v>53</v>
      </c>
      <c r="G974" t="s">
        <v>5</v>
      </c>
    </row>
    <row r="975" spans="1:7" x14ac:dyDescent="0.3">
      <c r="A975" t="s">
        <v>19</v>
      </c>
      <c r="B975" s="1">
        <v>45869</v>
      </c>
      <c r="C975">
        <v>520021</v>
      </c>
      <c r="D975">
        <v>12.516999999999999</v>
      </c>
      <c r="E975" t="s">
        <v>6</v>
      </c>
      <c r="F975" t="s">
        <v>60</v>
      </c>
      <c r="G975" t="s">
        <v>5</v>
      </c>
    </row>
    <row r="976" spans="1:7" x14ac:dyDescent="0.3">
      <c r="A976" t="s">
        <v>19</v>
      </c>
      <c r="B976" s="1">
        <v>45869</v>
      </c>
      <c r="C976">
        <v>541004</v>
      </c>
      <c r="D976">
        <v>14.843</v>
      </c>
      <c r="E976" t="s">
        <v>6</v>
      </c>
      <c r="F976" t="s">
        <v>61</v>
      </c>
      <c r="G976" t="s">
        <v>5</v>
      </c>
    </row>
    <row r="977" spans="1:7" x14ac:dyDescent="0.3">
      <c r="A977" t="s">
        <v>19</v>
      </c>
      <c r="B977" s="1">
        <v>45869</v>
      </c>
      <c r="C977">
        <v>541010</v>
      </c>
      <c r="D977">
        <v>320.49700000000001</v>
      </c>
      <c r="E977" t="s">
        <v>6</v>
      </c>
      <c r="F977" t="s">
        <v>61</v>
      </c>
      <c r="G977" t="s">
        <v>5</v>
      </c>
    </row>
    <row r="978" spans="1:7" x14ac:dyDescent="0.3">
      <c r="A978" t="s">
        <v>19</v>
      </c>
      <c r="B978" s="1">
        <v>45869</v>
      </c>
      <c r="C978">
        <v>546002</v>
      </c>
      <c r="D978">
        <v>650.69000000000005</v>
      </c>
      <c r="E978" t="s">
        <v>6</v>
      </c>
      <c r="F978" t="s">
        <v>51</v>
      </c>
      <c r="G978" t="s">
        <v>5</v>
      </c>
    </row>
    <row r="979" spans="1:7" x14ac:dyDescent="0.3">
      <c r="A979" t="s">
        <v>19</v>
      </c>
      <c r="B979" s="1">
        <v>45869</v>
      </c>
      <c r="C979">
        <v>552502</v>
      </c>
      <c r="D979">
        <v>970.16200000000003</v>
      </c>
      <c r="E979" t="s">
        <v>6</v>
      </c>
      <c r="F979" t="s">
        <v>55</v>
      </c>
      <c r="G979" t="s">
        <v>5</v>
      </c>
    </row>
    <row r="980" spans="1:7" x14ac:dyDescent="0.3">
      <c r="A980" t="s">
        <v>19</v>
      </c>
      <c r="B980" s="1">
        <v>45869</v>
      </c>
      <c r="C980">
        <v>552504</v>
      </c>
      <c r="D980">
        <v>130.40600000000001</v>
      </c>
      <c r="E980" t="s">
        <v>6</v>
      </c>
      <c r="F980" t="s">
        <v>55</v>
      </c>
      <c r="G980" t="s">
        <v>5</v>
      </c>
    </row>
    <row r="981" spans="1:7" x14ac:dyDescent="0.3">
      <c r="A981" t="s">
        <v>19</v>
      </c>
      <c r="B981" s="1">
        <v>45869</v>
      </c>
      <c r="C981">
        <v>555007</v>
      </c>
      <c r="D981">
        <v>1219.9100000000001</v>
      </c>
      <c r="E981" t="s">
        <v>6</v>
      </c>
      <c r="F981" t="s">
        <v>55</v>
      </c>
      <c r="G981" t="s">
        <v>5</v>
      </c>
    </row>
    <row r="982" spans="1:7" x14ac:dyDescent="0.3">
      <c r="A982" t="s">
        <v>19</v>
      </c>
      <c r="B982" s="1">
        <v>45869</v>
      </c>
      <c r="C982">
        <v>555508</v>
      </c>
      <c r="D982">
        <v>1.319</v>
      </c>
      <c r="E982" t="s">
        <v>6</v>
      </c>
      <c r="F982" t="s">
        <v>55</v>
      </c>
      <c r="G982" t="s">
        <v>5</v>
      </c>
    </row>
    <row r="983" spans="1:7" x14ac:dyDescent="0.3">
      <c r="A983" t="s">
        <v>19</v>
      </c>
      <c r="B983" s="1">
        <v>45869</v>
      </c>
      <c r="C983">
        <v>556002</v>
      </c>
      <c r="D983">
        <v>175.46700000000001</v>
      </c>
      <c r="E983" t="s">
        <v>6</v>
      </c>
      <c r="F983" t="s">
        <v>60</v>
      </c>
      <c r="G983" t="s">
        <v>5</v>
      </c>
    </row>
    <row r="984" spans="1:7" x14ac:dyDescent="0.3">
      <c r="A984" t="s">
        <v>19</v>
      </c>
      <c r="B984" s="1">
        <v>45869</v>
      </c>
      <c r="C984">
        <v>557002</v>
      </c>
      <c r="D984">
        <v>176.90299999999999</v>
      </c>
      <c r="E984" t="s">
        <v>6</v>
      </c>
      <c r="F984" t="s">
        <v>56</v>
      </c>
      <c r="G984" t="s">
        <v>5</v>
      </c>
    </row>
    <row r="985" spans="1:7" x14ac:dyDescent="0.3">
      <c r="A985" t="s">
        <v>19</v>
      </c>
      <c r="B985" s="1">
        <v>45869</v>
      </c>
      <c r="C985">
        <v>558006</v>
      </c>
      <c r="D985">
        <v>388.86200000000002</v>
      </c>
      <c r="E985" t="s">
        <v>6</v>
      </c>
      <c r="F985" t="s">
        <v>57</v>
      </c>
      <c r="G985" t="s">
        <v>5</v>
      </c>
    </row>
    <row r="986" spans="1:7" x14ac:dyDescent="0.3">
      <c r="A986" t="s">
        <v>19</v>
      </c>
      <c r="B986" s="1">
        <v>45869</v>
      </c>
      <c r="C986">
        <v>559002</v>
      </c>
      <c r="D986">
        <v>32.258000000000003</v>
      </c>
      <c r="E986" t="s">
        <v>6</v>
      </c>
      <c r="F986" t="s">
        <v>60</v>
      </c>
      <c r="G986" t="s">
        <v>5</v>
      </c>
    </row>
    <row r="987" spans="1:7" x14ac:dyDescent="0.3">
      <c r="A987" t="s">
        <v>19</v>
      </c>
      <c r="B987" s="1">
        <v>45869</v>
      </c>
      <c r="C987">
        <v>560008</v>
      </c>
      <c r="D987">
        <v>115.443</v>
      </c>
      <c r="E987" t="s">
        <v>6</v>
      </c>
      <c r="F987" t="s">
        <v>56</v>
      </c>
      <c r="G987" t="s">
        <v>5</v>
      </c>
    </row>
    <row r="988" spans="1:7" x14ac:dyDescent="0.3">
      <c r="A988" t="s">
        <v>19</v>
      </c>
      <c r="B988" s="1">
        <v>45869</v>
      </c>
      <c r="C988">
        <v>564004</v>
      </c>
      <c r="D988">
        <v>79.028999999999996</v>
      </c>
      <c r="E988" t="s">
        <v>6</v>
      </c>
      <c r="F988" t="s">
        <v>51</v>
      </c>
      <c r="G988" t="s">
        <v>5</v>
      </c>
    </row>
    <row r="989" spans="1:7" x14ac:dyDescent="0.3">
      <c r="A989" t="s">
        <v>19</v>
      </c>
      <c r="B989" s="1">
        <v>45869</v>
      </c>
      <c r="C989">
        <v>564006</v>
      </c>
      <c r="D989">
        <v>-2E-3</v>
      </c>
      <c r="E989" t="s">
        <v>6</v>
      </c>
      <c r="F989" t="s">
        <v>57</v>
      </c>
      <c r="G989" t="s">
        <v>5</v>
      </c>
    </row>
    <row r="990" spans="1:7" x14ac:dyDescent="0.3">
      <c r="A990" t="s">
        <v>19</v>
      </c>
      <c r="B990" s="1">
        <v>45869</v>
      </c>
      <c r="C990">
        <v>564020</v>
      </c>
      <c r="D990">
        <v>183.17500000000001</v>
      </c>
      <c r="E990" t="s">
        <v>6</v>
      </c>
      <c r="F990" t="s">
        <v>57</v>
      </c>
      <c r="G990" t="s">
        <v>5</v>
      </c>
    </row>
    <row r="991" spans="1:7" x14ac:dyDescent="0.3">
      <c r="A991" t="s">
        <v>19</v>
      </c>
      <c r="B991" s="1">
        <v>45869</v>
      </c>
      <c r="C991">
        <v>570002</v>
      </c>
      <c r="D991">
        <v>46.951000000000001</v>
      </c>
      <c r="E991" t="s">
        <v>6</v>
      </c>
      <c r="F991" t="s">
        <v>66</v>
      </c>
      <c r="G991" t="s">
        <v>5</v>
      </c>
    </row>
    <row r="992" spans="1:7" x14ac:dyDescent="0.3">
      <c r="A992" t="s">
        <v>20</v>
      </c>
      <c r="B992" s="1">
        <v>45869</v>
      </c>
      <c r="C992">
        <v>210002</v>
      </c>
      <c r="D992">
        <v>-137.84</v>
      </c>
      <c r="E992" t="s">
        <v>4</v>
      </c>
      <c r="F992" t="s">
        <v>42</v>
      </c>
      <c r="G992" t="s">
        <v>5</v>
      </c>
    </row>
    <row r="993" spans="1:7" x14ac:dyDescent="0.3">
      <c r="A993" t="s">
        <v>20</v>
      </c>
      <c r="B993" s="1">
        <v>45869</v>
      </c>
      <c r="C993">
        <v>220006</v>
      </c>
      <c r="D993">
        <v>-41018.732000000004</v>
      </c>
      <c r="E993" t="s">
        <v>4</v>
      </c>
      <c r="F993" t="s">
        <v>42</v>
      </c>
      <c r="G993" t="s">
        <v>5</v>
      </c>
    </row>
    <row r="994" spans="1:7" x14ac:dyDescent="0.3">
      <c r="A994" t="s">
        <v>20</v>
      </c>
      <c r="B994" s="1">
        <v>45869</v>
      </c>
      <c r="C994">
        <v>240002</v>
      </c>
      <c r="D994">
        <v>-1129.57</v>
      </c>
      <c r="E994" t="s">
        <v>4</v>
      </c>
      <c r="F994" t="s">
        <v>43</v>
      </c>
      <c r="G994" t="s">
        <v>5</v>
      </c>
    </row>
    <row r="995" spans="1:7" x14ac:dyDescent="0.3">
      <c r="A995" t="s">
        <v>20</v>
      </c>
      <c r="B995" s="1">
        <v>45869</v>
      </c>
      <c r="C995">
        <v>242003</v>
      </c>
      <c r="D995">
        <v>-39498.512000000002</v>
      </c>
      <c r="E995" t="s">
        <v>4</v>
      </c>
      <c r="F995" t="s">
        <v>43</v>
      </c>
      <c r="G995" t="s">
        <v>5</v>
      </c>
    </row>
    <row r="996" spans="1:7" x14ac:dyDescent="0.3">
      <c r="A996" t="s">
        <v>20</v>
      </c>
      <c r="B996" s="1">
        <v>45869</v>
      </c>
      <c r="C996">
        <v>242007</v>
      </c>
      <c r="D996">
        <v>-221.35400000000001</v>
      </c>
      <c r="E996" t="s">
        <v>4</v>
      </c>
      <c r="F996" t="s">
        <v>43</v>
      </c>
      <c r="G996" t="s">
        <v>5</v>
      </c>
    </row>
    <row r="997" spans="1:7" x14ac:dyDescent="0.3">
      <c r="A997" t="s">
        <v>20</v>
      </c>
      <c r="B997" s="1">
        <v>45869</v>
      </c>
      <c r="C997">
        <v>242011</v>
      </c>
      <c r="D997">
        <v>-186.256</v>
      </c>
      <c r="E997" t="s">
        <v>4</v>
      </c>
      <c r="F997" t="s">
        <v>43</v>
      </c>
      <c r="G997" t="s">
        <v>5</v>
      </c>
    </row>
    <row r="998" spans="1:7" x14ac:dyDescent="0.3">
      <c r="A998" t="s">
        <v>20</v>
      </c>
      <c r="B998" s="1">
        <v>45869</v>
      </c>
      <c r="C998">
        <v>242013</v>
      </c>
      <c r="D998">
        <v>186.256</v>
      </c>
      <c r="E998" t="s">
        <v>4</v>
      </c>
      <c r="F998" t="s">
        <v>43</v>
      </c>
      <c r="G998" t="s">
        <v>5</v>
      </c>
    </row>
    <row r="999" spans="1:7" x14ac:dyDescent="0.3">
      <c r="A999" t="s">
        <v>20</v>
      </c>
      <c r="B999" s="1">
        <v>45869</v>
      </c>
      <c r="C999">
        <v>242041</v>
      </c>
      <c r="D999">
        <v>-2.516</v>
      </c>
      <c r="E999" t="s">
        <v>4</v>
      </c>
      <c r="F999" t="s">
        <v>43</v>
      </c>
      <c r="G999" t="s">
        <v>5</v>
      </c>
    </row>
    <row r="1000" spans="1:7" x14ac:dyDescent="0.3">
      <c r="A1000" t="s">
        <v>20</v>
      </c>
      <c r="B1000" s="1">
        <v>45869</v>
      </c>
      <c r="C1000">
        <v>243002</v>
      </c>
      <c r="D1000">
        <v>-300.14299999999997</v>
      </c>
      <c r="E1000" t="s">
        <v>4</v>
      </c>
      <c r="F1000" t="s">
        <v>43</v>
      </c>
      <c r="G1000" t="s">
        <v>5</v>
      </c>
    </row>
    <row r="1001" spans="1:7" x14ac:dyDescent="0.3">
      <c r="A1001" t="s">
        <v>20</v>
      </c>
      <c r="B1001" s="1">
        <v>45869</v>
      </c>
      <c r="C1001">
        <v>251002</v>
      </c>
      <c r="D1001">
        <v>0</v>
      </c>
      <c r="E1001" t="s">
        <v>4</v>
      </c>
      <c r="F1001" t="s">
        <v>45</v>
      </c>
      <c r="G1001" t="s">
        <v>5</v>
      </c>
    </row>
    <row r="1002" spans="1:7" x14ac:dyDescent="0.3">
      <c r="A1002" t="s">
        <v>20</v>
      </c>
      <c r="B1002" s="1">
        <v>45869</v>
      </c>
      <c r="C1002">
        <v>260004</v>
      </c>
      <c r="D1002">
        <v>-598.70699999999999</v>
      </c>
      <c r="E1002" t="s">
        <v>4</v>
      </c>
      <c r="F1002" t="s">
        <v>45</v>
      </c>
      <c r="G1002" t="s">
        <v>5</v>
      </c>
    </row>
    <row r="1003" spans="1:7" x14ac:dyDescent="0.3">
      <c r="A1003" t="s">
        <v>20</v>
      </c>
      <c r="B1003" s="1">
        <v>45869</v>
      </c>
      <c r="C1003">
        <v>270026</v>
      </c>
      <c r="D1003">
        <v>-2512.9560000000001</v>
      </c>
      <c r="E1003" t="s">
        <v>4</v>
      </c>
      <c r="F1003" t="s">
        <v>58</v>
      </c>
      <c r="G1003" t="s">
        <v>5</v>
      </c>
    </row>
    <row r="1004" spans="1:7" x14ac:dyDescent="0.3">
      <c r="A1004" t="s">
        <v>20</v>
      </c>
      <c r="B1004" s="1">
        <v>45869</v>
      </c>
      <c r="C1004">
        <v>270027</v>
      </c>
      <c r="D1004">
        <v>-567.43100000000004</v>
      </c>
      <c r="E1004" t="s">
        <v>4</v>
      </c>
      <c r="F1004" t="s">
        <v>58</v>
      </c>
      <c r="G1004" t="s">
        <v>5</v>
      </c>
    </row>
    <row r="1005" spans="1:7" x14ac:dyDescent="0.3">
      <c r="A1005" t="s">
        <v>20</v>
      </c>
      <c r="B1005" s="1">
        <v>45869</v>
      </c>
      <c r="C1005">
        <v>300008</v>
      </c>
      <c r="D1005">
        <v>239.81399999999999</v>
      </c>
      <c r="E1005" t="s">
        <v>4</v>
      </c>
      <c r="F1005" t="s">
        <v>65</v>
      </c>
      <c r="G1005" t="s">
        <v>5</v>
      </c>
    </row>
    <row r="1006" spans="1:7" x14ac:dyDescent="0.3">
      <c r="A1006" t="s">
        <v>20</v>
      </c>
      <c r="B1006" s="1">
        <v>45869</v>
      </c>
      <c r="C1006">
        <v>300508</v>
      </c>
      <c r="D1006">
        <v>-239.81399999999999</v>
      </c>
      <c r="E1006" t="s">
        <v>4</v>
      </c>
      <c r="F1006" t="s">
        <v>65</v>
      </c>
      <c r="G1006" t="s">
        <v>5</v>
      </c>
    </row>
    <row r="1007" spans="1:7" x14ac:dyDescent="0.3">
      <c r="A1007" t="s">
        <v>20</v>
      </c>
      <c r="B1007" s="1">
        <v>45869</v>
      </c>
      <c r="C1007">
        <v>320003</v>
      </c>
      <c r="D1007">
        <v>14829.45</v>
      </c>
      <c r="E1007" t="s">
        <v>4</v>
      </c>
      <c r="F1007" t="s">
        <v>46</v>
      </c>
      <c r="G1007" t="s">
        <v>5</v>
      </c>
    </row>
    <row r="1008" spans="1:7" x14ac:dyDescent="0.3">
      <c r="A1008" t="s">
        <v>20</v>
      </c>
      <c r="B1008" s="1">
        <v>45869</v>
      </c>
      <c r="C1008">
        <v>320004</v>
      </c>
      <c r="D1008">
        <v>489.58199999999999</v>
      </c>
      <c r="E1008" t="s">
        <v>4</v>
      </c>
      <c r="F1008" t="s">
        <v>46</v>
      </c>
      <c r="G1008" t="s">
        <v>5</v>
      </c>
    </row>
    <row r="1009" spans="1:7" x14ac:dyDescent="0.3">
      <c r="A1009" t="s">
        <v>20</v>
      </c>
      <c r="B1009" s="1">
        <v>45869</v>
      </c>
      <c r="C1009">
        <v>321002</v>
      </c>
      <c r="D1009">
        <v>1546.4290000000001</v>
      </c>
      <c r="E1009" t="s">
        <v>4</v>
      </c>
      <c r="F1009" t="s">
        <v>46</v>
      </c>
      <c r="G1009" t="s">
        <v>5</v>
      </c>
    </row>
    <row r="1010" spans="1:7" x14ac:dyDescent="0.3">
      <c r="A1010" t="s">
        <v>20</v>
      </c>
      <c r="B1010" s="1">
        <v>45869</v>
      </c>
      <c r="C1010">
        <v>340261</v>
      </c>
      <c r="D1010">
        <v>42691.531000000003</v>
      </c>
      <c r="E1010" t="s">
        <v>4</v>
      </c>
      <c r="F1010" t="s">
        <v>47</v>
      </c>
      <c r="G1010" t="s">
        <v>5</v>
      </c>
    </row>
    <row r="1011" spans="1:7" x14ac:dyDescent="0.3">
      <c r="A1011" t="s">
        <v>20</v>
      </c>
      <c r="B1011" s="1">
        <v>45869</v>
      </c>
      <c r="C1011">
        <v>354012</v>
      </c>
      <c r="D1011">
        <v>23159.52</v>
      </c>
      <c r="E1011" t="s">
        <v>4</v>
      </c>
      <c r="F1011" t="s">
        <v>46</v>
      </c>
      <c r="G1011" t="s">
        <v>5</v>
      </c>
    </row>
    <row r="1012" spans="1:7" x14ac:dyDescent="0.3">
      <c r="A1012" t="s">
        <v>20</v>
      </c>
      <c r="B1012" s="1">
        <v>45869</v>
      </c>
      <c r="C1012">
        <v>354014</v>
      </c>
      <c r="D1012">
        <v>4815.8990000000003</v>
      </c>
      <c r="E1012" t="s">
        <v>4</v>
      </c>
      <c r="F1012" t="s">
        <v>46</v>
      </c>
      <c r="G1012" t="s">
        <v>5</v>
      </c>
    </row>
    <row r="1013" spans="1:7" x14ac:dyDescent="0.3">
      <c r="A1013" t="s">
        <v>20</v>
      </c>
      <c r="B1013" s="1">
        <v>45869</v>
      </c>
      <c r="C1013">
        <v>355002</v>
      </c>
      <c r="D1013">
        <v>12.406000000000001</v>
      </c>
      <c r="E1013" t="s">
        <v>4</v>
      </c>
      <c r="F1013" t="s">
        <v>49</v>
      </c>
      <c r="G1013" t="s">
        <v>5</v>
      </c>
    </row>
    <row r="1014" spans="1:7" x14ac:dyDescent="0.3">
      <c r="A1014" t="s">
        <v>20</v>
      </c>
      <c r="B1014" s="1">
        <v>45869</v>
      </c>
      <c r="C1014">
        <v>355013</v>
      </c>
      <c r="D1014">
        <v>736.39499999999998</v>
      </c>
      <c r="E1014" t="s">
        <v>4</v>
      </c>
      <c r="F1014" t="s">
        <v>49</v>
      </c>
      <c r="G1014" t="s">
        <v>5</v>
      </c>
    </row>
    <row r="1015" spans="1:7" x14ac:dyDescent="0.3">
      <c r="A1015" t="s">
        <v>20</v>
      </c>
      <c r="B1015" s="1">
        <v>45869</v>
      </c>
      <c r="C1015">
        <v>355014</v>
      </c>
      <c r="D1015">
        <v>23.288</v>
      </c>
      <c r="E1015" t="s">
        <v>4</v>
      </c>
      <c r="F1015" t="s">
        <v>49</v>
      </c>
      <c r="G1015" t="s">
        <v>5</v>
      </c>
    </row>
    <row r="1016" spans="1:7" x14ac:dyDescent="0.3">
      <c r="A1016" t="s">
        <v>20</v>
      </c>
      <c r="B1016" s="1">
        <v>45869</v>
      </c>
      <c r="C1016">
        <v>360028</v>
      </c>
      <c r="D1016">
        <v>136.15799999999999</v>
      </c>
      <c r="E1016" t="s">
        <v>4</v>
      </c>
      <c r="F1016" t="s">
        <v>58</v>
      </c>
      <c r="G1016" t="s">
        <v>5</v>
      </c>
    </row>
    <row r="1017" spans="1:7" x14ac:dyDescent="0.3">
      <c r="A1017" t="s">
        <v>20</v>
      </c>
      <c r="B1017" s="1">
        <v>45869</v>
      </c>
      <c r="C1017">
        <v>360030</v>
      </c>
      <c r="D1017">
        <v>951.81100000000004</v>
      </c>
      <c r="E1017" t="s">
        <v>4</v>
      </c>
      <c r="F1017" t="s">
        <v>58</v>
      </c>
      <c r="G1017" t="s">
        <v>5</v>
      </c>
    </row>
    <row r="1018" spans="1:7" x14ac:dyDescent="0.3">
      <c r="A1018" t="s">
        <v>20</v>
      </c>
      <c r="B1018" s="1">
        <v>45869</v>
      </c>
      <c r="C1018">
        <v>360032</v>
      </c>
      <c r="D1018">
        <v>809.06399999999996</v>
      </c>
      <c r="E1018" t="s">
        <v>4</v>
      </c>
      <c r="F1018" t="s">
        <v>58</v>
      </c>
      <c r="G1018" t="s">
        <v>5</v>
      </c>
    </row>
    <row r="1019" spans="1:7" x14ac:dyDescent="0.3">
      <c r="A1019" t="s">
        <v>20</v>
      </c>
      <c r="B1019" s="1">
        <v>45869</v>
      </c>
      <c r="C1019">
        <v>410002</v>
      </c>
      <c r="D1019">
        <v>-1545.8209999999999</v>
      </c>
      <c r="E1019" t="s">
        <v>6</v>
      </c>
      <c r="F1019" t="s">
        <v>51</v>
      </c>
      <c r="G1019" t="s">
        <v>5</v>
      </c>
    </row>
    <row r="1020" spans="1:7" x14ac:dyDescent="0.3">
      <c r="A1020" t="s">
        <v>20</v>
      </c>
      <c r="B1020" s="1">
        <v>45869</v>
      </c>
      <c r="C1020">
        <v>415002</v>
      </c>
      <c r="D1020">
        <v>251.12200000000001</v>
      </c>
      <c r="E1020" t="s">
        <v>6</v>
      </c>
      <c r="F1020" t="s">
        <v>50</v>
      </c>
      <c r="G1020" t="s">
        <v>5</v>
      </c>
    </row>
    <row r="1021" spans="1:7" x14ac:dyDescent="0.3">
      <c r="A1021" t="s">
        <v>20</v>
      </c>
      <c r="B1021" s="1">
        <v>45869</v>
      </c>
      <c r="C1021">
        <v>415004</v>
      </c>
      <c r="D1021">
        <v>-36068.207000000002</v>
      </c>
      <c r="E1021" t="s">
        <v>6</v>
      </c>
      <c r="F1021" t="s">
        <v>50</v>
      </c>
      <c r="G1021" t="s">
        <v>5</v>
      </c>
    </row>
    <row r="1022" spans="1:7" x14ac:dyDescent="0.3">
      <c r="A1022" t="s">
        <v>20</v>
      </c>
      <c r="B1022" s="1">
        <v>45869</v>
      </c>
      <c r="C1022">
        <v>421003</v>
      </c>
      <c r="D1022">
        <v>2.5150000000000001</v>
      </c>
      <c r="E1022" t="s">
        <v>6</v>
      </c>
      <c r="F1022" t="s">
        <v>52</v>
      </c>
      <c r="G1022" t="s">
        <v>5</v>
      </c>
    </row>
    <row r="1023" spans="1:7" x14ac:dyDescent="0.3">
      <c r="A1023" t="s">
        <v>20</v>
      </c>
      <c r="B1023" s="1">
        <v>45869</v>
      </c>
      <c r="C1023">
        <v>421007</v>
      </c>
      <c r="D1023">
        <v>-460.44600000000003</v>
      </c>
      <c r="E1023" t="s">
        <v>6</v>
      </c>
      <c r="F1023" t="s">
        <v>52</v>
      </c>
      <c r="G1023" t="s">
        <v>5</v>
      </c>
    </row>
    <row r="1024" spans="1:7" x14ac:dyDescent="0.3">
      <c r="A1024" t="s">
        <v>20</v>
      </c>
      <c r="B1024" s="1">
        <v>45869</v>
      </c>
      <c r="C1024">
        <v>546002</v>
      </c>
      <c r="D1024">
        <v>30657.975999999999</v>
      </c>
      <c r="E1024" t="s">
        <v>6</v>
      </c>
      <c r="F1024" t="s">
        <v>51</v>
      </c>
      <c r="G1024" t="s">
        <v>5</v>
      </c>
    </row>
    <row r="1025" spans="1:7" x14ac:dyDescent="0.3">
      <c r="A1025" t="s">
        <v>20</v>
      </c>
      <c r="B1025" s="1">
        <v>45869</v>
      </c>
      <c r="C1025">
        <v>546005</v>
      </c>
      <c r="D1025">
        <v>221.267</v>
      </c>
      <c r="E1025" t="s">
        <v>6</v>
      </c>
      <c r="F1025" t="s">
        <v>51</v>
      </c>
      <c r="G1025" t="s">
        <v>5</v>
      </c>
    </row>
    <row r="1026" spans="1:7" x14ac:dyDescent="0.3">
      <c r="A1026" t="s">
        <v>20</v>
      </c>
      <c r="B1026" s="1">
        <v>45869</v>
      </c>
      <c r="C1026">
        <v>556004</v>
      </c>
      <c r="D1026">
        <v>2.9209999999999998</v>
      </c>
      <c r="E1026" t="s">
        <v>6</v>
      </c>
      <c r="F1026" t="s">
        <v>55</v>
      </c>
      <c r="G1026" t="s">
        <v>5</v>
      </c>
    </row>
    <row r="1027" spans="1:7" x14ac:dyDescent="0.3">
      <c r="A1027" t="s">
        <v>20</v>
      </c>
      <c r="B1027" s="1">
        <v>45869</v>
      </c>
      <c r="C1027">
        <v>557002</v>
      </c>
      <c r="D1027">
        <v>2074.5509999999999</v>
      </c>
      <c r="E1027" t="s">
        <v>6</v>
      </c>
      <c r="F1027" t="s">
        <v>56</v>
      </c>
      <c r="G1027" t="s">
        <v>5</v>
      </c>
    </row>
    <row r="1028" spans="1:7" x14ac:dyDescent="0.3">
      <c r="A1028" t="s">
        <v>20</v>
      </c>
      <c r="B1028" s="1">
        <v>45869</v>
      </c>
      <c r="C1028">
        <v>558006</v>
      </c>
      <c r="D1028">
        <v>18.617999999999999</v>
      </c>
      <c r="E1028" t="s">
        <v>6</v>
      </c>
      <c r="F1028" t="s">
        <v>57</v>
      </c>
      <c r="G1028" t="s">
        <v>5</v>
      </c>
    </row>
    <row r="1029" spans="1:7" x14ac:dyDescent="0.3">
      <c r="A1029" t="s">
        <v>20</v>
      </c>
      <c r="B1029" s="1">
        <v>45869</v>
      </c>
      <c r="C1029">
        <v>560008</v>
      </c>
      <c r="D1029">
        <v>57.87</v>
      </c>
      <c r="E1029" t="s">
        <v>6</v>
      </c>
      <c r="F1029" t="s">
        <v>56</v>
      </c>
      <c r="G1029" t="s">
        <v>5</v>
      </c>
    </row>
    <row r="1030" spans="1:7" x14ac:dyDescent="0.3">
      <c r="A1030" t="s">
        <v>20</v>
      </c>
      <c r="B1030" s="1">
        <v>45869</v>
      </c>
      <c r="C1030">
        <v>564006</v>
      </c>
      <c r="D1030">
        <v>1.2999999999999999E-2</v>
      </c>
      <c r="E1030" t="s">
        <v>6</v>
      </c>
      <c r="F1030" t="s">
        <v>57</v>
      </c>
      <c r="G1030" t="s">
        <v>5</v>
      </c>
    </row>
    <row r="1031" spans="1:7" x14ac:dyDescent="0.3">
      <c r="A1031" t="s">
        <v>20</v>
      </c>
      <c r="B1031" s="1">
        <v>45869</v>
      </c>
      <c r="C1031">
        <v>564020</v>
      </c>
      <c r="D1031">
        <v>8.3000000000000007</v>
      </c>
      <c r="E1031" t="s">
        <v>6</v>
      </c>
      <c r="F1031" t="s">
        <v>57</v>
      </c>
      <c r="G1031" t="s">
        <v>5</v>
      </c>
    </row>
    <row r="1032" spans="1:7" x14ac:dyDescent="0.3">
      <c r="A1032" t="s">
        <v>20</v>
      </c>
      <c r="B1032" s="1">
        <v>45869</v>
      </c>
      <c r="C1032">
        <v>580002</v>
      </c>
      <c r="D1032">
        <v>567.20799999999997</v>
      </c>
      <c r="E1032" t="s">
        <v>6</v>
      </c>
      <c r="F1032" t="s">
        <v>64</v>
      </c>
      <c r="G1032" t="s">
        <v>5</v>
      </c>
    </row>
    <row r="1033" spans="1:7" x14ac:dyDescent="0.3">
      <c r="A1033" t="s">
        <v>21</v>
      </c>
      <c r="B1033" s="1">
        <v>45869</v>
      </c>
      <c r="C1033">
        <v>210002</v>
      </c>
      <c r="D1033">
        <v>-302.83600000000001</v>
      </c>
      <c r="E1033" t="s">
        <v>4</v>
      </c>
      <c r="F1033" t="s">
        <v>42</v>
      </c>
      <c r="G1033" t="s">
        <v>7</v>
      </c>
    </row>
    <row r="1034" spans="1:7" x14ac:dyDescent="0.3">
      <c r="A1034" t="s">
        <v>21</v>
      </c>
      <c r="B1034" s="1">
        <v>45869</v>
      </c>
      <c r="C1034">
        <v>220006</v>
      </c>
      <c r="D1034">
        <v>10285.419</v>
      </c>
      <c r="E1034" t="s">
        <v>4</v>
      </c>
      <c r="F1034" t="s">
        <v>42</v>
      </c>
      <c r="G1034" t="s">
        <v>7</v>
      </c>
    </row>
    <row r="1035" spans="1:7" x14ac:dyDescent="0.3">
      <c r="A1035" t="s">
        <v>21</v>
      </c>
      <c r="B1035" s="1">
        <v>45869</v>
      </c>
      <c r="C1035">
        <v>242003</v>
      </c>
      <c r="D1035">
        <v>-21107.087</v>
      </c>
      <c r="E1035" t="s">
        <v>4</v>
      </c>
      <c r="F1035" t="s">
        <v>43</v>
      </c>
      <c r="G1035" t="s">
        <v>7</v>
      </c>
    </row>
    <row r="1036" spans="1:7" x14ac:dyDescent="0.3">
      <c r="A1036" t="s">
        <v>21</v>
      </c>
      <c r="B1036" s="1">
        <v>45869</v>
      </c>
      <c r="C1036">
        <v>242011</v>
      </c>
      <c r="D1036">
        <v>-17915.256000000001</v>
      </c>
      <c r="E1036" t="s">
        <v>4</v>
      </c>
      <c r="F1036" t="s">
        <v>43</v>
      </c>
      <c r="G1036" t="s">
        <v>7</v>
      </c>
    </row>
    <row r="1037" spans="1:7" x14ac:dyDescent="0.3">
      <c r="A1037" t="s">
        <v>21</v>
      </c>
      <c r="B1037" s="1">
        <v>45869</v>
      </c>
      <c r="C1037">
        <v>242012</v>
      </c>
      <c r="D1037">
        <v>-14986.634</v>
      </c>
      <c r="E1037" t="s">
        <v>4</v>
      </c>
      <c r="F1037" t="s">
        <v>43</v>
      </c>
      <c r="G1037" t="s">
        <v>7</v>
      </c>
    </row>
    <row r="1038" spans="1:7" x14ac:dyDescent="0.3">
      <c r="A1038" t="s">
        <v>21</v>
      </c>
      <c r="B1038" s="1">
        <v>45869</v>
      </c>
      <c r="C1038">
        <v>242014</v>
      </c>
      <c r="D1038">
        <v>-4607.4790000000003</v>
      </c>
      <c r="E1038" t="s">
        <v>4</v>
      </c>
      <c r="F1038" t="s">
        <v>43</v>
      </c>
      <c r="G1038" t="s">
        <v>7</v>
      </c>
    </row>
    <row r="1039" spans="1:7" x14ac:dyDescent="0.3">
      <c r="A1039" t="s">
        <v>21</v>
      </c>
      <c r="B1039" s="1">
        <v>45869</v>
      </c>
      <c r="C1039">
        <v>242030</v>
      </c>
      <c r="D1039">
        <v>-281.04599999999999</v>
      </c>
      <c r="E1039" t="s">
        <v>4</v>
      </c>
      <c r="F1039" t="s">
        <v>43</v>
      </c>
      <c r="G1039" t="s">
        <v>7</v>
      </c>
    </row>
    <row r="1040" spans="1:7" x14ac:dyDescent="0.3">
      <c r="A1040" t="s">
        <v>21</v>
      </c>
      <c r="B1040" s="1">
        <v>45869</v>
      </c>
      <c r="C1040">
        <v>242041</v>
      </c>
      <c r="D1040">
        <v>2218.0659999999998</v>
      </c>
      <c r="E1040" t="s">
        <v>4</v>
      </c>
      <c r="F1040" t="s">
        <v>43</v>
      </c>
      <c r="G1040" t="s">
        <v>7</v>
      </c>
    </row>
    <row r="1041" spans="1:7" x14ac:dyDescent="0.3">
      <c r="A1041" t="s">
        <v>21</v>
      </c>
      <c r="B1041" s="1">
        <v>45869</v>
      </c>
      <c r="C1041">
        <v>243002</v>
      </c>
      <c r="D1041">
        <v>-496.69900000000001</v>
      </c>
      <c r="E1041" t="s">
        <v>4</v>
      </c>
      <c r="F1041" t="s">
        <v>43</v>
      </c>
      <c r="G1041" t="s">
        <v>7</v>
      </c>
    </row>
    <row r="1042" spans="1:7" x14ac:dyDescent="0.3">
      <c r="A1042" t="s">
        <v>21</v>
      </c>
      <c r="B1042" s="1">
        <v>45869</v>
      </c>
      <c r="C1042">
        <v>245062</v>
      </c>
      <c r="D1042">
        <v>-17.940000000000001</v>
      </c>
      <c r="E1042" t="s">
        <v>4</v>
      </c>
      <c r="F1042" t="s">
        <v>43</v>
      </c>
      <c r="G1042" t="s">
        <v>7</v>
      </c>
    </row>
    <row r="1043" spans="1:7" x14ac:dyDescent="0.3">
      <c r="A1043" t="s">
        <v>21</v>
      </c>
      <c r="B1043" s="1">
        <v>45869</v>
      </c>
      <c r="C1043">
        <v>251002</v>
      </c>
      <c r="D1043">
        <v>-821.73400000000004</v>
      </c>
      <c r="E1043" t="s">
        <v>4</v>
      </c>
      <c r="F1043" t="s">
        <v>45</v>
      </c>
      <c r="G1043" t="s">
        <v>7</v>
      </c>
    </row>
    <row r="1044" spans="1:7" x14ac:dyDescent="0.3">
      <c r="A1044" t="s">
        <v>21</v>
      </c>
      <c r="B1044" s="1">
        <v>45869</v>
      </c>
      <c r="C1044">
        <v>251003</v>
      </c>
      <c r="D1044">
        <v>-41101.739000000001</v>
      </c>
      <c r="E1044" t="s">
        <v>4</v>
      </c>
      <c r="F1044" t="s">
        <v>45</v>
      </c>
      <c r="G1044" t="s">
        <v>7</v>
      </c>
    </row>
    <row r="1045" spans="1:7" x14ac:dyDescent="0.3">
      <c r="A1045" t="s">
        <v>21</v>
      </c>
      <c r="B1045" s="1">
        <v>45869</v>
      </c>
      <c r="C1045">
        <v>257008</v>
      </c>
      <c r="D1045">
        <v>-379.04700000000003</v>
      </c>
      <c r="E1045" t="s">
        <v>4</v>
      </c>
      <c r="F1045" t="s">
        <v>45</v>
      </c>
      <c r="G1045" t="s">
        <v>7</v>
      </c>
    </row>
    <row r="1046" spans="1:7" x14ac:dyDescent="0.3">
      <c r="A1046" t="s">
        <v>21</v>
      </c>
      <c r="B1046" s="1">
        <v>45869</v>
      </c>
      <c r="C1046">
        <v>257028</v>
      </c>
      <c r="D1046">
        <v>1363.9649999999999</v>
      </c>
      <c r="E1046" t="s">
        <v>4</v>
      </c>
      <c r="F1046" t="s">
        <v>45</v>
      </c>
      <c r="G1046" t="s">
        <v>7</v>
      </c>
    </row>
    <row r="1047" spans="1:7" x14ac:dyDescent="0.3">
      <c r="A1047" t="s">
        <v>21</v>
      </c>
      <c r="B1047" s="1">
        <v>45869</v>
      </c>
      <c r="C1047">
        <v>257030</v>
      </c>
      <c r="D1047">
        <v>-1022.599</v>
      </c>
      <c r="E1047" t="s">
        <v>4</v>
      </c>
      <c r="F1047" t="s">
        <v>45</v>
      </c>
      <c r="G1047" t="s">
        <v>7</v>
      </c>
    </row>
    <row r="1048" spans="1:7" x14ac:dyDescent="0.3">
      <c r="A1048" t="s">
        <v>21</v>
      </c>
      <c r="B1048" s="1">
        <v>45869</v>
      </c>
      <c r="C1048">
        <v>260004</v>
      </c>
      <c r="D1048">
        <v>-14630.147999999999</v>
      </c>
      <c r="E1048" t="s">
        <v>4</v>
      </c>
      <c r="F1048" t="s">
        <v>45</v>
      </c>
      <c r="G1048" t="s">
        <v>7</v>
      </c>
    </row>
    <row r="1049" spans="1:7" x14ac:dyDescent="0.3">
      <c r="A1049" t="s">
        <v>21</v>
      </c>
      <c r="B1049" s="1">
        <v>45869</v>
      </c>
      <c r="C1049">
        <v>270026</v>
      </c>
      <c r="D1049">
        <v>-4928.5209999999997</v>
      </c>
      <c r="E1049" t="s">
        <v>4</v>
      </c>
      <c r="F1049" t="s">
        <v>58</v>
      </c>
      <c r="G1049" t="s">
        <v>7</v>
      </c>
    </row>
    <row r="1050" spans="1:7" x14ac:dyDescent="0.3">
      <c r="A1050" t="s">
        <v>21</v>
      </c>
      <c r="B1050" s="1">
        <v>45869</v>
      </c>
      <c r="C1050">
        <v>270027</v>
      </c>
      <c r="D1050">
        <v>-943.04300000000001</v>
      </c>
      <c r="E1050" t="s">
        <v>4</v>
      </c>
      <c r="F1050" t="s">
        <v>58</v>
      </c>
      <c r="G1050" t="s">
        <v>7</v>
      </c>
    </row>
    <row r="1051" spans="1:7" x14ac:dyDescent="0.3">
      <c r="A1051" t="s">
        <v>21</v>
      </c>
      <c r="B1051" s="1">
        <v>45869</v>
      </c>
      <c r="C1051">
        <v>320003</v>
      </c>
      <c r="D1051">
        <v>15278.552</v>
      </c>
      <c r="E1051" t="s">
        <v>4</v>
      </c>
      <c r="F1051" t="s">
        <v>46</v>
      </c>
      <c r="G1051" t="s">
        <v>7</v>
      </c>
    </row>
    <row r="1052" spans="1:7" x14ac:dyDescent="0.3">
      <c r="A1052" t="s">
        <v>21</v>
      </c>
      <c r="B1052" s="1">
        <v>45869</v>
      </c>
      <c r="C1052">
        <v>320004</v>
      </c>
      <c r="D1052">
        <v>341.31</v>
      </c>
      <c r="E1052" t="s">
        <v>4</v>
      </c>
      <c r="F1052" t="s">
        <v>46</v>
      </c>
      <c r="G1052" t="s">
        <v>7</v>
      </c>
    </row>
    <row r="1053" spans="1:7" x14ac:dyDescent="0.3">
      <c r="A1053" t="s">
        <v>21</v>
      </c>
      <c r="B1053" s="1">
        <v>45869</v>
      </c>
      <c r="C1053">
        <v>321002</v>
      </c>
      <c r="D1053">
        <v>6668.3639999999996</v>
      </c>
      <c r="E1053" t="s">
        <v>4</v>
      </c>
      <c r="F1053" t="s">
        <v>46</v>
      </c>
      <c r="G1053" t="s">
        <v>7</v>
      </c>
    </row>
    <row r="1054" spans="1:7" x14ac:dyDescent="0.3">
      <c r="A1054" t="s">
        <v>21</v>
      </c>
      <c r="B1054" s="1">
        <v>45869</v>
      </c>
      <c r="C1054">
        <v>321010</v>
      </c>
      <c r="D1054">
        <v>12.444000000000001</v>
      </c>
      <c r="E1054" t="s">
        <v>4</v>
      </c>
      <c r="F1054" t="s">
        <v>46</v>
      </c>
      <c r="G1054" t="s">
        <v>7</v>
      </c>
    </row>
    <row r="1055" spans="1:7" x14ac:dyDescent="0.3">
      <c r="A1055" t="s">
        <v>21</v>
      </c>
      <c r="B1055" s="1">
        <v>45869</v>
      </c>
      <c r="C1055">
        <v>321012</v>
      </c>
      <c r="D1055">
        <v>4242.4279999999999</v>
      </c>
      <c r="E1055" t="s">
        <v>4</v>
      </c>
      <c r="F1055" t="s">
        <v>46</v>
      </c>
      <c r="G1055" t="s">
        <v>7</v>
      </c>
    </row>
    <row r="1056" spans="1:7" x14ac:dyDescent="0.3">
      <c r="A1056" t="s">
        <v>21</v>
      </c>
      <c r="B1056" s="1">
        <v>45869</v>
      </c>
      <c r="C1056">
        <v>321013</v>
      </c>
      <c r="D1056">
        <v>27.228999999999999</v>
      </c>
      <c r="E1056" t="s">
        <v>4</v>
      </c>
      <c r="F1056" t="s">
        <v>46</v>
      </c>
      <c r="G1056" t="s">
        <v>7</v>
      </c>
    </row>
    <row r="1057" spans="1:7" x14ac:dyDescent="0.3">
      <c r="A1057" t="s">
        <v>21</v>
      </c>
      <c r="B1057" s="1">
        <v>45869</v>
      </c>
      <c r="C1057">
        <v>321014</v>
      </c>
      <c r="D1057">
        <v>12.444000000000001</v>
      </c>
      <c r="E1057" t="s">
        <v>4</v>
      </c>
      <c r="F1057" t="s">
        <v>46</v>
      </c>
      <c r="G1057" t="s">
        <v>7</v>
      </c>
    </row>
    <row r="1058" spans="1:7" x14ac:dyDescent="0.3">
      <c r="A1058" t="s">
        <v>21</v>
      </c>
      <c r="B1058" s="1">
        <v>45869</v>
      </c>
      <c r="C1058">
        <v>321025</v>
      </c>
      <c r="D1058">
        <v>820.28099999999995</v>
      </c>
      <c r="E1058" t="s">
        <v>4</v>
      </c>
      <c r="F1058" t="s">
        <v>46</v>
      </c>
      <c r="G1058" t="s">
        <v>7</v>
      </c>
    </row>
    <row r="1059" spans="1:7" x14ac:dyDescent="0.3">
      <c r="A1059" t="s">
        <v>21</v>
      </c>
      <c r="B1059" s="1">
        <v>45869</v>
      </c>
      <c r="C1059">
        <v>321029</v>
      </c>
      <c r="D1059">
        <v>1201.845</v>
      </c>
      <c r="E1059" t="s">
        <v>4</v>
      </c>
      <c r="F1059" t="s">
        <v>46</v>
      </c>
      <c r="G1059" t="s">
        <v>7</v>
      </c>
    </row>
    <row r="1060" spans="1:7" x14ac:dyDescent="0.3">
      <c r="A1060" t="s">
        <v>21</v>
      </c>
      <c r="B1060" s="1">
        <v>45869</v>
      </c>
      <c r="C1060">
        <v>321031</v>
      </c>
      <c r="D1060">
        <v>1050.0709999999999</v>
      </c>
      <c r="E1060" t="s">
        <v>4</v>
      </c>
      <c r="F1060" t="s">
        <v>46</v>
      </c>
      <c r="G1060" t="s">
        <v>7</v>
      </c>
    </row>
    <row r="1061" spans="1:7" x14ac:dyDescent="0.3">
      <c r="A1061" t="s">
        <v>21</v>
      </c>
      <c r="B1061" s="1">
        <v>45869</v>
      </c>
      <c r="C1061">
        <v>340265</v>
      </c>
      <c r="D1061">
        <v>314942.14799999999</v>
      </c>
      <c r="E1061" t="s">
        <v>4</v>
      </c>
      <c r="F1061" t="s">
        <v>47</v>
      </c>
      <c r="G1061" t="s">
        <v>7</v>
      </c>
    </row>
    <row r="1062" spans="1:7" x14ac:dyDescent="0.3">
      <c r="A1062" t="s">
        <v>21</v>
      </c>
      <c r="B1062" s="1">
        <v>45869</v>
      </c>
      <c r="C1062">
        <v>340266</v>
      </c>
      <c r="D1062">
        <v>-274155.804</v>
      </c>
      <c r="E1062" t="s">
        <v>4</v>
      </c>
      <c r="F1062" t="s">
        <v>47</v>
      </c>
      <c r="G1062" t="s">
        <v>7</v>
      </c>
    </row>
    <row r="1063" spans="1:7" x14ac:dyDescent="0.3">
      <c r="A1063" t="s">
        <v>21</v>
      </c>
      <c r="B1063" s="1">
        <v>45869</v>
      </c>
      <c r="C1063">
        <v>352002</v>
      </c>
      <c r="D1063">
        <v>1453.6120000000001</v>
      </c>
      <c r="E1063" t="s">
        <v>4</v>
      </c>
      <c r="F1063" t="s">
        <v>48</v>
      </c>
      <c r="G1063" t="s">
        <v>7</v>
      </c>
    </row>
    <row r="1064" spans="1:7" x14ac:dyDescent="0.3">
      <c r="A1064" t="s">
        <v>21</v>
      </c>
      <c r="B1064" s="1">
        <v>45869</v>
      </c>
      <c r="C1064">
        <v>354012</v>
      </c>
      <c r="D1064">
        <v>7115.6270000000004</v>
      </c>
      <c r="E1064" t="s">
        <v>4</v>
      </c>
      <c r="F1064" t="s">
        <v>46</v>
      </c>
      <c r="G1064" t="s">
        <v>7</v>
      </c>
    </row>
    <row r="1065" spans="1:7" x14ac:dyDescent="0.3">
      <c r="A1065" t="s">
        <v>21</v>
      </c>
      <c r="B1065" s="1">
        <v>45869</v>
      </c>
      <c r="C1065">
        <v>354014</v>
      </c>
      <c r="D1065">
        <v>1460.3630000000001</v>
      </c>
      <c r="E1065" t="s">
        <v>4</v>
      </c>
      <c r="F1065" t="s">
        <v>46</v>
      </c>
      <c r="G1065" t="s">
        <v>7</v>
      </c>
    </row>
    <row r="1066" spans="1:7" x14ac:dyDescent="0.3">
      <c r="A1066" t="s">
        <v>21</v>
      </c>
      <c r="B1066" s="1">
        <v>45869</v>
      </c>
      <c r="C1066">
        <v>355002</v>
      </c>
      <c r="D1066">
        <v>623.84199999999998</v>
      </c>
      <c r="E1066" t="s">
        <v>4</v>
      </c>
      <c r="F1066" t="s">
        <v>49</v>
      </c>
      <c r="G1066" t="s">
        <v>7</v>
      </c>
    </row>
    <row r="1067" spans="1:7" x14ac:dyDescent="0.3">
      <c r="A1067" t="s">
        <v>21</v>
      </c>
      <c r="B1067" s="1">
        <v>45869</v>
      </c>
      <c r="C1067">
        <v>360028</v>
      </c>
      <c r="D1067">
        <v>4928.5209999999997</v>
      </c>
      <c r="E1067" t="s">
        <v>4</v>
      </c>
      <c r="F1067" t="s">
        <v>58</v>
      </c>
      <c r="G1067" t="s">
        <v>7</v>
      </c>
    </row>
    <row r="1068" spans="1:7" x14ac:dyDescent="0.3">
      <c r="A1068" t="s">
        <v>21</v>
      </c>
      <c r="B1068" s="1">
        <v>45869</v>
      </c>
      <c r="C1068">
        <v>360030</v>
      </c>
      <c r="D1068">
        <v>1360.7329999999999</v>
      </c>
      <c r="E1068" t="s">
        <v>4</v>
      </c>
      <c r="F1068" t="s">
        <v>58</v>
      </c>
      <c r="G1068" t="s">
        <v>7</v>
      </c>
    </row>
    <row r="1069" spans="1:7" x14ac:dyDescent="0.3">
      <c r="A1069" t="s">
        <v>21</v>
      </c>
      <c r="B1069" s="1">
        <v>45869</v>
      </c>
      <c r="C1069">
        <v>372004</v>
      </c>
      <c r="D1069">
        <v>5820.6549999999997</v>
      </c>
      <c r="E1069" t="s">
        <v>4</v>
      </c>
      <c r="F1069" t="s">
        <v>45</v>
      </c>
      <c r="G1069" t="s">
        <v>7</v>
      </c>
    </row>
    <row r="1070" spans="1:7" x14ac:dyDescent="0.3">
      <c r="A1070" t="s">
        <v>21</v>
      </c>
      <c r="B1070" s="1">
        <v>45869</v>
      </c>
      <c r="C1070">
        <v>410002</v>
      </c>
      <c r="D1070">
        <v>-7942.6779999999999</v>
      </c>
      <c r="E1070" t="s">
        <v>6</v>
      </c>
      <c r="F1070" t="s">
        <v>51</v>
      </c>
      <c r="G1070" t="s">
        <v>7</v>
      </c>
    </row>
    <row r="1071" spans="1:7" x14ac:dyDescent="0.3">
      <c r="A1071" t="s">
        <v>21</v>
      </c>
      <c r="B1071" s="1">
        <v>45869</v>
      </c>
      <c r="C1071">
        <v>410006</v>
      </c>
      <c r="D1071">
        <v>-44.65</v>
      </c>
      <c r="E1071" t="s">
        <v>6</v>
      </c>
      <c r="F1071" t="s">
        <v>51</v>
      </c>
      <c r="G1071" t="s">
        <v>7</v>
      </c>
    </row>
    <row r="1072" spans="1:7" x14ac:dyDescent="0.3">
      <c r="A1072" t="s">
        <v>21</v>
      </c>
      <c r="B1072" s="1">
        <v>45869</v>
      </c>
      <c r="C1072">
        <v>410032</v>
      </c>
      <c r="D1072">
        <v>-359.45299999999997</v>
      </c>
      <c r="E1072" t="s">
        <v>6</v>
      </c>
      <c r="F1072" t="s">
        <v>51</v>
      </c>
      <c r="G1072" t="s">
        <v>7</v>
      </c>
    </row>
    <row r="1073" spans="1:7" x14ac:dyDescent="0.3">
      <c r="A1073" t="s">
        <v>21</v>
      </c>
      <c r="B1073" s="1">
        <v>45869</v>
      </c>
      <c r="C1073">
        <v>410037</v>
      </c>
      <c r="D1073">
        <v>-4150.7209999999995</v>
      </c>
      <c r="E1073" t="s">
        <v>6</v>
      </c>
      <c r="F1073" t="s">
        <v>51</v>
      </c>
      <c r="G1073" t="s">
        <v>7</v>
      </c>
    </row>
    <row r="1074" spans="1:7" x14ac:dyDescent="0.3">
      <c r="A1074" t="s">
        <v>21</v>
      </c>
      <c r="B1074" s="1">
        <v>45869</v>
      </c>
      <c r="C1074">
        <v>410039</v>
      </c>
      <c r="D1074">
        <v>-610.26900000000001</v>
      </c>
      <c r="E1074" t="s">
        <v>6</v>
      </c>
      <c r="F1074" t="s">
        <v>51</v>
      </c>
      <c r="G1074" t="s">
        <v>7</v>
      </c>
    </row>
    <row r="1075" spans="1:7" x14ac:dyDescent="0.3">
      <c r="A1075" t="s">
        <v>21</v>
      </c>
      <c r="B1075" s="1">
        <v>45869</v>
      </c>
      <c r="C1075">
        <v>415002</v>
      </c>
      <c r="D1075">
        <v>-2548.5970000000002</v>
      </c>
      <c r="E1075" t="s">
        <v>6</v>
      </c>
      <c r="F1075" t="s">
        <v>50</v>
      </c>
      <c r="G1075" t="s">
        <v>7</v>
      </c>
    </row>
    <row r="1076" spans="1:7" x14ac:dyDescent="0.3">
      <c r="A1076" t="s">
        <v>21</v>
      </c>
      <c r="B1076" s="1">
        <v>45869</v>
      </c>
      <c r="C1076">
        <v>415004</v>
      </c>
      <c r="D1076">
        <v>-7002.4080000000004</v>
      </c>
      <c r="E1076" t="s">
        <v>6</v>
      </c>
      <c r="F1076" t="s">
        <v>50</v>
      </c>
      <c r="G1076" t="s">
        <v>7</v>
      </c>
    </row>
    <row r="1077" spans="1:7" x14ac:dyDescent="0.3">
      <c r="A1077" t="s">
        <v>21</v>
      </c>
      <c r="B1077" s="1">
        <v>45869</v>
      </c>
      <c r="C1077">
        <v>421002</v>
      </c>
      <c r="D1077">
        <v>235.60400000000001</v>
      </c>
      <c r="E1077" t="s">
        <v>6</v>
      </c>
      <c r="F1077" t="s">
        <v>52</v>
      </c>
      <c r="G1077" t="s">
        <v>7</v>
      </c>
    </row>
    <row r="1078" spans="1:7" x14ac:dyDescent="0.3">
      <c r="A1078" t="s">
        <v>21</v>
      </c>
      <c r="B1078" s="1">
        <v>45869</v>
      </c>
      <c r="C1078">
        <v>421003</v>
      </c>
      <c r="D1078">
        <v>1147.806</v>
      </c>
      <c r="E1078" t="s">
        <v>6</v>
      </c>
      <c r="F1078" t="s">
        <v>52</v>
      </c>
      <c r="G1078" t="s">
        <v>7</v>
      </c>
    </row>
    <row r="1079" spans="1:7" x14ac:dyDescent="0.3">
      <c r="A1079" t="s">
        <v>21</v>
      </c>
      <c r="B1079" s="1">
        <v>45869</v>
      </c>
      <c r="C1079">
        <v>421007</v>
      </c>
      <c r="D1079">
        <v>-596.67899999999997</v>
      </c>
      <c r="E1079" t="s">
        <v>6</v>
      </c>
      <c r="F1079" t="s">
        <v>52</v>
      </c>
      <c r="G1079" t="s">
        <v>7</v>
      </c>
    </row>
    <row r="1080" spans="1:7" x14ac:dyDescent="0.3">
      <c r="A1080" t="s">
        <v>21</v>
      </c>
      <c r="B1080" s="1">
        <v>45869</v>
      </c>
      <c r="C1080">
        <v>510002</v>
      </c>
      <c r="D1080">
        <v>15751.343999999999</v>
      </c>
      <c r="E1080" t="s">
        <v>6</v>
      </c>
      <c r="F1080" t="s">
        <v>53</v>
      </c>
      <c r="G1080" t="s">
        <v>7</v>
      </c>
    </row>
    <row r="1081" spans="1:7" x14ac:dyDescent="0.3">
      <c r="A1081" t="s">
        <v>21</v>
      </c>
      <c r="B1081" s="1">
        <v>45869</v>
      </c>
      <c r="C1081">
        <v>510007</v>
      </c>
      <c r="D1081">
        <v>1049.7629999999999</v>
      </c>
      <c r="E1081" t="s">
        <v>6</v>
      </c>
      <c r="F1081" t="s">
        <v>53</v>
      </c>
      <c r="G1081" t="s">
        <v>7</v>
      </c>
    </row>
    <row r="1082" spans="1:7" x14ac:dyDescent="0.3">
      <c r="A1082" t="s">
        <v>21</v>
      </c>
      <c r="B1082" s="1">
        <v>45869</v>
      </c>
      <c r="C1082">
        <v>510015</v>
      </c>
      <c r="D1082">
        <v>2948.3139999999999</v>
      </c>
      <c r="E1082" t="s">
        <v>6</v>
      </c>
      <c r="F1082" t="s">
        <v>53</v>
      </c>
      <c r="G1082" t="s">
        <v>7</v>
      </c>
    </row>
    <row r="1083" spans="1:7" x14ac:dyDescent="0.3">
      <c r="A1083" t="s">
        <v>21</v>
      </c>
      <c r="B1083" s="1">
        <v>45869</v>
      </c>
      <c r="C1083">
        <v>510018</v>
      </c>
      <c r="D1083">
        <v>112.542</v>
      </c>
      <c r="E1083" t="s">
        <v>6</v>
      </c>
      <c r="F1083" t="s">
        <v>53</v>
      </c>
      <c r="G1083" t="s">
        <v>7</v>
      </c>
    </row>
    <row r="1084" spans="1:7" x14ac:dyDescent="0.3">
      <c r="A1084" t="s">
        <v>21</v>
      </c>
      <c r="B1084" s="1">
        <v>45869</v>
      </c>
      <c r="C1084">
        <v>510062</v>
      </c>
      <c r="D1084">
        <v>587.44600000000003</v>
      </c>
      <c r="E1084" t="s">
        <v>6</v>
      </c>
      <c r="F1084" t="s">
        <v>53</v>
      </c>
      <c r="G1084" t="s">
        <v>7</v>
      </c>
    </row>
    <row r="1085" spans="1:7" x14ac:dyDescent="0.3">
      <c r="A1085" t="s">
        <v>21</v>
      </c>
      <c r="B1085" s="1">
        <v>45869</v>
      </c>
      <c r="C1085">
        <v>510065</v>
      </c>
      <c r="D1085">
        <v>26.686</v>
      </c>
      <c r="E1085" t="s">
        <v>6</v>
      </c>
      <c r="F1085" t="s">
        <v>53</v>
      </c>
      <c r="G1085" t="s">
        <v>7</v>
      </c>
    </row>
    <row r="1086" spans="1:7" x14ac:dyDescent="0.3">
      <c r="A1086" t="s">
        <v>21</v>
      </c>
      <c r="B1086" s="1">
        <v>45869</v>
      </c>
      <c r="C1086">
        <v>541010</v>
      </c>
      <c r="D1086">
        <v>195.01900000000001</v>
      </c>
      <c r="E1086" t="s">
        <v>6</v>
      </c>
      <c r="F1086" t="s">
        <v>61</v>
      </c>
      <c r="G1086" t="s">
        <v>7</v>
      </c>
    </row>
    <row r="1087" spans="1:7" x14ac:dyDescent="0.3">
      <c r="A1087" t="s">
        <v>21</v>
      </c>
      <c r="B1087" s="1">
        <v>45869</v>
      </c>
      <c r="C1087">
        <v>546002</v>
      </c>
      <c r="D1087">
        <v>6652.2879999999996</v>
      </c>
      <c r="E1087" t="s">
        <v>6</v>
      </c>
      <c r="F1087" t="s">
        <v>51</v>
      </c>
      <c r="G1087" t="s">
        <v>7</v>
      </c>
    </row>
    <row r="1088" spans="1:7" x14ac:dyDescent="0.3">
      <c r="A1088" t="s">
        <v>21</v>
      </c>
      <c r="B1088" s="1">
        <v>45869</v>
      </c>
      <c r="C1088">
        <v>546008</v>
      </c>
      <c r="D1088">
        <v>2360.5610000000001</v>
      </c>
      <c r="E1088" t="s">
        <v>6</v>
      </c>
      <c r="F1088" t="s">
        <v>51</v>
      </c>
      <c r="G1088" t="s">
        <v>7</v>
      </c>
    </row>
    <row r="1089" spans="1:7" x14ac:dyDescent="0.3">
      <c r="A1089" t="s">
        <v>21</v>
      </c>
      <c r="B1089" s="1">
        <v>45869</v>
      </c>
      <c r="C1089">
        <v>552502</v>
      </c>
      <c r="D1089">
        <v>2882.8290000000002</v>
      </c>
      <c r="E1089" t="s">
        <v>6</v>
      </c>
      <c r="F1089" t="s">
        <v>55</v>
      </c>
      <c r="G1089" t="s">
        <v>7</v>
      </c>
    </row>
    <row r="1090" spans="1:7" x14ac:dyDescent="0.3">
      <c r="A1090" t="s">
        <v>21</v>
      </c>
      <c r="B1090" s="1">
        <v>45869</v>
      </c>
      <c r="C1090">
        <v>555508</v>
      </c>
      <c r="D1090">
        <v>214.25399999999999</v>
      </c>
      <c r="E1090" t="s">
        <v>6</v>
      </c>
      <c r="F1090" t="s">
        <v>55</v>
      </c>
      <c r="G1090" t="s">
        <v>7</v>
      </c>
    </row>
    <row r="1091" spans="1:7" x14ac:dyDescent="0.3">
      <c r="A1091" t="s">
        <v>21</v>
      </c>
      <c r="B1091" s="1">
        <v>45869</v>
      </c>
      <c r="C1091">
        <v>557002</v>
      </c>
      <c r="D1091">
        <v>4018.799</v>
      </c>
      <c r="E1091" t="s">
        <v>6</v>
      </c>
      <c r="F1091" t="s">
        <v>56</v>
      </c>
      <c r="G1091" t="s">
        <v>7</v>
      </c>
    </row>
    <row r="1092" spans="1:7" x14ac:dyDescent="0.3">
      <c r="A1092" t="s">
        <v>21</v>
      </c>
      <c r="B1092" s="1">
        <v>45869</v>
      </c>
      <c r="C1092">
        <v>558003</v>
      </c>
      <c r="D1092">
        <v>126.124</v>
      </c>
      <c r="E1092" t="s">
        <v>6</v>
      </c>
      <c r="F1092" t="s">
        <v>57</v>
      </c>
      <c r="G1092" t="s">
        <v>7</v>
      </c>
    </row>
    <row r="1093" spans="1:7" x14ac:dyDescent="0.3">
      <c r="A1093" t="s">
        <v>21</v>
      </c>
      <c r="B1093" s="1">
        <v>45869</v>
      </c>
      <c r="C1093">
        <v>564004</v>
      </c>
      <c r="D1093">
        <v>297.03300000000002</v>
      </c>
      <c r="E1093" t="s">
        <v>6</v>
      </c>
      <c r="F1093" t="s">
        <v>51</v>
      </c>
      <c r="G1093" t="s">
        <v>7</v>
      </c>
    </row>
    <row r="1094" spans="1:7" x14ac:dyDescent="0.3">
      <c r="A1094" t="s">
        <v>21</v>
      </c>
      <c r="B1094" s="1">
        <v>45869</v>
      </c>
      <c r="C1094">
        <v>564006</v>
      </c>
      <c r="D1094">
        <v>6.0000000000000001E-3</v>
      </c>
      <c r="E1094" t="s">
        <v>6</v>
      </c>
      <c r="F1094" t="s">
        <v>57</v>
      </c>
      <c r="G1094" t="s">
        <v>7</v>
      </c>
    </row>
    <row r="1095" spans="1:7" x14ac:dyDescent="0.3">
      <c r="A1095" t="s">
        <v>21</v>
      </c>
      <c r="B1095" s="1">
        <v>45869</v>
      </c>
      <c r="C1095">
        <v>564020</v>
      </c>
      <c r="D1095">
        <v>45.396000000000001</v>
      </c>
      <c r="E1095" t="s">
        <v>6</v>
      </c>
      <c r="F1095" t="s">
        <v>57</v>
      </c>
      <c r="G1095" t="s">
        <v>7</v>
      </c>
    </row>
    <row r="1096" spans="1:7" x14ac:dyDescent="0.3">
      <c r="A1096" t="s">
        <v>21</v>
      </c>
      <c r="B1096" s="1">
        <v>45869</v>
      </c>
      <c r="C1096">
        <v>580002</v>
      </c>
      <c r="D1096">
        <v>935.13</v>
      </c>
      <c r="E1096" t="s">
        <v>6</v>
      </c>
      <c r="F1096" t="s">
        <v>64</v>
      </c>
      <c r="G1096" t="s">
        <v>7</v>
      </c>
    </row>
    <row r="1097" spans="1:7" x14ac:dyDescent="0.3">
      <c r="A1097" t="s">
        <v>22</v>
      </c>
      <c r="B1097" s="1">
        <v>45869</v>
      </c>
      <c r="C1097">
        <v>220006</v>
      </c>
      <c r="D1097">
        <v>-64800.588000000003</v>
      </c>
      <c r="E1097" t="s">
        <v>4</v>
      </c>
      <c r="F1097" t="s">
        <v>42</v>
      </c>
      <c r="G1097" t="s">
        <v>8</v>
      </c>
    </row>
    <row r="1098" spans="1:7" x14ac:dyDescent="0.3">
      <c r="A1098" t="s">
        <v>22</v>
      </c>
      <c r="B1098" s="1">
        <v>45869</v>
      </c>
      <c r="C1098">
        <v>242003</v>
      </c>
      <c r="D1098">
        <v>-130646.833</v>
      </c>
      <c r="E1098" t="s">
        <v>4</v>
      </c>
      <c r="F1098" t="s">
        <v>43</v>
      </c>
      <c r="G1098" t="s">
        <v>8</v>
      </c>
    </row>
    <row r="1099" spans="1:7" x14ac:dyDescent="0.3">
      <c r="A1099" t="s">
        <v>22</v>
      </c>
      <c r="B1099" s="1">
        <v>45869</v>
      </c>
      <c r="C1099">
        <v>242011</v>
      </c>
      <c r="D1099">
        <v>-94.293000000000006</v>
      </c>
      <c r="E1099" t="s">
        <v>4</v>
      </c>
      <c r="F1099" t="s">
        <v>43</v>
      </c>
      <c r="G1099" t="s">
        <v>8</v>
      </c>
    </row>
    <row r="1100" spans="1:7" x14ac:dyDescent="0.3">
      <c r="A1100" t="s">
        <v>22</v>
      </c>
      <c r="B1100" s="1">
        <v>45869</v>
      </c>
      <c r="C1100">
        <v>242016</v>
      </c>
      <c r="D1100">
        <v>-8410.3439999999991</v>
      </c>
      <c r="E1100" t="s">
        <v>4</v>
      </c>
      <c r="F1100" t="s">
        <v>43</v>
      </c>
      <c r="G1100" t="s">
        <v>8</v>
      </c>
    </row>
    <row r="1101" spans="1:7" x14ac:dyDescent="0.3">
      <c r="A1101" t="s">
        <v>22</v>
      </c>
      <c r="B1101" s="1">
        <v>45869</v>
      </c>
      <c r="C1101">
        <v>242030</v>
      </c>
      <c r="D1101">
        <v>-110.923</v>
      </c>
      <c r="E1101" t="s">
        <v>4</v>
      </c>
      <c r="F1101" t="s">
        <v>43</v>
      </c>
      <c r="G1101" t="s">
        <v>8</v>
      </c>
    </row>
    <row r="1102" spans="1:7" x14ac:dyDescent="0.3">
      <c r="A1102" t="s">
        <v>22</v>
      </c>
      <c r="B1102" s="1">
        <v>45869</v>
      </c>
      <c r="C1102">
        <v>242039</v>
      </c>
      <c r="D1102">
        <v>97.701999999999998</v>
      </c>
      <c r="E1102" t="s">
        <v>4</v>
      </c>
      <c r="F1102" t="s">
        <v>43</v>
      </c>
      <c r="G1102" t="s">
        <v>8</v>
      </c>
    </row>
    <row r="1103" spans="1:7" x14ac:dyDescent="0.3">
      <c r="A1103" t="s">
        <v>22</v>
      </c>
      <c r="B1103" s="1">
        <v>45869</v>
      </c>
      <c r="C1103">
        <v>242040</v>
      </c>
      <c r="D1103">
        <v>-565.55600000000004</v>
      </c>
      <c r="E1103" t="s">
        <v>4</v>
      </c>
      <c r="F1103" t="s">
        <v>43</v>
      </c>
      <c r="G1103" t="s">
        <v>8</v>
      </c>
    </row>
    <row r="1104" spans="1:7" x14ac:dyDescent="0.3">
      <c r="A1104" t="s">
        <v>22</v>
      </c>
      <c r="B1104" s="1">
        <v>45869</v>
      </c>
      <c r="C1104">
        <v>242041</v>
      </c>
      <c r="D1104">
        <v>-45.542000000000002</v>
      </c>
      <c r="E1104" t="s">
        <v>4</v>
      </c>
      <c r="F1104" t="s">
        <v>43</v>
      </c>
      <c r="G1104" t="s">
        <v>8</v>
      </c>
    </row>
    <row r="1105" spans="1:7" x14ac:dyDescent="0.3">
      <c r="A1105" t="s">
        <v>22</v>
      </c>
      <c r="B1105" s="1">
        <v>45869</v>
      </c>
      <c r="C1105">
        <v>243002</v>
      </c>
      <c r="D1105">
        <v>-2166.3029999999999</v>
      </c>
      <c r="E1105" t="s">
        <v>4</v>
      </c>
      <c r="F1105" t="s">
        <v>43</v>
      </c>
      <c r="G1105" t="s">
        <v>8</v>
      </c>
    </row>
    <row r="1106" spans="1:7" x14ac:dyDescent="0.3">
      <c r="A1106" t="s">
        <v>22</v>
      </c>
      <c r="B1106" s="1">
        <v>45869</v>
      </c>
      <c r="C1106">
        <v>243003</v>
      </c>
      <c r="D1106">
        <v>-6597.04</v>
      </c>
      <c r="E1106" t="s">
        <v>4</v>
      </c>
      <c r="F1106" t="s">
        <v>43</v>
      </c>
      <c r="G1106" t="s">
        <v>8</v>
      </c>
    </row>
    <row r="1107" spans="1:7" x14ac:dyDescent="0.3">
      <c r="A1107" t="s">
        <v>22</v>
      </c>
      <c r="B1107" s="1">
        <v>45869</v>
      </c>
      <c r="C1107">
        <v>243010</v>
      </c>
      <c r="D1107">
        <v>-362.61200000000002</v>
      </c>
      <c r="E1107" t="s">
        <v>4</v>
      </c>
      <c r="F1107" t="s">
        <v>43</v>
      </c>
      <c r="G1107" t="s">
        <v>8</v>
      </c>
    </row>
    <row r="1108" spans="1:7" x14ac:dyDescent="0.3">
      <c r="A1108" t="s">
        <v>22</v>
      </c>
      <c r="B1108" s="1">
        <v>45869</v>
      </c>
      <c r="C1108">
        <v>245056</v>
      </c>
      <c r="D1108">
        <v>-557.18200000000002</v>
      </c>
      <c r="E1108" t="s">
        <v>4</v>
      </c>
      <c r="F1108" t="s">
        <v>49</v>
      </c>
      <c r="G1108" t="s">
        <v>8</v>
      </c>
    </row>
    <row r="1109" spans="1:7" x14ac:dyDescent="0.3">
      <c r="A1109" t="s">
        <v>22</v>
      </c>
      <c r="B1109" s="1">
        <v>45869</v>
      </c>
      <c r="C1109">
        <v>245057</v>
      </c>
      <c r="D1109">
        <v>-638.50400000000002</v>
      </c>
      <c r="E1109" t="s">
        <v>4</v>
      </c>
      <c r="F1109" t="s">
        <v>43</v>
      </c>
      <c r="G1109" t="s">
        <v>8</v>
      </c>
    </row>
    <row r="1110" spans="1:7" x14ac:dyDescent="0.3">
      <c r="A1110" t="s">
        <v>22</v>
      </c>
      <c r="B1110" s="1">
        <v>45869</v>
      </c>
      <c r="C1110">
        <v>245062</v>
      </c>
      <c r="D1110">
        <v>-850.72900000000004</v>
      </c>
      <c r="E1110" t="s">
        <v>4</v>
      </c>
      <c r="F1110" t="s">
        <v>43</v>
      </c>
      <c r="G1110" t="s">
        <v>8</v>
      </c>
    </row>
    <row r="1111" spans="1:7" x14ac:dyDescent="0.3">
      <c r="A1111" t="s">
        <v>22</v>
      </c>
      <c r="B1111" s="1">
        <v>45869</v>
      </c>
      <c r="C1111">
        <v>257030</v>
      </c>
      <c r="D1111">
        <v>-4163.8389999999999</v>
      </c>
      <c r="E1111" t="s">
        <v>4</v>
      </c>
      <c r="F1111" t="s">
        <v>45</v>
      </c>
      <c r="G1111" t="s">
        <v>8</v>
      </c>
    </row>
    <row r="1112" spans="1:7" x14ac:dyDescent="0.3">
      <c r="A1112" t="s">
        <v>22</v>
      </c>
      <c r="B1112" s="1">
        <v>45869</v>
      </c>
      <c r="C1112">
        <v>260004</v>
      </c>
      <c r="D1112">
        <v>-6898.8559999999998</v>
      </c>
      <c r="E1112" t="s">
        <v>4</v>
      </c>
      <c r="F1112" t="s">
        <v>45</v>
      </c>
      <c r="G1112" t="s">
        <v>8</v>
      </c>
    </row>
    <row r="1113" spans="1:7" x14ac:dyDescent="0.3">
      <c r="A1113" t="s">
        <v>22</v>
      </c>
      <c r="B1113" s="1">
        <v>45869</v>
      </c>
      <c r="C1113">
        <v>270024</v>
      </c>
      <c r="D1113">
        <v>-13255.163</v>
      </c>
      <c r="E1113" t="s">
        <v>4</v>
      </c>
      <c r="F1113" t="s">
        <v>58</v>
      </c>
      <c r="G1113" t="s">
        <v>8</v>
      </c>
    </row>
    <row r="1114" spans="1:7" x14ac:dyDescent="0.3">
      <c r="A1114" t="s">
        <v>22</v>
      </c>
      <c r="B1114" s="1">
        <v>45869</v>
      </c>
      <c r="C1114">
        <v>270025</v>
      </c>
      <c r="D1114">
        <v>-1073.2760000000001</v>
      </c>
      <c r="E1114" t="s">
        <v>4</v>
      </c>
      <c r="F1114" t="s">
        <v>58</v>
      </c>
      <c r="G1114" t="s">
        <v>8</v>
      </c>
    </row>
    <row r="1115" spans="1:7" x14ac:dyDescent="0.3">
      <c r="A1115" t="s">
        <v>22</v>
      </c>
      <c r="B1115" s="1">
        <v>45869</v>
      </c>
      <c r="C1115">
        <v>270026</v>
      </c>
      <c r="D1115">
        <v>-379.74900000000002</v>
      </c>
      <c r="E1115" t="s">
        <v>4</v>
      </c>
      <c r="F1115" t="s">
        <v>58</v>
      </c>
      <c r="G1115" t="s">
        <v>8</v>
      </c>
    </row>
    <row r="1116" spans="1:7" x14ac:dyDescent="0.3">
      <c r="A1116" t="s">
        <v>22</v>
      </c>
      <c r="B1116" s="1">
        <v>45869</v>
      </c>
      <c r="C1116">
        <v>320002</v>
      </c>
      <c r="D1116">
        <v>52756.453000000001</v>
      </c>
      <c r="E1116" t="s">
        <v>4</v>
      </c>
      <c r="F1116" t="s">
        <v>46</v>
      </c>
      <c r="G1116" t="s">
        <v>8</v>
      </c>
    </row>
    <row r="1117" spans="1:7" x14ac:dyDescent="0.3">
      <c r="A1117" t="s">
        <v>22</v>
      </c>
      <c r="B1117" s="1">
        <v>45869</v>
      </c>
      <c r="C1117">
        <v>321002</v>
      </c>
      <c r="D1117">
        <v>28143.976999999999</v>
      </c>
      <c r="E1117" t="s">
        <v>4</v>
      </c>
      <c r="F1117" t="s">
        <v>46</v>
      </c>
      <c r="G1117" t="s">
        <v>8</v>
      </c>
    </row>
    <row r="1118" spans="1:7" x14ac:dyDescent="0.3">
      <c r="A1118" t="s">
        <v>22</v>
      </c>
      <c r="B1118" s="1">
        <v>45869</v>
      </c>
      <c r="C1118">
        <v>330116</v>
      </c>
      <c r="D1118">
        <v>1976.7360000000001</v>
      </c>
      <c r="E1118" t="s">
        <v>4</v>
      </c>
      <c r="F1118" t="s">
        <v>43</v>
      </c>
      <c r="G1118" t="s">
        <v>8</v>
      </c>
    </row>
    <row r="1119" spans="1:7" x14ac:dyDescent="0.3">
      <c r="A1119" t="s">
        <v>22</v>
      </c>
      <c r="B1119" s="1">
        <v>45869</v>
      </c>
      <c r="C1119">
        <v>330137</v>
      </c>
      <c r="D1119">
        <v>-5398.2969999999996</v>
      </c>
      <c r="E1119" t="s">
        <v>4</v>
      </c>
      <c r="F1119" t="s">
        <v>43</v>
      </c>
      <c r="G1119" t="s">
        <v>8</v>
      </c>
    </row>
    <row r="1120" spans="1:7" x14ac:dyDescent="0.3">
      <c r="A1120" t="s">
        <v>22</v>
      </c>
      <c r="B1120" s="1">
        <v>45869</v>
      </c>
      <c r="C1120">
        <v>340208</v>
      </c>
      <c r="D1120">
        <v>113209.048</v>
      </c>
      <c r="E1120" t="s">
        <v>4</v>
      </c>
      <c r="F1120" t="s">
        <v>47</v>
      </c>
      <c r="G1120" t="s">
        <v>8</v>
      </c>
    </row>
    <row r="1121" spans="1:7" x14ac:dyDescent="0.3">
      <c r="A1121" t="s">
        <v>22</v>
      </c>
      <c r="B1121" s="1">
        <v>45869</v>
      </c>
      <c r="C1121">
        <v>350002</v>
      </c>
      <c r="D1121">
        <v>5398.2969999999996</v>
      </c>
      <c r="E1121" t="s">
        <v>4</v>
      </c>
      <c r="F1121" t="s">
        <v>49</v>
      </c>
      <c r="G1121" t="s">
        <v>8</v>
      </c>
    </row>
    <row r="1122" spans="1:7" x14ac:dyDescent="0.3">
      <c r="A1122" t="s">
        <v>22</v>
      </c>
      <c r="B1122" s="1">
        <v>45869</v>
      </c>
      <c r="C1122">
        <v>350003</v>
      </c>
      <c r="D1122">
        <v>-2250.4299999999998</v>
      </c>
      <c r="E1122" t="s">
        <v>4</v>
      </c>
      <c r="F1122" t="s">
        <v>49</v>
      </c>
      <c r="G1122" t="s">
        <v>8</v>
      </c>
    </row>
    <row r="1123" spans="1:7" x14ac:dyDescent="0.3">
      <c r="A1123" t="s">
        <v>22</v>
      </c>
      <c r="B1123" s="1">
        <v>45869</v>
      </c>
      <c r="C1123">
        <v>350034</v>
      </c>
      <c r="D1123">
        <v>557.18200000000002</v>
      </c>
      <c r="E1123" t="s">
        <v>4</v>
      </c>
      <c r="F1123" t="s">
        <v>49</v>
      </c>
      <c r="G1123" t="s">
        <v>8</v>
      </c>
    </row>
    <row r="1124" spans="1:7" x14ac:dyDescent="0.3">
      <c r="A1124" t="s">
        <v>22</v>
      </c>
      <c r="B1124" s="1">
        <v>45869</v>
      </c>
      <c r="C1124">
        <v>354013</v>
      </c>
      <c r="D1124">
        <v>8490.4249999999993</v>
      </c>
      <c r="E1124" t="s">
        <v>4</v>
      </c>
      <c r="F1124" t="s">
        <v>46</v>
      </c>
      <c r="G1124" t="s">
        <v>8</v>
      </c>
    </row>
    <row r="1125" spans="1:7" x14ac:dyDescent="0.3">
      <c r="A1125" t="s">
        <v>22</v>
      </c>
      <c r="B1125" s="1">
        <v>45869</v>
      </c>
      <c r="C1125">
        <v>354015</v>
      </c>
      <c r="D1125">
        <v>2328.8240000000001</v>
      </c>
      <c r="E1125" t="s">
        <v>4</v>
      </c>
      <c r="F1125" t="s">
        <v>46</v>
      </c>
      <c r="G1125" t="s">
        <v>8</v>
      </c>
    </row>
    <row r="1126" spans="1:7" x14ac:dyDescent="0.3">
      <c r="A1126" t="s">
        <v>22</v>
      </c>
      <c r="B1126" s="1">
        <v>45869</v>
      </c>
      <c r="C1126">
        <v>355002</v>
      </c>
      <c r="D1126">
        <v>38.012999999999998</v>
      </c>
      <c r="E1126" t="s">
        <v>4</v>
      </c>
      <c r="F1126" t="s">
        <v>49</v>
      </c>
      <c r="G1126" t="s">
        <v>8</v>
      </c>
    </row>
    <row r="1127" spans="1:7" x14ac:dyDescent="0.3">
      <c r="A1127" t="s">
        <v>22</v>
      </c>
      <c r="B1127" s="1">
        <v>45869</v>
      </c>
      <c r="C1127">
        <v>360026</v>
      </c>
      <c r="D1127">
        <v>14985.9</v>
      </c>
      <c r="E1127" t="s">
        <v>4</v>
      </c>
      <c r="F1127" t="s">
        <v>58</v>
      </c>
      <c r="G1127" t="s">
        <v>8</v>
      </c>
    </row>
    <row r="1128" spans="1:7" x14ac:dyDescent="0.3">
      <c r="A1128" t="s">
        <v>22</v>
      </c>
      <c r="B1128" s="1">
        <v>45869</v>
      </c>
      <c r="C1128">
        <v>360028</v>
      </c>
      <c r="D1128">
        <v>14039.416999999999</v>
      </c>
      <c r="E1128" t="s">
        <v>4</v>
      </c>
      <c r="F1128" t="s">
        <v>58</v>
      </c>
      <c r="G1128" t="s">
        <v>8</v>
      </c>
    </row>
    <row r="1129" spans="1:7" x14ac:dyDescent="0.3">
      <c r="A1129" t="s">
        <v>22</v>
      </c>
      <c r="B1129" s="1">
        <v>45869</v>
      </c>
      <c r="C1129">
        <v>360032</v>
      </c>
      <c r="D1129">
        <v>433.53300000000002</v>
      </c>
      <c r="E1129" t="s">
        <v>4</v>
      </c>
      <c r="F1129" t="s">
        <v>58</v>
      </c>
      <c r="G1129" t="s">
        <v>8</v>
      </c>
    </row>
    <row r="1130" spans="1:7" x14ac:dyDescent="0.3">
      <c r="A1130" t="s">
        <v>22</v>
      </c>
      <c r="B1130" s="1">
        <v>45869</v>
      </c>
      <c r="C1130">
        <v>372004</v>
      </c>
      <c r="D1130">
        <v>1772.963</v>
      </c>
      <c r="E1130" t="s">
        <v>4</v>
      </c>
      <c r="F1130" t="s">
        <v>45</v>
      </c>
      <c r="G1130" t="s">
        <v>8</v>
      </c>
    </row>
    <row r="1131" spans="1:7" x14ac:dyDescent="0.3">
      <c r="A1131" t="s">
        <v>22</v>
      </c>
      <c r="B1131" s="1">
        <v>45869</v>
      </c>
      <c r="C1131">
        <v>400002</v>
      </c>
      <c r="D1131">
        <v>-27206.195</v>
      </c>
      <c r="E1131" t="s">
        <v>6</v>
      </c>
      <c r="F1131" t="s">
        <v>50</v>
      </c>
      <c r="G1131" t="s">
        <v>8</v>
      </c>
    </row>
    <row r="1132" spans="1:7" x14ac:dyDescent="0.3">
      <c r="A1132" t="s">
        <v>22</v>
      </c>
      <c r="B1132" s="1">
        <v>45869</v>
      </c>
      <c r="C1132">
        <v>400004</v>
      </c>
      <c r="D1132">
        <v>-68463.278000000006</v>
      </c>
      <c r="E1132" t="s">
        <v>6</v>
      </c>
      <c r="F1132" t="s">
        <v>50</v>
      </c>
      <c r="G1132" t="s">
        <v>8</v>
      </c>
    </row>
    <row r="1133" spans="1:7" x14ac:dyDescent="0.3">
      <c r="A1133" t="s">
        <v>22</v>
      </c>
      <c r="B1133" s="1">
        <v>45869</v>
      </c>
      <c r="C1133">
        <v>410002</v>
      </c>
      <c r="D1133">
        <v>-9728.5580000000009</v>
      </c>
      <c r="E1133" t="s">
        <v>6</v>
      </c>
      <c r="F1133" t="s">
        <v>51</v>
      </c>
      <c r="G1133" t="s">
        <v>8</v>
      </c>
    </row>
    <row r="1134" spans="1:7" x14ac:dyDescent="0.3">
      <c r="A1134" t="s">
        <v>22</v>
      </c>
      <c r="B1134" s="1">
        <v>45869</v>
      </c>
      <c r="C1134">
        <v>421002</v>
      </c>
      <c r="D1134">
        <v>-55.064999999999998</v>
      </c>
      <c r="E1134" t="s">
        <v>6</v>
      </c>
      <c r="F1134" t="s">
        <v>52</v>
      </c>
      <c r="G1134" t="s">
        <v>8</v>
      </c>
    </row>
    <row r="1135" spans="1:7" x14ac:dyDescent="0.3">
      <c r="A1135" t="s">
        <v>22</v>
      </c>
      <c r="B1135" s="1">
        <v>45869</v>
      </c>
      <c r="C1135">
        <v>421003</v>
      </c>
      <c r="D1135">
        <v>156.91999999999999</v>
      </c>
      <c r="E1135" t="s">
        <v>6</v>
      </c>
      <c r="F1135" t="s">
        <v>52</v>
      </c>
      <c r="G1135" t="s">
        <v>8</v>
      </c>
    </row>
    <row r="1136" spans="1:7" x14ac:dyDescent="0.3">
      <c r="A1136" t="s">
        <v>22</v>
      </c>
      <c r="B1136" s="1">
        <v>45869</v>
      </c>
      <c r="C1136">
        <v>421007</v>
      </c>
      <c r="D1136">
        <v>5.0000000000000001E-3</v>
      </c>
      <c r="E1136" t="s">
        <v>6</v>
      </c>
      <c r="F1136" t="s">
        <v>52</v>
      </c>
      <c r="G1136" t="s">
        <v>8</v>
      </c>
    </row>
    <row r="1137" spans="1:7" x14ac:dyDescent="0.3">
      <c r="A1137" t="s">
        <v>22</v>
      </c>
      <c r="B1137" s="1">
        <v>45869</v>
      </c>
      <c r="C1137">
        <v>510002</v>
      </c>
      <c r="D1137">
        <v>19149.145</v>
      </c>
      <c r="E1137" t="s">
        <v>6</v>
      </c>
      <c r="F1137" t="s">
        <v>53</v>
      </c>
      <c r="G1137" t="s">
        <v>8</v>
      </c>
    </row>
    <row r="1138" spans="1:7" x14ac:dyDescent="0.3">
      <c r="A1138" t="s">
        <v>22</v>
      </c>
      <c r="B1138" s="1">
        <v>45869</v>
      </c>
      <c r="C1138">
        <v>510005</v>
      </c>
      <c r="D1138">
        <v>1761.6469999999999</v>
      </c>
      <c r="E1138" t="s">
        <v>6</v>
      </c>
      <c r="F1138" t="s">
        <v>53</v>
      </c>
      <c r="G1138" t="s">
        <v>8</v>
      </c>
    </row>
    <row r="1139" spans="1:7" x14ac:dyDescent="0.3">
      <c r="A1139" t="s">
        <v>22</v>
      </c>
      <c r="B1139" s="1">
        <v>45869</v>
      </c>
      <c r="C1139">
        <v>510007</v>
      </c>
      <c r="D1139">
        <v>1252.1890000000001</v>
      </c>
      <c r="E1139" t="s">
        <v>6</v>
      </c>
      <c r="F1139" t="s">
        <v>53</v>
      </c>
      <c r="G1139" t="s">
        <v>8</v>
      </c>
    </row>
    <row r="1140" spans="1:7" x14ac:dyDescent="0.3">
      <c r="A1140" t="s">
        <v>22</v>
      </c>
      <c r="B1140" s="1">
        <v>45869</v>
      </c>
      <c r="C1140">
        <v>510015</v>
      </c>
      <c r="D1140">
        <v>3539.1120000000001</v>
      </c>
      <c r="E1140" t="s">
        <v>6</v>
      </c>
      <c r="F1140" t="s">
        <v>53</v>
      </c>
      <c r="G1140" t="s">
        <v>8</v>
      </c>
    </row>
    <row r="1141" spans="1:7" x14ac:dyDescent="0.3">
      <c r="A1141" t="s">
        <v>22</v>
      </c>
      <c r="B1141" s="1">
        <v>45869</v>
      </c>
      <c r="C1141">
        <v>510064</v>
      </c>
      <c r="D1141">
        <v>471.69499999999999</v>
      </c>
      <c r="E1141" t="s">
        <v>6</v>
      </c>
      <c r="F1141" t="s">
        <v>53</v>
      </c>
      <c r="G1141" t="s">
        <v>8</v>
      </c>
    </row>
    <row r="1142" spans="1:7" x14ac:dyDescent="0.3">
      <c r="A1142" t="s">
        <v>22</v>
      </c>
      <c r="B1142" s="1">
        <v>45869</v>
      </c>
      <c r="C1142">
        <v>510065</v>
      </c>
      <c r="D1142">
        <v>3114.0160000000001</v>
      </c>
      <c r="E1142" t="s">
        <v>6</v>
      </c>
      <c r="F1142" t="s">
        <v>53</v>
      </c>
      <c r="G1142" t="s">
        <v>8</v>
      </c>
    </row>
    <row r="1143" spans="1:7" x14ac:dyDescent="0.3">
      <c r="A1143" t="s">
        <v>22</v>
      </c>
      <c r="B1143" s="1">
        <v>45869</v>
      </c>
      <c r="C1143">
        <v>520020</v>
      </c>
      <c r="D1143">
        <v>335.27800000000002</v>
      </c>
      <c r="E1143" t="s">
        <v>6</v>
      </c>
      <c r="F1143" t="s">
        <v>53</v>
      </c>
      <c r="G1143" t="s">
        <v>8</v>
      </c>
    </row>
    <row r="1144" spans="1:7" x14ac:dyDescent="0.3">
      <c r="A1144" t="s">
        <v>22</v>
      </c>
      <c r="B1144" s="1">
        <v>45869</v>
      </c>
      <c r="C1144">
        <v>541003</v>
      </c>
      <c r="D1144">
        <v>12.694000000000001</v>
      </c>
      <c r="E1144" t="s">
        <v>6</v>
      </c>
      <c r="F1144" t="s">
        <v>61</v>
      </c>
      <c r="G1144" t="s">
        <v>8</v>
      </c>
    </row>
    <row r="1145" spans="1:7" x14ac:dyDescent="0.3">
      <c r="A1145" t="s">
        <v>22</v>
      </c>
      <c r="B1145" s="1">
        <v>45869</v>
      </c>
      <c r="C1145">
        <v>541009</v>
      </c>
      <c r="D1145">
        <v>183.43199999999999</v>
      </c>
      <c r="E1145" t="s">
        <v>6</v>
      </c>
      <c r="F1145" t="s">
        <v>61</v>
      </c>
      <c r="G1145" t="s">
        <v>8</v>
      </c>
    </row>
    <row r="1146" spans="1:7" x14ac:dyDescent="0.3">
      <c r="A1146" t="s">
        <v>22</v>
      </c>
      <c r="B1146" s="1">
        <v>45869</v>
      </c>
      <c r="C1146">
        <v>541010</v>
      </c>
      <c r="D1146">
        <v>1757.2550000000001</v>
      </c>
      <c r="E1146" t="s">
        <v>6</v>
      </c>
      <c r="F1146" t="s">
        <v>61</v>
      </c>
      <c r="G1146" t="s">
        <v>8</v>
      </c>
    </row>
    <row r="1147" spans="1:7" x14ac:dyDescent="0.3">
      <c r="A1147" t="s">
        <v>22</v>
      </c>
      <c r="B1147" s="1">
        <v>45869</v>
      </c>
      <c r="C1147">
        <v>544006</v>
      </c>
      <c r="D1147">
        <v>364.53399999999999</v>
      </c>
      <c r="E1147" t="s">
        <v>6</v>
      </c>
      <c r="F1147" t="s">
        <v>61</v>
      </c>
      <c r="G1147" t="s">
        <v>8</v>
      </c>
    </row>
    <row r="1148" spans="1:7" x14ac:dyDescent="0.3">
      <c r="A1148" t="s">
        <v>22</v>
      </c>
      <c r="B1148" s="1">
        <v>45869</v>
      </c>
      <c r="C1148">
        <v>546002</v>
      </c>
      <c r="D1148">
        <v>60247.684000000001</v>
      </c>
      <c r="E1148" t="s">
        <v>6</v>
      </c>
      <c r="F1148" t="s">
        <v>51</v>
      </c>
      <c r="G1148" t="s">
        <v>8</v>
      </c>
    </row>
    <row r="1149" spans="1:7" x14ac:dyDescent="0.3">
      <c r="A1149" t="s">
        <v>22</v>
      </c>
      <c r="B1149" s="1">
        <v>45869</v>
      </c>
      <c r="C1149">
        <v>546013</v>
      </c>
      <c r="D1149">
        <v>189.077</v>
      </c>
      <c r="E1149" t="s">
        <v>6</v>
      </c>
      <c r="F1149" t="s">
        <v>51</v>
      </c>
      <c r="G1149" t="s">
        <v>8</v>
      </c>
    </row>
    <row r="1150" spans="1:7" x14ac:dyDescent="0.3">
      <c r="A1150" t="s">
        <v>22</v>
      </c>
      <c r="B1150" s="1">
        <v>45869</v>
      </c>
      <c r="C1150">
        <v>546035</v>
      </c>
      <c r="D1150">
        <v>512.84799999999996</v>
      </c>
      <c r="E1150" t="s">
        <v>6</v>
      </c>
      <c r="F1150" t="s">
        <v>51</v>
      </c>
      <c r="G1150" t="s">
        <v>8</v>
      </c>
    </row>
    <row r="1151" spans="1:7" x14ac:dyDescent="0.3">
      <c r="A1151" t="s">
        <v>22</v>
      </c>
      <c r="B1151" s="1">
        <v>45869</v>
      </c>
      <c r="C1151">
        <v>546040</v>
      </c>
      <c r="D1151">
        <v>112.054</v>
      </c>
      <c r="E1151" t="s">
        <v>6</v>
      </c>
      <c r="F1151" t="s">
        <v>51</v>
      </c>
      <c r="G1151" t="s">
        <v>8</v>
      </c>
    </row>
    <row r="1152" spans="1:7" x14ac:dyDescent="0.3">
      <c r="A1152" t="s">
        <v>22</v>
      </c>
      <c r="B1152" s="1">
        <v>45869</v>
      </c>
      <c r="C1152">
        <v>546045</v>
      </c>
      <c r="D1152">
        <v>90.171000000000006</v>
      </c>
      <c r="E1152" t="s">
        <v>6</v>
      </c>
      <c r="F1152" t="s">
        <v>51</v>
      </c>
      <c r="G1152" t="s">
        <v>8</v>
      </c>
    </row>
    <row r="1153" spans="1:7" x14ac:dyDescent="0.3">
      <c r="A1153" t="s">
        <v>22</v>
      </c>
      <c r="B1153" s="1">
        <v>45869</v>
      </c>
      <c r="C1153">
        <v>550002</v>
      </c>
      <c r="D1153">
        <v>13685.852000000001</v>
      </c>
      <c r="E1153" t="s">
        <v>6</v>
      </c>
      <c r="F1153" t="s">
        <v>62</v>
      </c>
      <c r="G1153" t="s">
        <v>8</v>
      </c>
    </row>
    <row r="1154" spans="1:7" x14ac:dyDescent="0.3">
      <c r="A1154" t="s">
        <v>22</v>
      </c>
      <c r="B1154" s="1">
        <v>45869</v>
      </c>
      <c r="C1154">
        <v>552502</v>
      </c>
      <c r="D1154">
        <v>153.601</v>
      </c>
      <c r="E1154" t="s">
        <v>6</v>
      </c>
      <c r="F1154" t="s">
        <v>55</v>
      </c>
      <c r="G1154" t="s">
        <v>8</v>
      </c>
    </row>
    <row r="1155" spans="1:7" x14ac:dyDescent="0.3">
      <c r="A1155" t="s">
        <v>22</v>
      </c>
      <c r="B1155" s="1">
        <v>45869</v>
      </c>
      <c r="C1155">
        <v>556002</v>
      </c>
      <c r="D1155">
        <v>29.404</v>
      </c>
      <c r="E1155" t="s">
        <v>6</v>
      </c>
      <c r="F1155" t="s">
        <v>60</v>
      </c>
      <c r="G1155" t="s">
        <v>8</v>
      </c>
    </row>
    <row r="1156" spans="1:7" x14ac:dyDescent="0.3">
      <c r="A1156" t="s">
        <v>22</v>
      </c>
      <c r="B1156" s="1">
        <v>45869</v>
      </c>
      <c r="C1156">
        <v>557002</v>
      </c>
      <c r="D1156">
        <v>1752.5619999999999</v>
      </c>
      <c r="E1156" t="s">
        <v>6</v>
      </c>
      <c r="F1156" t="s">
        <v>56</v>
      </c>
      <c r="G1156" t="s">
        <v>8</v>
      </c>
    </row>
    <row r="1157" spans="1:7" x14ac:dyDescent="0.3">
      <c r="A1157" t="s">
        <v>22</v>
      </c>
      <c r="B1157" s="1">
        <v>45869</v>
      </c>
      <c r="C1157">
        <v>558012</v>
      </c>
      <c r="D1157">
        <v>1.0900000000000001</v>
      </c>
      <c r="E1157" t="s">
        <v>6</v>
      </c>
      <c r="F1157" t="s">
        <v>60</v>
      </c>
      <c r="G1157" t="s">
        <v>8</v>
      </c>
    </row>
    <row r="1158" spans="1:7" x14ac:dyDescent="0.3">
      <c r="A1158" t="s">
        <v>22</v>
      </c>
      <c r="B1158" s="1">
        <v>45869</v>
      </c>
      <c r="C1158">
        <v>564004</v>
      </c>
      <c r="D1158">
        <v>1411.095</v>
      </c>
      <c r="E1158" t="s">
        <v>6</v>
      </c>
      <c r="F1158" t="s">
        <v>51</v>
      </c>
      <c r="G1158" t="s">
        <v>8</v>
      </c>
    </row>
    <row r="1159" spans="1:7" x14ac:dyDescent="0.3">
      <c r="A1159" t="s">
        <v>22</v>
      </c>
      <c r="B1159" s="1">
        <v>45869</v>
      </c>
      <c r="C1159">
        <v>564020</v>
      </c>
      <c r="D1159">
        <v>258.68099999999998</v>
      </c>
      <c r="E1159" t="s">
        <v>6</v>
      </c>
      <c r="F1159" t="s">
        <v>57</v>
      </c>
      <c r="G1159" t="s">
        <v>8</v>
      </c>
    </row>
    <row r="1160" spans="1:7" x14ac:dyDescent="0.3">
      <c r="A1160" t="s">
        <v>23</v>
      </c>
      <c r="B1160" s="1">
        <v>45869</v>
      </c>
      <c r="C1160">
        <v>220006</v>
      </c>
      <c r="D1160">
        <v>3508.7779999999998</v>
      </c>
      <c r="E1160" t="s">
        <v>4</v>
      </c>
      <c r="F1160" t="s">
        <v>42</v>
      </c>
      <c r="G1160" t="s">
        <v>5</v>
      </c>
    </row>
    <row r="1161" spans="1:7" x14ac:dyDescent="0.3">
      <c r="A1161" t="s">
        <v>23</v>
      </c>
      <c r="B1161" s="1">
        <v>45869</v>
      </c>
      <c r="C1161">
        <v>240002</v>
      </c>
      <c r="D1161">
        <v>-5330.2449999999999</v>
      </c>
      <c r="E1161" t="s">
        <v>4</v>
      </c>
      <c r="F1161" t="s">
        <v>43</v>
      </c>
      <c r="G1161" t="s">
        <v>5</v>
      </c>
    </row>
    <row r="1162" spans="1:7" x14ac:dyDescent="0.3">
      <c r="A1162" t="s">
        <v>23</v>
      </c>
      <c r="B1162" s="1">
        <v>45869</v>
      </c>
      <c r="C1162">
        <v>242003</v>
      </c>
      <c r="D1162">
        <v>-21735.364000000001</v>
      </c>
      <c r="E1162" t="s">
        <v>4</v>
      </c>
      <c r="F1162" t="s">
        <v>43</v>
      </c>
      <c r="G1162" t="s">
        <v>5</v>
      </c>
    </row>
    <row r="1163" spans="1:7" x14ac:dyDescent="0.3">
      <c r="A1163" t="s">
        <v>23</v>
      </c>
      <c r="B1163" s="1">
        <v>45869</v>
      </c>
      <c r="C1163">
        <v>242019</v>
      </c>
      <c r="D1163">
        <v>-32058.484</v>
      </c>
      <c r="E1163" t="s">
        <v>4</v>
      </c>
      <c r="F1163" t="s">
        <v>43</v>
      </c>
      <c r="G1163" t="s">
        <v>5</v>
      </c>
    </row>
    <row r="1164" spans="1:7" x14ac:dyDescent="0.3">
      <c r="A1164" t="s">
        <v>23</v>
      </c>
      <c r="B1164" s="1">
        <v>45869</v>
      </c>
      <c r="C1164">
        <v>242041</v>
      </c>
      <c r="D1164">
        <v>4.1470000000000002</v>
      </c>
      <c r="E1164" t="s">
        <v>4</v>
      </c>
      <c r="F1164" t="s">
        <v>43</v>
      </c>
      <c r="G1164" t="s">
        <v>5</v>
      </c>
    </row>
    <row r="1165" spans="1:7" x14ac:dyDescent="0.3">
      <c r="A1165" t="s">
        <v>23</v>
      </c>
      <c r="B1165" s="1">
        <v>45869</v>
      </c>
      <c r="C1165">
        <v>243002</v>
      </c>
      <c r="D1165">
        <v>-12165.031999999999</v>
      </c>
      <c r="E1165" t="s">
        <v>4</v>
      </c>
      <c r="F1165" t="s">
        <v>43</v>
      </c>
      <c r="G1165" t="s">
        <v>5</v>
      </c>
    </row>
    <row r="1166" spans="1:7" x14ac:dyDescent="0.3">
      <c r="A1166" t="s">
        <v>23</v>
      </c>
      <c r="B1166" s="1">
        <v>45869</v>
      </c>
      <c r="C1166">
        <v>251003</v>
      </c>
      <c r="D1166">
        <v>28522.146000000001</v>
      </c>
      <c r="E1166" t="s">
        <v>4</v>
      </c>
      <c r="F1166" t="s">
        <v>45</v>
      </c>
      <c r="G1166" t="s">
        <v>5</v>
      </c>
    </row>
    <row r="1167" spans="1:7" x14ac:dyDescent="0.3">
      <c r="A1167" t="s">
        <v>23</v>
      </c>
      <c r="B1167" s="1">
        <v>45869</v>
      </c>
      <c r="C1167">
        <v>260004</v>
      </c>
      <c r="D1167">
        <v>-2093.174</v>
      </c>
      <c r="E1167" t="s">
        <v>4</v>
      </c>
      <c r="F1167" t="s">
        <v>45</v>
      </c>
      <c r="G1167" t="s">
        <v>5</v>
      </c>
    </row>
    <row r="1168" spans="1:7" x14ac:dyDescent="0.3">
      <c r="A1168" t="s">
        <v>23</v>
      </c>
      <c r="B1168" s="1">
        <v>45869</v>
      </c>
      <c r="C1168">
        <v>320002</v>
      </c>
      <c r="D1168">
        <v>8062.9430000000002</v>
      </c>
      <c r="E1168" t="s">
        <v>4</v>
      </c>
      <c r="F1168" t="s">
        <v>46</v>
      </c>
      <c r="G1168" t="s">
        <v>5</v>
      </c>
    </row>
    <row r="1169" spans="1:7" x14ac:dyDescent="0.3">
      <c r="A1169" t="s">
        <v>23</v>
      </c>
      <c r="B1169" s="1">
        <v>45869</v>
      </c>
      <c r="C1169">
        <v>321002</v>
      </c>
      <c r="D1169">
        <v>35437.216999999997</v>
      </c>
      <c r="E1169" t="s">
        <v>4</v>
      </c>
      <c r="F1169" t="s">
        <v>46</v>
      </c>
      <c r="G1169" t="s">
        <v>5</v>
      </c>
    </row>
    <row r="1170" spans="1:7" x14ac:dyDescent="0.3">
      <c r="A1170" t="s">
        <v>23</v>
      </c>
      <c r="B1170" s="1">
        <v>45869</v>
      </c>
      <c r="C1170">
        <v>340314</v>
      </c>
      <c r="D1170">
        <v>22821.244999999999</v>
      </c>
      <c r="E1170" t="s">
        <v>4</v>
      </c>
      <c r="F1170" t="s">
        <v>47</v>
      </c>
      <c r="G1170" t="s">
        <v>5</v>
      </c>
    </row>
    <row r="1171" spans="1:7" x14ac:dyDescent="0.3">
      <c r="A1171" t="s">
        <v>23</v>
      </c>
      <c r="B1171" s="1">
        <v>45869</v>
      </c>
      <c r="C1171">
        <v>354013</v>
      </c>
      <c r="D1171">
        <v>-41975.48</v>
      </c>
      <c r="E1171" t="s">
        <v>4</v>
      </c>
      <c r="F1171" t="s">
        <v>46</v>
      </c>
      <c r="G1171" t="s">
        <v>5</v>
      </c>
    </row>
    <row r="1172" spans="1:7" x14ac:dyDescent="0.3">
      <c r="A1172" t="s">
        <v>23</v>
      </c>
      <c r="B1172" s="1">
        <v>45869</v>
      </c>
      <c r="C1172">
        <v>355013</v>
      </c>
      <c r="D1172">
        <v>2491.6179999999999</v>
      </c>
      <c r="E1172" t="s">
        <v>4</v>
      </c>
      <c r="F1172" t="s">
        <v>49</v>
      </c>
      <c r="G1172" t="s">
        <v>5</v>
      </c>
    </row>
    <row r="1173" spans="1:7" x14ac:dyDescent="0.3">
      <c r="A1173" t="s">
        <v>23</v>
      </c>
      <c r="B1173" s="1">
        <v>45869</v>
      </c>
      <c r="C1173">
        <v>372004</v>
      </c>
      <c r="D1173">
        <v>1134.829</v>
      </c>
      <c r="E1173" t="s">
        <v>4</v>
      </c>
      <c r="F1173" t="s">
        <v>45</v>
      </c>
      <c r="G1173" t="s">
        <v>5</v>
      </c>
    </row>
    <row r="1174" spans="1:7" x14ac:dyDescent="0.3">
      <c r="A1174" t="s">
        <v>23</v>
      </c>
      <c r="B1174" s="1">
        <v>45869</v>
      </c>
      <c r="C1174">
        <v>400002</v>
      </c>
      <c r="D1174">
        <v>3326.3719999999998</v>
      </c>
      <c r="E1174" t="s">
        <v>6</v>
      </c>
      <c r="F1174" t="s">
        <v>50</v>
      </c>
      <c r="G1174" t="s">
        <v>5</v>
      </c>
    </row>
    <row r="1175" spans="1:7" x14ac:dyDescent="0.3">
      <c r="A1175" t="s">
        <v>23</v>
      </c>
      <c r="B1175" s="1">
        <v>45869</v>
      </c>
      <c r="C1175">
        <v>400004</v>
      </c>
      <c r="D1175">
        <v>-982.21799999999996</v>
      </c>
      <c r="E1175" t="s">
        <v>6</v>
      </c>
      <c r="F1175" t="s">
        <v>50</v>
      </c>
      <c r="G1175" t="s">
        <v>5</v>
      </c>
    </row>
    <row r="1176" spans="1:7" x14ac:dyDescent="0.3">
      <c r="A1176" t="s">
        <v>23</v>
      </c>
      <c r="B1176" s="1">
        <v>45869</v>
      </c>
      <c r="C1176">
        <v>410002</v>
      </c>
      <c r="D1176">
        <v>-25140.076000000001</v>
      </c>
      <c r="E1176" t="s">
        <v>6</v>
      </c>
      <c r="F1176" t="s">
        <v>51</v>
      </c>
      <c r="G1176" t="s">
        <v>5</v>
      </c>
    </row>
    <row r="1177" spans="1:7" x14ac:dyDescent="0.3">
      <c r="A1177" t="s">
        <v>23</v>
      </c>
      <c r="B1177" s="1">
        <v>45869</v>
      </c>
      <c r="C1177">
        <v>421003</v>
      </c>
      <c r="D1177">
        <v>-0.48099999999999998</v>
      </c>
      <c r="E1177" t="s">
        <v>6</v>
      </c>
      <c r="F1177" t="s">
        <v>52</v>
      </c>
      <c r="G1177" t="s">
        <v>5</v>
      </c>
    </row>
    <row r="1178" spans="1:7" x14ac:dyDescent="0.3">
      <c r="A1178" t="s">
        <v>23</v>
      </c>
      <c r="B1178" s="1">
        <v>45869</v>
      </c>
      <c r="C1178">
        <v>546002</v>
      </c>
      <c r="D1178">
        <v>834.88800000000003</v>
      </c>
      <c r="E1178" t="s">
        <v>6</v>
      </c>
      <c r="F1178" t="s">
        <v>51</v>
      </c>
      <c r="G1178" t="s">
        <v>5</v>
      </c>
    </row>
    <row r="1179" spans="1:7" x14ac:dyDescent="0.3">
      <c r="A1179" t="s">
        <v>23</v>
      </c>
      <c r="B1179" s="1">
        <v>45869</v>
      </c>
      <c r="C1179">
        <v>546018</v>
      </c>
      <c r="D1179">
        <v>453.471</v>
      </c>
      <c r="E1179" t="s">
        <v>6</v>
      </c>
      <c r="F1179" t="s">
        <v>51</v>
      </c>
      <c r="G1179" t="s">
        <v>5</v>
      </c>
    </row>
    <row r="1180" spans="1:7" x14ac:dyDescent="0.3">
      <c r="A1180" t="s">
        <v>23</v>
      </c>
      <c r="B1180" s="1">
        <v>45869</v>
      </c>
      <c r="C1180">
        <v>547002</v>
      </c>
      <c r="D1180">
        <v>29883.981</v>
      </c>
      <c r="E1180" t="s">
        <v>6</v>
      </c>
      <c r="F1180" t="s">
        <v>54</v>
      </c>
      <c r="G1180" t="s">
        <v>5</v>
      </c>
    </row>
    <row r="1181" spans="1:7" x14ac:dyDescent="0.3">
      <c r="A1181" t="s">
        <v>23</v>
      </c>
      <c r="B1181" s="1">
        <v>45869</v>
      </c>
      <c r="C1181">
        <v>547011</v>
      </c>
      <c r="D1181">
        <v>231.52199999999999</v>
      </c>
      <c r="E1181" t="s">
        <v>6</v>
      </c>
      <c r="F1181" t="s">
        <v>54</v>
      </c>
      <c r="G1181" t="s">
        <v>5</v>
      </c>
    </row>
    <row r="1182" spans="1:7" x14ac:dyDescent="0.3">
      <c r="A1182" t="s">
        <v>23</v>
      </c>
      <c r="B1182" s="1">
        <v>45869</v>
      </c>
      <c r="C1182">
        <v>557002</v>
      </c>
      <c r="D1182">
        <v>46.72</v>
      </c>
      <c r="E1182" t="s">
        <v>6</v>
      </c>
      <c r="F1182" t="s">
        <v>56</v>
      </c>
      <c r="G1182" t="s">
        <v>5</v>
      </c>
    </row>
    <row r="1183" spans="1:7" x14ac:dyDescent="0.3">
      <c r="A1183" t="s">
        <v>23</v>
      </c>
      <c r="B1183" s="1">
        <v>45869</v>
      </c>
      <c r="C1183">
        <v>564019</v>
      </c>
      <c r="D1183">
        <v>4607.0450000000001</v>
      </c>
      <c r="E1183" t="s">
        <v>6</v>
      </c>
      <c r="F1183" t="s">
        <v>51</v>
      </c>
      <c r="G1183" t="s">
        <v>5</v>
      </c>
    </row>
    <row r="1184" spans="1:7" x14ac:dyDescent="0.3">
      <c r="A1184" t="s">
        <v>23</v>
      </c>
      <c r="B1184" s="1">
        <v>45869</v>
      </c>
      <c r="C1184">
        <v>564021</v>
      </c>
      <c r="D1184">
        <v>82.356999999999999</v>
      </c>
      <c r="E1184" t="s">
        <v>6</v>
      </c>
      <c r="F1184" t="s">
        <v>57</v>
      </c>
      <c r="G1184" t="s">
        <v>5</v>
      </c>
    </row>
    <row r="1185" spans="1:7" x14ac:dyDescent="0.3">
      <c r="A1185" t="s">
        <v>24</v>
      </c>
      <c r="B1185" s="1">
        <v>45869</v>
      </c>
      <c r="C1185">
        <v>220006</v>
      </c>
      <c r="D1185">
        <v>9549.9230000000007</v>
      </c>
      <c r="E1185" t="s">
        <v>4</v>
      </c>
      <c r="F1185" t="s">
        <v>42</v>
      </c>
      <c r="G1185" t="s">
        <v>8</v>
      </c>
    </row>
    <row r="1186" spans="1:7" x14ac:dyDescent="0.3">
      <c r="A1186" t="s">
        <v>24</v>
      </c>
      <c r="B1186" s="1">
        <v>45869</v>
      </c>
      <c r="C1186">
        <v>240002</v>
      </c>
      <c r="D1186">
        <v>-23.936</v>
      </c>
      <c r="E1186" t="s">
        <v>4</v>
      </c>
      <c r="F1186" t="s">
        <v>43</v>
      </c>
      <c r="G1186" t="s">
        <v>8</v>
      </c>
    </row>
    <row r="1187" spans="1:7" x14ac:dyDescent="0.3">
      <c r="A1187" t="s">
        <v>24</v>
      </c>
      <c r="B1187" s="1">
        <v>45869</v>
      </c>
      <c r="C1187">
        <v>243002</v>
      </c>
      <c r="D1187">
        <v>-251.38499999999999</v>
      </c>
      <c r="E1187" t="s">
        <v>4</v>
      </c>
      <c r="F1187" t="s">
        <v>43</v>
      </c>
      <c r="G1187" t="s">
        <v>8</v>
      </c>
    </row>
    <row r="1188" spans="1:7" x14ac:dyDescent="0.3">
      <c r="A1188" t="s">
        <v>24</v>
      </c>
      <c r="B1188" s="1">
        <v>45869</v>
      </c>
      <c r="C1188">
        <v>330132</v>
      </c>
      <c r="D1188">
        <v>-8593.8469999999998</v>
      </c>
      <c r="E1188" t="s">
        <v>4</v>
      </c>
      <c r="F1188" t="s">
        <v>43</v>
      </c>
      <c r="G1188" t="s">
        <v>8</v>
      </c>
    </row>
    <row r="1189" spans="1:7" x14ac:dyDescent="0.3">
      <c r="A1189" t="s">
        <v>24</v>
      </c>
      <c r="B1189" s="1">
        <v>45869</v>
      </c>
      <c r="C1189">
        <v>330147</v>
      </c>
      <c r="D1189">
        <v>-2012.8810000000001</v>
      </c>
      <c r="E1189" t="s">
        <v>4</v>
      </c>
      <c r="F1189" t="s">
        <v>43</v>
      </c>
      <c r="G1189" t="s">
        <v>8</v>
      </c>
    </row>
    <row r="1190" spans="1:7" x14ac:dyDescent="0.3">
      <c r="A1190" t="s">
        <v>24</v>
      </c>
      <c r="B1190" s="1">
        <v>45869</v>
      </c>
      <c r="C1190">
        <v>340237</v>
      </c>
      <c r="D1190">
        <v>754.80499999999995</v>
      </c>
      <c r="E1190" t="s">
        <v>4</v>
      </c>
      <c r="F1190" t="s">
        <v>47</v>
      </c>
      <c r="G1190" t="s">
        <v>8</v>
      </c>
    </row>
    <row r="1191" spans="1:7" x14ac:dyDescent="0.3">
      <c r="A1191" t="s">
        <v>24</v>
      </c>
      <c r="B1191" s="1">
        <v>45869</v>
      </c>
      <c r="C1191">
        <v>340240</v>
      </c>
      <c r="D1191">
        <v>1.179</v>
      </c>
      <c r="E1191" t="s">
        <v>4</v>
      </c>
      <c r="F1191" t="s">
        <v>47</v>
      </c>
      <c r="G1191" t="s">
        <v>8</v>
      </c>
    </row>
    <row r="1192" spans="1:7" x14ac:dyDescent="0.3">
      <c r="A1192" t="s">
        <v>24</v>
      </c>
      <c r="B1192" s="1">
        <v>45869</v>
      </c>
      <c r="C1192">
        <v>340313</v>
      </c>
      <c r="D1192">
        <v>8.94</v>
      </c>
      <c r="E1192" t="s">
        <v>4</v>
      </c>
      <c r="F1192" t="s">
        <v>47</v>
      </c>
      <c r="G1192" t="s">
        <v>8</v>
      </c>
    </row>
    <row r="1193" spans="1:7" x14ac:dyDescent="0.3">
      <c r="A1193" t="s">
        <v>24</v>
      </c>
      <c r="B1193" s="1">
        <v>45869</v>
      </c>
      <c r="C1193">
        <v>372004</v>
      </c>
      <c r="D1193">
        <v>57.975999999999999</v>
      </c>
      <c r="E1193" t="s">
        <v>4</v>
      </c>
      <c r="F1193" t="s">
        <v>45</v>
      </c>
      <c r="G1193" t="s">
        <v>8</v>
      </c>
    </row>
    <row r="1194" spans="1:7" x14ac:dyDescent="0.3">
      <c r="A1194" t="s">
        <v>24</v>
      </c>
      <c r="B1194" s="1">
        <v>45869</v>
      </c>
      <c r="C1194">
        <v>421003</v>
      </c>
      <c r="D1194">
        <v>1.6910000000000001</v>
      </c>
      <c r="E1194" t="s">
        <v>6</v>
      </c>
      <c r="F1194" t="s">
        <v>52</v>
      </c>
      <c r="G1194" t="s">
        <v>8</v>
      </c>
    </row>
    <row r="1195" spans="1:7" x14ac:dyDescent="0.3">
      <c r="A1195" t="s">
        <v>24</v>
      </c>
      <c r="B1195" s="1">
        <v>45869</v>
      </c>
      <c r="C1195">
        <v>421004</v>
      </c>
      <c r="D1195">
        <v>-96.498999999999995</v>
      </c>
      <c r="E1195" t="s">
        <v>6</v>
      </c>
      <c r="F1195" t="s">
        <v>52</v>
      </c>
      <c r="G1195" t="s">
        <v>8</v>
      </c>
    </row>
    <row r="1196" spans="1:7" x14ac:dyDescent="0.3">
      <c r="A1196" t="s">
        <v>24</v>
      </c>
      <c r="B1196" s="1">
        <v>45869</v>
      </c>
      <c r="C1196">
        <v>552502</v>
      </c>
      <c r="D1196">
        <v>39.622</v>
      </c>
      <c r="E1196" t="s">
        <v>6</v>
      </c>
      <c r="F1196" t="s">
        <v>55</v>
      </c>
      <c r="G1196" t="s">
        <v>8</v>
      </c>
    </row>
    <row r="1197" spans="1:7" x14ac:dyDescent="0.3">
      <c r="A1197" t="s">
        <v>24</v>
      </c>
      <c r="B1197" s="1">
        <v>45869</v>
      </c>
      <c r="C1197">
        <v>557002</v>
      </c>
      <c r="D1197">
        <v>531.39800000000002</v>
      </c>
      <c r="E1197" t="s">
        <v>6</v>
      </c>
      <c r="F1197" t="s">
        <v>56</v>
      </c>
      <c r="G1197" t="s">
        <v>8</v>
      </c>
    </row>
    <row r="1198" spans="1:7" x14ac:dyDescent="0.3">
      <c r="A1198" t="s">
        <v>24</v>
      </c>
      <c r="B1198" s="1">
        <v>45869</v>
      </c>
      <c r="C1198">
        <v>564020</v>
      </c>
      <c r="D1198">
        <v>45.594999999999999</v>
      </c>
      <c r="E1198" t="s">
        <v>6</v>
      </c>
      <c r="F1198" t="s">
        <v>57</v>
      </c>
      <c r="G1198" t="s">
        <v>8</v>
      </c>
    </row>
    <row r="1199" spans="1:7" x14ac:dyDescent="0.3">
      <c r="A1199" t="s">
        <v>25</v>
      </c>
      <c r="B1199" s="1">
        <v>45869</v>
      </c>
      <c r="C1199">
        <v>220006</v>
      </c>
      <c r="D1199">
        <v>-21643.571</v>
      </c>
      <c r="E1199" t="s">
        <v>4</v>
      </c>
      <c r="F1199" t="s">
        <v>42</v>
      </c>
      <c r="G1199" t="s">
        <v>5</v>
      </c>
    </row>
    <row r="1200" spans="1:7" x14ac:dyDescent="0.3">
      <c r="A1200" t="s">
        <v>25</v>
      </c>
      <c r="B1200" s="1">
        <v>45869</v>
      </c>
      <c r="C1200">
        <v>240002</v>
      </c>
      <c r="D1200">
        <v>-60.375999999999998</v>
      </c>
      <c r="E1200" t="s">
        <v>4</v>
      </c>
      <c r="F1200" t="s">
        <v>43</v>
      </c>
      <c r="G1200" t="s">
        <v>5</v>
      </c>
    </row>
    <row r="1201" spans="1:7" x14ac:dyDescent="0.3">
      <c r="A1201" t="s">
        <v>25</v>
      </c>
      <c r="B1201" s="1">
        <v>45869</v>
      </c>
      <c r="C1201">
        <v>243002</v>
      </c>
      <c r="D1201">
        <v>-22.184000000000001</v>
      </c>
      <c r="E1201" t="s">
        <v>4</v>
      </c>
      <c r="F1201" t="s">
        <v>43</v>
      </c>
      <c r="G1201" t="s">
        <v>5</v>
      </c>
    </row>
    <row r="1202" spans="1:7" x14ac:dyDescent="0.3">
      <c r="A1202" t="s">
        <v>25</v>
      </c>
      <c r="B1202" s="1">
        <v>45869</v>
      </c>
      <c r="C1202">
        <v>330019</v>
      </c>
      <c r="D1202">
        <v>21603.463</v>
      </c>
      <c r="E1202" t="s">
        <v>4</v>
      </c>
      <c r="F1202" t="s">
        <v>43</v>
      </c>
      <c r="G1202" t="s">
        <v>5</v>
      </c>
    </row>
    <row r="1203" spans="1:7" x14ac:dyDescent="0.3">
      <c r="A1203" t="s">
        <v>25</v>
      </c>
      <c r="B1203" s="1">
        <v>45869</v>
      </c>
      <c r="C1203">
        <v>340016</v>
      </c>
      <c r="D1203">
        <v>23.407</v>
      </c>
      <c r="E1203" t="s">
        <v>4</v>
      </c>
      <c r="F1203" t="s">
        <v>47</v>
      </c>
      <c r="G1203" t="s">
        <v>5</v>
      </c>
    </row>
    <row r="1204" spans="1:7" x14ac:dyDescent="0.3">
      <c r="A1204" t="s">
        <v>25</v>
      </c>
      <c r="B1204" s="1">
        <v>45869</v>
      </c>
      <c r="C1204">
        <v>372004</v>
      </c>
      <c r="D1204">
        <v>7.875</v>
      </c>
      <c r="E1204" t="s">
        <v>4</v>
      </c>
      <c r="F1204" t="s">
        <v>45</v>
      </c>
      <c r="G1204" t="s">
        <v>5</v>
      </c>
    </row>
    <row r="1205" spans="1:7" x14ac:dyDescent="0.3">
      <c r="A1205" t="s">
        <v>25</v>
      </c>
      <c r="B1205" s="1">
        <v>45869</v>
      </c>
      <c r="C1205">
        <v>557002</v>
      </c>
      <c r="D1205">
        <v>34.590000000000003</v>
      </c>
      <c r="E1205" t="s">
        <v>6</v>
      </c>
      <c r="F1205" t="s">
        <v>56</v>
      </c>
      <c r="G1205" t="s">
        <v>5</v>
      </c>
    </row>
    <row r="1206" spans="1:7" x14ac:dyDescent="0.3">
      <c r="A1206" t="s">
        <v>25</v>
      </c>
      <c r="B1206" s="1">
        <v>45869</v>
      </c>
      <c r="C1206">
        <v>564021</v>
      </c>
      <c r="D1206">
        <v>58.341999999999999</v>
      </c>
      <c r="E1206" t="s">
        <v>6</v>
      </c>
      <c r="F1206" t="s">
        <v>57</v>
      </c>
      <c r="G1206" t="s">
        <v>5</v>
      </c>
    </row>
    <row r="1207" spans="1:7" x14ac:dyDescent="0.3">
      <c r="A1207" t="s">
        <v>26</v>
      </c>
      <c r="B1207" s="1">
        <v>45869</v>
      </c>
      <c r="C1207">
        <v>220006</v>
      </c>
      <c r="D1207">
        <v>-540537.75100000005</v>
      </c>
      <c r="E1207" t="s">
        <v>4</v>
      </c>
      <c r="F1207" t="s">
        <v>42</v>
      </c>
      <c r="G1207" t="s">
        <v>5</v>
      </c>
    </row>
    <row r="1208" spans="1:7" x14ac:dyDescent="0.3">
      <c r="A1208" t="s">
        <v>26</v>
      </c>
      <c r="B1208" s="1">
        <v>45869</v>
      </c>
      <c r="C1208">
        <v>240002</v>
      </c>
      <c r="D1208">
        <v>-1211.6099999999999</v>
      </c>
      <c r="E1208" t="s">
        <v>4</v>
      </c>
      <c r="F1208" t="s">
        <v>43</v>
      </c>
      <c r="G1208" t="s">
        <v>5</v>
      </c>
    </row>
    <row r="1209" spans="1:7" x14ac:dyDescent="0.3">
      <c r="A1209" t="s">
        <v>26</v>
      </c>
      <c r="B1209" s="1">
        <v>45869</v>
      </c>
      <c r="C1209">
        <v>240003</v>
      </c>
      <c r="D1209">
        <v>-0.42399999999999999</v>
      </c>
      <c r="E1209" t="s">
        <v>4</v>
      </c>
      <c r="F1209" t="s">
        <v>43</v>
      </c>
      <c r="G1209" t="s">
        <v>5</v>
      </c>
    </row>
    <row r="1210" spans="1:7" x14ac:dyDescent="0.3">
      <c r="A1210" t="s">
        <v>26</v>
      </c>
      <c r="B1210" s="1">
        <v>45869</v>
      </c>
      <c r="C1210">
        <v>240009</v>
      </c>
      <c r="D1210">
        <v>-495.20600000000002</v>
      </c>
      <c r="E1210" t="s">
        <v>4</v>
      </c>
      <c r="F1210" t="s">
        <v>43</v>
      </c>
      <c r="G1210" t="s">
        <v>5</v>
      </c>
    </row>
    <row r="1211" spans="1:7" x14ac:dyDescent="0.3">
      <c r="A1211" t="s">
        <v>26</v>
      </c>
      <c r="B1211" s="1">
        <v>45869</v>
      </c>
      <c r="C1211">
        <v>242003</v>
      </c>
      <c r="D1211">
        <v>134257.864</v>
      </c>
      <c r="E1211" t="s">
        <v>4</v>
      </c>
      <c r="F1211" t="s">
        <v>43</v>
      </c>
      <c r="G1211" t="s">
        <v>5</v>
      </c>
    </row>
    <row r="1212" spans="1:7" x14ac:dyDescent="0.3">
      <c r="A1212" t="s">
        <v>26</v>
      </c>
      <c r="B1212" s="1">
        <v>45869</v>
      </c>
      <c r="C1212">
        <v>242011</v>
      </c>
      <c r="D1212">
        <v>-3400.105</v>
      </c>
      <c r="E1212" t="s">
        <v>4</v>
      </c>
      <c r="F1212" t="s">
        <v>43</v>
      </c>
      <c r="G1212" t="s">
        <v>5</v>
      </c>
    </row>
    <row r="1213" spans="1:7" x14ac:dyDescent="0.3">
      <c r="A1213" t="s">
        <v>26</v>
      </c>
      <c r="B1213" s="1">
        <v>45869</v>
      </c>
      <c r="C1213">
        <v>242012</v>
      </c>
      <c r="D1213">
        <v>0.26400000000000001</v>
      </c>
      <c r="E1213" t="s">
        <v>4</v>
      </c>
      <c r="F1213" t="s">
        <v>43</v>
      </c>
      <c r="G1213" t="s">
        <v>5</v>
      </c>
    </row>
    <row r="1214" spans="1:7" x14ac:dyDescent="0.3">
      <c r="A1214" t="s">
        <v>26</v>
      </c>
      <c r="B1214" s="1">
        <v>45869</v>
      </c>
      <c r="C1214">
        <v>242014</v>
      </c>
      <c r="D1214">
        <v>-11.494999999999999</v>
      </c>
      <c r="E1214" t="s">
        <v>4</v>
      </c>
      <c r="F1214" t="s">
        <v>43</v>
      </c>
      <c r="G1214" t="s">
        <v>5</v>
      </c>
    </row>
    <row r="1215" spans="1:7" x14ac:dyDescent="0.3">
      <c r="A1215" t="s">
        <v>26</v>
      </c>
      <c r="B1215" s="1">
        <v>45869</v>
      </c>
      <c r="C1215">
        <v>242019</v>
      </c>
      <c r="D1215">
        <v>6495.8140000000003</v>
      </c>
      <c r="E1215" t="s">
        <v>4</v>
      </c>
      <c r="F1215" t="s">
        <v>43</v>
      </c>
      <c r="G1215" t="s">
        <v>5</v>
      </c>
    </row>
    <row r="1216" spans="1:7" x14ac:dyDescent="0.3">
      <c r="A1216" t="s">
        <v>26</v>
      </c>
      <c r="B1216" s="1">
        <v>45869</v>
      </c>
      <c r="C1216">
        <v>242038</v>
      </c>
      <c r="D1216">
        <v>-11.904999999999999</v>
      </c>
      <c r="E1216" t="s">
        <v>4</v>
      </c>
      <c r="F1216" t="s">
        <v>43</v>
      </c>
      <c r="G1216" t="s">
        <v>5</v>
      </c>
    </row>
    <row r="1217" spans="1:7" x14ac:dyDescent="0.3">
      <c r="A1217" t="s">
        <v>26</v>
      </c>
      <c r="B1217" s="1">
        <v>45869</v>
      </c>
      <c r="C1217">
        <v>242041</v>
      </c>
      <c r="D1217">
        <v>-543.28399999999999</v>
      </c>
      <c r="E1217" t="s">
        <v>4</v>
      </c>
      <c r="F1217" t="s">
        <v>43</v>
      </c>
      <c r="G1217" t="s">
        <v>5</v>
      </c>
    </row>
    <row r="1218" spans="1:7" x14ac:dyDescent="0.3">
      <c r="A1218" t="s">
        <v>26</v>
      </c>
      <c r="B1218" s="1">
        <v>45869</v>
      </c>
      <c r="C1218">
        <v>243002</v>
      </c>
      <c r="D1218">
        <v>-1669.874</v>
      </c>
      <c r="E1218" t="s">
        <v>4</v>
      </c>
      <c r="F1218" t="s">
        <v>43</v>
      </c>
      <c r="G1218" t="s">
        <v>5</v>
      </c>
    </row>
    <row r="1219" spans="1:7" x14ac:dyDescent="0.3">
      <c r="A1219" t="s">
        <v>26</v>
      </c>
      <c r="B1219" s="1">
        <v>45869</v>
      </c>
      <c r="C1219">
        <v>243003</v>
      </c>
      <c r="D1219">
        <v>-8234.8860000000004</v>
      </c>
      <c r="E1219" t="s">
        <v>4</v>
      </c>
      <c r="F1219" t="s">
        <v>43</v>
      </c>
      <c r="G1219" t="s">
        <v>5</v>
      </c>
    </row>
    <row r="1220" spans="1:7" x14ac:dyDescent="0.3">
      <c r="A1220" t="s">
        <v>26</v>
      </c>
      <c r="B1220" s="1">
        <v>45869</v>
      </c>
      <c r="C1220">
        <v>243010</v>
      </c>
      <c r="D1220">
        <v>-248.99299999999999</v>
      </c>
      <c r="E1220" t="s">
        <v>4</v>
      </c>
      <c r="F1220" t="s">
        <v>43</v>
      </c>
      <c r="G1220" t="s">
        <v>5</v>
      </c>
    </row>
    <row r="1221" spans="1:7" x14ac:dyDescent="0.3">
      <c r="A1221" t="s">
        <v>26</v>
      </c>
      <c r="B1221" s="1">
        <v>45869</v>
      </c>
      <c r="C1221">
        <v>245010</v>
      </c>
      <c r="D1221">
        <v>-1834.837</v>
      </c>
      <c r="E1221" t="s">
        <v>4</v>
      </c>
      <c r="F1221" t="s">
        <v>44</v>
      </c>
      <c r="G1221" t="s">
        <v>5</v>
      </c>
    </row>
    <row r="1222" spans="1:7" x14ac:dyDescent="0.3">
      <c r="A1222" t="s">
        <v>26</v>
      </c>
      <c r="B1222" s="1">
        <v>45869</v>
      </c>
      <c r="C1222">
        <v>245062</v>
      </c>
      <c r="D1222">
        <v>-3083.643</v>
      </c>
      <c r="E1222" t="s">
        <v>4</v>
      </c>
      <c r="F1222" t="s">
        <v>43</v>
      </c>
      <c r="G1222" t="s">
        <v>5</v>
      </c>
    </row>
    <row r="1223" spans="1:7" x14ac:dyDescent="0.3">
      <c r="A1223" t="s">
        <v>26</v>
      </c>
      <c r="B1223" s="1">
        <v>45869</v>
      </c>
      <c r="C1223">
        <v>250003</v>
      </c>
      <c r="D1223">
        <v>-2111.3200000000002</v>
      </c>
      <c r="E1223" t="s">
        <v>4</v>
      </c>
      <c r="F1223" t="s">
        <v>45</v>
      </c>
      <c r="G1223" t="s">
        <v>5</v>
      </c>
    </row>
    <row r="1224" spans="1:7" x14ac:dyDescent="0.3">
      <c r="A1224" t="s">
        <v>26</v>
      </c>
      <c r="B1224" s="1">
        <v>45869</v>
      </c>
      <c r="C1224">
        <v>251002</v>
      </c>
      <c r="D1224">
        <v>-3337.5650000000001</v>
      </c>
      <c r="E1224" t="s">
        <v>4</v>
      </c>
      <c r="F1224" t="s">
        <v>45</v>
      </c>
      <c r="G1224" t="s">
        <v>5</v>
      </c>
    </row>
    <row r="1225" spans="1:7" x14ac:dyDescent="0.3">
      <c r="A1225" t="s">
        <v>26</v>
      </c>
      <c r="B1225" s="1">
        <v>45869</v>
      </c>
      <c r="C1225">
        <v>251003</v>
      </c>
      <c r="D1225">
        <v>-7741.15</v>
      </c>
      <c r="E1225" t="s">
        <v>4</v>
      </c>
      <c r="F1225" t="s">
        <v>45</v>
      </c>
      <c r="G1225" t="s">
        <v>5</v>
      </c>
    </row>
    <row r="1226" spans="1:7" x14ac:dyDescent="0.3">
      <c r="A1226" t="s">
        <v>26</v>
      </c>
      <c r="B1226" s="1">
        <v>45869</v>
      </c>
      <c r="C1226">
        <v>257005</v>
      </c>
      <c r="D1226">
        <v>-441.38299999999998</v>
      </c>
      <c r="E1226" t="s">
        <v>4</v>
      </c>
      <c r="F1226" t="s">
        <v>45</v>
      </c>
      <c r="G1226" t="s">
        <v>5</v>
      </c>
    </row>
    <row r="1227" spans="1:7" x14ac:dyDescent="0.3">
      <c r="A1227" t="s">
        <v>26</v>
      </c>
      <c r="B1227" s="1">
        <v>45869</v>
      </c>
      <c r="C1227">
        <v>257027</v>
      </c>
      <c r="D1227">
        <v>20.306999999999999</v>
      </c>
      <c r="E1227" t="s">
        <v>4</v>
      </c>
      <c r="F1227" t="s">
        <v>45</v>
      </c>
      <c r="G1227" t="s">
        <v>5</v>
      </c>
    </row>
    <row r="1228" spans="1:7" x14ac:dyDescent="0.3">
      <c r="A1228" t="s">
        <v>26</v>
      </c>
      <c r="B1228" s="1">
        <v>45869</v>
      </c>
      <c r="C1228">
        <v>257030</v>
      </c>
      <c r="D1228">
        <v>-12.420999999999999</v>
      </c>
      <c r="E1228" t="s">
        <v>4</v>
      </c>
      <c r="F1228" t="s">
        <v>45</v>
      </c>
      <c r="G1228" t="s">
        <v>5</v>
      </c>
    </row>
    <row r="1229" spans="1:7" x14ac:dyDescent="0.3">
      <c r="A1229" t="s">
        <v>26</v>
      </c>
      <c r="B1229" s="1">
        <v>45869</v>
      </c>
      <c r="C1229">
        <v>260004</v>
      </c>
      <c r="D1229">
        <v>-2307.1179999999999</v>
      </c>
      <c r="E1229" t="s">
        <v>4</v>
      </c>
      <c r="F1229" t="s">
        <v>45</v>
      </c>
      <c r="G1229" t="s">
        <v>5</v>
      </c>
    </row>
    <row r="1230" spans="1:7" x14ac:dyDescent="0.3">
      <c r="A1230" t="s">
        <v>26</v>
      </c>
      <c r="B1230" s="1">
        <v>45869</v>
      </c>
      <c r="C1230">
        <v>270025</v>
      </c>
      <c r="D1230">
        <v>2158.6480000000001</v>
      </c>
      <c r="E1230" t="s">
        <v>4</v>
      </c>
      <c r="F1230" t="s">
        <v>58</v>
      </c>
      <c r="G1230" t="s">
        <v>5</v>
      </c>
    </row>
    <row r="1231" spans="1:7" x14ac:dyDescent="0.3">
      <c r="A1231" t="s">
        <v>26</v>
      </c>
      <c r="B1231" s="1">
        <v>45869</v>
      </c>
      <c r="C1231">
        <v>270026</v>
      </c>
      <c r="D1231">
        <v>-701.245</v>
      </c>
      <c r="E1231" t="s">
        <v>4</v>
      </c>
      <c r="F1231" t="s">
        <v>58</v>
      </c>
      <c r="G1231" t="s">
        <v>5</v>
      </c>
    </row>
    <row r="1232" spans="1:7" x14ac:dyDescent="0.3">
      <c r="A1232" t="s">
        <v>26</v>
      </c>
      <c r="B1232" s="1">
        <v>45869</v>
      </c>
      <c r="C1232">
        <v>300008</v>
      </c>
      <c r="D1232">
        <v>1354.0730000000001</v>
      </c>
      <c r="E1232" t="s">
        <v>4</v>
      </c>
      <c r="F1232" t="s">
        <v>65</v>
      </c>
      <c r="G1232" t="s">
        <v>5</v>
      </c>
    </row>
    <row r="1233" spans="1:7" x14ac:dyDescent="0.3">
      <c r="A1233" t="s">
        <v>26</v>
      </c>
      <c r="B1233" s="1">
        <v>45869</v>
      </c>
      <c r="C1233">
        <v>300508</v>
      </c>
      <c r="D1233">
        <v>-500.85599999999999</v>
      </c>
      <c r="E1233" t="s">
        <v>4</v>
      </c>
      <c r="F1233" t="s">
        <v>65</v>
      </c>
      <c r="G1233" t="s">
        <v>5</v>
      </c>
    </row>
    <row r="1234" spans="1:7" x14ac:dyDescent="0.3">
      <c r="A1234" t="s">
        <v>26</v>
      </c>
      <c r="B1234" s="1">
        <v>45869</v>
      </c>
      <c r="C1234">
        <v>320002</v>
      </c>
      <c r="D1234">
        <v>65541.751000000004</v>
      </c>
      <c r="E1234" t="s">
        <v>4</v>
      </c>
      <c r="F1234" t="s">
        <v>46</v>
      </c>
      <c r="G1234" t="s">
        <v>5</v>
      </c>
    </row>
    <row r="1235" spans="1:7" x14ac:dyDescent="0.3">
      <c r="A1235" t="s">
        <v>26</v>
      </c>
      <c r="B1235" s="1">
        <v>45869</v>
      </c>
      <c r="C1235">
        <v>320003</v>
      </c>
      <c r="D1235">
        <v>1078.03</v>
      </c>
      <c r="E1235" t="s">
        <v>4</v>
      </c>
      <c r="F1235" t="s">
        <v>46</v>
      </c>
      <c r="G1235" t="s">
        <v>5</v>
      </c>
    </row>
    <row r="1236" spans="1:7" x14ac:dyDescent="0.3">
      <c r="A1236" t="s">
        <v>26</v>
      </c>
      <c r="B1236" s="1">
        <v>45869</v>
      </c>
      <c r="C1236">
        <v>320004</v>
      </c>
      <c r="D1236">
        <v>-271.39100000000002</v>
      </c>
      <c r="E1236" t="s">
        <v>4</v>
      </c>
      <c r="F1236" t="s">
        <v>46</v>
      </c>
      <c r="G1236" t="s">
        <v>5</v>
      </c>
    </row>
    <row r="1237" spans="1:7" x14ac:dyDescent="0.3">
      <c r="A1237" t="s">
        <v>26</v>
      </c>
      <c r="B1237" s="1">
        <v>45869</v>
      </c>
      <c r="C1237">
        <v>320023</v>
      </c>
      <c r="D1237">
        <v>-4415.393</v>
      </c>
      <c r="E1237" t="s">
        <v>4</v>
      </c>
      <c r="F1237" t="s">
        <v>46</v>
      </c>
      <c r="G1237" t="s">
        <v>5</v>
      </c>
    </row>
    <row r="1238" spans="1:7" x14ac:dyDescent="0.3">
      <c r="A1238" t="s">
        <v>26</v>
      </c>
      <c r="B1238" s="1">
        <v>45869</v>
      </c>
      <c r="C1238">
        <v>321002</v>
      </c>
      <c r="D1238">
        <v>15888.215</v>
      </c>
      <c r="E1238" t="s">
        <v>4</v>
      </c>
      <c r="F1238" t="s">
        <v>46</v>
      </c>
      <c r="G1238" t="s">
        <v>5</v>
      </c>
    </row>
    <row r="1239" spans="1:7" x14ac:dyDescent="0.3">
      <c r="A1239" t="s">
        <v>26</v>
      </c>
      <c r="B1239" s="1">
        <v>45869</v>
      </c>
      <c r="C1239">
        <v>321013</v>
      </c>
      <c r="D1239">
        <v>-645.45600000000002</v>
      </c>
      <c r="E1239" t="s">
        <v>4</v>
      </c>
      <c r="F1239" t="s">
        <v>46</v>
      </c>
      <c r="G1239" t="s">
        <v>5</v>
      </c>
    </row>
    <row r="1240" spans="1:7" x14ac:dyDescent="0.3">
      <c r="A1240" t="s">
        <v>26</v>
      </c>
      <c r="B1240" s="1">
        <v>45869</v>
      </c>
      <c r="C1240">
        <v>321025</v>
      </c>
      <c r="D1240">
        <v>-2621.44</v>
      </c>
      <c r="E1240" t="s">
        <v>4</v>
      </c>
      <c r="F1240" t="s">
        <v>46</v>
      </c>
      <c r="G1240" t="s">
        <v>5</v>
      </c>
    </row>
    <row r="1241" spans="1:7" x14ac:dyDescent="0.3">
      <c r="A1241" t="s">
        <v>26</v>
      </c>
      <c r="B1241" s="1">
        <v>45869</v>
      </c>
      <c r="C1241">
        <v>321028</v>
      </c>
      <c r="D1241">
        <v>-32.445999999999998</v>
      </c>
      <c r="E1241" t="s">
        <v>4</v>
      </c>
      <c r="F1241" t="s">
        <v>46</v>
      </c>
      <c r="G1241" t="s">
        <v>5</v>
      </c>
    </row>
    <row r="1242" spans="1:7" x14ac:dyDescent="0.3">
      <c r="A1242" t="s">
        <v>26</v>
      </c>
      <c r="B1242" s="1">
        <v>45869</v>
      </c>
      <c r="C1242">
        <v>321029</v>
      </c>
      <c r="D1242">
        <v>1672.5070000000001</v>
      </c>
      <c r="E1242" t="s">
        <v>4</v>
      </c>
      <c r="F1242" t="s">
        <v>46</v>
      </c>
      <c r="G1242" t="s">
        <v>5</v>
      </c>
    </row>
    <row r="1243" spans="1:7" x14ac:dyDescent="0.3">
      <c r="A1243" t="s">
        <v>26</v>
      </c>
      <c r="B1243" s="1">
        <v>45869</v>
      </c>
      <c r="C1243">
        <v>321036</v>
      </c>
      <c r="D1243">
        <v>223.80099999999999</v>
      </c>
      <c r="E1243" t="s">
        <v>4</v>
      </c>
      <c r="F1243" t="s">
        <v>46</v>
      </c>
      <c r="G1243" t="s">
        <v>5</v>
      </c>
    </row>
    <row r="1244" spans="1:7" x14ac:dyDescent="0.3">
      <c r="A1244" t="s">
        <v>26</v>
      </c>
      <c r="B1244" s="1">
        <v>45869</v>
      </c>
      <c r="C1244">
        <v>321042</v>
      </c>
      <c r="D1244">
        <v>-1690.133</v>
      </c>
      <c r="E1244" t="s">
        <v>4</v>
      </c>
      <c r="F1244" t="s">
        <v>46</v>
      </c>
      <c r="G1244" t="s">
        <v>5</v>
      </c>
    </row>
    <row r="1245" spans="1:7" x14ac:dyDescent="0.3">
      <c r="A1245" t="s">
        <v>26</v>
      </c>
      <c r="B1245" s="1">
        <v>45869</v>
      </c>
      <c r="C1245">
        <v>330020</v>
      </c>
      <c r="D1245">
        <v>-1493.5930000000001</v>
      </c>
      <c r="E1245" t="s">
        <v>4</v>
      </c>
      <c r="F1245" t="s">
        <v>43</v>
      </c>
      <c r="G1245" t="s">
        <v>5</v>
      </c>
    </row>
    <row r="1246" spans="1:7" x14ac:dyDescent="0.3">
      <c r="A1246" t="s">
        <v>26</v>
      </c>
      <c r="B1246" s="1">
        <v>45869</v>
      </c>
      <c r="C1246">
        <v>330147</v>
      </c>
      <c r="D1246">
        <v>2428.8580000000002</v>
      </c>
      <c r="E1246" t="s">
        <v>4</v>
      </c>
      <c r="F1246" t="s">
        <v>43</v>
      </c>
      <c r="G1246" t="s">
        <v>5</v>
      </c>
    </row>
    <row r="1247" spans="1:7" x14ac:dyDescent="0.3">
      <c r="A1247" t="s">
        <v>26</v>
      </c>
      <c r="B1247" s="1">
        <v>45869</v>
      </c>
      <c r="C1247">
        <v>340031</v>
      </c>
      <c r="D1247">
        <v>300093.511</v>
      </c>
      <c r="E1247" t="s">
        <v>4</v>
      </c>
      <c r="F1247" t="s">
        <v>47</v>
      </c>
      <c r="G1247" t="s">
        <v>5</v>
      </c>
    </row>
    <row r="1248" spans="1:7" x14ac:dyDescent="0.3">
      <c r="A1248" t="s">
        <v>26</v>
      </c>
      <c r="B1248" s="1">
        <v>45869</v>
      </c>
      <c r="C1248">
        <v>350002</v>
      </c>
      <c r="D1248">
        <v>1437.3430000000001</v>
      </c>
      <c r="E1248" t="s">
        <v>4</v>
      </c>
      <c r="F1248" t="s">
        <v>49</v>
      </c>
      <c r="G1248" t="s">
        <v>5</v>
      </c>
    </row>
    <row r="1249" spans="1:7" x14ac:dyDescent="0.3">
      <c r="A1249" t="s">
        <v>26</v>
      </c>
      <c r="B1249" s="1">
        <v>45869</v>
      </c>
      <c r="C1249">
        <v>350003</v>
      </c>
      <c r="D1249">
        <v>-425.68200000000002</v>
      </c>
      <c r="E1249" t="s">
        <v>4</v>
      </c>
      <c r="F1249" t="s">
        <v>49</v>
      </c>
      <c r="G1249" t="s">
        <v>5</v>
      </c>
    </row>
    <row r="1250" spans="1:7" x14ac:dyDescent="0.3">
      <c r="A1250" t="s">
        <v>26</v>
      </c>
      <c r="B1250" s="1">
        <v>45869</v>
      </c>
      <c r="C1250">
        <v>350031</v>
      </c>
      <c r="D1250">
        <v>495.20600000000002</v>
      </c>
      <c r="E1250" t="s">
        <v>4</v>
      </c>
      <c r="F1250" t="s">
        <v>43</v>
      </c>
      <c r="G1250" t="s">
        <v>5</v>
      </c>
    </row>
    <row r="1251" spans="1:7" x14ac:dyDescent="0.3">
      <c r="A1251" t="s">
        <v>26</v>
      </c>
      <c r="B1251" s="1">
        <v>45869</v>
      </c>
      <c r="C1251">
        <v>352002</v>
      </c>
      <c r="D1251">
        <v>1682.133</v>
      </c>
      <c r="E1251" t="s">
        <v>4</v>
      </c>
      <c r="F1251" t="s">
        <v>48</v>
      </c>
      <c r="G1251" t="s">
        <v>5</v>
      </c>
    </row>
    <row r="1252" spans="1:7" x14ac:dyDescent="0.3">
      <c r="A1252" t="s">
        <v>26</v>
      </c>
      <c r="B1252" s="1">
        <v>45869</v>
      </c>
      <c r="C1252">
        <v>354013</v>
      </c>
      <c r="D1252">
        <v>21614.072</v>
      </c>
      <c r="E1252" t="s">
        <v>4</v>
      </c>
      <c r="F1252" t="s">
        <v>46</v>
      </c>
      <c r="G1252" t="s">
        <v>5</v>
      </c>
    </row>
    <row r="1253" spans="1:7" x14ac:dyDescent="0.3">
      <c r="A1253" t="s">
        <v>26</v>
      </c>
      <c r="B1253" s="1">
        <v>45869</v>
      </c>
      <c r="C1253">
        <v>354015</v>
      </c>
      <c r="D1253">
        <v>7190.0590000000002</v>
      </c>
      <c r="E1253" t="s">
        <v>4</v>
      </c>
      <c r="F1253" t="s">
        <v>46</v>
      </c>
      <c r="G1253" t="s">
        <v>5</v>
      </c>
    </row>
    <row r="1254" spans="1:7" x14ac:dyDescent="0.3">
      <c r="A1254" t="s">
        <v>26</v>
      </c>
      <c r="B1254" s="1">
        <v>45869</v>
      </c>
      <c r="C1254">
        <v>360030</v>
      </c>
      <c r="D1254">
        <v>736.22199999999998</v>
      </c>
      <c r="E1254" t="s">
        <v>4</v>
      </c>
      <c r="F1254" t="s">
        <v>58</v>
      </c>
      <c r="G1254" t="s">
        <v>5</v>
      </c>
    </row>
    <row r="1255" spans="1:7" x14ac:dyDescent="0.3">
      <c r="A1255" t="s">
        <v>26</v>
      </c>
      <c r="B1255" s="1">
        <v>45869</v>
      </c>
      <c r="C1255">
        <v>372004</v>
      </c>
      <c r="D1255">
        <v>2072.1179999999999</v>
      </c>
      <c r="E1255" t="s">
        <v>4</v>
      </c>
      <c r="F1255" t="s">
        <v>45</v>
      </c>
      <c r="G1255" t="s">
        <v>5</v>
      </c>
    </row>
    <row r="1256" spans="1:7" x14ac:dyDescent="0.3">
      <c r="A1256" t="s">
        <v>26</v>
      </c>
      <c r="B1256" s="1">
        <v>45869</v>
      </c>
      <c r="C1256">
        <v>400002</v>
      </c>
      <c r="D1256">
        <v>-19848.971000000001</v>
      </c>
      <c r="E1256" t="s">
        <v>6</v>
      </c>
      <c r="F1256" t="s">
        <v>50</v>
      </c>
      <c r="G1256" t="s">
        <v>5</v>
      </c>
    </row>
    <row r="1257" spans="1:7" x14ac:dyDescent="0.3">
      <c r="A1257" t="s">
        <v>26</v>
      </c>
      <c r="B1257" s="1">
        <v>45869</v>
      </c>
      <c r="C1257">
        <v>400004</v>
      </c>
      <c r="D1257">
        <v>-49781.322999999997</v>
      </c>
      <c r="E1257" t="s">
        <v>6</v>
      </c>
      <c r="F1257" t="s">
        <v>50</v>
      </c>
      <c r="G1257" t="s">
        <v>5</v>
      </c>
    </row>
    <row r="1258" spans="1:7" x14ac:dyDescent="0.3">
      <c r="A1258" t="s">
        <v>26</v>
      </c>
      <c r="B1258" s="1">
        <v>45869</v>
      </c>
      <c r="C1258">
        <v>410002</v>
      </c>
      <c r="D1258">
        <v>-22128.517</v>
      </c>
      <c r="E1258" t="s">
        <v>6</v>
      </c>
      <c r="F1258" t="s">
        <v>51</v>
      </c>
      <c r="G1258" t="s">
        <v>5</v>
      </c>
    </row>
    <row r="1259" spans="1:7" x14ac:dyDescent="0.3">
      <c r="A1259" t="s">
        <v>26</v>
      </c>
      <c r="B1259" s="1">
        <v>45869</v>
      </c>
      <c r="C1259">
        <v>410035</v>
      </c>
      <c r="D1259">
        <v>-220.27099999999999</v>
      </c>
      <c r="E1259" t="s">
        <v>6</v>
      </c>
      <c r="F1259" t="s">
        <v>51</v>
      </c>
      <c r="G1259" t="s">
        <v>5</v>
      </c>
    </row>
    <row r="1260" spans="1:7" x14ac:dyDescent="0.3">
      <c r="A1260" t="s">
        <v>26</v>
      </c>
      <c r="B1260" s="1">
        <v>45869</v>
      </c>
      <c r="C1260">
        <v>410036</v>
      </c>
      <c r="D1260">
        <v>3523.3870000000002</v>
      </c>
      <c r="E1260" t="s">
        <v>6</v>
      </c>
      <c r="F1260" t="s">
        <v>51</v>
      </c>
      <c r="G1260" t="s">
        <v>5</v>
      </c>
    </row>
    <row r="1261" spans="1:7" x14ac:dyDescent="0.3">
      <c r="A1261" t="s">
        <v>26</v>
      </c>
      <c r="B1261" s="1">
        <v>45869</v>
      </c>
      <c r="C1261">
        <v>410037</v>
      </c>
      <c r="D1261">
        <v>-6641.9780000000001</v>
      </c>
      <c r="E1261" t="s">
        <v>6</v>
      </c>
      <c r="F1261" t="s">
        <v>51</v>
      </c>
      <c r="G1261" t="s">
        <v>5</v>
      </c>
    </row>
    <row r="1262" spans="1:7" x14ac:dyDescent="0.3">
      <c r="A1262" t="s">
        <v>26</v>
      </c>
      <c r="B1262" s="1">
        <v>45869</v>
      </c>
      <c r="C1262">
        <v>421002</v>
      </c>
      <c r="D1262">
        <v>-29.338999999999999</v>
      </c>
      <c r="E1262" t="s">
        <v>6</v>
      </c>
      <c r="F1262" t="s">
        <v>52</v>
      </c>
      <c r="G1262" t="s">
        <v>5</v>
      </c>
    </row>
    <row r="1263" spans="1:7" x14ac:dyDescent="0.3">
      <c r="A1263" t="s">
        <v>26</v>
      </c>
      <c r="B1263" s="1">
        <v>45869</v>
      </c>
      <c r="C1263">
        <v>421003</v>
      </c>
      <c r="D1263">
        <v>156.21100000000001</v>
      </c>
      <c r="E1263" t="s">
        <v>6</v>
      </c>
      <c r="F1263" t="s">
        <v>52</v>
      </c>
      <c r="G1263" t="s">
        <v>5</v>
      </c>
    </row>
    <row r="1264" spans="1:7" x14ac:dyDescent="0.3">
      <c r="A1264" t="s">
        <v>26</v>
      </c>
      <c r="B1264" s="1">
        <v>45869</v>
      </c>
      <c r="C1264">
        <v>421007</v>
      </c>
      <c r="D1264">
        <v>571.16399999999999</v>
      </c>
      <c r="E1264" t="s">
        <v>6</v>
      </c>
      <c r="F1264" t="s">
        <v>52</v>
      </c>
      <c r="G1264" t="s">
        <v>5</v>
      </c>
    </row>
    <row r="1265" spans="1:7" x14ac:dyDescent="0.3">
      <c r="A1265" t="s">
        <v>26</v>
      </c>
      <c r="B1265" s="1">
        <v>45869</v>
      </c>
      <c r="C1265">
        <v>510002</v>
      </c>
      <c r="D1265">
        <v>26962.698</v>
      </c>
      <c r="E1265" t="s">
        <v>6</v>
      </c>
      <c r="F1265" t="s">
        <v>53</v>
      </c>
      <c r="G1265" t="s">
        <v>5</v>
      </c>
    </row>
    <row r="1266" spans="1:7" x14ac:dyDescent="0.3">
      <c r="A1266" t="s">
        <v>26</v>
      </c>
      <c r="B1266" s="1">
        <v>45869</v>
      </c>
      <c r="C1266">
        <v>510005</v>
      </c>
      <c r="D1266">
        <v>-536.35199999999998</v>
      </c>
      <c r="E1266" t="s">
        <v>6</v>
      </c>
      <c r="F1266" t="s">
        <v>53</v>
      </c>
      <c r="G1266" t="s">
        <v>5</v>
      </c>
    </row>
    <row r="1267" spans="1:7" x14ac:dyDescent="0.3">
      <c r="A1267" t="s">
        <v>26</v>
      </c>
      <c r="B1267" s="1">
        <v>45869</v>
      </c>
      <c r="C1267">
        <v>510007</v>
      </c>
      <c r="D1267">
        <v>2525.9699999999998</v>
      </c>
      <c r="E1267" t="s">
        <v>6</v>
      </c>
      <c r="F1267" t="s">
        <v>53</v>
      </c>
      <c r="G1267" t="s">
        <v>5</v>
      </c>
    </row>
    <row r="1268" spans="1:7" x14ac:dyDescent="0.3">
      <c r="A1268" t="s">
        <v>26</v>
      </c>
      <c r="B1268" s="1">
        <v>45869</v>
      </c>
      <c r="C1268">
        <v>510048</v>
      </c>
      <c r="D1268">
        <v>88.623000000000005</v>
      </c>
      <c r="E1268" t="s">
        <v>6</v>
      </c>
      <c r="F1268" t="s">
        <v>61</v>
      </c>
      <c r="G1268" t="s">
        <v>5</v>
      </c>
    </row>
    <row r="1269" spans="1:7" x14ac:dyDescent="0.3">
      <c r="A1269" t="s">
        <v>26</v>
      </c>
      <c r="B1269" s="1">
        <v>45869</v>
      </c>
      <c r="C1269">
        <v>510065</v>
      </c>
      <c r="D1269">
        <v>89.597999999999999</v>
      </c>
      <c r="E1269" t="s">
        <v>6</v>
      </c>
      <c r="F1269" t="s">
        <v>53</v>
      </c>
      <c r="G1269" t="s">
        <v>5</v>
      </c>
    </row>
    <row r="1270" spans="1:7" x14ac:dyDescent="0.3">
      <c r="A1270" t="s">
        <v>26</v>
      </c>
      <c r="B1270" s="1">
        <v>45869</v>
      </c>
      <c r="C1270">
        <v>520020</v>
      </c>
      <c r="D1270">
        <v>-89.052999999999997</v>
      </c>
      <c r="E1270" t="s">
        <v>6</v>
      </c>
      <c r="F1270" t="s">
        <v>53</v>
      </c>
      <c r="G1270" t="s">
        <v>5</v>
      </c>
    </row>
    <row r="1271" spans="1:7" x14ac:dyDescent="0.3">
      <c r="A1271" t="s">
        <v>26</v>
      </c>
      <c r="B1271" s="1">
        <v>45869</v>
      </c>
      <c r="C1271">
        <v>520021</v>
      </c>
      <c r="D1271">
        <v>118.02200000000001</v>
      </c>
      <c r="E1271" t="s">
        <v>6</v>
      </c>
      <c r="F1271" t="s">
        <v>60</v>
      </c>
      <c r="G1271" t="s">
        <v>5</v>
      </c>
    </row>
    <row r="1272" spans="1:7" x14ac:dyDescent="0.3">
      <c r="A1272" t="s">
        <v>26</v>
      </c>
      <c r="B1272" s="1">
        <v>45869</v>
      </c>
      <c r="C1272">
        <v>541004</v>
      </c>
      <c r="D1272">
        <v>26.63</v>
      </c>
      <c r="E1272" t="s">
        <v>6</v>
      </c>
      <c r="F1272" t="s">
        <v>61</v>
      </c>
      <c r="G1272" t="s">
        <v>5</v>
      </c>
    </row>
    <row r="1273" spans="1:7" x14ac:dyDescent="0.3">
      <c r="A1273" t="s">
        <v>26</v>
      </c>
      <c r="B1273" s="1">
        <v>45869</v>
      </c>
      <c r="C1273">
        <v>541010</v>
      </c>
      <c r="D1273">
        <v>186.31899999999999</v>
      </c>
      <c r="E1273" t="s">
        <v>6</v>
      </c>
      <c r="F1273" t="s">
        <v>61</v>
      </c>
      <c r="G1273" t="s">
        <v>5</v>
      </c>
    </row>
    <row r="1274" spans="1:7" x14ac:dyDescent="0.3">
      <c r="A1274" t="s">
        <v>26</v>
      </c>
      <c r="B1274" s="1">
        <v>45869</v>
      </c>
      <c r="C1274">
        <v>544006</v>
      </c>
      <c r="D1274">
        <v>134.084</v>
      </c>
      <c r="E1274" t="s">
        <v>6</v>
      </c>
      <c r="F1274" t="s">
        <v>61</v>
      </c>
      <c r="G1274" t="s">
        <v>5</v>
      </c>
    </row>
    <row r="1275" spans="1:7" x14ac:dyDescent="0.3">
      <c r="A1275" t="s">
        <v>26</v>
      </c>
      <c r="B1275" s="1">
        <v>45869</v>
      </c>
      <c r="C1275">
        <v>546002</v>
      </c>
      <c r="D1275">
        <v>42314.118999999999</v>
      </c>
      <c r="E1275" t="s">
        <v>6</v>
      </c>
      <c r="F1275" t="s">
        <v>51</v>
      </c>
      <c r="G1275" t="s">
        <v>5</v>
      </c>
    </row>
    <row r="1276" spans="1:7" x14ac:dyDescent="0.3">
      <c r="A1276" t="s">
        <v>26</v>
      </c>
      <c r="B1276" s="1">
        <v>45869</v>
      </c>
      <c r="C1276">
        <v>546008</v>
      </c>
      <c r="D1276">
        <v>11.314</v>
      </c>
      <c r="E1276" t="s">
        <v>6</v>
      </c>
      <c r="F1276" t="s">
        <v>51</v>
      </c>
      <c r="G1276" t="s">
        <v>5</v>
      </c>
    </row>
    <row r="1277" spans="1:7" x14ac:dyDescent="0.3">
      <c r="A1277" t="s">
        <v>26</v>
      </c>
      <c r="B1277" s="1">
        <v>45869</v>
      </c>
      <c r="C1277">
        <v>546013</v>
      </c>
      <c r="D1277">
        <v>2907.4380000000001</v>
      </c>
      <c r="E1277" t="s">
        <v>6</v>
      </c>
      <c r="F1277" t="s">
        <v>51</v>
      </c>
      <c r="G1277" t="s">
        <v>5</v>
      </c>
    </row>
    <row r="1278" spans="1:7" x14ac:dyDescent="0.3">
      <c r="A1278" t="s">
        <v>26</v>
      </c>
      <c r="B1278" s="1">
        <v>45869</v>
      </c>
      <c r="C1278">
        <v>546015</v>
      </c>
      <c r="D1278">
        <v>-74.442999999999998</v>
      </c>
      <c r="E1278" t="s">
        <v>6</v>
      </c>
      <c r="F1278" t="s">
        <v>51</v>
      </c>
      <c r="G1278" t="s">
        <v>5</v>
      </c>
    </row>
    <row r="1279" spans="1:7" x14ac:dyDescent="0.3">
      <c r="A1279" t="s">
        <v>26</v>
      </c>
      <c r="B1279" s="1">
        <v>45869</v>
      </c>
      <c r="C1279">
        <v>550002</v>
      </c>
      <c r="D1279">
        <v>27748.886999999999</v>
      </c>
      <c r="E1279" t="s">
        <v>6</v>
      </c>
      <c r="F1279" t="s">
        <v>62</v>
      </c>
      <c r="G1279" t="s">
        <v>5</v>
      </c>
    </row>
    <row r="1280" spans="1:7" x14ac:dyDescent="0.3">
      <c r="A1280" t="s">
        <v>26</v>
      </c>
      <c r="B1280" s="1">
        <v>45869</v>
      </c>
      <c r="C1280">
        <v>550003</v>
      </c>
      <c r="D1280">
        <v>628.68899999999996</v>
      </c>
      <c r="E1280" t="s">
        <v>6</v>
      </c>
      <c r="F1280" t="s">
        <v>62</v>
      </c>
      <c r="G1280" t="s">
        <v>5</v>
      </c>
    </row>
    <row r="1281" spans="1:7" x14ac:dyDescent="0.3">
      <c r="A1281" t="s">
        <v>26</v>
      </c>
      <c r="B1281" s="1">
        <v>45869</v>
      </c>
      <c r="C1281">
        <v>551003</v>
      </c>
      <c r="D1281">
        <v>578.14499999999998</v>
      </c>
      <c r="E1281" t="s">
        <v>6</v>
      </c>
      <c r="F1281" t="s">
        <v>63</v>
      </c>
      <c r="G1281" t="s">
        <v>5</v>
      </c>
    </row>
    <row r="1282" spans="1:7" x14ac:dyDescent="0.3">
      <c r="A1282" t="s">
        <v>26</v>
      </c>
      <c r="B1282" s="1">
        <v>45869</v>
      </c>
      <c r="C1282">
        <v>552502</v>
      </c>
      <c r="D1282">
        <v>2191.6950000000002</v>
      </c>
      <c r="E1282" t="s">
        <v>6</v>
      </c>
      <c r="F1282" t="s">
        <v>55</v>
      </c>
      <c r="G1282" t="s">
        <v>5</v>
      </c>
    </row>
    <row r="1283" spans="1:7" x14ac:dyDescent="0.3">
      <c r="A1283" t="s">
        <v>26</v>
      </c>
      <c r="B1283" s="1">
        <v>45869</v>
      </c>
      <c r="C1283">
        <v>555508</v>
      </c>
      <c r="D1283">
        <v>6.3949999999999996</v>
      </c>
      <c r="E1283" t="s">
        <v>6</v>
      </c>
      <c r="F1283" t="s">
        <v>55</v>
      </c>
      <c r="G1283" t="s">
        <v>5</v>
      </c>
    </row>
    <row r="1284" spans="1:7" x14ac:dyDescent="0.3">
      <c r="A1284" t="s">
        <v>26</v>
      </c>
      <c r="B1284" s="1">
        <v>45869</v>
      </c>
      <c r="C1284">
        <v>556002</v>
      </c>
      <c r="D1284">
        <v>93.343000000000004</v>
      </c>
      <c r="E1284" t="s">
        <v>6</v>
      </c>
      <c r="F1284" t="s">
        <v>60</v>
      </c>
      <c r="G1284" t="s">
        <v>5</v>
      </c>
    </row>
    <row r="1285" spans="1:7" x14ac:dyDescent="0.3">
      <c r="A1285" t="s">
        <v>26</v>
      </c>
      <c r="B1285" s="1">
        <v>45869</v>
      </c>
      <c r="C1285">
        <v>557002</v>
      </c>
      <c r="D1285">
        <v>1065.56</v>
      </c>
      <c r="E1285" t="s">
        <v>6</v>
      </c>
      <c r="F1285" t="s">
        <v>56</v>
      </c>
      <c r="G1285" t="s">
        <v>5</v>
      </c>
    </row>
    <row r="1286" spans="1:7" x14ac:dyDescent="0.3">
      <c r="A1286" t="s">
        <v>26</v>
      </c>
      <c r="B1286" s="1">
        <v>45869</v>
      </c>
      <c r="C1286">
        <v>558006</v>
      </c>
      <c r="D1286">
        <v>-592.68499999999995</v>
      </c>
      <c r="E1286" t="s">
        <v>6</v>
      </c>
      <c r="F1286" t="s">
        <v>57</v>
      </c>
      <c r="G1286" t="s">
        <v>5</v>
      </c>
    </row>
    <row r="1287" spans="1:7" x14ac:dyDescent="0.3">
      <c r="A1287" t="s">
        <v>26</v>
      </c>
      <c r="B1287" s="1">
        <v>45869</v>
      </c>
      <c r="C1287">
        <v>558012</v>
      </c>
      <c r="D1287">
        <v>5.0010000000000003</v>
      </c>
      <c r="E1287" t="s">
        <v>6</v>
      </c>
      <c r="F1287" t="s">
        <v>60</v>
      </c>
      <c r="G1287" t="s">
        <v>5</v>
      </c>
    </row>
    <row r="1288" spans="1:7" x14ac:dyDescent="0.3">
      <c r="A1288" t="s">
        <v>26</v>
      </c>
      <c r="B1288" s="1">
        <v>45869</v>
      </c>
      <c r="C1288">
        <v>559002</v>
      </c>
      <c r="D1288">
        <v>16.556000000000001</v>
      </c>
      <c r="E1288" t="s">
        <v>6</v>
      </c>
      <c r="F1288" t="s">
        <v>60</v>
      </c>
      <c r="G1288" t="s">
        <v>5</v>
      </c>
    </row>
    <row r="1289" spans="1:7" x14ac:dyDescent="0.3">
      <c r="A1289" t="s">
        <v>26</v>
      </c>
      <c r="B1289" s="1">
        <v>45869</v>
      </c>
      <c r="C1289">
        <v>560008</v>
      </c>
      <c r="D1289">
        <v>406.541</v>
      </c>
      <c r="E1289" t="s">
        <v>6</v>
      </c>
      <c r="F1289" t="s">
        <v>56</v>
      </c>
      <c r="G1289" t="s">
        <v>5</v>
      </c>
    </row>
    <row r="1290" spans="1:7" x14ac:dyDescent="0.3">
      <c r="A1290" t="s">
        <v>26</v>
      </c>
      <c r="B1290" s="1">
        <v>45869</v>
      </c>
      <c r="C1290">
        <v>563002</v>
      </c>
      <c r="D1290">
        <v>1110.396</v>
      </c>
      <c r="E1290" t="s">
        <v>6</v>
      </c>
      <c r="F1290" t="s">
        <v>57</v>
      </c>
      <c r="G1290" t="s">
        <v>5</v>
      </c>
    </row>
    <row r="1291" spans="1:7" x14ac:dyDescent="0.3">
      <c r="A1291" t="s">
        <v>26</v>
      </c>
      <c r="B1291" s="1">
        <v>45869</v>
      </c>
      <c r="C1291">
        <v>564006</v>
      </c>
      <c r="D1291">
        <v>-1E-3</v>
      </c>
      <c r="E1291" t="s">
        <v>6</v>
      </c>
      <c r="F1291" t="s">
        <v>57</v>
      </c>
      <c r="G1291" t="s">
        <v>5</v>
      </c>
    </row>
    <row r="1292" spans="1:7" x14ac:dyDescent="0.3">
      <c r="A1292" t="s">
        <v>26</v>
      </c>
      <c r="B1292" s="1">
        <v>45869</v>
      </c>
      <c r="C1292">
        <v>564019</v>
      </c>
      <c r="D1292">
        <v>9498.06</v>
      </c>
      <c r="E1292" t="s">
        <v>6</v>
      </c>
      <c r="F1292" t="s">
        <v>51</v>
      </c>
      <c r="G1292" t="s">
        <v>5</v>
      </c>
    </row>
    <row r="1293" spans="1:7" x14ac:dyDescent="0.3">
      <c r="A1293" t="s">
        <v>26</v>
      </c>
      <c r="B1293" s="1">
        <v>45869</v>
      </c>
      <c r="C1293">
        <v>564020</v>
      </c>
      <c r="D1293">
        <v>115.627</v>
      </c>
      <c r="E1293" t="s">
        <v>6</v>
      </c>
      <c r="F1293" t="s">
        <v>57</v>
      </c>
      <c r="G1293" t="s">
        <v>5</v>
      </c>
    </row>
    <row r="1294" spans="1:7" x14ac:dyDescent="0.3">
      <c r="A1294" t="s">
        <v>26</v>
      </c>
      <c r="B1294" s="1">
        <v>45869</v>
      </c>
      <c r="C1294">
        <v>564021</v>
      </c>
      <c r="D1294">
        <v>0.876</v>
      </c>
      <c r="E1294" t="s">
        <v>6</v>
      </c>
      <c r="F1294" t="s">
        <v>57</v>
      </c>
      <c r="G1294" t="s">
        <v>5</v>
      </c>
    </row>
    <row r="1295" spans="1:7" x14ac:dyDescent="0.3">
      <c r="A1295" t="s">
        <v>26</v>
      </c>
      <c r="B1295" s="1">
        <v>45869</v>
      </c>
      <c r="C1295">
        <v>570002</v>
      </c>
      <c r="D1295">
        <v>81.225999999999999</v>
      </c>
      <c r="E1295" t="s">
        <v>6</v>
      </c>
      <c r="F1295" t="s">
        <v>66</v>
      </c>
      <c r="G1295" t="s">
        <v>5</v>
      </c>
    </row>
    <row r="1296" spans="1:7" x14ac:dyDescent="0.3">
      <c r="A1296" t="s">
        <v>27</v>
      </c>
      <c r="B1296" s="1">
        <v>45869</v>
      </c>
      <c r="C1296">
        <v>220006</v>
      </c>
      <c r="D1296">
        <v>4285.4750000000004</v>
      </c>
      <c r="E1296" t="s">
        <v>4</v>
      </c>
      <c r="F1296" t="s">
        <v>42</v>
      </c>
      <c r="G1296" t="s">
        <v>8</v>
      </c>
    </row>
    <row r="1297" spans="1:7" x14ac:dyDescent="0.3">
      <c r="A1297" t="s">
        <v>27</v>
      </c>
      <c r="B1297" s="1">
        <v>45869</v>
      </c>
      <c r="C1297">
        <v>240002</v>
      </c>
      <c r="D1297">
        <v>-90.593999999999994</v>
      </c>
      <c r="E1297" t="s">
        <v>4</v>
      </c>
      <c r="F1297" t="s">
        <v>43</v>
      </c>
      <c r="G1297" t="s">
        <v>8</v>
      </c>
    </row>
    <row r="1298" spans="1:7" x14ac:dyDescent="0.3">
      <c r="A1298" t="s">
        <v>27</v>
      </c>
      <c r="B1298" s="1">
        <v>45869</v>
      </c>
      <c r="C1298">
        <v>243002</v>
      </c>
      <c r="D1298">
        <v>-544.35599999999999</v>
      </c>
      <c r="E1298" t="s">
        <v>4</v>
      </c>
      <c r="F1298" t="s">
        <v>43</v>
      </c>
      <c r="G1298" t="s">
        <v>8</v>
      </c>
    </row>
    <row r="1299" spans="1:7" x14ac:dyDescent="0.3">
      <c r="A1299" t="s">
        <v>27</v>
      </c>
      <c r="B1299" s="1">
        <v>45869</v>
      </c>
      <c r="C1299">
        <v>330141</v>
      </c>
      <c r="D1299">
        <v>-4065.7130000000002</v>
      </c>
      <c r="E1299" t="s">
        <v>4</v>
      </c>
      <c r="F1299" t="s">
        <v>43</v>
      </c>
      <c r="G1299" t="s">
        <v>8</v>
      </c>
    </row>
    <row r="1300" spans="1:7" x14ac:dyDescent="0.3">
      <c r="A1300" t="s">
        <v>27</v>
      </c>
      <c r="B1300" s="1">
        <v>45869</v>
      </c>
      <c r="C1300">
        <v>355002</v>
      </c>
      <c r="D1300">
        <v>141.52600000000001</v>
      </c>
      <c r="E1300" t="s">
        <v>4</v>
      </c>
      <c r="F1300" t="s">
        <v>49</v>
      </c>
      <c r="G1300" t="s">
        <v>8</v>
      </c>
    </row>
    <row r="1301" spans="1:7" x14ac:dyDescent="0.3">
      <c r="A1301" t="s">
        <v>27</v>
      </c>
      <c r="B1301" s="1">
        <v>45869</v>
      </c>
      <c r="C1301">
        <v>552502</v>
      </c>
      <c r="D1301">
        <v>14.313000000000001</v>
      </c>
      <c r="E1301" t="s">
        <v>6</v>
      </c>
      <c r="F1301" t="s">
        <v>55</v>
      </c>
      <c r="G1301" t="s">
        <v>8</v>
      </c>
    </row>
    <row r="1302" spans="1:7" x14ac:dyDescent="0.3">
      <c r="A1302" t="s">
        <v>27</v>
      </c>
      <c r="B1302" s="1">
        <v>45869</v>
      </c>
      <c r="C1302">
        <v>557002</v>
      </c>
      <c r="D1302">
        <v>225.18899999999999</v>
      </c>
      <c r="E1302" t="s">
        <v>6</v>
      </c>
      <c r="F1302" t="s">
        <v>56</v>
      </c>
      <c r="G1302" t="s">
        <v>8</v>
      </c>
    </row>
    <row r="1303" spans="1:7" x14ac:dyDescent="0.3">
      <c r="A1303" t="s">
        <v>27</v>
      </c>
      <c r="B1303" s="1">
        <v>45869</v>
      </c>
      <c r="C1303">
        <v>557003</v>
      </c>
      <c r="D1303">
        <v>36.950000000000003</v>
      </c>
      <c r="E1303" t="s">
        <v>6</v>
      </c>
      <c r="F1303" t="s">
        <v>56</v>
      </c>
      <c r="G1303" t="s">
        <v>8</v>
      </c>
    </row>
    <row r="1304" spans="1:7" x14ac:dyDescent="0.3">
      <c r="A1304" t="s">
        <v>28</v>
      </c>
      <c r="B1304" s="1">
        <v>45869</v>
      </c>
      <c r="C1304">
        <v>220006</v>
      </c>
      <c r="D1304">
        <v>36077.531000000003</v>
      </c>
      <c r="E1304" t="s">
        <v>4</v>
      </c>
      <c r="F1304" t="s">
        <v>42</v>
      </c>
      <c r="G1304" t="s">
        <v>8</v>
      </c>
    </row>
    <row r="1305" spans="1:7" x14ac:dyDescent="0.3">
      <c r="A1305" t="s">
        <v>28</v>
      </c>
      <c r="B1305" s="1">
        <v>45869</v>
      </c>
      <c r="C1305">
        <v>240002</v>
      </c>
      <c r="D1305">
        <v>-70.078999999999994</v>
      </c>
      <c r="E1305" t="s">
        <v>4</v>
      </c>
      <c r="F1305" t="s">
        <v>43</v>
      </c>
      <c r="G1305" t="s">
        <v>8</v>
      </c>
    </row>
    <row r="1306" spans="1:7" x14ac:dyDescent="0.3">
      <c r="A1306" t="s">
        <v>28</v>
      </c>
      <c r="B1306" s="1">
        <v>45869</v>
      </c>
      <c r="C1306">
        <v>240003</v>
      </c>
      <c r="D1306">
        <v>15.93</v>
      </c>
      <c r="E1306" t="s">
        <v>4</v>
      </c>
      <c r="F1306" t="s">
        <v>43</v>
      </c>
      <c r="G1306" t="s">
        <v>8</v>
      </c>
    </row>
    <row r="1307" spans="1:7" x14ac:dyDescent="0.3">
      <c r="A1307" t="s">
        <v>28</v>
      </c>
      <c r="B1307" s="1">
        <v>45869</v>
      </c>
      <c r="C1307">
        <v>240009</v>
      </c>
      <c r="D1307">
        <v>-14.593999999999999</v>
      </c>
      <c r="E1307" t="s">
        <v>4</v>
      </c>
      <c r="F1307" t="s">
        <v>43</v>
      </c>
      <c r="G1307" t="s">
        <v>8</v>
      </c>
    </row>
    <row r="1308" spans="1:7" x14ac:dyDescent="0.3">
      <c r="A1308" t="s">
        <v>28</v>
      </c>
      <c r="B1308" s="1">
        <v>45869</v>
      </c>
      <c r="C1308">
        <v>242003</v>
      </c>
      <c r="D1308">
        <v>-715.31</v>
      </c>
      <c r="E1308" t="s">
        <v>4</v>
      </c>
      <c r="F1308" t="s">
        <v>43</v>
      </c>
      <c r="G1308" t="s">
        <v>8</v>
      </c>
    </row>
    <row r="1309" spans="1:7" x14ac:dyDescent="0.3">
      <c r="A1309" t="s">
        <v>28</v>
      </c>
      <c r="B1309" s="1">
        <v>45869</v>
      </c>
      <c r="C1309">
        <v>257005</v>
      </c>
      <c r="D1309">
        <v>-100.727</v>
      </c>
      <c r="E1309" t="s">
        <v>4</v>
      </c>
      <c r="F1309" t="s">
        <v>45</v>
      </c>
      <c r="G1309" t="s">
        <v>8</v>
      </c>
    </row>
    <row r="1310" spans="1:7" x14ac:dyDescent="0.3">
      <c r="A1310" t="s">
        <v>28</v>
      </c>
      <c r="B1310" s="1">
        <v>45869</v>
      </c>
      <c r="C1310">
        <v>257008</v>
      </c>
      <c r="D1310">
        <v>180.70099999999999</v>
      </c>
      <c r="E1310" t="s">
        <v>4</v>
      </c>
      <c r="F1310" t="s">
        <v>45</v>
      </c>
      <c r="G1310" t="s">
        <v>8</v>
      </c>
    </row>
    <row r="1311" spans="1:7" x14ac:dyDescent="0.3">
      <c r="A1311" t="s">
        <v>28</v>
      </c>
      <c r="B1311" s="1">
        <v>45869</v>
      </c>
      <c r="C1311">
        <v>260004</v>
      </c>
      <c r="D1311">
        <v>4.0000000000000001E-3</v>
      </c>
      <c r="E1311" t="s">
        <v>4</v>
      </c>
      <c r="F1311" t="s">
        <v>45</v>
      </c>
      <c r="G1311" t="s">
        <v>8</v>
      </c>
    </row>
    <row r="1312" spans="1:7" x14ac:dyDescent="0.3">
      <c r="A1312" t="s">
        <v>28</v>
      </c>
      <c r="B1312" s="1">
        <v>45869</v>
      </c>
      <c r="C1312">
        <v>321030</v>
      </c>
      <c r="D1312">
        <v>562.69299999999998</v>
      </c>
      <c r="E1312" t="s">
        <v>4</v>
      </c>
      <c r="F1312" t="s">
        <v>46</v>
      </c>
      <c r="G1312" t="s">
        <v>8</v>
      </c>
    </row>
    <row r="1313" spans="1:7" x14ac:dyDescent="0.3">
      <c r="A1313" t="s">
        <v>28</v>
      </c>
      <c r="B1313" s="1">
        <v>45869</v>
      </c>
      <c r="C1313">
        <v>330124</v>
      </c>
      <c r="D1313">
        <v>-2050.0010000000002</v>
      </c>
      <c r="E1313" t="s">
        <v>4</v>
      </c>
      <c r="F1313" t="s">
        <v>43</v>
      </c>
      <c r="G1313" t="s">
        <v>8</v>
      </c>
    </row>
    <row r="1314" spans="1:7" x14ac:dyDescent="0.3">
      <c r="A1314" t="s">
        <v>28</v>
      </c>
      <c r="B1314" s="1">
        <v>45869</v>
      </c>
      <c r="C1314">
        <v>330130</v>
      </c>
      <c r="D1314">
        <v>-38695.233</v>
      </c>
      <c r="E1314" t="s">
        <v>4</v>
      </c>
      <c r="F1314" t="s">
        <v>43</v>
      </c>
      <c r="G1314" t="s">
        <v>8</v>
      </c>
    </row>
    <row r="1315" spans="1:7" x14ac:dyDescent="0.3">
      <c r="A1315" t="s">
        <v>28</v>
      </c>
      <c r="B1315" s="1">
        <v>45869</v>
      </c>
      <c r="C1315">
        <v>340234</v>
      </c>
      <c r="D1315">
        <v>4.9400000000000004</v>
      </c>
      <c r="E1315" t="s">
        <v>4</v>
      </c>
      <c r="F1315" t="s">
        <v>47</v>
      </c>
      <c r="G1315" t="s">
        <v>8</v>
      </c>
    </row>
    <row r="1316" spans="1:7" x14ac:dyDescent="0.3">
      <c r="A1316" t="s">
        <v>28</v>
      </c>
      <c r="B1316" s="1">
        <v>45869</v>
      </c>
      <c r="C1316">
        <v>340267</v>
      </c>
      <c r="D1316">
        <v>4311.6019999999999</v>
      </c>
      <c r="E1316" t="s">
        <v>4</v>
      </c>
      <c r="F1316" t="s">
        <v>47</v>
      </c>
      <c r="G1316" t="s">
        <v>8</v>
      </c>
    </row>
    <row r="1317" spans="1:7" x14ac:dyDescent="0.3">
      <c r="A1317" t="s">
        <v>28</v>
      </c>
      <c r="B1317" s="1">
        <v>45869</v>
      </c>
      <c r="C1317">
        <v>350031</v>
      </c>
      <c r="D1317">
        <v>14.593999999999999</v>
      </c>
      <c r="E1317" t="s">
        <v>4</v>
      </c>
      <c r="F1317" t="s">
        <v>43</v>
      </c>
      <c r="G1317" t="s">
        <v>8</v>
      </c>
    </row>
    <row r="1318" spans="1:7" x14ac:dyDescent="0.3">
      <c r="A1318" t="s">
        <v>28</v>
      </c>
      <c r="B1318" s="1">
        <v>45869</v>
      </c>
      <c r="C1318">
        <v>360019</v>
      </c>
      <c r="D1318">
        <v>26.651</v>
      </c>
      <c r="E1318" t="s">
        <v>4</v>
      </c>
      <c r="F1318" t="s">
        <v>58</v>
      </c>
      <c r="G1318" t="s">
        <v>8</v>
      </c>
    </row>
    <row r="1319" spans="1:7" x14ac:dyDescent="0.3">
      <c r="A1319" t="s">
        <v>28</v>
      </c>
      <c r="B1319" s="1">
        <v>45869</v>
      </c>
      <c r="C1319">
        <v>360022</v>
      </c>
      <c r="D1319">
        <v>64.665999999999997</v>
      </c>
      <c r="E1319" t="s">
        <v>4</v>
      </c>
      <c r="F1319" t="s">
        <v>58</v>
      </c>
      <c r="G1319" t="s">
        <v>8</v>
      </c>
    </row>
    <row r="1320" spans="1:7" x14ac:dyDescent="0.3">
      <c r="A1320" t="s">
        <v>28</v>
      </c>
      <c r="B1320" s="1">
        <v>45869</v>
      </c>
      <c r="C1320">
        <v>372002</v>
      </c>
      <c r="D1320">
        <v>33.869</v>
      </c>
      <c r="E1320" t="s">
        <v>4</v>
      </c>
      <c r="F1320" t="s">
        <v>45</v>
      </c>
      <c r="G1320" t="s">
        <v>8</v>
      </c>
    </row>
    <row r="1321" spans="1:7" x14ac:dyDescent="0.3">
      <c r="A1321" t="s">
        <v>28</v>
      </c>
      <c r="B1321" s="1">
        <v>45869</v>
      </c>
      <c r="C1321">
        <v>372004</v>
      </c>
      <c r="D1321">
        <v>44.555</v>
      </c>
      <c r="E1321" t="s">
        <v>4</v>
      </c>
      <c r="F1321" t="s">
        <v>45</v>
      </c>
      <c r="G1321" t="s">
        <v>8</v>
      </c>
    </row>
    <row r="1322" spans="1:7" x14ac:dyDescent="0.3">
      <c r="A1322" t="s">
        <v>28</v>
      </c>
      <c r="B1322" s="1">
        <v>45869</v>
      </c>
      <c r="C1322">
        <v>421002</v>
      </c>
      <c r="D1322">
        <v>-26.297999999999998</v>
      </c>
      <c r="E1322" t="s">
        <v>6</v>
      </c>
      <c r="F1322" t="s">
        <v>52</v>
      </c>
      <c r="G1322" t="s">
        <v>8</v>
      </c>
    </row>
    <row r="1323" spans="1:7" x14ac:dyDescent="0.3">
      <c r="A1323" t="s">
        <v>28</v>
      </c>
      <c r="B1323" s="1">
        <v>45869</v>
      </c>
      <c r="C1323">
        <v>421003</v>
      </c>
      <c r="D1323">
        <v>-27.17</v>
      </c>
      <c r="E1323" t="s">
        <v>6</v>
      </c>
      <c r="F1323" t="s">
        <v>52</v>
      </c>
      <c r="G1323" t="s">
        <v>8</v>
      </c>
    </row>
    <row r="1324" spans="1:7" x14ac:dyDescent="0.3">
      <c r="A1324" t="s">
        <v>28</v>
      </c>
      <c r="B1324" s="1">
        <v>45869</v>
      </c>
      <c r="C1324">
        <v>557002</v>
      </c>
      <c r="D1324">
        <v>26.643000000000001</v>
      </c>
      <c r="E1324" t="s">
        <v>6</v>
      </c>
      <c r="F1324" t="s">
        <v>56</v>
      </c>
      <c r="G1324" t="s">
        <v>8</v>
      </c>
    </row>
    <row r="1325" spans="1:7" x14ac:dyDescent="0.3">
      <c r="A1325" t="s">
        <v>28</v>
      </c>
      <c r="B1325" s="1">
        <v>45869</v>
      </c>
      <c r="C1325">
        <v>564006</v>
      </c>
      <c r="D1325">
        <v>0</v>
      </c>
      <c r="E1325" t="s">
        <v>6</v>
      </c>
      <c r="F1325" t="s">
        <v>57</v>
      </c>
      <c r="G1325" t="s">
        <v>8</v>
      </c>
    </row>
    <row r="1326" spans="1:7" x14ac:dyDescent="0.3">
      <c r="A1326" t="s">
        <v>28</v>
      </c>
      <c r="B1326" s="1">
        <v>45869</v>
      </c>
      <c r="C1326">
        <v>564019</v>
      </c>
      <c r="D1326">
        <v>250.60400000000001</v>
      </c>
      <c r="E1326" t="s">
        <v>6</v>
      </c>
      <c r="F1326" t="s">
        <v>51</v>
      </c>
      <c r="G1326" t="s">
        <v>8</v>
      </c>
    </row>
    <row r="1327" spans="1:7" x14ac:dyDescent="0.3">
      <c r="A1327" t="s">
        <v>28</v>
      </c>
      <c r="B1327" s="1">
        <v>45869</v>
      </c>
      <c r="C1327">
        <v>564020</v>
      </c>
      <c r="D1327">
        <v>84.796000000000006</v>
      </c>
      <c r="E1327" t="s">
        <v>6</v>
      </c>
      <c r="F1327" t="s">
        <v>57</v>
      </c>
      <c r="G1327" t="s">
        <v>8</v>
      </c>
    </row>
    <row r="1328" spans="1:7" x14ac:dyDescent="0.3">
      <c r="A1328" t="s">
        <v>29</v>
      </c>
      <c r="B1328" s="1">
        <v>45869</v>
      </c>
      <c r="C1328">
        <v>220006</v>
      </c>
      <c r="D1328">
        <v>-619539.33100000001</v>
      </c>
      <c r="E1328" t="s">
        <v>4</v>
      </c>
      <c r="F1328" t="s">
        <v>42</v>
      </c>
      <c r="G1328" t="s">
        <v>8</v>
      </c>
    </row>
    <row r="1329" spans="1:7" x14ac:dyDescent="0.3">
      <c r="A1329" t="s">
        <v>29</v>
      </c>
      <c r="B1329" s="1">
        <v>45869</v>
      </c>
      <c r="C1329">
        <v>242003</v>
      </c>
      <c r="D1329">
        <v>-56866.928999999996</v>
      </c>
      <c r="E1329" t="s">
        <v>4</v>
      </c>
      <c r="F1329" t="s">
        <v>43</v>
      </c>
      <c r="G1329" t="s">
        <v>8</v>
      </c>
    </row>
    <row r="1330" spans="1:7" x14ac:dyDescent="0.3">
      <c r="A1330" t="s">
        <v>29</v>
      </c>
      <c r="B1330" s="1">
        <v>45869</v>
      </c>
      <c r="C1330">
        <v>242007</v>
      </c>
      <c r="D1330">
        <v>32.591999999999999</v>
      </c>
      <c r="E1330" t="s">
        <v>4</v>
      </c>
      <c r="F1330" t="s">
        <v>43</v>
      </c>
      <c r="G1330" t="s">
        <v>8</v>
      </c>
    </row>
    <row r="1331" spans="1:7" x14ac:dyDescent="0.3">
      <c r="A1331" t="s">
        <v>29</v>
      </c>
      <c r="B1331" s="1">
        <v>45869</v>
      </c>
      <c r="C1331">
        <v>242013</v>
      </c>
      <c r="D1331">
        <v>2249.567</v>
      </c>
      <c r="E1331" t="s">
        <v>4</v>
      </c>
      <c r="F1331" t="s">
        <v>43</v>
      </c>
      <c r="G1331" t="s">
        <v>8</v>
      </c>
    </row>
    <row r="1332" spans="1:7" x14ac:dyDescent="0.3">
      <c r="A1332" t="s">
        <v>29</v>
      </c>
      <c r="B1332" s="1">
        <v>45869</v>
      </c>
      <c r="C1332">
        <v>242023</v>
      </c>
      <c r="D1332">
        <v>-703.38199999999995</v>
      </c>
      <c r="E1332" t="s">
        <v>4</v>
      </c>
      <c r="F1332" t="s">
        <v>43</v>
      </c>
      <c r="G1332" t="s">
        <v>8</v>
      </c>
    </row>
    <row r="1333" spans="1:7" x14ac:dyDescent="0.3">
      <c r="A1333" t="s">
        <v>29</v>
      </c>
      <c r="B1333" s="1">
        <v>45869</v>
      </c>
      <c r="C1333">
        <v>242027</v>
      </c>
      <c r="D1333">
        <v>-342.23200000000003</v>
      </c>
      <c r="E1333" t="s">
        <v>4</v>
      </c>
      <c r="F1333" t="s">
        <v>43</v>
      </c>
      <c r="G1333" t="s">
        <v>8</v>
      </c>
    </row>
    <row r="1334" spans="1:7" x14ac:dyDescent="0.3">
      <c r="A1334" t="s">
        <v>29</v>
      </c>
      <c r="B1334" s="1">
        <v>45869</v>
      </c>
      <c r="C1334">
        <v>242030</v>
      </c>
      <c r="D1334">
        <v>-90.697999999999993</v>
      </c>
      <c r="E1334" t="s">
        <v>4</v>
      </c>
      <c r="F1334" t="s">
        <v>43</v>
      </c>
      <c r="G1334" t="s">
        <v>8</v>
      </c>
    </row>
    <row r="1335" spans="1:7" x14ac:dyDescent="0.3">
      <c r="A1335" t="s">
        <v>29</v>
      </c>
      <c r="B1335" s="1">
        <v>45869</v>
      </c>
      <c r="C1335">
        <v>242039</v>
      </c>
      <c r="D1335">
        <v>-7128.1270000000004</v>
      </c>
      <c r="E1335" t="s">
        <v>4</v>
      </c>
      <c r="F1335" t="s">
        <v>43</v>
      </c>
      <c r="G1335" t="s">
        <v>8</v>
      </c>
    </row>
    <row r="1336" spans="1:7" x14ac:dyDescent="0.3">
      <c r="A1336" t="s">
        <v>29</v>
      </c>
      <c r="B1336" s="1">
        <v>45869</v>
      </c>
      <c r="C1336">
        <v>242041</v>
      </c>
      <c r="D1336">
        <v>5.0090000000000003</v>
      </c>
      <c r="E1336" t="s">
        <v>4</v>
      </c>
      <c r="F1336" t="s">
        <v>43</v>
      </c>
      <c r="G1336" t="s">
        <v>8</v>
      </c>
    </row>
    <row r="1337" spans="1:7" x14ac:dyDescent="0.3">
      <c r="A1337" t="s">
        <v>29</v>
      </c>
      <c r="B1337" s="1">
        <v>45869</v>
      </c>
      <c r="C1337">
        <v>243002</v>
      </c>
      <c r="D1337">
        <v>-7251.9880000000003</v>
      </c>
      <c r="E1337" t="s">
        <v>4</v>
      </c>
      <c r="F1337" t="s">
        <v>43</v>
      </c>
      <c r="G1337" t="s">
        <v>8</v>
      </c>
    </row>
    <row r="1338" spans="1:7" x14ac:dyDescent="0.3">
      <c r="A1338" t="s">
        <v>29</v>
      </c>
      <c r="B1338" s="1">
        <v>45869</v>
      </c>
      <c r="C1338">
        <v>243003</v>
      </c>
      <c r="D1338">
        <v>-6968.8540000000003</v>
      </c>
      <c r="E1338" t="s">
        <v>4</v>
      </c>
      <c r="F1338" t="s">
        <v>43</v>
      </c>
      <c r="G1338" t="s">
        <v>8</v>
      </c>
    </row>
    <row r="1339" spans="1:7" x14ac:dyDescent="0.3">
      <c r="A1339" t="s">
        <v>29</v>
      </c>
      <c r="B1339" s="1">
        <v>45869</v>
      </c>
      <c r="C1339">
        <v>243010</v>
      </c>
      <c r="D1339">
        <v>-233.904</v>
      </c>
      <c r="E1339" t="s">
        <v>4</v>
      </c>
      <c r="F1339" t="s">
        <v>43</v>
      </c>
      <c r="G1339" t="s">
        <v>8</v>
      </c>
    </row>
    <row r="1340" spans="1:7" x14ac:dyDescent="0.3">
      <c r="A1340" t="s">
        <v>29</v>
      </c>
      <c r="B1340" s="1">
        <v>45869</v>
      </c>
      <c r="C1340">
        <v>245002</v>
      </c>
      <c r="D1340">
        <v>-10.317</v>
      </c>
      <c r="E1340" t="s">
        <v>4</v>
      </c>
      <c r="F1340" t="s">
        <v>43</v>
      </c>
      <c r="G1340" t="s">
        <v>8</v>
      </c>
    </row>
    <row r="1341" spans="1:7" x14ac:dyDescent="0.3">
      <c r="A1341" t="s">
        <v>29</v>
      </c>
      <c r="B1341" s="1">
        <v>45869</v>
      </c>
      <c r="C1341">
        <v>245056</v>
      </c>
      <c r="D1341">
        <v>-922.38099999999997</v>
      </c>
      <c r="E1341" t="s">
        <v>4</v>
      </c>
      <c r="F1341" t="s">
        <v>49</v>
      </c>
      <c r="G1341" t="s">
        <v>8</v>
      </c>
    </row>
    <row r="1342" spans="1:7" x14ac:dyDescent="0.3">
      <c r="A1342" t="s">
        <v>29</v>
      </c>
      <c r="B1342" s="1">
        <v>45869</v>
      </c>
      <c r="C1342">
        <v>245062</v>
      </c>
      <c r="D1342">
        <v>-4831.7129999999997</v>
      </c>
      <c r="E1342" t="s">
        <v>4</v>
      </c>
      <c r="F1342" t="s">
        <v>43</v>
      </c>
      <c r="G1342" t="s">
        <v>8</v>
      </c>
    </row>
    <row r="1343" spans="1:7" x14ac:dyDescent="0.3">
      <c r="A1343" t="s">
        <v>29</v>
      </c>
      <c r="B1343" s="1">
        <v>45869</v>
      </c>
      <c r="C1343">
        <v>250007</v>
      </c>
      <c r="D1343">
        <v>-3475.53</v>
      </c>
      <c r="E1343" t="s">
        <v>4</v>
      </c>
      <c r="F1343" t="s">
        <v>43</v>
      </c>
      <c r="G1343" t="s">
        <v>8</v>
      </c>
    </row>
    <row r="1344" spans="1:7" x14ac:dyDescent="0.3">
      <c r="A1344" t="s">
        <v>29</v>
      </c>
      <c r="B1344" s="1">
        <v>45869</v>
      </c>
      <c r="C1344">
        <v>251002</v>
      </c>
      <c r="D1344">
        <v>-40998.612000000001</v>
      </c>
      <c r="E1344" t="s">
        <v>4</v>
      </c>
      <c r="F1344" t="s">
        <v>45</v>
      </c>
      <c r="G1344" t="s">
        <v>8</v>
      </c>
    </row>
    <row r="1345" spans="1:7" x14ac:dyDescent="0.3">
      <c r="A1345" t="s">
        <v>29</v>
      </c>
      <c r="B1345" s="1">
        <v>45869</v>
      </c>
      <c r="C1345">
        <v>257005</v>
      </c>
      <c r="D1345">
        <v>-5597.5919999999996</v>
      </c>
      <c r="E1345" t="s">
        <v>4</v>
      </c>
      <c r="F1345" t="s">
        <v>45</v>
      </c>
      <c r="G1345" t="s">
        <v>8</v>
      </c>
    </row>
    <row r="1346" spans="1:7" x14ac:dyDescent="0.3">
      <c r="A1346" t="s">
        <v>29</v>
      </c>
      <c r="B1346" s="1">
        <v>45869</v>
      </c>
      <c r="C1346">
        <v>257014</v>
      </c>
      <c r="D1346">
        <v>-16588.241000000002</v>
      </c>
      <c r="E1346" t="s">
        <v>4</v>
      </c>
      <c r="F1346" t="s">
        <v>45</v>
      </c>
      <c r="G1346" t="s">
        <v>8</v>
      </c>
    </row>
    <row r="1347" spans="1:7" x14ac:dyDescent="0.3">
      <c r="A1347" t="s">
        <v>29</v>
      </c>
      <c r="B1347" s="1">
        <v>45869</v>
      </c>
      <c r="C1347">
        <v>257030</v>
      </c>
      <c r="D1347">
        <v>-18993.282999999999</v>
      </c>
      <c r="E1347" t="s">
        <v>4</v>
      </c>
      <c r="F1347" t="s">
        <v>45</v>
      </c>
      <c r="G1347" t="s">
        <v>8</v>
      </c>
    </row>
    <row r="1348" spans="1:7" x14ac:dyDescent="0.3">
      <c r="A1348" t="s">
        <v>29</v>
      </c>
      <c r="B1348" s="1">
        <v>45869</v>
      </c>
      <c r="C1348">
        <v>260004</v>
      </c>
      <c r="D1348">
        <v>-27320.548999999999</v>
      </c>
      <c r="E1348" t="s">
        <v>4</v>
      </c>
      <c r="F1348" t="s">
        <v>45</v>
      </c>
      <c r="G1348" t="s">
        <v>8</v>
      </c>
    </row>
    <row r="1349" spans="1:7" x14ac:dyDescent="0.3">
      <c r="A1349" t="s">
        <v>29</v>
      </c>
      <c r="B1349" s="1">
        <v>45869</v>
      </c>
      <c r="C1349">
        <v>270024</v>
      </c>
      <c r="D1349">
        <v>-69486.277000000002</v>
      </c>
      <c r="E1349" t="s">
        <v>4</v>
      </c>
      <c r="F1349" t="s">
        <v>58</v>
      </c>
      <c r="G1349" t="s">
        <v>8</v>
      </c>
    </row>
    <row r="1350" spans="1:7" x14ac:dyDescent="0.3">
      <c r="A1350" t="s">
        <v>29</v>
      </c>
      <c r="B1350" s="1">
        <v>45869</v>
      </c>
      <c r="C1350">
        <v>270025</v>
      </c>
      <c r="D1350">
        <v>-53437.690999999999</v>
      </c>
      <c r="E1350" t="s">
        <v>4</v>
      </c>
      <c r="F1350" t="s">
        <v>58</v>
      </c>
      <c r="G1350" t="s">
        <v>8</v>
      </c>
    </row>
    <row r="1351" spans="1:7" x14ac:dyDescent="0.3">
      <c r="A1351" t="s">
        <v>29</v>
      </c>
      <c r="B1351" s="1">
        <v>45869</v>
      </c>
      <c r="C1351">
        <v>270027</v>
      </c>
      <c r="D1351">
        <v>-3405.6610000000001</v>
      </c>
      <c r="E1351" t="s">
        <v>4</v>
      </c>
      <c r="F1351" t="s">
        <v>58</v>
      </c>
      <c r="G1351" t="s">
        <v>8</v>
      </c>
    </row>
    <row r="1352" spans="1:7" x14ac:dyDescent="0.3">
      <c r="A1352" t="s">
        <v>29</v>
      </c>
      <c r="B1352" s="1">
        <v>45869</v>
      </c>
      <c r="C1352">
        <v>320002</v>
      </c>
      <c r="D1352">
        <v>216186.239</v>
      </c>
      <c r="E1352" t="s">
        <v>4</v>
      </c>
      <c r="F1352" t="s">
        <v>46</v>
      </c>
      <c r="G1352" t="s">
        <v>8</v>
      </c>
    </row>
    <row r="1353" spans="1:7" x14ac:dyDescent="0.3">
      <c r="A1353" t="s">
        <v>29</v>
      </c>
      <c r="B1353" s="1">
        <v>45869</v>
      </c>
      <c r="C1353">
        <v>320003</v>
      </c>
      <c r="D1353">
        <v>-1963.117</v>
      </c>
      <c r="E1353" t="s">
        <v>4</v>
      </c>
      <c r="F1353" t="s">
        <v>46</v>
      </c>
      <c r="G1353" t="s">
        <v>8</v>
      </c>
    </row>
    <row r="1354" spans="1:7" x14ac:dyDescent="0.3">
      <c r="A1354" t="s">
        <v>29</v>
      </c>
      <c r="B1354" s="1">
        <v>45869</v>
      </c>
      <c r="C1354">
        <v>320004</v>
      </c>
      <c r="D1354">
        <v>-2543.6219999999998</v>
      </c>
      <c r="E1354" t="s">
        <v>4</v>
      </c>
      <c r="F1354" t="s">
        <v>46</v>
      </c>
      <c r="G1354" t="s">
        <v>8</v>
      </c>
    </row>
    <row r="1355" spans="1:7" x14ac:dyDescent="0.3">
      <c r="A1355" t="s">
        <v>29</v>
      </c>
      <c r="B1355" s="1">
        <v>45869</v>
      </c>
      <c r="C1355">
        <v>321002</v>
      </c>
      <c r="D1355">
        <v>16450.661</v>
      </c>
      <c r="E1355" t="s">
        <v>4</v>
      </c>
      <c r="F1355" t="s">
        <v>46</v>
      </c>
      <c r="G1355" t="s">
        <v>8</v>
      </c>
    </row>
    <row r="1356" spans="1:7" x14ac:dyDescent="0.3">
      <c r="A1356" t="s">
        <v>29</v>
      </c>
      <c r="B1356" s="1">
        <v>45869</v>
      </c>
      <c r="C1356">
        <v>321004</v>
      </c>
      <c r="D1356">
        <v>3027.7539999999999</v>
      </c>
      <c r="E1356" t="s">
        <v>4</v>
      </c>
      <c r="F1356" t="s">
        <v>46</v>
      </c>
      <c r="G1356" t="s">
        <v>8</v>
      </c>
    </row>
    <row r="1357" spans="1:7" x14ac:dyDescent="0.3">
      <c r="A1357" t="s">
        <v>29</v>
      </c>
      <c r="B1357" s="1">
        <v>45869</v>
      </c>
      <c r="C1357">
        <v>321012</v>
      </c>
      <c r="D1357">
        <v>21.747</v>
      </c>
      <c r="E1357" t="s">
        <v>4</v>
      </c>
      <c r="F1357" t="s">
        <v>46</v>
      </c>
      <c r="G1357" t="s">
        <v>8</v>
      </c>
    </row>
    <row r="1358" spans="1:7" x14ac:dyDescent="0.3">
      <c r="A1358" t="s">
        <v>29</v>
      </c>
      <c r="B1358" s="1">
        <v>45869</v>
      </c>
      <c r="C1358">
        <v>321025</v>
      </c>
      <c r="D1358">
        <v>8622.8539999999994</v>
      </c>
      <c r="E1358" t="s">
        <v>4</v>
      </c>
      <c r="F1358" t="s">
        <v>46</v>
      </c>
      <c r="G1358" t="s">
        <v>8</v>
      </c>
    </row>
    <row r="1359" spans="1:7" x14ac:dyDescent="0.3">
      <c r="A1359" t="s">
        <v>29</v>
      </c>
      <c r="B1359" s="1">
        <v>45869</v>
      </c>
      <c r="C1359">
        <v>321042</v>
      </c>
      <c r="D1359">
        <v>-13.837</v>
      </c>
      <c r="E1359" t="s">
        <v>4</v>
      </c>
      <c r="F1359" t="s">
        <v>46</v>
      </c>
      <c r="G1359" t="s">
        <v>8</v>
      </c>
    </row>
    <row r="1360" spans="1:7" x14ac:dyDescent="0.3">
      <c r="A1360" t="s">
        <v>29</v>
      </c>
      <c r="B1360" s="1">
        <v>45869</v>
      </c>
      <c r="C1360">
        <v>330131</v>
      </c>
      <c r="D1360">
        <v>47488.088000000003</v>
      </c>
      <c r="E1360" t="s">
        <v>4</v>
      </c>
      <c r="F1360" t="s">
        <v>43</v>
      </c>
      <c r="G1360" t="s">
        <v>8</v>
      </c>
    </row>
    <row r="1361" spans="1:7" x14ac:dyDescent="0.3">
      <c r="A1361" t="s">
        <v>29</v>
      </c>
      <c r="B1361" s="1">
        <v>45869</v>
      </c>
      <c r="C1361">
        <v>330150</v>
      </c>
      <c r="D1361">
        <v>14020.89</v>
      </c>
      <c r="E1361" t="s">
        <v>4</v>
      </c>
      <c r="F1361" t="s">
        <v>43</v>
      </c>
      <c r="G1361" t="s">
        <v>8</v>
      </c>
    </row>
    <row r="1362" spans="1:7" x14ac:dyDescent="0.3">
      <c r="A1362" t="s">
        <v>29</v>
      </c>
      <c r="B1362" s="1">
        <v>45869</v>
      </c>
      <c r="C1362">
        <v>340243</v>
      </c>
      <c r="D1362">
        <v>167268.35500000001</v>
      </c>
      <c r="E1362" t="s">
        <v>4</v>
      </c>
      <c r="F1362" t="s">
        <v>47</v>
      </c>
      <c r="G1362" t="s">
        <v>8</v>
      </c>
    </row>
    <row r="1363" spans="1:7" x14ac:dyDescent="0.3">
      <c r="A1363" t="s">
        <v>29</v>
      </c>
      <c r="B1363" s="1">
        <v>45869</v>
      </c>
      <c r="C1363">
        <v>340244</v>
      </c>
      <c r="D1363">
        <v>1308604.6410000001</v>
      </c>
      <c r="E1363" t="s">
        <v>4</v>
      </c>
      <c r="F1363" t="s">
        <v>47</v>
      </c>
      <c r="G1363" t="s">
        <v>8</v>
      </c>
    </row>
    <row r="1364" spans="1:7" x14ac:dyDescent="0.3">
      <c r="A1364" t="s">
        <v>29</v>
      </c>
      <c r="B1364" s="1">
        <v>45869</v>
      </c>
      <c r="C1364">
        <v>340245</v>
      </c>
      <c r="D1364">
        <v>-1444643.3459999999</v>
      </c>
      <c r="E1364" t="s">
        <v>4</v>
      </c>
      <c r="F1364" t="s">
        <v>47</v>
      </c>
      <c r="G1364" t="s">
        <v>8</v>
      </c>
    </row>
    <row r="1365" spans="1:7" x14ac:dyDescent="0.3">
      <c r="A1365" t="s">
        <v>29</v>
      </c>
      <c r="B1365" s="1">
        <v>45869</v>
      </c>
      <c r="C1365">
        <v>340246</v>
      </c>
      <c r="D1365">
        <v>255290.399</v>
      </c>
      <c r="E1365" t="s">
        <v>4</v>
      </c>
      <c r="F1365" t="s">
        <v>47</v>
      </c>
      <c r="G1365" t="s">
        <v>8</v>
      </c>
    </row>
    <row r="1366" spans="1:7" x14ac:dyDescent="0.3">
      <c r="A1366" t="s">
        <v>29</v>
      </c>
      <c r="B1366" s="1">
        <v>45869</v>
      </c>
      <c r="C1366">
        <v>340247</v>
      </c>
      <c r="D1366">
        <v>2735749.2880000002</v>
      </c>
      <c r="E1366" t="s">
        <v>4</v>
      </c>
      <c r="F1366" t="s">
        <v>47</v>
      </c>
      <c r="G1366" t="s">
        <v>8</v>
      </c>
    </row>
    <row r="1367" spans="1:7" x14ac:dyDescent="0.3">
      <c r="A1367" t="s">
        <v>29</v>
      </c>
      <c r="B1367" s="1">
        <v>45869</v>
      </c>
      <c r="C1367">
        <v>340248</v>
      </c>
      <c r="D1367">
        <v>-2757619.7420000001</v>
      </c>
      <c r="E1367" t="s">
        <v>4</v>
      </c>
      <c r="F1367" t="s">
        <v>47</v>
      </c>
      <c r="G1367" t="s">
        <v>8</v>
      </c>
    </row>
    <row r="1368" spans="1:7" x14ac:dyDescent="0.3">
      <c r="A1368" t="s">
        <v>29</v>
      </c>
      <c r="B1368" s="1">
        <v>45869</v>
      </c>
      <c r="C1368">
        <v>340249</v>
      </c>
      <c r="D1368">
        <v>2603.9479999999999</v>
      </c>
      <c r="E1368" t="s">
        <v>4</v>
      </c>
      <c r="F1368" t="s">
        <v>47</v>
      </c>
      <c r="G1368" t="s">
        <v>8</v>
      </c>
    </row>
    <row r="1369" spans="1:7" x14ac:dyDescent="0.3">
      <c r="A1369" t="s">
        <v>29</v>
      </c>
      <c r="B1369" s="1">
        <v>45869</v>
      </c>
      <c r="C1369">
        <v>340250</v>
      </c>
      <c r="D1369">
        <v>1242767.9950000001</v>
      </c>
      <c r="E1369" t="s">
        <v>4</v>
      </c>
      <c r="F1369" t="s">
        <v>47</v>
      </c>
      <c r="G1369" t="s">
        <v>8</v>
      </c>
    </row>
    <row r="1370" spans="1:7" x14ac:dyDescent="0.3">
      <c r="A1370" t="s">
        <v>29</v>
      </c>
      <c r="B1370" s="1">
        <v>45869</v>
      </c>
      <c r="C1370">
        <v>340251</v>
      </c>
      <c r="D1370">
        <v>-1037104.09</v>
      </c>
      <c r="E1370" t="s">
        <v>4</v>
      </c>
      <c r="F1370" t="s">
        <v>47</v>
      </c>
      <c r="G1370" t="s">
        <v>8</v>
      </c>
    </row>
    <row r="1371" spans="1:7" x14ac:dyDescent="0.3">
      <c r="A1371" t="s">
        <v>29</v>
      </c>
      <c r="B1371" s="1">
        <v>45869</v>
      </c>
      <c r="C1371">
        <v>350002</v>
      </c>
      <c r="D1371">
        <v>2902.9920000000002</v>
      </c>
      <c r="E1371" t="s">
        <v>4</v>
      </c>
      <c r="F1371" t="s">
        <v>49</v>
      </c>
      <c r="G1371" t="s">
        <v>8</v>
      </c>
    </row>
    <row r="1372" spans="1:7" x14ac:dyDescent="0.3">
      <c r="A1372" t="s">
        <v>29</v>
      </c>
      <c r="B1372" s="1">
        <v>45869</v>
      </c>
      <c r="C1372">
        <v>350003</v>
      </c>
      <c r="D1372">
        <v>-1274.0329999999999</v>
      </c>
      <c r="E1372" t="s">
        <v>4</v>
      </c>
      <c r="F1372" t="s">
        <v>49</v>
      </c>
      <c r="G1372" t="s">
        <v>8</v>
      </c>
    </row>
    <row r="1373" spans="1:7" x14ac:dyDescent="0.3">
      <c r="A1373" t="s">
        <v>29</v>
      </c>
      <c r="B1373" s="1">
        <v>45869</v>
      </c>
      <c r="C1373">
        <v>350034</v>
      </c>
      <c r="D1373">
        <v>922.38099999999997</v>
      </c>
      <c r="E1373" t="s">
        <v>4</v>
      </c>
      <c r="F1373" t="s">
        <v>49</v>
      </c>
      <c r="G1373" t="s">
        <v>8</v>
      </c>
    </row>
    <row r="1374" spans="1:7" x14ac:dyDescent="0.3">
      <c r="A1374" t="s">
        <v>29</v>
      </c>
      <c r="B1374" s="1">
        <v>45869</v>
      </c>
      <c r="C1374">
        <v>354015</v>
      </c>
      <c r="D1374">
        <v>53037.858</v>
      </c>
      <c r="E1374" t="s">
        <v>4</v>
      </c>
      <c r="F1374" t="s">
        <v>46</v>
      </c>
      <c r="G1374" t="s">
        <v>8</v>
      </c>
    </row>
    <row r="1375" spans="1:7" x14ac:dyDescent="0.3">
      <c r="A1375" t="s">
        <v>29</v>
      </c>
      <c r="B1375" s="1">
        <v>45869</v>
      </c>
      <c r="C1375">
        <v>355002</v>
      </c>
      <c r="D1375">
        <v>349.25599999999997</v>
      </c>
      <c r="E1375" t="s">
        <v>4</v>
      </c>
      <c r="F1375" t="s">
        <v>49</v>
      </c>
      <c r="G1375" t="s">
        <v>8</v>
      </c>
    </row>
    <row r="1376" spans="1:7" x14ac:dyDescent="0.3">
      <c r="A1376" t="s">
        <v>29</v>
      </c>
      <c r="B1376" s="1">
        <v>45869</v>
      </c>
      <c r="C1376">
        <v>355013</v>
      </c>
      <c r="D1376">
        <v>23963.405999999999</v>
      </c>
      <c r="E1376" t="s">
        <v>4</v>
      </c>
      <c r="F1376" t="s">
        <v>49</v>
      </c>
      <c r="G1376" t="s">
        <v>8</v>
      </c>
    </row>
    <row r="1377" spans="1:7" x14ac:dyDescent="0.3">
      <c r="A1377" t="s">
        <v>29</v>
      </c>
      <c r="B1377" s="1">
        <v>45869</v>
      </c>
      <c r="C1377">
        <v>360026</v>
      </c>
      <c r="D1377">
        <v>22114.127</v>
      </c>
      <c r="E1377" t="s">
        <v>4</v>
      </c>
      <c r="F1377" t="s">
        <v>58</v>
      </c>
      <c r="G1377" t="s">
        <v>8</v>
      </c>
    </row>
    <row r="1378" spans="1:7" x14ac:dyDescent="0.3">
      <c r="A1378" t="s">
        <v>29</v>
      </c>
      <c r="B1378" s="1">
        <v>45869</v>
      </c>
      <c r="C1378">
        <v>360028</v>
      </c>
      <c r="D1378">
        <v>46566.281000000003</v>
      </c>
      <c r="E1378" t="s">
        <v>4</v>
      </c>
      <c r="F1378" t="s">
        <v>58</v>
      </c>
      <c r="G1378" t="s">
        <v>8</v>
      </c>
    </row>
    <row r="1379" spans="1:7" x14ac:dyDescent="0.3">
      <c r="A1379" t="s">
        <v>29</v>
      </c>
      <c r="B1379" s="1">
        <v>45869</v>
      </c>
      <c r="C1379">
        <v>360030</v>
      </c>
      <c r="D1379">
        <v>18852.188999999998</v>
      </c>
      <c r="E1379" t="s">
        <v>4</v>
      </c>
      <c r="F1379" t="s">
        <v>58</v>
      </c>
      <c r="G1379" t="s">
        <v>8</v>
      </c>
    </row>
    <row r="1380" spans="1:7" x14ac:dyDescent="0.3">
      <c r="A1380" t="s">
        <v>29</v>
      </c>
      <c r="B1380" s="1">
        <v>45869</v>
      </c>
      <c r="C1380">
        <v>372004</v>
      </c>
      <c r="D1380">
        <v>4029.3270000000002</v>
      </c>
      <c r="E1380" t="s">
        <v>4</v>
      </c>
      <c r="F1380" t="s">
        <v>45</v>
      </c>
      <c r="G1380" t="s">
        <v>8</v>
      </c>
    </row>
    <row r="1381" spans="1:7" x14ac:dyDescent="0.3">
      <c r="A1381" t="s">
        <v>29</v>
      </c>
      <c r="B1381" s="1">
        <v>45869</v>
      </c>
      <c r="C1381">
        <v>400002</v>
      </c>
      <c r="D1381">
        <v>-146779.22399999999</v>
      </c>
      <c r="E1381" t="s">
        <v>6</v>
      </c>
      <c r="F1381" t="s">
        <v>50</v>
      </c>
      <c r="G1381" t="s">
        <v>8</v>
      </c>
    </row>
    <row r="1382" spans="1:7" x14ac:dyDescent="0.3">
      <c r="A1382" t="s">
        <v>29</v>
      </c>
      <c r="B1382" s="1">
        <v>45869</v>
      </c>
      <c r="C1382">
        <v>400004</v>
      </c>
      <c r="D1382">
        <v>-353099.87900000002</v>
      </c>
      <c r="E1382" t="s">
        <v>6</v>
      </c>
      <c r="F1382" t="s">
        <v>50</v>
      </c>
      <c r="G1382" t="s">
        <v>8</v>
      </c>
    </row>
    <row r="1383" spans="1:7" x14ac:dyDescent="0.3">
      <c r="A1383" t="s">
        <v>29</v>
      </c>
      <c r="B1383" s="1">
        <v>45869</v>
      </c>
      <c r="C1383">
        <v>410002</v>
      </c>
      <c r="D1383">
        <v>-16056.134</v>
      </c>
      <c r="E1383" t="s">
        <v>6</v>
      </c>
      <c r="F1383" t="s">
        <v>51</v>
      </c>
      <c r="G1383" t="s">
        <v>8</v>
      </c>
    </row>
    <row r="1384" spans="1:7" x14ac:dyDescent="0.3">
      <c r="A1384" t="s">
        <v>29</v>
      </c>
      <c r="B1384" s="1">
        <v>45869</v>
      </c>
      <c r="C1384">
        <v>410005</v>
      </c>
      <c r="D1384">
        <v>-8565.4670000000006</v>
      </c>
      <c r="E1384" t="s">
        <v>6</v>
      </c>
      <c r="F1384" t="s">
        <v>51</v>
      </c>
      <c r="G1384" t="s">
        <v>8</v>
      </c>
    </row>
    <row r="1385" spans="1:7" x14ac:dyDescent="0.3">
      <c r="A1385" t="s">
        <v>29</v>
      </c>
      <c r="B1385" s="1">
        <v>45869</v>
      </c>
      <c r="C1385">
        <v>410032</v>
      </c>
      <c r="D1385">
        <v>-2175.2620000000002</v>
      </c>
      <c r="E1385" t="s">
        <v>6</v>
      </c>
      <c r="F1385" t="s">
        <v>51</v>
      </c>
      <c r="G1385" t="s">
        <v>8</v>
      </c>
    </row>
    <row r="1386" spans="1:7" x14ac:dyDescent="0.3">
      <c r="A1386" t="s">
        <v>29</v>
      </c>
      <c r="B1386" s="1">
        <v>45869</v>
      </c>
      <c r="C1386">
        <v>421002</v>
      </c>
      <c r="D1386">
        <v>-8679.0720000000001</v>
      </c>
      <c r="E1386" t="s">
        <v>6</v>
      </c>
      <c r="F1386" t="s">
        <v>52</v>
      </c>
      <c r="G1386" t="s">
        <v>8</v>
      </c>
    </row>
    <row r="1387" spans="1:7" x14ac:dyDescent="0.3">
      <c r="A1387" t="s">
        <v>29</v>
      </c>
      <c r="B1387" s="1">
        <v>45869</v>
      </c>
      <c r="C1387">
        <v>421003</v>
      </c>
      <c r="D1387">
        <v>-1740.896</v>
      </c>
      <c r="E1387" t="s">
        <v>6</v>
      </c>
      <c r="F1387" t="s">
        <v>52</v>
      </c>
      <c r="G1387" t="s">
        <v>8</v>
      </c>
    </row>
    <row r="1388" spans="1:7" x14ac:dyDescent="0.3">
      <c r="A1388" t="s">
        <v>29</v>
      </c>
      <c r="B1388" s="1">
        <v>45869</v>
      </c>
      <c r="C1388">
        <v>421004</v>
      </c>
      <c r="D1388">
        <v>-234.98400000000001</v>
      </c>
      <c r="E1388" t="s">
        <v>6</v>
      </c>
      <c r="F1388" t="s">
        <v>52</v>
      </c>
      <c r="G1388" t="s">
        <v>8</v>
      </c>
    </row>
    <row r="1389" spans="1:7" x14ac:dyDescent="0.3">
      <c r="A1389" t="s">
        <v>29</v>
      </c>
      <c r="B1389" s="1">
        <v>45869</v>
      </c>
      <c r="C1389">
        <v>421007</v>
      </c>
      <c r="D1389">
        <v>822.20399999999995</v>
      </c>
      <c r="E1389" t="s">
        <v>6</v>
      </c>
      <c r="F1389" t="s">
        <v>52</v>
      </c>
      <c r="G1389" t="s">
        <v>8</v>
      </c>
    </row>
    <row r="1390" spans="1:7" x14ac:dyDescent="0.3">
      <c r="A1390" t="s">
        <v>29</v>
      </c>
      <c r="B1390" s="1">
        <v>45869</v>
      </c>
      <c r="C1390">
        <v>510002</v>
      </c>
      <c r="D1390">
        <v>109554.739</v>
      </c>
      <c r="E1390" t="s">
        <v>6</v>
      </c>
      <c r="F1390" t="s">
        <v>53</v>
      </c>
      <c r="G1390" t="s">
        <v>8</v>
      </c>
    </row>
    <row r="1391" spans="1:7" x14ac:dyDescent="0.3">
      <c r="A1391" t="s">
        <v>29</v>
      </c>
      <c r="B1391" s="1">
        <v>45869</v>
      </c>
      <c r="C1391">
        <v>510005</v>
      </c>
      <c r="D1391">
        <v>2301.4830000000002</v>
      </c>
      <c r="E1391" t="s">
        <v>6</v>
      </c>
      <c r="F1391" t="s">
        <v>53</v>
      </c>
      <c r="G1391" t="s">
        <v>8</v>
      </c>
    </row>
    <row r="1392" spans="1:7" x14ac:dyDescent="0.3">
      <c r="A1392" t="s">
        <v>29</v>
      </c>
      <c r="B1392" s="1">
        <v>45869</v>
      </c>
      <c r="C1392">
        <v>510007</v>
      </c>
      <c r="D1392">
        <v>3979.5160000000001</v>
      </c>
      <c r="E1392" t="s">
        <v>6</v>
      </c>
      <c r="F1392" t="s">
        <v>53</v>
      </c>
      <c r="G1392" t="s">
        <v>8</v>
      </c>
    </row>
    <row r="1393" spans="1:7" x14ac:dyDescent="0.3">
      <c r="A1393" t="s">
        <v>29</v>
      </c>
      <c r="B1393" s="1">
        <v>45869</v>
      </c>
      <c r="C1393">
        <v>510015</v>
      </c>
      <c r="D1393">
        <v>4195.53</v>
      </c>
      <c r="E1393" t="s">
        <v>6</v>
      </c>
      <c r="F1393" t="s">
        <v>53</v>
      </c>
      <c r="G1393" t="s">
        <v>8</v>
      </c>
    </row>
    <row r="1394" spans="1:7" x14ac:dyDescent="0.3">
      <c r="A1394" t="s">
        <v>29</v>
      </c>
      <c r="B1394" s="1">
        <v>45869</v>
      </c>
      <c r="C1394">
        <v>510018</v>
      </c>
      <c r="D1394">
        <v>4837.1570000000002</v>
      </c>
      <c r="E1394" t="s">
        <v>6</v>
      </c>
      <c r="F1394" t="s">
        <v>53</v>
      </c>
      <c r="G1394" t="s">
        <v>8</v>
      </c>
    </row>
    <row r="1395" spans="1:7" x14ac:dyDescent="0.3">
      <c r="A1395" t="s">
        <v>29</v>
      </c>
      <c r="B1395" s="1">
        <v>45869</v>
      </c>
      <c r="C1395">
        <v>510062</v>
      </c>
      <c r="D1395">
        <v>-2274.0740000000001</v>
      </c>
      <c r="E1395" t="s">
        <v>6</v>
      </c>
      <c r="F1395" t="s">
        <v>53</v>
      </c>
      <c r="G1395" t="s">
        <v>8</v>
      </c>
    </row>
    <row r="1396" spans="1:7" x14ac:dyDescent="0.3">
      <c r="A1396" t="s">
        <v>29</v>
      </c>
      <c r="B1396" s="1">
        <v>45869</v>
      </c>
      <c r="C1396">
        <v>510065</v>
      </c>
      <c r="D1396">
        <v>1165.702</v>
      </c>
      <c r="E1396" t="s">
        <v>6</v>
      </c>
      <c r="F1396" t="s">
        <v>53</v>
      </c>
      <c r="G1396" t="s">
        <v>8</v>
      </c>
    </row>
    <row r="1397" spans="1:7" x14ac:dyDescent="0.3">
      <c r="A1397" t="s">
        <v>29</v>
      </c>
      <c r="B1397" s="1">
        <v>45869</v>
      </c>
      <c r="C1397">
        <v>520021</v>
      </c>
      <c r="D1397">
        <v>139.04900000000001</v>
      </c>
      <c r="E1397" t="s">
        <v>6</v>
      </c>
      <c r="F1397" t="s">
        <v>60</v>
      </c>
      <c r="G1397" t="s">
        <v>8</v>
      </c>
    </row>
    <row r="1398" spans="1:7" x14ac:dyDescent="0.3">
      <c r="A1398" t="s">
        <v>29</v>
      </c>
      <c r="B1398" s="1">
        <v>45869</v>
      </c>
      <c r="C1398">
        <v>541004</v>
      </c>
      <c r="D1398">
        <v>2052.9740000000002</v>
      </c>
      <c r="E1398" t="s">
        <v>6</v>
      </c>
      <c r="F1398" t="s">
        <v>61</v>
      </c>
      <c r="G1398" t="s">
        <v>8</v>
      </c>
    </row>
    <row r="1399" spans="1:7" x14ac:dyDescent="0.3">
      <c r="A1399" t="s">
        <v>29</v>
      </c>
      <c r="B1399" s="1">
        <v>45869</v>
      </c>
      <c r="C1399">
        <v>541009</v>
      </c>
      <c r="D1399">
        <v>3.62</v>
      </c>
      <c r="E1399" t="s">
        <v>6</v>
      </c>
      <c r="F1399" t="s">
        <v>61</v>
      </c>
      <c r="G1399" t="s">
        <v>8</v>
      </c>
    </row>
    <row r="1400" spans="1:7" x14ac:dyDescent="0.3">
      <c r="A1400" t="s">
        <v>29</v>
      </c>
      <c r="B1400" s="1">
        <v>45869</v>
      </c>
      <c r="C1400">
        <v>541010</v>
      </c>
      <c r="D1400">
        <v>983.83</v>
      </c>
      <c r="E1400" t="s">
        <v>6</v>
      </c>
      <c r="F1400" t="s">
        <v>61</v>
      </c>
      <c r="G1400" t="s">
        <v>8</v>
      </c>
    </row>
    <row r="1401" spans="1:7" x14ac:dyDescent="0.3">
      <c r="A1401" t="s">
        <v>29</v>
      </c>
      <c r="B1401" s="1">
        <v>45869</v>
      </c>
      <c r="C1401">
        <v>541013</v>
      </c>
      <c r="D1401">
        <v>304.00799999999998</v>
      </c>
      <c r="E1401" t="s">
        <v>6</v>
      </c>
      <c r="F1401" t="s">
        <v>61</v>
      </c>
      <c r="G1401" t="s">
        <v>8</v>
      </c>
    </row>
    <row r="1402" spans="1:7" x14ac:dyDescent="0.3">
      <c r="A1402" t="s">
        <v>29</v>
      </c>
      <c r="B1402" s="1">
        <v>45869</v>
      </c>
      <c r="C1402">
        <v>546002</v>
      </c>
      <c r="D1402">
        <v>310727.90100000001</v>
      </c>
      <c r="E1402" t="s">
        <v>6</v>
      </c>
      <c r="F1402" t="s">
        <v>51</v>
      </c>
      <c r="G1402" t="s">
        <v>8</v>
      </c>
    </row>
    <row r="1403" spans="1:7" x14ac:dyDescent="0.3">
      <c r="A1403" t="s">
        <v>29</v>
      </c>
      <c r="B1403" s="1">
        <v>45869</v>
      </c>
      <c r="C1403">
        <v>546005</v>
      </c>
      <c r="D1403">
        <v>-3461.7139999999999</v>
      </c>
      <c r="E1403" t="s">
        <v>6</v>
      </c>
      <c r="F1403" t="s">
        <v>51</v>
      </c>
      <c r="G1403" t="s">
        <v>8</v>
      </c>
    </row>
    <row r="1404" spans="1:7" x14ac:dyDescent="0.3">
      <c r="A1404" t="s">
        <v>29</v>
      </c>
      <c r="B1404" s="1">
        <v>45869</v>
      </c>
      <c r="C1404">
        <v>546015</v>
      </c>
      <c r="D1404">
        <v>285.815</v>
      </c>
      <c r="E1404" t="s">
        <v>6</v>
      </c>
      <c r="F1404" t="s">
        <v>51</v>
      </c>
      <c r="G1404" t="s">
        <v>8</v>
      </c>
    </row>
    <row r="1405" spans="1:7" x14ac:dyDescent="0.3">
      <c r="A1405" t="s">
        <v>29</v>
      </c>
      <c r="B1405" s="1">
        <v>45869</v>
      </c>
      <c r="C1405">
        <v>546016</v>
      </c>
      <c r="D1405">
        <v>90.546000000000006</v>
      </c>
      <c r="E1405" t="s">
        <v>6</v>
      </c>
      <c r="F1405" t="s">
        <v>51</v>
      </c>
      <c r="G1405" t="s">
        <v>8</v>
      </c>
    </row>
    <row r="1406" spans="1:7" x14ac:dyDescent="0.3">
      <c r="A1406" t="s">
        <v>29</v>
      </c>
      <c r="B1406" s="1">
        <v>45869</v>
      </c>
      <c r="C1406">
        <v>546024</v>
      </c>
      <c r="D1406">
        <v>3928.7139999999999</v>
      </c>
      <c r="E1406" t="s">
        <v>6</v>
      </c>
      <c r="F1406" t="s">
        <v>51</v>
      </c>
      <c r="G1406" t="s">
        <v>8</v>
      </c>
    </row>
    <row r="1407" spans="1:7" x14ac:dyDescent="0.3">
      <c r="A1407" t="s">
        <v>29</v>
      </c>
      <c r="B1407" s="1">
        <v>45869</v>
      </c>
      <c r="C1407">
        <v>546035</v>
      </c>
      <c r="D1407">
        <v>1238.9159999999999</v>
      </c>
      <c r="E1407" t="s">
        <v>6</v>
      </c>
      <c r="F1407" t="s">
        <v>51</v>
      </c>
      <c r="G1407" t="s">
        <v>8</v>
      </c>
    </row>
    <row r="1408" spans="1:7" x14ac:dyDescent="0.3">
      <c r="A1408" t="s">
        <v>29</v>
      </c>
      <c r="B1408" s="1">
        <v>45869</v>
      </c>
      <c r="C1408">
        <v>546040</v>
      </c>
      <c r="D1408">
        <v>382.01400000000001</v>
      </c>
      <c r="E1408" t="s">
        <v>6</v>
      </c>
      <c r="F1408" t="s">
        <v>51</v>
      </c>
      <c r="G1408" t="s">
        <v>8</v>
      </c>
    </row>
    <row r="1409" spans="1:7" x14ac:dyDescent="0.3">
      <c r="A1409" t="s">
        <v>29</v>
      </c>
      <c r="B1409" s="1">
        <v>45869</v>
      </c>
      <c r="C1409">
        <v>546045</v>
      </c>
      <c r="D1409">
        <v>243.96299999999999</v>
      </c>
      <c r="E1409" t="s">
        <v>6</v>
      </c>
      <c r="F1409" t="s">
        <v>51</v>
      </c>
      <c r="G1409" t="s">
        <v>8</v>
      </c>
    </row>
    <row r="1410" spans="1:7" x14ac:dyDescent="0.3">
      <c r="A1410" t="s">
        <v>29</v>
      </c>
      <c r="B1410" s="1">
        <v>45869</v>
      </c>
      <c r="C1410">
        <v>547002</v>
      </c>
      <c r="D1410">
        <v>14491.416999999999</v>
      </c>
      <c r="E1410" t="s">
        <v>6</v>
      </c>
      <c r="F1410" t="s">
        <v>54</v>
      </c>
      <c r="G1410" t="s">
        <v>8</v>
      </c>
    </row>
    <row r="1411" spans="1:7" x14ac:dyDescent="0.3">
      <c r="A1411" t="s">
        <v>29</v>
      </c>
      <c r="B1411" s="1">
        <v>45869</v>
      </c>
      <c r="C1411">
        <v>550002</v>
      </c>
      <c r="D1411">
        <v>21112.186000000002</v>
      </c>
      <c r="E1411" t="s">
        <v>6</v>
      </c>
      <c r="F1411" t="s">
        <v>62</v>
      </c>
      <c r="G1411" t="s">
        <v>8</v>
      </c>
    </row>
    <row r="1412" spans="1:7" x14ac:dyDescent="0.3">
      <c r="A1412" t="s">
        <v>29</v>
      </c>
      <c r="B1412" s="1">
        <v>45869</v>
      </c>
      <c r="C1412">
        <v>550003</v>
      </c>
      <c r="D1412">
        <v>6801.723</v>
      </c>
      <c r="E1412" t="s">
        <v>6</v>
      </c>
      <c r="F1412" t="s">
        <v>62</v>
      </c>
      <c r="G1412" t="s">
        <v>8</v>
      </c>
    </row>
    <row r="1413" spans="1:7" x14ac:dyDescent="0.3">
      <c r="A1413" t="s">
        <v>29</v>
      </c>
      <c r="B1413" s="1">
        <v>45869</v>
      </c>
      <c r="C1413">
        <v>556002</v>
      </c>
      <c r="D1413">
        <v>169.99299999999999</v>
      </c>
      <c r="E1413" t="s">
        <v>6</v>
      </c>
      <c r="F1413" t="s">
        <v>60</v>
      </c>
      <c r="G1413" t="s">
        <v>8</v>
      </c>
    </row>
    <row r="1414" spans="1:7" x14ac:dyDescent="0.3">
      <c r="A1414" t="s">
        <v>29</v>
      </c>
      <c r="B1414" s="1">
        <v>45869</v>
      </c>
      <c r="C1414">
        <v>557002</v>
      </c>
      <c r="D1414">
        <v>4979.2190000000001</v>
      </c>
      <c r="E1414" t="s">
        <v>6</v>
      </c>
      <c r="F1414" t="s">
        <v>56</v>
      </c>
      <c r="G1414" t="s">
        <v>8</v>
      </c>
    </row>
    <row r="1415" spans="1:7" x14ac:dyDescent="0.3">
      <c r="A1415" t="s">
        <v>29</v>
      </c>
      <c r="B1415" s="1">
        <v>45869</v>
      </c>
      <c r="C1415">
        <v>558012</v>
      </c>
      <c r="D1415">
        <v>109.49</v>
      </c>
      <c r="E1415" t="s">
        <v>6</v>
      </c>
      <c r="F1415" t="s">
        <v>60</v>
      </c>
      <c r="G1415" t="s">
        <v>8</v>
      </c>
    </row>
    <row r="1416" spans="1:7" x14ac:dyDescent="0.3">
      <c r="A1416" t="s">
        <v>29</v>
      </c>
      <c r="B1416" s="1">
        <v>45869</v>
      </c>
      <c r="C1416">
        <v>564006</v>
      </c>
      <c r="D1416">
        <v>-0.127</v>
      </c>
      <c r="E1416" t="s">
        <v>6</v>
      </c>
      <c r="F1416" t="s">
        <v>57</v>
      </c>
      <c r="G1416" t="s">
        <v>8</v>
      </c>
    </row>
    <row r="1417" spans="1:7" x14ac:dyDescent="0.3">
      <c r="A1417" t="s">
        <v>29</v>
      </c>
      <c r="B1417" s="1">
        <v>45869</v>
      </c>
      <c r="C1417">
        <v>564019</v>
      </c>
      <c r="D1417">
        <v>40938.855000000003</v>
      </c>
      <c r="E1417" t="s">
        <v>6</v>
      </c>
      <c r="F1417" t="s">
        <v>51</v>
      </c>
      <c r="G1417" t="s">
        <v>8</v>
      </c>
    </row>
    <row r="1418" spans="1:7" x14ac:dyDescent="0.3">
      <c r="A1418" t="s">
        <v>29</v>
      </c>
      <c r="B1418" s="1">
        <v>45869</v>
      </c>
      <c r="C1418">
        <v>564020</v>
      </c>
      <c r="D1418">
        <v>219.99700000000001</v>
      </c>
      <c r="E1418" t="s">
        <v>6</v>
      </c>
      <c r="F1418" t="s">
        <v>57</v>
      </c>
      <c r="G1418" t="s">
        <v>8</v>
      </c>
    </row>
    <row r="1419" spans="1:7" x14ac:dyDescent="0.3">
      <c r="A1419" t="s">
        <v>29</v>
      </c>
      <c r="B1419" s="1">
        <v>45869</v>
      </c>
      <c r="C1419">
        <v>580002</v>
      </c>
      <c r="D1419">
        <v>3323.9850000000001</v>
      </c>
      <c r="E1419" t="s">
        <v>6</v>
      </c>
      <c r="F1419" t="s">
        <v>64</v>
      </c>
      <c r="G1419" t="s">
        <v>8</v>
      </c>
    </row>
    <row r="1420" spans="1:7" x14ac:dyDescent="0.3">
      <c r="A1420" t="s">
        <v>30</v>
      </c>
      <c r="B1420" s="1">
        <v>45869</v>
      </c>
      <c r="C1420">
        <v>210002</v>
      </c>
      <c r="D1420">
        <v>-74756.159</v>
      </c>
      <c r="E1420" t="s">
        <v>4</v>
      </c>
      <c r="F1420" t="s">
        <v>42</v>
      </c>
      <c r="G1420" t="s">
        <v>8</v>
      </c>
    </row>
    <row r="1421" spans="1:7" x14ac:dyDescent="0.3">
      <c r="A1421" t="s">
        <v>30</v>
      </c>
      <c r="B1421" s="1">
        <v>45869</v>
      </c>
      <c r="C1421">
        <v>220006</v>
      </c>
      <c r="D1421">
        <v>-295848.80900000001</v>
      </c>
      <c r="E1421" t="s">
        <v>4</v>
      </c>
      <c r="F1421" t="s">
        <v>42</v>
      </c>
      <c r="G1421" t="s">
        <v>8</v>
      </c>
    </row>
    <row r="1422" spans="1:7" x14ac:dyDescent="0.3">
      <c r="A1422" t="s">
        <v>30</v>
      </c>
      <c r="B1422" s="1">
        <v>45869</v>
      </c>
      <c r="C1422">
        <v>240002</v>
      </c>
      <c r="D1422">
        <v>-2316.9580000000001</v>
      </c>
      <c r="E1422" t="s">
        <v>4</v>
      </c>
      <c r="F1422" t="s">
        <v>43</v>
      </c>
      <c r="G1422" t="s">
        <v>8</v>
      </c>
    </row>
    <row r="1423" spans="1:7" x14ac:dyDescent="0.3">
      <c r="A1423" t="s">
        <v>30</v>
      </c>
      <c r="B1423" s="1">
        <v>45869</v>
      </c>
      <c r="C1423">
        <v>240003</v>
      </c>
      <c r="D1423">
        <v>-140.20099999999999</v>
      </c>
      <c r="E1423" t="s">
        <v>4</v>
      </c>
      <c r="F1423" t="s">
        <v>43</v>
      </c>
      <c r="G1423" t="s">
        <v>8</v>
      </c>
    </row>
    <row r="1424" spans="1:7" x14ac:dyDescent="0.3">
      <c r="A1424" t="s">
        <v>30</v>
      </c>
      <c r="B1424" s="1">
        <v>45869</v>
      </c>
      <c r="C1424">
        <v>240009</v>
      </c>
      <c r="D1424">
        <v>-894.39</v>
      </c>
      <c r="E1424" t="s">
        <v>4</v>
      </c>
      <c r="F1424" t="s">
        <v>43</v>
      </c>
      <c r="G1424" t="s">
        <v>8</v>
      </c>
    </row>
    <row r="1425" spans="1:7" x14ac:dyDescent="0.3">
      <c r="A1425" t="s">
        <v>30</v>
      </c>
      <c r="B1425" s="1">
        <v>45869</v>
      </c>
      <c r="C1425">
        <v>242003</v>
      </c>
      <c r="D1425">
        <v>-600890.05500000005</v>
      </c>
      <c r="E1425" t="s">
        <v>4</v>
      </c>
      <c r="F1425" t="s">
        <v>43</v>
      </c>
      <c r="G1425" t="s">
        <v>8</v>
      </c>
    </row>
    <row r="1426" spans="1:7" x14ac:dyDescent="0.3">
      <c r="A1426" t="s">
        <v>30</v>
      </c>
      <c r="B1426" s="1">
        <v>45869</v>
      </c>
      <c r="C1426">
        <v>242007</v>
      </c>
      <c r="D1426">
        <v>2431.4290000000001</v>
      </c>
      <c r="E1426" t="s">
        <v>4</v>
      </c>
      <c r="F1426" t="s">
        <v>43</v>
      </c>
      <c r="G1426" t="s">
        <v>8</v>
      </c>
    </row>
    <row r="1427" spans="1:7" x14ac:dyDescent="0.3">
      <c r="A1427" t="s">
        <v>30</v>
      </c>
      <c r="B1427" s="1">
        <v>45869</v>
      </c>
      <c r="C1427">
        <v>242011</v>
      </c>
      <c r="D1427">
        <v>-140970.144</v>
      </c>
      <c r="E1427" t="s">
        <v>4</v>
      </c>
      <c r="F1427" t="s">
        <v>43</v>
      </c>
      <c r="G1427" t="s">
        <v>8</v>
      </c>
    </row>
    <row r="1428" spans="1:7" x14ac:dyDescent="0.3">
      <c r="A1428" t="s">
        <v>30</v>
      </c>
      <c r="B1428" s="1">
        <v>45869</v>
      </c>
      <c r="C1428">
        <v>242012</v>
      </c>
      <c r="D1428">
        <v>-58568.294000000002</v>
      </c>
      <c r="E1428" t="s">
        <v>4</v>
      </c>
      <c r="F1428" t="s">
        <v>43</v>
      </c>
      <c r="G1428" t="s">
        <v>8</v>
      </c>
    </row>
    <row r="1429" spans="1:7" x14ac:dyDescent="0.3">
      <c r="A1429" t="s">
        <v>30</v>
      </c>
      <c r="B1429" s="1">
        <v>45869</v>
      </c>
      <c r="C1429">
        <v>242014</v>
      </c>
      <c r="D1429">
        <v>-20564.276000000002</v>
      </c>
      <c r="E1429" t="s">
        <v>4</v>
      </c>
      <c r="F1429" t="s">
        <v>43</v>
      </c>
      <c r="G1429" t="s">
        <v>8</v>
      </c>
    </row>
    <row r="1430" spans="1:7" x14ac:dyDescent="0.3">
      <c r="A1430" t="s">
        <v>30</v>
      </c>
      <c r="B1430" s="1">
        <v>45869</v>
      </c>
      <c r="C1430">
        <v>242019</v>
      </c>
      <c r="D1430">
        <v>6.8520000000000003</v>
      </c>
      <c r="E1430" t="s">
        <v>4</v>
      </c>
      <c r="F1430" t="s">
        <v>43</v>
      </c>
      <c r="G1430" t="s">
        <v>8</v>
      </c>
    </row>
    <row r="1431" spans="1:7" x14ac:dyDescent="0.3">
      <c r="A1431" t="s">
        <v>30</v>
      </c>
      <c r="B1431" s="1">
        <v>45869</v>
      </c>
      <c r="C1431">
        <v>242022</v>
      </c>
      <c r="D1431">
        <v>-6820.8459999999995</v>
      </c>
      <c r="E1431" t="s">
        <v>4</v>
      </c>
      <c r="F1431" t="s">
        <v>43</v>
      </c>
      <c r="G1431" t="s">
        <v>8</v>
      </c>
    </row>
    <row r="1432" spans="1:7" x14ac:dyDescent="0.3">
      <c r="A1432" t="s">
        <v>30</v>
      </c>
      <c r="B1432" s="1">
        <v>45869</v>
      </c>
      <c r="C1432">
        <v>242023</v>
      </c>
      <c r="D1432">
        <v>-22798.886999999999</v>
      </c>
      <c r="E1432" t="s">
        <v>4</v>
      </c>
      <c r="F1432" t="s">
        <v>43</v>
      </c>
      <c r="G1432" t="s">
        <v>8</v>
      </c>
    </row>
    <row r="1433" spans="1:7" x14ac:dyDescent="0.3">
      <c r="A1433" t="s">
        <v>30</v>
      </c>
      <c r="B1433" s="1">
        <v>45869</v>
      </c>
      <c r="C1433">
        <v>242030</v>
      </c>
      <c r="D1433">
        <v>-91865.145000000004</v>
      </c>
      <c r="E1433" t="s">
        <v>4</v>
      </c>
      <c r="F1433" t="s">
        <v>43</v>
      </c>
      <c r="G1433" t="s">
        <v>8</v>
      </c>
    </row>
    <row r="1434" spans="1:7" x14ac:dyDescent="0.3">
      <c r="A1434" t="s">
        <v>30</v>
      </c>
      <c r="B1434" s="1">
        <v>45869</v>
      </c>
      <c r="C1434">
        <v>242036</v>
      </c>
      <c r="D1434">
        <v>-8110.152</v>
      </c>
      <c r="E1434" t="s">
        <v>4</v>
      </c>
      <c r="F1434" t="s">
        <v>43</v>
      </c>
      <c r="G1434" t="s">
        <v>8</v>
      </c>
    </row>
    <row r="1435" spans="1:7" x14ac:dyDescent="0.3">
      <c r="A1435" t="s">
        <v>30</v>
      </c>
      <c r="B1435" s="1">
        <v>45869</v>
      </c>
      <c r="C1435">
        <v>242038</v>
      </c>
      <c r="D1435">
        <v>-747.88199999999995</v>
      </c>
      <c r="E1435" t="s">
        <v>4</v>
      </c>
      <c r="F1435" t="s">
        <v>43</v>
      </c>
      <c r="G1435" t="s">
        <v>8</v>
      </c>
    </row>
    <row r="1436" spans="1:7" x14ac:dyDescent="0.3">
      <c r="A1436" t="s">
        <v>30</v>
      </c>
      <c r="B1436" s="1">
        <v>45869</v>
      </c>
      <c r="C1436">
        <v>242039</v>
      </c>
      <c r="D1436">
        <v>-100774.60400000001</v>
      </c>
      <c r="E1436" t="s">
        <v>4</v>
      </c>
      <c r="F1436" t="s">
        <v>43</v>
      </c>
      <c r="G1436" t="s">
        <v>8</v>
      </c>
    </row>
    <row r="1437" spans="1:7" x14ac:dyDescent="0.3">
      <c r="A1437" t="s">
        <v>30</v>
      </c>
      <c r="B1437" s="1">
        <v>45869</v>
      </c>
      <c r="C1437">
        <v>242041</v>
      </c>
      <c r="D1437">
        <v>-25970.978999999999</v>
      </c>
      <c r="E1437" t="s">
        <v>4</v>
      </c>
      <c r="F1437" t="s">
        <v>43</v>
      </c>
      <c r="G1437" t="s">
        <v>8</v>
      </c>
    </row>
    <row r="1438" spans="1:7" x14ac:dyDescent="0.3">
      <c r="A1438" t="s">
        <v>30</v>
      </c>
      <c r="B1438" s="1">
        <v>45869</v>
      </c>
      <c r="C1438">
        <v>243002</v>
      </c>
      <c r="D1438">
        <v>-4904.6080000000002</v>
      </c>
      <c r="E1438" t="s">
        <v>4</v>
      </c>
      <c r="F1438" t="s">
        <v>43</v>
      </c>
      <c r="G1438" t="s">
        <v>8</v>
      </c>
    </row>
    <row r="1439" spans="1:7" x14ac:dyDescent="0.3">
      <c r="A1439" t="s">
        <v>30</v>
      </c>
      <c r="B1439" s="1">
        <v>45869</v>
      </c>
      <c r="C1439">
        <v>243003</v>
      </c>
      <c r="D1439">
        <v>-38353.504000000001</v>
      </c>
      <c r="E1439" t="s">
        <v>4</v>
      </c>
      <c r="F1439" t="s">
        <v>43</v>
      </c>
      <c r="G1439" t="s">
        <v>8</v>
      </c>
    </row>
    <row r="1440" spans="1:7" x14ac:dyDescent="0.3">
      <c r="A1440" t="s">
        <v>30</v>
      </c>
      <c r="B1440" s="1">
        <v>45869</v>
      </c>
      <c r="C1440">
        <v>245010</v>
      </c>
      <c r="D1440">
        <v>-2618.2660000000001</v>
      </c>
      <c r="E1440" t="s">
        <v>4</v>
      </c>
      <c r="F1440" t="s">
        <v>44</v>
      </c>
      <c r="G1440" t="s">
        <v>8</v>
      </c>
    </row>
    <row r="1441" spans="1:7" x14ac:dyDescent="0.3">
      <c r="A1441" t="s">
        <v>30</v>
      </c>
      <c r="B1441" s="1">
        <v>45869</v>
      </c>
      <c r="C1441">
        <v>245049</v>
      </c>
      <c r="D1441">
        <v>-3.6999999999999998E-2</v>
      </c>
      <c r="E1441" t="s">
        <v>4</v>
      </c>
      <c r="F1441" t="s">
        <v>43</v>
      </c>
      <c r="G1441" t="s">
        <v>8</v>
      </c>
    </row>
    <row r="1442" spans="1:7" x14ac:dyDescent="0.3">
      <c r="A1442" t="s">
        <v>30</v>
      </c>
      <c r="B1442" s="1">
        <v>45869</v>
      </c>
      <c r="C1442">
        <v>245056</v>
      </c>
      <c r="D1442">
        <v>-8.6639999999999997</v>
      </c>
      <c r="E1442" t="s">
        <v>4</v>
      </c>
      <c r="F1442" t="s">
        <v>49</v>
      </c>
      <c r="G1442" t="s">
        <v>8</v>
      </c>
    </row>
    <row r="1443" spans="1:7" x14ac:dyDescent="0.3">
      <c r="A1443" t="s">
        <v>30</v>
      </c>
      <c r="B1443" s="1">
        <v>45869</v>
      </c>
      <c r="C1443">
        <v>245057</v>
      </c>
      <c r="D1443">
        <v>-619.41800000000001</v>
      </c>
      <c r="E1443" t="s">
        <v>4</v>
      </c>
      <c r="F1443" t="s">
        <v>43</v>
      </c>
      <c r="G1443" t="s">
        <v>8</v>
      </c>
    </row>
    <row r="1444" spans="1:7" x14ac:dyDescent="0.3">
      <c r="A1444" t="s">
        <v>30</v>
      </c>
      <c r="B1444" s="1">
        <v>45869</v>
      </c>
      <c r="C1444">
        <v>245062</v>
      </c>
      <c r="D1444">
        <v>-1087.403</v>
      </c>
      <c r="E1444" t="s">
        <v>4</v>
      </c>
      <c r="F1444" t="s">
        <v>43</v>
      </c>
      <c r="G1444" t="s">
        <v>8</v>
      </c>
    </row>
    <row r="1445" spans="1:7" x14ac:dyDescent="0.3">
      <c r="A1445" t="s">
        <v>30</v>
      </c>
      <c r="B1445" s="1">
        <v>45869</v>
      </c>
      <c r="C1445">
        <v>250003</v>
      </c>
      <c r="D1445">
        <v>-2173.9580000000001</v>
      </c>
      <c r="E1445" t="s">
        <v>4</v>
      </c>
      <c r="F1445" t="s">
        <v>45</v>
      </c>
      <c r="G1445" t="s">
        <v>8</v>
      </c>
    </row>
    <row r="1446" spans="1:7" x14ac:dyDescent="0.3">
      <c r="A1446" t="s">
        <v>30</v>
      </c>
      <c r="B1446" s="1">
        <v>45869</v>
      </c>
      <c r="C1446">
        <v>251002</v>
      </c>
      <c r="D1446">
        <v>-14354.646000000001</v>
      </c>
      <c r="E1446" t="s">
        <v>4</v>
      </c>
      <c r="F1446" t="s">
        <v>45</v>
      </c>
      <c r="G1446" t="s">
        <v>8</v>
      </c>
    </row>
    <row r="1447" spans="1:7" x14ac:dyDescent="0.3">
      <c r="A1447" t="s">
        <v>30</v>
      </c>
      <c r="B1447" s="1">
        <v>45869</v>
      </c>
      <c r="C1447">
        <v>251003</v>
      </c>
      <c r="D1447">
        <v>-5470.1790000000001</v>
      </c>
      <c r="E1447" t="s">
        <v>4</v>
      </c>
      <c r="F1447" t="s">
        <v>45</v>
      </c>
      <c r="G1447" t="s">
        <v>8</v>
      </c>
    </row>
    <row r="1448" spans="1:7" x14ac:dyDescent="0.3">
      <c r="A1448" t="s">
        <v>30</v>
      </c>
      <c r="B1448" s="1">
        <v>45869</v>
      </c>
      <c r="C1448">
        <v>256040</v>
      </c>
      <c r="D1448">
        <v>-1046586.226</v>
      </c>
      <c r="E1448" t="s">
        <v>4</v>
      </c>
      <c r="F1448" t="s">
        <v>43</v>
      </c>
      <c r="G1448" t="s">
        <v>8</v>
      </c>
    </row>
    <row r="1449" spans="1:7" x14ac:dyDescent="0.3">
      <c r="A1449" t="s">
        <v>30</v>
      </c>
      <c r="B1449" s="1">
        <v>45869</v>
      </c>
      <c r="C1449">
        <v>256041</v>
      </c>
      <c r="D1449">
        <v>-7704.0360000000001</v>
      </c>
      <c r="E1449" t="s">
        <v>4</v>
      </c>
      <c r="F1449" t="s">
        <v>43</v>
      </c>
      <c r="G1449" t="s">
        <v>8</v>
      </c>
    </row>
    <row r="1450" spans="1:7" x14ac:dyDescent="0.3">
      <c r="A1450" t="s">
        <v>30</v>
      </c>
      <c r="B1450" s="1">
        <v>45869</v>
      </c>
      <c r="C1450">
        <v>257005</v>
      </c>
      <c r="D1450">
        <v>264.25700000000001</v>
      </c>
      <c r="E1450" t="s">
        <v>4</v>
      </c>
      <c r="F1450" t="s">
        <v>45</v>
      </c>
      <c r="G1450" t="s">
        <v>8</v>
      </c>
    </row>
    <row r="1451" spans="1:7" x14ac:dyDescent="0.3">
      <c r="A1451" t="s">
        <v>30</v>
      </c>
      <c r="B1451" s="1">
        <v>45869</v>
      </c>
      <c r="C1451">
        <v>257027</v>
      </c>
      <c r="D1451">
        <v>-2416.5540000000001</v>
      </c>
      <c r="E1451" t="s">
        <v>4</v>
      </c>
      <c r="F1451" t="s">
        <v>45</v>
      </c>
      <c r="G1451" t="s">
        <v>8</v>
      </c>
    </row>
    <row r="1452" spans="1:7" x14ac:dyDescent="0.3">
      <c r="A1452" t="s">
        <v>30</v>
      </c>
      <c r="B1452" s="1">
        <v>45869</v>
      </c>
      <c r="C1452">
        <v>260004</v>
      </c>
      <c r="D1452">
        <v>-100100.81299999999</v>
      </c>
      <c r="E1452" t="s">
        <v>4</v>
      </c>
      <c r="F1452" t="s">
        <v>45</v>
      </c>
      <c r="G1452" t="s">
        <v>8</v>
      </c>
    </row>
    <row r="1453" spans="1:7" x14ac:dyDescent="0.3">
      <c r="A1453" t="s">
        <v>30</v>
      </c>
      <c r="B1453" s="1">
        <v>45869</v>
      </c>
      <c r="C1453">
        <v>270025</v>
      </c>
      <c r="D1453">
        <v>-29418.491999999998</v>
      </c>
      <c r="E1453" t="s">
        <v>4</v>
      </c>
      <c r="F1453" t="s">
        <v>58</v>
      </c>
      <c r="G1453" t="s">
        <v>8</v>
      </c>
    </row>
    <row r="1454" spans="1:7" x14ac:dyDescent="0.3">
      <c r="A1454" t="s">
        <v>30</v>
      </c>
      <c r="B1454" s="1">
        <v>45869</v>
      </c>
      <c r="C1454">
        <v>270026</v>
      </c>
      <c r="D1454">
        <v>-9946.7549999999992</v>
      </c>
      <c r="E1454" t="s">
        <v>4</v>
      </c>
      <c r="F1454" t="s">
        <v>58</v>
      </c>
      <c r="G1454" t="s">
        <v>8</v>
      </c>
    </row>
    <row r="1455" spans="1:7" x14ac:dyDescent="0.3">
      <c r="A1455" t="s">
        <v>30</v>
      </c>
      <c r="B1455" s="1">
        <v>45869</v>
      </c>
      <c r="C1455">
        <v>270027</v>
      </c>
      <c r="D1455">
        <v>-3759.1880000000001</v>
      </c>
      <c r="E1455" t="s">
        <v>4</v>
      </c>
      <c r="F1455" t="s">
        <v>58</v>
      </c>
      <c r="G1455" t="s">
        <v>8</v>
      </c>
    </row>
    <row r="1456" spans="1:7" x14ac:dyDescent="0.3">
      <c r="A1456" t="s">
        <v>30</v>
      </c>
      <c r="B1456" s="1">
        <v>45869</v>
      </c>
      <c r="C1456">
        <v>275002</v>
      </c>
      <c r="D1456">
        <v>-89.262</v>
      </c>
      <c r="E1456" t="s">
        <v>4</v>
      </c>
      <c r="F1456" t="s">
        <v>58</v>
      </c>
      <c r="G1456" t="s">
        <v>8</v>
      </c>
    </row>
    <row r="1457" spans="1:7" x14ac:dyDescent="0.3">
      <c r="A1457" t="s">
        <v>30</v>
      </c>
      <c r="B1457" s="1">
        <v>45869</v>
      </c>
      <c r="C1457">
        <v>300008</v>
      </c>
      <c r="D1457">
        <v>2695.1179999999999</v>
      </c>
      <c r="E1457" t="s">
        <v>4</v>
      </c>
      <c r="F1457" t="s">
        <v>65</v>
      </c>
      <c r="G1457" t="s">
        <v>8</v>
      </c>
    </row>
    <row r="1458" spans="1:7" x14ac:dyDescent="0.3">
      <c r="A1458" t="s">
        <v>30</v>
      </c>
      <c r="B1458" s="1">
        <v>45869</v>
      </c>
      <c r="C1458">
        <v>300011</v>
      </c>
      <c r="D1458">
        <v>42.511000000000003</v>
      </c>
      <c r="E1458" t="s">
        <v>4</v>
      </c>
      <c r="F1458" t="s">
        <v>65</v>
      </c>
      <c r="G1458" t="s">
        <v>8</v>
      </c>
    </row>
    <row r="1459" spans="1:7" x14ac:dyDescent="0.3">
      <c r="A1459" t="s">
        <v>30</v>
      </c>
      <c r="B1459" s="1">
        <v>45869</v>
      </c>
      <c r="C1459">
        <v>300012</v>
      </c>
      <c r="D1459">
        <v>64.760999999999996</v>
      </c>
      <c r="E1459" t="s">
        <v>4</v>
      </c>
      <c r="F1459" t="s">
        <v>65</v>
      </c>
      <c r="G1459" t="s">
        <v>8</v>
      </c>
    </row>
    <row r="1460" spans="1:7" x14ac:dyDescent="0.3">
      <c r="A1460" t="s">
        <v>30</v>
      </c>
      <c r="B1460" s="1">
        <v>45869</v>
      </c>
      <c r="C1460">
        <v>300508</v>
      </c>
      <c r="D1460">
        <v>-2188.9229999999998</v>
      </c>
      <c r="E1460" t="s">
        <v>4</v>
      </c>
      <c r="F1460" t="s">
        <v>65</v>
      </c>
      <c r="G1460" t="s">
        <v>8</v>
      </c>
    </row>
    <row r="1461" spans="1:7" x14ac:dyDescent="0.3">
      <c r="A1461" t="s">
        <v>30</v>
      </c>
      <c r="B1461" s="1">
        <v>45869</v>
      </c>
      <c r="C1461">
        <v>300511</v>
      </c>
      <c r="D1461">
        <v>-35.637999999999998</v>
      </c>
      <c r="E1461" t="s">
        <v>4</v>
      </c>
      <c r="F1461" t="s">
        <v>65</v>
      </c>
      <c r="G1461" t="s">
        <v>8</v>
      </c>
    </row>
    <row r="1462" spans="1:7" x14ac:dyDescent="0.3">
      <c r="A1462" t="s">
        <v>30</v>
      </c>
      <c r="B1462" s="1">
        <v>45869</v>
      </c>
      <c r="C1462">
        <v>300512</v>
      </c>
      <c r="D1462">
        <v>-47.79</v>
      </c>
      <c r="E1462" t="s">
        <v>4</v>
      </c>
      <c r="F1462" t="s">
        <v>65</v>
      </c>
      <c r="G1462" t="s">
        <v>8</v>
      </c>
    </row>
    <row r="1463" spans="1:7" x14ac:dyDescent="0.3">
      <c r="A1463" t="s">
        <v>30</v>
      </c>
      <c r="B1463" s="1">
        <v>45869</v>
      </c>
      <c r="C1463">
        <v>310022</v>
      </c>
      <c r="D1463">
        <v>1200184.5049999999</v>
      </c>
      <c r="E1463" t="s">
        <v>4</v>
      </c>
      <c r="F1463" t="s">
        <v>42</v>
      </c>
      <c r="G1463" t="s">
        <v>8</v>
      </c>
    </row>
    <row r="1464" spans="1:7" x14ac:dyDescent="0.3">
      <c r="A1464" t="s">
        <v>30</v>
      </c>
      <c r="B1464" s="1">
        <v>45869</v>
      </c>
      <c r="C1464">
        <v>320002</v>
      </c>
      <c r="D1464">
        <v>34587.410000000003</v>
      </c>
      <c r="E1464" t="s">
        <v>4</v>
      </c>
      <c r="F1464" t="s">
        <v>46</v>
      </c>
      <c r="G1464" t="s">
        <v>8</v>
      </c>
    </row>
    <row r="1465" spans="1:7" x14ac:dyDescent="0.3">
      <c r="A1465" t="s">
        <v>30</v>
      </c>
      <c r="B1465" s="1">
        <v>45869</v>
      </c>
      <c r="C1465">
        <v>320003</v>
      </c>
      <c r="D1465">
        <v>351831.88400000002</v>
      </c>
      <c r="E1465" t="s">
        <v>4</v>
      </c>
      <c r="F1465" t="s">
        <v>46</v>
      </c>
      <c r="G1465" t="s">
        <v>8</v>
      </c>
    </row>
    <row r="1466" spans="1:7" x14ac:dyDescent="0.3">
      <c r="A1466" t="s">
        <v>30</v>
      </c>
      <c r="B1466" s="1">
        <v>45869</v>
      </c>
      <c r="C1466">
        <v>320004</v>
      </c>
      <c r="D1466">
        <v>-2159.2280000000001</v>
      </c>
      <c r="E1466" t="s">
        <v>4</v>
      </c>
      <c r="F1466" t="s">
        <v>46</v>
      </c>
      <c r="G1466" t="s">
        <v>8</v>
      </c>
    </row>
    <row r="1467" spans="1:7" x14ac:dyDescent="0.3">
      <c r="A1467" t="s">
        <v>30</v>
      </c>
      <c r="B1467" s="1">
        <v>45869</v>
      </c>
      <c r="C1467">
        <v>320018</v>
      </c>
      <c r="D1467">
        <v>1247.7270000000001</v>
      </c>
      <c r="E1467" t="s">
        <v>4</v>
      </c>
      <c r="F1467" t="s">
        <v>46</v>
      </c>
      <c r="G1467" t="s">
        <v>8</v>
      </c>
    </row>
    <row r="1468" spans="1:7" x14ac:dyDescent="0.3">
      <c r="A1468" t="s">
        <v>30</v>
      </c>
      <c r="B1468" s="1">
        <v>45869</v>
      </c>
      <c r="C1468">
        <v>320023</v>
      </c>
      <c r="D1468">
        <v>-5071.0870000000004</v>
      </c>
      <c r="E1468" t="s">
        <v>4</v>
      </c>
      <c r="F1468" t="s">
        <v>46</v>
      </c>
      <c r="G1468" t="s">
        <v>8</v>
      </c>
    </row>
    <row r="1469" spans="1:7" x14ac:dyDescent="0.3">
      <c r="A1469" t="s">
        <v>30</v>
      </c>
      <c r="B1469" s="1">
        <v>45869</v>
      </c>
      <c r="C1469">
        <v>321002</v>
      </c>
      <c r="D1469">
        <v>86313.495999999999</v>
      </c>
      <c r="E1469" t="s">
        <v>4</v>
      </c>
      <c r="F1469" t="s">
        <v>46</v>
      </c>
      <c r="G1469" t="s">
        <v>8</v>
      </c>
    </row>
    <row r="1470" spans="1:7" x14ac:dyDescent="0.3">
      <c r="A1470" t="s">
        <v>30</v>
      </c>
      <c r="B1470" s="1">
        <v>45869</v>
      </c>
      <c r="C1470">
        <v>321004</v>
      </c>
      <c r="D1470">
        <v>5304.99</v>
      </c>
      <c r="E1470" t="s">
        <v>4</v>
      </c>
      <c r="F1470" t="s">
        <v>46</v>
      </c>
      <c r="G1470" t="s">
        <v>8</v>
      </c>
    </row>
    <row r="1471" spans="1:7" x14ac:dyDescent="0.3">
      <c r="A1471" t="s">
        <v>30</v>
      </c>
      <c r="B1471" s="1">
        <v>45869</v>
      </c>
      <c r="C1471">
        <v>321012</v>
      </c>
      <c r="D1471">
        <v>132823.11900000001</v>
      </c>
      <c r="E1471" t="s">
        <v>4</v>
      </c>
      <c r="F1471" t="s">
        <v>46</v>
      </c>
      <c r="G1471" t="s">
        <v>8</v>
      </c>
    </row>
    <row r="1472" spans="1:7" x14ac:dyDescent="0.3">
      <c r="A1472" t="s">
        <v>30</v>
      </c>
      <c r="B1472" s="1">
        <v>45869</v>
      </c>
      <c r="C1472">
        <v>321013</v>
      </c>
      <c r="D1472">
        <v>4376.8239999999996</v>
      </c>
      <c r="E1472" t="s">
        <v>4</v>
      </c>
      <c r="F1472" t="s">
        <v>46</v>
      </c>
      <c r="G1472" t="s">
        <v>8</v>
      </c>
    </row>
    <row r="1473" spans="1:7" x14ac:dyDescent="0.3">
      <c r="A1473" t="s">
        <v>30</v>
      </c>
      <c r="B1473" s="1">
        <v>45869</v>
      </c>
      <c r="C1473">
        <v>321014</v>
      </c>
      <c r="D1473">
        <v>4066.3</v>
      </c>
      <c r="E1473" t="s">
        <v>4</v>
      </c>
      <c r="F1473" t="s">
        <v>46</v>
      </c>
      <c r="G1473" t="s">
        <v>8</v>
      </c>
    </row>
    <row r="1474" spans="1:7" x14ac:dyDescent="0.3">
      <c r="A1474" t="s">
        <v>30</v>
      </c>
      <c r="B1474" s="1">
        <v>45869</v>
      </c>
      <c r="C1474">
        <v>321021</v>
      </c>
      <c r="D1474">
        <v>32746.053</v>
      </c>
      <c r="E1474" t="s">
        <v>4</v>
      </c>
      <c r="F1474" t="s">
        <v>46</v>
      </c>
      <c r="G1474" t="s">
        <v>8</v>
      </c>
    </row>
    <row r="1475" spans="1:7" x14ac:dyDescent="0.3">
      <c r="A1475" t="s">
        <v>30</v>
      </c>
      <c r="B1475" s="1">
        <v>45869</v>
      </c>
      <c r="C1475">
        <v>321028</v>
      </c>
      <c r="D1475">
        <v>2474.4380000000001</v>
      </c>
      <c r="E1475" t="s">
        <v>4</v>
      </c>
      <c r="F1475" t="s">
        <v>46</v>
      </c>
      <c r="G1475" t="s">
        <v>8</v>
      </c>
    </row>
    <row r="1476" spans="1:7" x14ac:dyDescent="0.3">
      <c r="A1476" t="s">
        <v>30</v>
      </c>
      <c r="B1476" s="1">
        <v>45869</v>
      </c>
      <c r="C1476">
        <v>321029</v>
      </c>
      <c r="D1476">
        <v>22211.277999999998</v>
      </c>
      <c r="E1476" t="s">
        <v>4</v>
      </c>
      <c r="F1476" t="s">
        <v>46</v>
      </c>
      <c r="G1476" t="s">
        <v>8</v>
      </c>
    </row>
    <row r="1477" spans="1:7" x14ac:dyDescent="0.3">
      <c r="A1477" t="s">
        <v>30</v>
      </c>
      <c r="B1477" s="1">
        <v>45869</v>
      </c>
      <c r="C1477">
        <v>321030</v>
      </c>
      <c r="D1477">
        <v>2611.9290000000001</v>
      </c>
      <c r="E1477" t="s">
        <v>4</v>
      </c>
      <c r="F1477" t="s">
        <v>46</v>
      </c>
      <c r="G1477" t="s">
        <v>8</v>
      </c>
    </row>
    <row r="1478" spans="1:7" x14ac:dyDescent="0.3">
      <c r="A1478" t="s">
        <v>30</v>
      </c>
      <c r="B1478" s="1">
        <v>45869</v>
      </c>
      <c r="C1478">
        <v>321031</v>
      </c>
      <c r="D1478">
        <v>78574.828999999998</v>
      </c>
      <c r="E1478" t="s">
        <v>4</v>
      </c>
      <c r="F1478" t="s">
        <v>46</v>
      </c>
      <c r="G1478" t="s">
        <v>8</v>
      </c>
    </row>
    <row r="1479" spans="1:7" x14ac:dyDescent="0.3">
      <c r="A1479" t="s">
        <v>30</v>
      </c>
      <c r="B1479" s="1">
        <v>45869</v>
      </c>
      <c r="C1479">
        <v>321042</v>
      </c>
      <c r="D1479">
        <v>-2833.6790000000001</v>
      </c>
      <c r="E1479" t="s">
        <v>4</v>
      </c>
      <c r="F1479" t="s">
        <v>46</v>
      </c>
      <c r="G1479" t="s">
        <v>8</v>
      </c>
    </row>
    <row r="1480" spans="1:7" x14ac:dyDescent="0.3">
      <c r="A1480" t="s">
        <v>30</v>
      </c>
      <c r="B1480" s="1">
        <v>45869</v>
      </c>
      <c r="C1480">
        <v>330044</v>
      </c>
      <c r="D1480">
        <v>2057.2890000000002</v>
      </c>
      <c r="E1480" t="s">
        <v>4</v>
      </c>
      <c r="F1480" t="s">
        <v>43</v>
      </c>
      <c r="G1480" t="s">
        <v>8</v>
      </c>
    </row>
    <row r="1481" spans="1:7" x14ac:dyDescent="0.3">
      <c r="A1481" t="s">
        <v>30</v>
      </c>
      <c r="B1481" s="1">
        <v>45869</v>
      </c>
      <c r="C1481">
        <v>330107</v>
      </c>
      <c r="D1481">
        <v>-1033.4290000000001</v>
      </c>
      <c r="E1481" t="s">
        <v>4</v>
      </c>
      <c r="F1481" t="s">
        <v>43</v>
      </c>
      <c r="G1481" t="s">
        <v>8</v>
      </c>
    </row>
    <row r="1482" spans="1:7" x14ac:dyDescent="0.3">
      <c r="A1482" t="s">
        <v>30</v>
      </c>
      <c r="B1482" s="1">
        <v>45869</v>
      </c>
      <c r="C1482">
        <v>330141</v>
      </c>
      <c r="D1482">
        <v>4019.6460000000002</v>
      </c>
      <c r="E1482" t="s">
        <v>4</v>
      </c>
      <c r="F1482" t="s">
        <v>43</v>
      </c>
      <c r="G1482" t="s">
        <v>8</v>
      </c>
    </row>
    <row r="1483" spans="1:7" x14ac:dyDescent="0.3">
      <c r="A1483" t="s">
        <v>30</v>
      </c>
      <c r="B1483" s="1">
        <v>45869</v>
      </c>
      <c r="C1483">
        <v>330143</v>
      </c>
      <c r="D1483">
        <v>2136.7669999999998</v>
      </c>
      <c r="E1483" t="s">
        <v>4</v>
      </c>
      <c r="F1483" t="s">
        <v>43</v>
      </c>
      <c r="G1483" t="s">
        <v>8</v>
      </c>
    </row>
    <row r="1484" spans="1:7" x14ac:dyDescent="0.3">
      <c r="A1484" t="s">
        <v>30</v>
      </c>
      <c r="B1484" s="1">
        <v>45869</v>
      </c>
      <c r="C1484">
        <v>331017</v>
      </c>
      <c r="D1484">
        <v>23179.339</v>
      </c>
      <c r="E1484" t="s">
        <v>4</v>
      </c>
      <c r="F1484" t="s">
        <v>43</v>
      </c>
      <c r="G1484" t="s">
        <v>8</v>
      </c>
    </row>
    <row r="1485" spans="1:7" x14ac:dyDescent="0.3">
      <c r="A1485" t="s">
        <v>30</v>
      </c>
      <c r="B1485" s="1">
        <v>45869</v>
      </c>
      <c r="C1485">
        <v>340165</v>
      </c>
      <c r="D1485">
        <v>332898.29200000002</v>
      </c>
      <c r="E1485" t="s">
        <v>4</v>
      </c>
      <c r="F1485" t="s">
        <v>47</v>
      </c>
      <c r="G1485" t="s">
        <v>8</v>
      </c>
    </row>
    <row r="1486" spans="1:7" x14ac:dyDescent="0.3">
      <c r="A1486" t="s">
        <v>30</v>
      </c>
      <c r="B1486" s="1">
        <v>45869</v>
      </c>
      <c r="C1486">
        <v>350002</v>
      </c>
      <c r="D1486">
        <v>541.83299999999997</v>
      </c>
      <c r="E1486" t="s">
        <v>4</v>
      </c>
      <c r="F1486" t="s">
        <v>49</v>
      </c>
      <c r="G1486" t="s">
        <v>8</v>
      </c>
    </row>
    <row r="1487" spans="1:7" x14ac:dyDescent="0.3">
      <c r="A1487" t="s">
        <v>30</v>
      </c>
      <c r="B1487" s="1">
        <v>45869</v>
      </c>
      <c r="C1487">
        <v>350003</v>
      </c>
      <c r="D1487">
        <v>152.023</v>
      </c>
      <c r="E1487" t="s">
        <v>4</v>
      </c>
      <c r="F1487" t="s">
        <v>49</v>
      </c>
      <c r="G1487" t="s">
        <v>8</v>
      </c>
    </row>
    <row r="1488" spans="1:7" x14ac:dyDescent="0.3">
      <c r="A1488" t="s">
        <v>30</v>
      </c>
      <c r="B1488" s="1">
        <v>45869</v>
      </c>
      <c r="C1488">
        <v>350007</v>
      </c>
      <c r="D1488">
        <v>4.4480000000000004</v>
      </c>
      <c r="E1488" t="s">
        <v>4</v>
      </c>
      <c r="F1488" t="s">
        <v>49</v>
      </c>
      <c r="G1488" t="s">
        <v>8</v>
      </c>
    </row>
    <row r="1489" spans="1:7" x14ac:dyDescent="0.3">
      <c r="A1489" t="s">
        <v>30</v>
      </c>
      <c r="B1489" s="1">
        <v>45869</v>
      </c>
      <c r="C1489">
        <v>350031</v>
      </c>
      <c r="D1489">
        <v>894.39</v>
      </c>
      <c r="E1489" t="s">
        <v>4</v>
      </c>
      <c r="F1489" t="s">
        <v>43</v>
      </c>
      <c r="G1489" t="s">
        <v>8</v>
      </c>
    </row>
    <row r="1490" spans="1:7" x14ac:dyDescent="0.3">
      <c r="A1490" t="s">
        <v>30</v>
      </c>
      <c r="B1490" s="1">
        <v>45869</v>
      </c>
      <c r="C1490">
        <v>350034</v>
      </c>
      <c r="D1490">
        <v>8.6639999999999997</v>
      </c>
      <c r="E1490" t="s">
        <v>4</v>
      </c>
      <c r="F1490" t="s">
        <v>49</v>
      </c>
      <c r="G1490" t="s">
        <v>8</v>
      </c>
    </row>
    <row r="1491" spans="1:7" x14ac:dyDescent="0.3">
      <c r="A1491" t="s">
        <v>30</v>
      </c>
      <c r="B1491" s="1">
        <v>45869</v>
      </c>
      <c r="C1491">
        <v>354012</v>
      </c>
      <c r="D1491">
        <v>259533.41800000001</v>
      </c>
      <c r="E1491" t="s">
        <v>4</v>
      </c>
      <c r="F1491" t="s">
        <v>46</v>
      </c>
      <c r="G1491" t="s">
        <v>8</v>
      </c>
    </row>
    <row r="1492" spans="1:7" x14ac:dyDescent="0.3">
      <c r="A1492" t="s">
        <v>30</v>
      </c>
      <c r="B1492" s="1">
        <v>45869</v>
      </c>
      <c r="C1492">
        <v>354014</v>
      </c>
      <c r="D1492">
        <v>34127.531000000003</v>
      </c>
      <c r="E1492" t="s">
        <v>4</v>
      </c>
      <c r="F1492" t="s">
        <v>46</v>
      </c>
      <c r="G1492" t="s">
        <v>8</v>
      </c>
    </row>
    <row r="1493" spans="1:7" x14ac:dyDescent="0.3">
      <c r="A1493" t="s">
        <v>30</v>
      </c>
      <c r="B1493" s="1">
        <v>45869</v>
      </c>
      <c r="C1493">
        <v>354015</v>
      </c>
      <c r="D1493">
        <v>19887.008999999998</v>
      </c>
      <c r="E1493" t="s">
        <v>4</v>
      </c>
      <c r="F1493" t="s">
        <v>46</v>
      </c>
      <c r="G1493" t="s">
        <v>8</v>
      </c>
    </row>
    <row r="1494" spans="1:7" x14ac:dyDescent="0.3">
      <c r="A1494" t="s">
        <v>30</v>
      </c>
      <c r="B1494" s="1">
        <v>45869</v>
      </c>
      <c r="C1494">
        <v>355002</v>
      </c>
      <c r="D1494">
        <v>643.09</v>
      </c>
      <c r="E1494" t="s">
        <v>4</v>
      </c>
      <c r="F1494" t="s">
        <v>49</v>
      </c>
      <c r="G1494" t="s">
        <v>8</v>
      </c>
    </row>
    <row r="1495" spans="1:7" x14ac:dyDescent="0.3">
      <c r="A1495" t="s">
        <v>30</v>
      </c>
      <c r="B1495" s="1">
        <v>45869</v>
      </c>
      <c r="C1495">
        <v>360028</v>
      </c>
      <c r="D1495">
        <v>29603.438999999998</v>
      </c>
      <c r="E1495" t="s">
        <v>4</v>
      </c>
      <c r="F1495" t="s">
        <v>58</v>
      </c>
      <c r="G1495" t="s">
        <v>8</v>
      </c>
    </row>
    <row r="1496" spans="1:7" x14ac:dyDescent="0.3">
      <c r="A1496" t="s">
        <v>30</v>
      </c>
      <c r="B1496" s="1">
        <v>45869</v>
      </c>
      <c r="C1496">
        <v>360030</v>
      </c>
      <c r="D1496">
        <v>9233.7309999999998</v>
      </c>
      <c r="E1496" t="s">
        <v>4</v>
      </c>
      <c r="F1496" t="s">
        <v>58</v>
      </c>
      <c r="G1496" t="s">
        <v>8</v>
      </c>
    </row>
    <row r="1497" spans="1:7" x14ac:dyDescent="0.3">
      <c r="A1497" t="s">
        <v>30</v>
      </c>
      <c r="B1497" s="1">
        <v>45869</v>
      </c>
      <c r="C1497">
        <v>360032</v>
      </c>
      <c r="D1497">
        <v>2272.587</v>
      </c>
      <c r="E1497" t="s">
        <v>4</v>
      </c>
      <c r="F1497" t="s">
        <v>58</v>
      </c>
      <c r="G1497" t="s">
        <v>8</v>
      </c>
    </row>
    <row r="1498" spans="1:7" x14ac:dyDescent="0.3">
      <c r="A1498" t="s">
        <v>30</v>
      </c>
      <c r="B1498" s="1">
        <v>45869</v>
      </c>
      <c r="C1498">
        <v>372004</v>
      </c>
      <c r="D1498">
        <v>41064.828999999998</v>
      </c>
      <c r="E1498" t="s">
        <v>4</v>
      </c>
      <c r="F1498" t="s">
        <v>45</v>
      </c>
      <c r="G1498" t="s">
        <v>8</v>
      </c>
    </row>
    <row r="1499" spans="1:7" x14ac:dyDescent="0.3">
      <c r="A1499" t="s">
        <v>30</v>
      </c>
      <c r="B1499" s="1">
        <v>45869</v>
      </c>
      <c r="C1499">
        <v>400002</v>
      </c>
      <c r="D1499">
        <v>-17154.05</v>
      </c>
      <c r="E1499" t="s">
        <v>6</v>
      </c>
      <c r="F1499" t="s">
        <v>50</v>
      </c>
      <c r="G1499" t="s">
        <v>8</v>
      </c>
    </row>
    <row r="1500" spans="1:7" x14ac:dyDescent="0.3">
      <c r="A1500" t="s">
        <v>30</v>
      </c>
      <c r="B1500" s="1">
        <v>45869</v>
      </c>
      <c r="C1500">
        <v>400004</v>
      </c>
      <c r="D1500">
        <v>-57175.078999999998</v>
      </c>
      <c r="E1500" t="s">
        <v>6</v>
      </c>
      <c r="F1500" t="s">
        <v>50</v>
      </c>
      <c r="G1500" t="s">
        <v>8</v>
      </c>
    </row>
    <row r="1501" spans="1:7" x14ac:dyDescent="0.3">
      <c r="A1501" t="s">
        <v>30</v>
      </c>
      <c r="B1501" s="1">
        <v>45869</v>
      </c>
      <c r="C1501">
        <v>410002</v>
      </c>
      <c r="D1501">
        <v>-16968.737000000001</v>
      </c>
      <c r="E1501" t="s">
        <v>6</v>
      </c>
      <c r="F1501" t="s">
        <v>51</v>
      </c>
      <c r="G1501" t="s">
        <v>8</v>
      </c>
    </row>
    <row r="1502" spans="1:7" x14ac:dyDescent="0.3">
      <c r="A1502" t="s">
        <v>30</v>
      </c>
      <c r="B1502" s="1">
        <v>45869</v>
      </c>
      <c r="C1502">
        <v>410005</v>
      </c>
      <c r="D1502">
        <v>-6572.0450000000001</v>
      </c>
      <c r="E1502" t="s">
        <v>6</v>
      </c>
      <c r="F1502" t="s">
        <v>51</v>
      </c>
      <c r="G1502" t="s">
        <v>8</v>
      </c>
    </row>
    <row r="1503" spans="1:7" x14ac:dyDescent="0.3">
      <c r="A1503" t="s">
        <v>30</v>
      </c>
      <c r="B1503" s="1">
        <v>45869</v>
      </c>
      <c r="C1503">
        <v>410006</v>
      </c>
      <c r="D1503">
        <v>-44349.08</v>
      </c>
      <c r="E1503" t="s">
        <v>6</v>
      </c>
      <c r="F1503" t="s">
        <v>51</v>
      </c>
      <c r="G1503" t="s">
        <v>8</v>
      </c>
    </row>
    <row r="1504" spans="1:7" x14ac:dyDescent="0.3">
      <c r="A1504" t="s">
        <v>30</v>
      </c>
      <c r="B1504" s="1">
        <v>45869</v>
      </c>
      <c r="C1504">
        <v>410009</v>
      </c>
      <c r="D1504">
        <v>-26432.912</v>
      </c>
      <c r="E1504" t="s">
        <v>6</v>
      </c>
      <c r="F1504" t="s">
        <v>51</v>
      </c>
      <c r="G1504" t="s">
        <v>8</v>
      </c>
    </row>
    <row r="1505" spans="1:7" x14ac:dyDescent="0.3">
      <c r="A1505" t="s">
        <v>30</v>
      </c>
      <c r="B1505" s="1">
        <v>45869</v>
      </c>
      <c r="C1505">
        <v>410015</v>
      </c>
      <c r="D1505">
        <v>-3177.2759999999998</v>
      </c>
      <c r="E1505" t="s">
        <v>6</v>
      </c>
      <c r="F1505" t="s">
        <v>51</v>
      </c>
      <c r="G1505" t="s">
        <v>8</v>
      </c>
    </row>
    <row r="1506" spans="1:7" x14ac:dyDescent="0.3">
      <c r="A1506" t="s">
        <v>30</v>
      </c>
      <c r="B1506" s="1">
        <v>45869</v>
      </c>
      <c r="C1506">
        <v>410018</v>
      </c>
      <c r="D1506">
        <v>-1609.3150000000001</v>
      </c>
      <c r="E1506" t="s">
        <v>6</v>
      </c>
      <c r="F1506" t="s">
        <v>51</v>
      </c>
      <c r="G1506" t="s">
        <v>8</v>
      </c>
    </row>
    <row r="1507" spans="1:7" x14ac:dyDescent="0.3">
      <c r="A1507" t="s">
        <v>30</v>
      </c>
      <c r="B1507" s="1">
        <v>45869</v>
      </c>
      <c r="C1507">
        <v>410036</v>
      </c>
      <c r="D1507">
        <v>-1206.1569999999999</v>
      </c>
      <c r="E1507" t="s">
        <v>6</v>
      </c>
      <c r="F1507" t="s">
        <v>51</v>
      </c>
      <c r="G1507" t="s">
        <v>8</v>
      </c>
    </row>
    <row r="1508" spans="1:7" x14ac:dyDescent="0.3">
      <c r="A1508" t="s">
        <v>30</v>
      </c>
      <c r="B1508" s="1">
        <v>45869</v>
      </c>
      <c r="C1508">
        <v>410037</v>
      </c>
      <c r="D1508">
        <v>-71782.807000000001</v>
      </c>
      <c r="E1508" t="s">
        <v>6</v>
      </c>
      <c r="F1508" t="s">
        <v>51</v>
      </c>
      <c r="G1508" t="s">
        <v>8</v>
      </c>
    </row>
    <row r="1509" spans="1:7" x14ac:dyDescent="0.3">
      <c r="A1509" t="s">
        <v>30</v>
      </c>
      <c r="B1509" s="1">
        <v>45869</v>
      </c>
      <c r="C1509">
        <v>410039</v>
      </c>
      <c r="D1509">
        <v>-18057.274000000001</v>
      </c>
      <c r="E1509" t="s">
        <v>6</v>
      </c>
      <c r="F1509" t="s">
        <v>51</v>
      </c>
      <c r="G1509" t="s">
        <v>8</v>
      </c>
    </row>
    <row r="1510" spans="1:7" x14ac:dyDescent="0.3">
      <c r="A1510" t="s">
        <v>30</v>
      </c>
      <c r="B1510" s="1">
        <v>45869</v>
      </c>
      <c r="C1510">
        <v>410040</v>
      </c>
      <c r="D1510">
        <v>-510.93799999999999</v>
      </c>
      <c r="E1510" t="s">
        <v>6</v>
      </c>
      <c r="F1510" t="s">
        <v>51</v>
      </c>
      <c r="G1510" t="s">
        <v>8</v>
      </c>
    </row>
    <row r="1511" spans="1:7" x14ac:dyDescent="0.3">
      <c r="A1511" t="s">
        <v>30</v>
      </c>
      <c r="B1511" s="1">
        <v>45869</v>
      </c>
      <c r="C1511">
        <v>415002</v>
      </c>
      <c r="D1511">
        <v>-126468.84</v>
      </c>
      <c r="E1511" t="s">
        <v>6</v>
      </c>
      <c r="F1511" t="s">
        <v>50</v>
      </c>
      <c r="G1511" t="s">
        <v>8</v>
      </c>
    </row>
    <row r="1512" spans="1:7" x14ac:dyDescent="0.3">
      <c r="A1512" t="s">
        <v>30</v>
      </c>
      <c r="B1512" s="1">
        <v>45869</v>
      </c>
      <c r="C1512">
        <v>415004</v>
      </c>
      <c r="D1512">
        <v>-359461.49900000001</v>
      </c>
      <c r="E1512" t="s">
        <v>6</v>
      </c>
      <c r="F1512" t="s">
        <v>50</v>
      </c>
      <c r="G1512" t="s">
        <v>8</v>
      </c>
    </row>
    <row r="1513" spans="1:7" x14ac:dyDescent="0.3">
      <c r="A1513" t="s">
        <v>30</v>
      </c>
      <c r="B1513" s="1">
        <v>45869</v>
      </c>
      <c r="C1513">
        <v>418003</v>
      </c>
      <c r="D1513">
        <v>3.0000000000000001E-3</v>
      </c>
      <c r="E1513" t="s">
        <v>6</v>
      </c>
      <c r="F1513" t="s">
        <v>51</v>
      </c>
      <c r="G1513" t="s">
        <v>8</v>
      </c>
    </row>
    <row r="1514" spans="1:7" x14ac:dyDescent="0.3">
      <c r="A1514" t="s">
        <v>30</v>
      </c>
      <c r="B1514" s="1">
        <v>45869</v>
      </c>
      <c r="C1514">
        <v>421002</v>
      </c>
      <c r="D1514">
        <v>-26851.816999999999</v>
      </c>
      <c r="E1514" t="s">
        <v>6</v>
      </c>
      <c r="F1514" t="s">
        <v>52</v>
      </c>
      <c r="G1514" t="s">
        <v>8</v>
      </c>
    </row>
    <row r="1515" spans="1:7" x14ac:dyDescent="0.3">
      <c r="A1515" t="s">
        <v>30</v>
      </c>
      <c r="B1515" s="1">
        <v>45869</v>
      </c>
      <c r="C1515">
        <v>421003</v>
      </c>
      <c r="D1515">
        <v>21163.615000000002</v>
      </c>
      <c r="E1515" t="s">
        <v>6</v>
      </c>
      <c r="F1515" t="s">
        <v>52</v>
      </c>
      <c r="G1515" t="s">
        <v>8</v>
      </c>
    </row>
    <row r="1516" spans="1:7" x14ac:dyDescent="0.3">
      <c r="A1516" t="s">
        <v>30</v>
      </c>
      <c r="B1516" s="1">
        <v>45869</v>
      </c>
      <c r="C1516">
        <v>421004</v>
      </c>
      <c r="D1516">
        <v>1558.9949999999999</v>
      </c>
      <c r="E1516" t="s">
        <v>6</v>
      </c>
      <c r="F1516" t="s">
        <v>52</v>
      </c>
      <c r="G1516" t="s">
        <v>8</v>
      </c>
    </row>
    <row r="1517" spans="1:7" x14ac:dyDescent="0.3">
      <c r="A1517" t="s">
        <v>30</v>
      </c>
      <c r="B1517" s="1">
        <v>45869</v>
      </c>
      <c r="C1517">
        <v>421007</v>
      </c>
      <c r="D1517">
        <v>13192.039000000001</v>
      </c>
      <c r="E1517" t="s">
        <v>6</v>
      </c>
      <c r="F1517" t="s">
        <v>52</v>
      </c>
      <c r="G1517" t="s">
        <v>8</v>
      </c>
    </row>
    <row r="1518" spans="1:7" x14ac:dyDescent="0.3">
      <c r="A1518" t="s">
        <v>30</v>
      </c>
      <c r="B1518" s="1">
        <v>45869</v>
      </c>
      <c r="C1518">
        <v>423002</v>
      </c>
      <c r="D1518">
        <v>-5240.9830000000002</v>
      </c>
      <c r="E1518" t="s">
        <v>6</v>
      </c>
      <c r="F1518" t="s">
        <v>52</v>
      </c>
      <c r="G1518" t="s">
        <v>8</v>
      </c>
    </row>
    <row r="1519" spans="1:7" x14ac:dyDescent="0.3">
      <c r="A1519" t="s">
        <v>30</v>
      </c>
      <c r="B1519" s="1">
        <v>45869</v>
      </c>
      <c r="C1519">
        <v>510002</v>
      </c>
      <c r="D1519">
        <v>22761.550999999999</v>
      </c>
      <c r="E1519" t="s">
        <v>6</v>
      </c>
      <c r="F1519" t="s">
        <v>53</v>
      </c>
      <c r="G1519" t="s">
        <v>8</v>
      </c>
    </row>
    <row r="1520" spans="1:7" x14ac:dyDescent="0.3">
      <c r="A1520" t="s">
        <v>30</v>
      </c>
      <c r="B1520" s="1">
        <v>45869</v>
      </c>
      <c r="C1520">
        <v>510005</v>
      </c>
      <c r="D1520">
        <v>-467.68599999999998</v>
      </c>
      <c r="E1520" t="s">
        <v>6</v>
      </c>
      <c r="F1520" t="s">
        <v>53</v>
      </c>
      <c r="G1520" t="s">
        <v>8</v>
      </c>
    </row>
    <row r="1521" spans="1:7" x14ac:dyDescent="0.3">
      <c r="A1521" t="s">
        <v>30</v>
      </c>
      <c r="B1521" s="1">
        <v>45869</v>
      </c>
      <c r="C1521">
        <v>510007</v>
      </c>
      <c r="D1521">
        <v>115.114</v>
      </c>
      <c r="E1521" t="s">
        <v>6</v>
      </c>
      <c r="F1521" t="s">
        <v>53</v>
      </c>
      <c r="G1521" t="s">
        <v>8</v>
      </c>
    </row>
    <row r="1522" spans="1:7" x14ac:dyDescent="0.3">
      <c r="A1522" t="s">
        <v>30</v>
      </c>
      <c r="B1522" s="1">
        <v>45869</v>
      </c>
      <c r="C1522">
        <v>510065</v>
      </c>
      <c r="D1522">
        <v>100.85899999999999</v>
      </c>
      <c r="E1522" t="s">
        <v>6</v>
      </c>
      <c r="F1522" t="s">
        <v>53</v>
      </c>
      <c r="G1522" t="s">
        <v>8</v>
      </c>
    </row>
    <row r="1523" spans="1:7" x14ac:dyDescent="0.3">
      <c r="A1523" t="s">
        <v>30</v>
      </c>
      <c r="B1523" s="1">
        <v>45869</v>
      </c>
      <c r="C1523">
        <v>520011</v>
      </c>
      <c r="D1523">
        <v>4018.6309999999999</v>
      </c>
      <c r="E1523" t="s">
        <v>6</v>
      </c>
      <c r="F1523" t="s">
        <v>53</v>
      </c>
      <c r="G1523" t="s">
        <v>8</v>
      </c>
    </row>
    <row r="1524" spans="1:7" x14ac:dyDescent="0.3">
      <c r="A1524" t="s">
        <v>30</v>
      </c>
      <c r="B1524" s="1">
        <v>45869</v>
      </c>
      <c r="C1524">
        <v>540004</v>
      </c>
      <c r="D1524">
        <v>298.75099999999998</v>
      </c>
      <c r="E1524" t="s">
        <v>6</v>
      </c>
      <c r="F1524" t="s">
        <v>67</v>
      </c>
      <c r="G1524" t="s">
        <v>8</v>
      </c>
    </row>
    <row r="1525" spans="1:7" x14ac:dyDescent="0.3">
      <c r="A1525" t="s">
        <v>30</v>
      </c>
      <c r="B1525" s="1">
        <v>45869</v>
      </c>
      <c r="C1525">
        <v>540009</v>
      </c>
      <c r="D1525">
        <v>7718.9040000000005</v>
      </c>
      <c r="E1525" t="s">
        <v>6</v>
      </c>
      <c r="F1525" t="s">
        <v>59</v>
      </c>
      <c r="G1525" t="s">
        <v>8</v>
      </c>
    </row>
    <row r="1526" spans="1:7" x14ac:dyDescent="0.3">
      <c r="A1526" t="s">
        <v>30</v>
      </c>
      <c r="B1526" s="1">
        <v>45869</v>
      </c>
      <c r="C1526">
        <v>541003</v>
      </c>
      <c r="D1526">
        <v>202.48</v>
      </c>
      <c r="E1526" t="s">
        <v>6</v>
      </c>
      <c r="F1526" t="s">
        <v>61</v>
      </c>
      <c r="G1526" t="s">
        <v>8</v>
      </c>
    </row>
    <row r="1527" spans="1:7" x14ac:dyDescent="0.3">
      <c r="A1527" t="s">
        <v>30</v>
      </c>
      <c r="B1527" s="1">
        <v>45869</v>
      </c>
      <c r="C1527">
        <v>541004</v>
      </c>
      <c r="D1527">
        <v>-179.61099999999999</v>
      </c>
      <c r="E1527" t="s">
        <v>6</v>
      </c>
      <c r="F1527" t="s">
        <v>61</v>
      </c>
      <c r="G1527" t="s">
        <v>8</v>
      </c>
    </row>
    <row r="1528" spans="1:7" x14ac:dyDescent="0.3">
      <c r="A1528" t="s">
        <v>30</v>
      </c>
      <c r="B1528" s="1">
        <v>45869</v>
      </c>
      <c r="C1528">
        <v>541009</v>
      </c>
      <c r="D1528">
        <v>3902.8409999999999</v>
      </c>
      <c r="E1528" t="s">
        <v>6</v>
      </c>
      <c r="F1528" t="s">
        <v>61</v>
      </c>
      <c r="G1528" t="s">
        <v>8</v>
      </c>
    </row>
    <row r="1529" spans="1:7" x14ac:dyDescent="0.3">
      <c r="A1529" t="s">
        <v>30</v>
      </c>
      <c r="B1529" s="1">
        <v>45869</v>
      </c>
      <c r="C1529">
        <v>541010</v>
      </c>
      <c r="D1529">
        <v>453.48</v>
      </c>
      <c r="E1529" t="s">
        <v>6</v>
      </c>
      <c r="F1529" t="s">
        <v>61</v>
      </c>
      <c r="G1529" t="s">
        <v>8</v>
      </c>
    </row>
    <row r="1530" spans="1:7" x14ac:dyDescent="0.3">
      <c r="A1530" t="s">
        <v>30</v>
      </c>
      <c r="B1530" s="1">
        <v>45869</v>
      </c>
      <c r="C1530">
        <v>546002</v>
      </c>
      <c r="D1530">
        <v>366640.158</v>
      </c>
      <c r="E1530" t="s">
        <v>6</v>
      </c>
      <c r="F1530" t="s">
        <v>51</v>
      </c>
      <c r="G1530" t="s">
        <v>8</v>
      </c>
    </row>
    <row r="1531" spans="1:7" x14ac:dyDescent="0.3">
      <c r="A1531" t="s">
        <v>30</v>
      </c>
      <c r="B1531" s="1">
        <v>45869</v>
      </c>
      <c r="C1531">
        <v>546008</v>
      </c>
      <c r="D1531">
        <v>7181.5420000000004</v>
      </c>
      <c r="E1531" t="s">
        <v>6</v>
      </c>
      <c r="F1531" t="s">
        <v>51</v>
      </c>
      <c r="G1531" t="s">
        <v>8</v>
      </c>
    </row>
    <row r="1532" spans="1:7" x14ac:dyDescent="0.3">
      <c r="A1532" t="s">
        <v>30</v>
      </c>
      <c r="B1532" s="1">
        <v>45869</v>
      </c>
      <c r="C1532">
        <v>546013</v>
      </c>
      <c r="D1532">
        <v>54863.389000000003</v>
      </c>
      <c r="E1532" t="s">
        <v>6</v>
      </c>
      <c r="F1532" t="s">
        <v>51</v>
      </c>
      <c r="G1532" t="s">
        <v>8</v>
      </c>
    </row>
    <row r="1533" spans="1:7" x14ac:dyDescent="0.3">
      <c r="A1533" t="s">
        <v>30</v>
      </c>
      <c r="B1533" s="1">
        <v>45869</v>
      </c>
      <c r="C1533">
        <v>546015</v>
      </c>
      <c r="D1533">
        <v>21207.838</v>
      </c>
      <c r="E1533" t="s">
        <v>6</v>
      </c>
      <c r="F1533" t="s">
        <v>51</v>
      </c>
      <c r="G1533" t="s">
        <v>8</v>
      </c>
    </row>
    <row r="1534" spans="1:7" x14ac:dyDescent="0.3">
      <c r="A1534" t="s">
        <v>30</v>
      </c>
      <c r="B1534" s="1">
        <v>45869</v>
      </c>
      <c r="C1534">
        <v>546022</v>
      </c>
      <c r="D1534">
        <v>15001.013000000001</v>
      </c>
      <c r="E1534" t="s">
        <v>6</v>
      </c>
      <c r="F1534" t="s">
        <v>51</v>
      </c>
      <c r="G1534" t="s">
        <v>8</v>
      </c>
    </row>
    <row r="1535" spans="1:7" x14ac:dyDescent="0.3">
      <c r="A1535" t="s">
        <v>30</v>
      </c>
      <c r="B1535" s="1">
        <v>45869</v>
      </c>
      <c r="C1535">
        <v>546024</v>
      </c>
      <c r="D1535">
        <v>2112.6129999999998</v>
      </c>
      <c r="E1535" t="s">
        <v>6</v>
      </c>
      <c r="F1535" t="s">
        <v>51</v>
      </c>
      <c r="G1535" t="s">
        <v>8</v>
      </c>
    </row>
    <row r="1536" spans="1:7" x14ac:dyDescent="0.3">
      <c r="A1536" t="s">
        <v>30</v>
      </c>
      <c r="B1536" s="1">
        <v>45869</v>
      </c>
      <c r="C1536">
        <v>546040</v>
      </c>
      <c r="D1536">
        <v>24630.589</v>
      </c>
      <c r="E1536" t="s">
        <v>6</v>
      </c>
      <c r="F1536" t="s">
        <v>51</v>
      </c>
      <c r="G1536" t="s">
        <v>8</v>
      </c>
    </row>
    <row r="1537" spans="1:7" x14ac:dyDescent="0.3">
      <c r="A1537" t="s">
        <v>30</v>
      </c>
      <c r="B1537" s="1">
        <v>45869</v>
      </c>
      <c r="C1537">
        <v>546045</v>
      </c>
      <c r="D1537">
        <v>35119.071000000004</v>
      </c>
      <c r="E1537" t="s">
        <v>6</v>
      </c>
      <c r="F1537" t="s">
        <v>51</v>
      </c>
      <c r="G1537" t="s">
        <v>8</v>
      </c>
    </row>
    <row r="1538" spans="1:7" x14ac:dyDescent="0.3">
      <c r="A1538" t="s">
        <v>30</v>
      </c>
      <c r="B1538" s="1">
        <v>45869</v>
      </c>
      <c r="C1538">
        <v>546046</v>
      </c>
      <c r="D1538">
        <v>2153.0680000000002</v>
      </c>
      <c r="E1538" t="s">
        <v>6</v>
      </c>
      <c r="F1538" t="s">
        <v>51</v>
      </c>
      <c r="G1538" t="s">
        <v>8</v>
      </c>
    </row>
    <row r="1539" spans="1:7" x14ac:dyDescent="0.3">
      <c r="A1539" t="s">
        <v>30</v>
      </c>
      <c r="B1539" s="1">
        <v>45869</v>
      </c>
      <c r="C1539">
        <v>546047</v>
      </c>
      <c r="D1539">
        <v>342.48500000000001</v>
      </c>
      <c r="E1539" t="s">
        <v>6</v>
      </c>
      <c r="F1539" t="s">
        <v>51</v>
      </c>
      <c r="G1539" t="s">
        <v>8</v>
      </c>
    </row>
    <row r="1540" spans="1:7" x14ac:dyDescent="0.3">
      <c r="A1540" t="s">
        <v>30</v>
      </c>
      <c r="B1540" s="1">
        <v>45869</v>
      </c>
      <c r="C1540">
        <v>550002</v>
      </c>
      <c r="D1540">
        <v>134401.98199999999</v>
      </c>
      <c r="E1540" t="s">
        <v>6</v>
      </c>
      <c r="F1540" t="s">
        <v>62</v>
      </c>
      <c r="G1540" t="s">
        <v>8</v>
      </c>
    </row>
    <row r="1541" spans="1:7" x14ac:dyDescent="0.3">
      <c r="A1541" t="s">
        <v>30</v>
      </c>
      <c r="B1541" s="1">
        <v>45869</v>
      </c>
      <c r="C1541">
        <v>550003</v>
      </c>
      <c r="D1541">
        <v>38427.517999999996</v>
      </c>
      <c r="E1541" t="s">
        <v>6</v>
      </c>
      <c r="F1541" t="s">
        <v>62</v>
      </c>
      <c r="G1541" t="s">
        <v>8</v>
      </c>
    </row>
    <row r="1542" spans="1:7" x14ac:dyDescent="0.3">
      <c r="A1542" t="s">
        <v>30</v>
      </c>
      <c r="B1542" s="1">
        <v>45869</v>
      </c>
      <c r="C1542">
        <v>551011</v>
      </c>
      <c r="D1542">
        <v>400.642</v>
      </c>
      <c r="E1542" t="s">
        <v>6</v>
      </c>
      <c r="F1542" t="s">
        <v>61</v>
      </c>
      <c r="G1542" t="s">
        <v>8</v>
      </c>
    </row>
    <row r="1543" spans="1:7" x14ac:dyDescent="0.3">
      <c r="A1543" t="s">
        <v>30</v>
      </c>
      <c r="B1543" s="1">
        <v>45869</v>
      </c>
      <c r="C1543">
        <v>555007</v>
      </c>
      <c r="D1543">
        <v>271.14299999999997</v>
      </c>
      <c r="E1543" t="s">
        <v>6</v>
      </c>
      <c r="F1543" t="s">
        <v>55</v>
      </c>
      <c r="G1543" t="s">
        <v>8</v>
      </c>
    </row>
    <row r="1544" spans="1:7" x14ac:dyDescent="0.3">
      <c r="A1544" t="s">
        <v>30</v>
      </c>
      <c r="B1544" s="1">
        <v>45869</v>
      </c>
      <c r="C1544">
        <v>556002</v>
      </c>
      <c r="D1544">
        <v>13.824</v>
      </c>
      <c r="E1544" t="s">
        <v>6</v>
      </c>
      <c r="F1544" t="s">
        <v>60</v>
      </c>
      <c r="G1544" t="s">
        <v>8</v>
      </c>
    </row>
    <row r="1545" spans="1:7" x14ac:dyDescent="0.3">
      <c r="A1545" t="s">
        <v>30</v>
      </c>
      <c r="B1545" s="1">
        <v>45869</v>
      </c>
      <c r="C1545">
        <v>557002</v>
      </c>
      <c r="D1545">
        <v>3712.5920000000001</v>
      </c>
      <c r="E1545" t="s">
        <v>6</v>
      </c>
      <c r="F1545" t="s">
        <v>56</v>
      </c>
      <c r="G1545" t="s">
        <v>8</v>
      </c>
    </row>
    <row r="1546" spans="1:7" x14ac:dyDescent="0.3">
      <c r="A1546" t="s">
        <v>30</v>
      </c>
      <c r="B1546" s="1">
        <v>45869</v>
      </c>
      <c r="C1546">
        <v>557003</v>
      </c>
      <c r="D1546">
        <v>629.16399999999999</v>
      </c>
      <c r="E1546" t="s">
        <v>6</v>
      </c>
      <c r="F1546" t="s">
        <v>56</v>
      </c>
      <c r="G1546" t="s">
        <v>8</v>
      </c>
    </row>
    <row r="1547" spans="1:7" x14ac:dyDescent="0.3">
      <c r="A1547" t="s">
        <v>30</v>
      </c>
      <c r="B1547" s="1">
        <v>45869</v>
      </c>
      <c r="C1547">
        <v>560008</v>
      </c>
      <c r="D1547">
        <v>1110.204</v>
      </c>
      <c r="E1547" t="s">
        <v>6</v>
      </c>
      <c r="F1547" t="s">
        <v>56</v>
      </c>
      <c r="G1547" t="s">
        <v>8</v>
      </c>
    </row>
    <row r="1548" spans="1:7" x14ac:dyDescent="0.3">
      <c r="A1548" t="s">
        <v>30</v>
      </c>
      <c r="B1548" s="1">
        <v>45869</v>
      </c>
      <c r="C1548">
        <v>563002</v>
      </c>
      <c r="D1548">
        <v>2754.328</v>
      </c>
      <c r="E1548" t="s">
        <v>6</v>
      </c>
      <c r="F1548" t="s">
        <v>57</v>
      </c>
      <c r="G1548" t="s">
        <v>8</v>
      </c>
    </row>
    <row r="1549" spans="1:7" x14ac:dyDescent="0.3">
      <c r="A1549" t="s">
        <v>30</v>
      </c>
      <c r="B1549" s="1">
        <v>45869</v>
      </c>
      <c r="C1549">
        <v>564004</v>
      </c>
      <c r="D1549">
        <v>4539.415</v>
      </c>
      <c r="E1549" t="s">
        <v>6</v>
      </c>
      <c r="F1549" t="s">
        <v>51</v>
      </c>
      <c r="G1549" t="s">
        <v>8</v>
      </c>
    </row>
    <row r="1550" spans="1:7" x14ac:dyDescent="0.3">
      <c r="A1550" t="s">
        <v>30</v>
      </c>
      <c r="B1550" s="1">
        <v>45869</v>
      </c>
      <c r="C1550">
        <v>564006</v>
      </c>
      <c r="D1550">
        <v>-1E-3</v>
      </c>
      <c r="E1550" t="s">
        <v>6</v>
      </c>
      <c r="F1550" t="s">
        <v>57</v>
      </c>
      <c r="G1550" t="s">
        <v>8</v>
      </c>
    </row>
    <row r="1551" spans="1:7" x14ac:dyDescent="0.3">
      <c r="A1551" t="s">
        <v>30</v>
      </c>
      <c r="B1551" s="1">
        <v>45869</v>
      </c>
      <c r="C1551">
        <v>564008</v>
      </c>
      <c r="D1551">
        <v>-3349.3330000000001</v>
      </c>
      <c r="E1551" t="s">
        <v>6</v>
      </c>
      <c r="F1551" t="s">
        <v>55</v>
      </c>
      <c r="G1551" t="s">
        <v>8</v>
      </c>
    </row>
    <row r="1552" spans="1:7" x14ac:dyDescent="0.3">
      <c r="A1552" t="s">
        <v>30</v>
      </c>
      <c r="B1552" s="1">
        <v>45869</v>
      </c>
      <c r="C1552">
        <v>564020</v>
      </c>
      <c r="D1552">
        <v>76.462999999999994</v>
      </c>
      <c r="E1552" t="s">
        <v>6</v>
      </c>
      <c r="F1552" t="s">
        <v>57</v>
      </c>
      <c r="G1552" t="s">
        <v>8</v>
      </c>
    </row>
    <row r="1553" spans="1:7" x14ac:dyDescent="0.3">
      <c r="A1553" t="s">
        <v>30</v>
      </c>
      <c r="B1553" s="1">
        <v>45869</v>
      </c>
      <c r="C1553">
        <v>570002</v>
      </c>
      <c r="D1553">
        <v>89.472999999999999</v>
      </c>
      <c r="E1553" t="s">
        <v>6</v>
      </c>
      <c r="F1553" t="s">
        <v>66</v>
      </c>
      <c r="G1553" t="s">
        <v>8</v>
      </c>
    </row>
    <row r="1554" spans="1:7" x14ac:dyDescent="0.3">
      <c r="A1554" t="s">
        <v>30</v>
      </c>
      <c r="B1554" s="1">
        <v>45869</v>
      </c>
      <c r="C1554">
        <v>580002</v>
      </c>
      <c r="D1554">
        <v>3766.4430000000002</v>
      </c>
      <c r="E1554" t="s">
        <v>6</v>
      </c>
      <c r="F1554" t="s">
        <v>64</v>
      </c>
      <c r="G1554" t="s">
        <v>8</v>
      </c>
    </row>
    <row r="1555" spans="1:7" x14ac:dyDescent="0.3">
      <c r="A1555" t="s">
        <v>31</v>
      </c>
      <c r="B1555" s="1">
        <v>45869</v>
      </c>
      <c r="C1555">
        <v>210002</v>
      </c>
      <c r="D1555">
        <v>-22426.848000000002</v>
      </c>
      <c r="E1555" t="s">
        <v>4</v>
      </c>
      <c r="F1555" t="s">
        <v>42</v>
      </c>
      <c r="G1555" t="s">
        <v>8</v>
      </c>
    </row>
    <row r="1556" spans="1:7" x14ac:dyDescent="0.3">
      <c r="A1556" t="s">
        <v>31</v>
      </c>
      <c r="B1556" s="1">
        <v>45869</v>
      </c>
      <c r="C1556">
        <v>220006</v>
      </c>
      <c r="D1556">
        <v>-158879.35699999999</v>
      </c>
      <c r="E1556" t="s">
        <v>4</v>
      </c>
      <c r="F1556" t="s">
        <v>42</v>
      </c>
      <c r="G1556" t="s">
        <v>8</v>
      </c>
    </row>
    <row r="1557" spans="1:7" x14ac:dyDescent="0.3">
      <c r="A1557" t="s">
        <v>31</v>
      </c>
      <c r="B1557" s="1">
        <v>45869</v>
      </c>
      <c r="C1557">
        <v>240002</v>
      </c>
      <c r="D1557">
        <v>-14922.119000000001</v>
      </c>
      <c r="E1557" t="s">
        <v>4</v>
      </c>
      <c r="F1557" t="s">
        <v>43</v>
      </c>
      <c r="G1557" t="s">
        <v>8</v>
      </c>
    </row>
    <row r="1558" spans="1:7" x14ac:dyDescent="0.3">
      <c r="A1558" t="s">
        <v>31</v>
      </c>
      <c r="B1558" s="1">
        <v>45869</v>
      </c>
      <c r="C1558">
        <v>240003</v>
      </c>
      <c r="D1558">
        <v>-649.56100000000004</v>
      </c>
      <c r="E1558" t="s">
        <v>4</v>
      </c>
      <c r="F1558" t="s">
        <v>43</v>
      </c>
      <c r="G1558" t="s">
        <v>8</v>
      </c>
    </row>
    <row r="1559" spans="1:7" x14ac:dyDescent="0.3">
      <c r="A1559" t="s">
        <v>31</v>
      </c>
      <c r="B1559" s="1">
        <v>45869</v>
      </c>
      <c r="C1559">
        <v>240009</v>
      </c>
      <c r="D1559">
        <v>-228.851</v>
      </c>
      <c r="E1559" t="s">
        <v>4</v>
      </c>
      <c r="F1559" t="s">
        <v>43</v>
      </c>
      <c r="G1559" t="s">
        <v>8</v>
      </c>
    </row>
    <row r="1560" spans="1:7" x14ac:dyDescent="0.3">
      <c r="A1560" t="s">
        <v>31</v>
      </c>
      <c r="B1560" s="1">
        <v>45869</v>
      </c>
      <c r="C1560">
        <v>242003</v>
      </c>
      <c r="D1560">
        <v>-256959.66500000001</v>
      </c>
      <c r="E1560" t="s">
        <v>4</v>
      </c>
      <c r="F1560" t="s">
        <v>43</v>
      </c>
      <c r="G1560" t="s">
        <v>8</v>
      </c>
    </row>
    <row r="1561" spans="1:7" x14ac:dyDescent="0.3">
      <c r="A1561" t="s">
        <v>31</v>
      </c>
      <c r="B1561" s="1">
        <v>45869</v>
      </c>
      <c r="C1561">
        <v>242011</v>
      </c>
      <c r="D1561">
        <v>-43272.129000000001</v>
      </c>
      <c r="E1561" t="s">
        <v>4</v>
      </c>
      <c r="F1561" t="s">
        <v>43</v>
      </c>
      <c r="G1561" t="s">
        <v>8</v>
      </c>
    </row>
    <row r="1562" spans="1:7" x14ac:dyDescent="0.3">
      <c r="A1562" t="s">
        <v>31</v>
      </c>
      <c r="B1562" s="1">
        <v>45869</v>
      </c>
      <c r="C1562">
        <v>242014</v>
      </c>
      <c r="D1562">
        <v>-11.151999999999999</v>
      </c>
      <c r="E1562" t="s">
        <v>4</v>
      </c>
      <c r="F1562" t="s">
        <v>43</v>
      </c>
      <c r="G1562" t="s">
        <v>8</v>
      </c>
    </row>
    <row r="1563" spans="1:7" x14ac:dyDescent="0.3">
      <c r="A1563" t="s">
        <v>31</v>
      </c>
      <c r="B1563" s="1">
        <v>45869</v>
      </c>
      <c r="C1563">
        <v>242018</v>
      </c>
      <c r="D1563">
        <v>-6522.6509999999998</v>
      </c>
      <c r="E1563" t="s">
        <v>4</v>
      </c>
      <c r="F1563" t="s">
        <v>43</v>
      </c>
      <c r="G1563" t="s">
        <v>8</v>
      </c>
    </row>
    <row r="1564" spans="1:7" x14ac:dyDescent="0.3">
      <c r="A1564" t="s">
        <v>31</v>
      </c>
      <c r="B1564" s="1">
        <v>45869</v>
      </c>
      <c r="C1564">
        <v>242027</v>
      </c>
      <c r="D1564">
        <v>-78588.748999999996</v>
      </c>
      <c r="E1564" t="s">
        <v>4</v>
      </c>
      <c r="F1564" t="s">
        <v>43</v>
      </c>
      <c r="G1564" t="s">
        <v>8</v>
      </c>
    </row>
    <row r="1565" spans="1:7" x14ac:dyDescent="0.3">
      <c r="A1565" t="s">
        <v>31</v>
      </c>
      <c r="B1565" s="1">
        <v>45869</v>
      </c>
      <c r="C1565">
        <v>242030</v>
      </c>
      <c r="D1565">
        <v>-14703.868</v>
      </c>
      <c r="E1565" t="s">
        <v>4</v>
      </c>
      <c r="F1565" t="s">
        <v>43</v>
      </c>
      <c r="G1565" t="s">
        <v>8</v>
      </c>
    </row>
    <row r="1566" spans="1:7" x14ac:dyDescent="0.3">
      <c r="A1566" t="s">
        <v>31</v>
      </c>
      <c r="B1566" s="1">
        <v>45869</v>
      </c>
      <c r="C1566">
        <v>242038</v>
      </c>
      <c r="D1566">
        <v>-1022.856</v>
      </c>
      <c r="E1566" t="s">
        <v>4</v>
      </c>
      <c r="F1566" t="s">
        <v>43</v>
      </c>
      <c r="G1566" t="s">
        <v>8</v>
      </c>
    </row>
    <row r="1567" spans="1:7" x14ac:dyDescent="0.3">
      <c r="A1567" t="s">
        <v>31</v>
      </c>
      <c r="B1567" s="1">
        <v>45869</v>
      </c>
      <c r="C1567">
        <v>242041</v>
      </c>
      <c r="D1567">
        <v>-4857.5330000000004</v>
      </c>
      <c r="E1567" t="s">
        <v>4</v>
      </c>
      <c r="F1567" t="s">
        <v>43</v>
      </c>
      <c r="G1567" t="s">
        <v>8</v>
      </c>
    </row>
    <row r="1568" spans="1:7" x14ac:dyDescent="0.3">
      <c r="A1568" t="s">
        <v>31</v>
      </c>
      <c r="B1568" s="1">
        <v>45869</v>
      </c>
      <c r="C1568">
        <v>243002</v>
      </c>
      <c r="D1568">
        <v>-3831.88</v>
      </c>
      <c r="E1568" t="s">
        <v>4</v>
      </c>
      <c r="F1568" t="s">
        <v>43</v>
      </c>
      <c r="G1568" t="s">
        <v>8</v>
      </c>
    </row>
    <row r="1569" spans="1:7" x14ac:dyDescent="0.3">
      <c r="A1569" t="s">
        <v>31</v>
      </c>
      <c r="B1569" s="1">
        <v>45869</v>
      </c>
      <c r="C1569">
        <v>243010</v>
      </c>
      <c r="D1569">
        <v>-817.42399999999998</v>
      </c>
      <c r="E1569" t="s">
        <v>4</v>
      </c>
      <c r="F1569" t="s">
        <v>43</v>
      </c>
      <c r="G1569" t="s">
        <v>8</v>
      </c>
    </row>
    <row r="1570" spans="1:7" x14ac:dyDescent="0.3">
      <c r="A1570" t="s">
        <v>31</v>
      </c>
      <c r="B1570" s="1">
        <v>45869</v>
      </c>
      <c r="C1570">
        <v>245010</v>
      </c>
      <c r="D1570">
        <v>-11688.481</v>
      </c>
      <c r="E1570" t="s">
        <v>4</v>
      </c>
      <c r="F1570" t="s">
        <v>44</v>
      </c>
      <c r="G1570" t="s">
        <v>8</v>
      </c>
    </row>
    <row r="1571" spans="1:7" x14ac:dyDescent="0.3">
      <c r="A1571" t="s">
        <v>31</v>
      </c>
      <c r="B1571" s="1">
        <v>45869</v>
      </c>
      <c r="C1571">
        <v>245018</v>
      </c>
      <c r="D1571">
        <v>-7636.4780000000001</v>
      </c>
      <c r="E1571" t="s">
        <v>4</v>
      </c>
      <c r="F1571" t="s">
        <v>43</v>
      </c>
      <c r="G1571" t="s">
        <v>8</v>
      </c>
    </row>
    <row r="1572" spans="1:7" x14ac:dyDescent="0.3">
      <c r="A1572" t="s">
        <v>31</v>
      </c>
      <c r="B1572" s="1">
        <v>45869</v>
      </c>
      <c r="C1572">
        <v>245049</v>
      </c>
      <c r="D1572">
        <v>-0.35599999999999998</v>
      </c>
      <c r="E1572" t="s">
        <v>4</v>
      </c>
      <c r="F1572" t="s">
        <v>43</v>
      </c>
      <c r="G1572" t="s">
        <v>8</v>
      </c>
    </row>
    <row r="1573" spans="1:7" x14ac:dyDescent="0.3">
      <c r="A1573" t="s">
        <v>31</v>
      </c>
      <c r="B1573" s="1">
        <v>45869</v>
      </c>
      <c r="C1573">
        <v>245055</v>
      </c>
      <c r="D1573">
        <v>-1463.999</v>
      </c>
      <c r="E1573" t="s">
        <v>4</v>
      </c>
      <c r="F1573" t="s">
        <v>43</v>
      </c>
      <c r="G1573" t="s">
        <v>8</v>
      </c>
    </row>
    <row r="1574" spans="1:7" x14ac:dyDescent="0.3">
      <c r="A1574" t="s">
        <v>31</v>
      </c>
      <c r="B1574" s="1">
        <v>45869</v>
      </c>
      <c r="C1574">
        <v>245057</v>
      </c>
      <c r="D1574">
        <v>-811.82899999999995</v>
      </c>
      <c r="E1574" t="s">
        <v>4</v>
      </c>
      <c r="F1574" t="s">
        <v>43</v>
      </c>
      <c r="G1574" t="s">
        <v>8</v>
      </c>
    </row>
    <row r="1575" spans="1:7" x14ac:dyDescent="0.3">
      <c r="A1575" t="s">
        <v>31</v>
      </c>
      <c r="B1575" s="1">
        <v>45869</v>
      </c>
      <c r="C1575">
        <v>245062</v>
      </c>
      <c r="D1575">
        <v>-10939.816000000001</v>
      </c>
      <c r="E1575" t="s">
        <v>4</v>
      </c>
      <c r="F1575" t="s">
        <v>43</v>
      </c>
      <c r="G1575" t="s">
        <v>8</v>
      </c>
    </row>
    <row r="1576" spans="1:7" x14ac:dyDescent="0.3">
      <c r="A1576" t="s">
        <v>31</v>
      </c>
      <c r="B1576" s="1">
        <v>45869</v>
      </c>
      <c r="C1576">
        <v>250003</v>
      </c>
      <c r="D1576">
        <v>-929.29700000000003</v>
      </c>
      <c r="E1576" t="s">
        <v>4</v>
      </c>
      <c r="F1576" t="s">
        <v>45</v>
      </c>
      <c r="G1576" t="s">
        <v>8</v>
      </c>
    </row>
    <row r="1577" spans="1:7" x14ac:dyDescent="0.3">
      <c r="A1577" t="s">
        <v>31</v>
      </c>
      <c r="B1577" s="1">
        <v>45869</v>
      </c>
      <c r="C1577">
        <v>251002</v>
      </c>
      <c r="D1577">
        <v>-57472.834000000003</v>
      </c>
      <c r="E1577" t="s">
        <v>4</v>
      </c>
      <c r="F1577" t="s">
        <v>45</v>
      </c>
      <c r="G1577" t="s">
        <v>8</v>
      </c>
    </row>
    <row r="1578" spans="1:7" x14ac:dyDescent="0.3">
      <c r="A1578" t="s">
        <v>31</v>
      </c>
      <c r="B1578" s="1">
        <v>45869</v>
      </c>
      <c r="C1578">
        <v>251003</v>
      </c>
      <c r="D1578">
        <v>-7231.7330000000002</v>
      </c>
      <c r="E1578" t="s">
        <v>4</v>
      </c>
      <c r="F1578" t="s">
        <v>45</v>
      </c>
      <c r="G1578" t="s">
        <v>8</v>
      </c>
    </row>
    <row r="1579" spans="1:7" x14ac:dyDescent="0.3">
      <c r="A1579" t="s">
        <v>31</v>
      </c>
      <c r="B1579" s="1">
        <v>45869</v>
      </c>
      <c r="C1579">
        <v>251005</v>
      </c>
      <c r="D1579">
        <v>3631.15</v>
      </c>
      <c r="E1579" t="s">
        <v>4</v>
      </c>
      <c r="F1579" t="s">
        <v>46</v>
      </c>
      <c r="G1579" t="s">
        <v>8</v>
      </c>
    </row>
    <row r="1580" spans="1:7" x14ac:dyDescent="0.3">
      <c r="A1580" t="s">
        <v>31</v>
      </c>
      <c r="B1580" s="1">
        <v>45869</v>
      </c>
      <c r="C1580">
        <v>257027</v>
      </c>
      <c r="D1580">
        <v>-17112.377</v>
      </c>
      <c r="E1580" t="s">
        <v>4</v>
      </c>
      <c r="F1580" t="s">
        <v>45</v>
      </c>
      <c r="G1580" t="s">
        <v>8</v>
      </c>
    </row>
    <row r="1581" spans="1:7" x14ac:dyDescent="0.3">
      <c r="A1581" t="s">
        <v>31</v>
      </c>
      <c r="B1581" s="1">
        <v>45869</v>
      </c>
      <c r="C1581">
        <v>260004</v>
      </c>
      <c r="D1581">
        <v>1659.0440000000001</v>
      </c>
      <c r="E1581" t="s">
        <v>4</v>
      </c>
      <c r="F1581" t="s">
        <v>45</v>
      </c>
      <c r="G1581" t="s">
        <v>8</v>
      </c>
    </row>
    <row r="1582" spans="1:7" x14ac:dyDescent="0.3">
      <c r="A1582" t="s">
        <v>31</v>
      </c>
      <c r="B1582" s="1">
        <v>45869</v>
      </c>
      <c r="C1582">
        <v>270027</v>
      </c>
      <c r="D1582">
        <v>-6901.19</v>
      </c>
      <c r="E1582" t="s">
        <v>4</v>
      </c>
      <c r="F1582" t="s">
        <v>58</v>
      </c>
      <c r="G1582" t="s">
        <v>8</v>
      </c>
    </row>
    <row r="1583" spans="1:7" x14ac:dyDescent="0.3">
      <c r="A1583" t="s">
        <v>31</v>
      </c>
      <c r="B1583" s="1">
        <v>45869</v>
      </c>
      <c r="C1583">
        <v>300008</v>
      </c>
      <c r="D1583">
        <v>5579.1760000000004</v>
      </c>
      <c r="E1583" t="s">
        <v>4</v>
      </c>
      <c r="F1583" t="s">
        <v>65</v>
      </c>
      <c r="G1583" t="s">
        <v>8</v>
      </c>
    </row>
    <row r="1584" spans="1:7" x14ac:dyDescent="0.3">
      <c r="A1584" t="s">
        <v>31</v>
      </c>
      <c r="B1584" s="1">
        <v>45869</v>
      </c>
      <c r="C1584">
        <v>300011</v>
      </c>
      <c r="D1584">
        <v>35.097999999999999</v>
      </c>
      <c r="E1584" t="s">
        <v>4</v>
      </c>
      <c r="F1584" t="s">
        <v>65</v>
      </c>
      <c r="G1584" t="s">
        <v>8</v>
      </c>
    </row>
    <row r="1585" spans="1:7" x14ac:dyDescent="0.3">
      <c r="A1585" t="s">
        <v>31</v>
      </c>
      <c r="B1585" s="1">
        <v>45869</v>
      </c>
      <c r="C1585">
        <v>300012</v>
      </c>
      <c r="D1585">
        <v>1682.3710000000001</v>
      </c>
      <c r="E1585" t="s">
        <v>4</v>
      </c>
      <c r="F1585" t="s">
        <v>65</v>
      </c>
      <c r="G1585" t="s">
        <v>8</v>
      </c>
    </row>
    <row r="1586" spans="1:7" x14ac:dyDescent="0.3">
      <c r="A1586" t="s">
        <v>31</v>
      </c>
      <c r="B1586" s="1">
        <v>45869</v>
      </c>
      <c r="C1586">
        <v>300508</v>
      </c>
      <c r="D1586">
        <v>-3403.0479999999998</v>
      </c>
      <c r="E1586" t="s">
        <v>4</v>
      </c>
      <c r="F1586" t="s">
        <v>65</v>
      </c>
      <c r="G1586" t="s">
        <v>8</v>
      </c>
    </row>
    <row r="1587" spans="1:7" x14ac:dyDescent="0.3">
      <c r="A1587" t="s">
        <v>31</v>
      </c>
      <c r="B1587" s="1">
        <v>45869</v>
      </c>
      <c r="C1587">
        <v>300511</v>
      </c>
      <c r="D1587">
        <v>-35.097999999999999</v>
      </c>
      <c r="E1587" t="s">
        <v>4</v>
      </c>
      <c r="F1587" t="s">
        <v>65</v>
      </c>
      <c r="G1587" t="s">
        <v>8</v>
      </c>
    </row>
    <row r="1588" spans="1:7" x14ac:dyDescent="0.3">
      <c r="A1588" t="s">
        <v>31</v>
      </c>
      <c r="B1588" s="1">
        <v>45869</v>
      </c>
      <c r="C1588">
        <v>300512</v>
      </c>
      <c r="D1588">
        <v>-1682.3710000000001</v>
      </c>
      <c r="E1588" t="s">
        <v>4</v>
      </c>
      <c r="F1588" t="s">
        <v>65</v>
      </c>
      <c r="G1588" t="s">
        <v>8</v>
      </c>
    </row>
    <row r="1589" spans="1:7" x14ac:dyDescent="0.3">
      <c r="A1589" t="s">
        <v>31</v>
      </c>
      <c r="B1589" s="1">
        <v>45869</v>
      </c>
      <c r="C1589">
        <v>320002</v>
      </c>
      <c r="D1589">
        <v>24786.454000000002</v>
      </c>
      <c r="E1589" t="s">
        <v>4</v>
      </c>
      <c r="F1589" t="s">
        <v>46</v>
      </c>
      <c r="G1589" t="s">
        <v>8</v>
      </c>
    </row>
    <row r="1590" spans="1:7" x14ac:dyDescent="0.3">
      <c r="A1590" t="s">
        <v>31</v>
      </c>
      <c r="B1590" s="1">
        <v>45869</v>
      </c>
      <c r="C1590">
        <v>320003</v>
      </c>
      <c r="D1590">
        <v>205641.68700000001</v>
      </c>
      <c r="E1590" t="s">
        <v>4</v>
      </c>
      <c r="F1590" t="s">
        <v>46</v>
      </c>
      <c r="G1590" t="s">
        <v>8</v>
      </c>
    </row>
    <row r="1591" spans="1:7" x14ac:dyDescent="0.3">
      <c r="A1591" t="s">
        <v>31</v>
      </c>
      <c r="B1591" s="1">
        <v>45869</v>
      </c>
      <c r="C1591">
        <v>320004</v>
      </c>
      <c r="D1591">
        <v>-1214.3969999999999</v>
      </c>
      <c r="E1591" t="s">
        <v>4</v>
      </c>
      <c r="F1591" t="s">
        <v>46</v>
      </c>
      <c r="G1591" t="s">
        <v>8</v>
      </c>
    </row>
    <row r="1592" spans="1:7" x14ac:dyDescent="0.3">
      <c r="A1592" t="s">
        <v>31</v>
      </c>
      <c r="B1592" s="1">
        <v>45869</v>
      </c>
      <c r="C1592">
        <v>320023</v>
      </c>
      <c r="D1592">
        <v>-1374.317</v>
      </c>
      <c r="E1592" t="s">
        <v>4</v>
      </c>
      <c r="F1592" t="s">
        <v>46</v>
      </c>
      <c r="G1592" t="s">
        <v>8</v>
      </c>
    </row>
    <row r="1593" spans="1:7" x14ac:dyDescent="0.3">
      <c r="A1593" t="s">
        <v>31</v>
      </c>
      <c r="B1593" s="1">
        <v>45869</v>
      </c>
      <c r="C1593">
        <v>321002</v>
      </c>
      <c r="D1593">
        <v>24946.561000000002</v>
      </c>
      <c r="E1593" t="s">
        <v>4</v>
      </c>
      <c r="F1593" t="s">
        <v>46</v>
      </c>
      <c r="G1593" t="s">
        <v>8</v>
      </c>
    </row>
    <row r="1594" spans="1:7" x14ac:dyDescent="0.3">
      <c r="A1594" t="s">
        <v>31</v>
      </c>
      <c r="B1594" s="1">
        <v>45869</v>
      </c>
      <c r="C1594">
        <v>321004</v>
      </c>
      <c r="D1594">
        <v>2216.5520000000001</v>
      </c>
      <c r="E1594" t="s">
        <v>4</v>
      </c>
      <c r="F1594" t="s">
        <v>46</v>
      </c>
      <c r="G1594" t="s">
        <v>8</v>
      </c>
    </row>
    <row r="1595" spans="1:7" x14ac:dyDescent="0.3">
      <c r="A1595" t="s">
        <v>31</v>
      </c>
      <c r="B1595" s="1">
        <v>45869</v>
      </c>
      <c r="C1595">
        <v>321012</v>
      </c>
      <c r="D1595">
        <v>1431.5129999999999</v>
      </c>
      <c r="E1595" t="s">
        <v>4</v>
      </c>
      <c r="F1595" t="s">
        <v>46</v>
      </c>
      <c r="G1595" t="s">
        <v>8</v>
      </c>
    </row>
    <row r="1596" spans="1:7" x14ac:dyDescent="0.3">
      <c r="A1596" t="s">
        <v>31</v>
      </c>
      <c r="B1596" s="1">
        <v>45869</v>
      </c>
      <c r="C1596">
        <v>321014</v>
      </c>
      <c r="D1596">
        <v>264.72199999999998</v>
      </c>
      <c r="E1596" t="s">
        <v>4</v>
      </c>
      <c r="F1596" t="s">
        <v>46</v>
      </c>
      <c r="G1596" t="s">
        <v>8</v>
      </c>
    </row>
    <row r="1597" spans="1:7" x14ac:dyDescent="0.3">
      <c r="A1597" t="s">
        <v>31</v>
      </c>
      <c r="B1597" s="1">
        <v>45869</v>
      </c>
      <c r="C1597">
        <v>321025</v>
      </c>
      <c r="D1597">
        <v>100774.60400000001</v>
      </c>
      <c r="E1597" t="s">
        <v>4</v>
      </c>
      <c r="F1597" t="s">
        <v>46</v>
      </c>
      <c r="G1597" t="s">
        <v>8</v>
      </c>
    </row>
    <row r="1598" spans="1:7" x14ac:dyDescent="0.3">
      <c r="A1598" t="s">
        <v>31</v>
      </c>
      <c r="B1598" s="1">
        <v>45869</v>
      </c>
      <c r="C1598">
        <v>321028</v>
      </c>
      <c r="D1598">
        <v>7059.2049999999999</v>
      </c>
      <c r="E1598" t="s">
        <v>4</v>
      </c>
      <c r="F1598" t="s">
        <v>46</v>
      </c>
      <c r="G1598" t="s">
        <v>8</v>
      </c>
    </row>
    <row r="1599" spans="1:7" x14ac:dyDescent="0.3">
      <c r="A1599" t="s">
        <v>31</v>
      </c>
      <c r="B1599" s="1">
        <v>45869</v>
      </c>
      <c r="C1599">
        <v>321029</v>
      </c>
      <c r="D1599">
        <v>5518.5280000000002</v>
      </c>
      <c r="E1599" t="s">
        <v>4</v>
      </c>
      <c r="F1599" t="s">
        <v>46</v>
      </c>
      <c r="G1599" t="s">
        <v>8</v>
      </c>
    </row>
    <row r="1600" spans="1:7" x14ac:dyDescent="0.3">
      <c r="A1600" t="s">
        <v>31</v>
      </c>
      <c r="B1600" s="1">
        <v>45869</v>
      </c>
      <c r="C1600">
        <v>321030</v>
      </c>
      <c r="D1600">
        <v>-82.13</v>
      </c>
      <c r="E1600" t="s">
        <v>4</v>
      </c>
      <c r="F1600" t="s">
        <v>46</v>
      </c>
      <c r="G1600" t="s">
        <v>8</v>
      </c>
    </row>
    <row r="1601" spans="1:7" x14ac:dyDescent="0.3">
      <c r="A1601" t="s">
        <v>31</v>
      </c>
      <c r="B1601" s="1">
        <v>45869</v>
      </c>
      <c r="C1601">
        <v>321042</v>
      </c>
      <c r="D1601">
        <v>25.045999999999999</v>
      </c>
      <c r="E1601" t="s">
        <v>4</v>
      </c>
      <c r="F1601" t="s">
        <v>46</v>
      </c>
      <c r="G1601" t="s">
        <v>8</v>
      </c>
    </row>
    <row r="1602" spans="1:7" x14ac:dyDescent="0.3">
      <c r="A1602" t="s">
        <v>31</v>
      </c>
      <c r="B1602" s="1">
        <v>45869</v>
      </c>
      <c r="C1602">
        <v>330116</v>
      </c>
      <c r="D1602">
        <v>-1964.3779999999999</v>
      </c>
      <c r="E1602" t="s">
        <v>4</v>
      </c>
      <c r="F1602" t="s">
        <v>43</v>
      </c>
      <c r="G1602" t="s">
        <v>8</v>
      </c>
    </row>
    <row r="1603" spans="1:7" x14ac:dyDescent="0.3">
      <c r="A1603" t="s">
        <v>31</v>
      </c>
      <c r="B1603" s="1">
        <v>45869</v>
      </c>
      <c r="C1603">
        <v>330124</v>
      </c>
      <c r="D1603">
        <v>2052.1880000000001</v>
      </c>
      <c r="E1603" t="s">
        <v>4</v>
      </c>
      <c r="F1603" t="s">
        <v>43</v>
      </c>
      <c r="G1603" t="s">
        <v>8</v>
      </c>
    </row>
    <row r="1604" spans="1:7" x14ac:dyDescent="0.3">
      <c r="A1604" t="s">
        <v>31</v>
      </c>
      <c r="B1604" s="1">
        <v>45869</v>
      </c>
      <c r="C1604">
        <v>330126</v>
      </c>
      <c r="D1604">
        <v>-3560.1410000000001</v>
      </c>
      <c r="E1604" t="s">
        <v>4</v>
      </c>
      <c r="F1604" t="s">
        <v>43</v>
      </c>
      <c r="G1604" t="s">
        <v>8</v>
      </c>
    </row>
    <row r="1605" spans="1:7" x14ac:dyDescent="0.3">
      <c r="A1605" t="s">
        <v>31</v>
      </c>
      <c r="B1605" s="1">
        <v>45869</v>
      </c>
      <c r="C1605">
        <v>340210</v>
      </c>
      <c r="D1605">
        <v>161202.43</v>
      </c>
      <c r="E1605" t="s">
        <v>4</v>
      </c>
      <c r="F1605" t="s">
        <v>47</v>
      </c>
      <c r="G1605" t="s">
        <v>8</v>
      </c>
    </row>
    <row r="1606" spans="1:7" x14ac:dyDescent="0.3">
      <c r="A1606" t="s">
        <v>31</v>
      </c>
      <c r="B1606" s="1">
        <v>45869</v>
      </c>
      <c r="C1606">
        <v>340211</v>
      </c>
      <c r="D1606">
        <v>618047.13399999996</v>
      </c>
      <c r="E1606" t="s">
        <v>4</v>
      </c>
      <c r="F1606" t="s">
        <v>47</v>
      </c>
      <c r="G1606" t="s">
        <v>8</v>
      </c>
    </row>
    <row r="1607" spans="1:7" x14ac:dyDescent="0.3">
      <c r="A1607" t="s">
        <v>31</v>
      </c>
      <c r="B1607" s="1">
        <v>45869</v>
      </c>
      <c r="C1607">
        <v>340212</v>
      </c>
      <c r="D1607">
        <v>-779249.56400000001</v>
      </c>
      <c r="E1607" t="s">
        <v>4</v>
      </c>
      <c r="F1607" t="s">
        <v>47</v>
      </c>
      <c r="G1607" t="s">
        <v>8</v>
      </c>
    </row>
    <row r="1608" spans="1:7" x14ac:dyDescent="0.3">
      <c r="A1608" t="s">
        <v>31</v>
      </c>
      <c r="B1608" s="1">
        <v>45869</v>
      </c>
      <c r="C1608">
        <v>340213</v>
      </c>
      <c r="D1608">
        <v>-53.716999999999999</v>
      </c>
      <c r="E1608" t="s">
        <v>4</v>
      </c>
      <c r="F1608" t="s">
        <v>47</v>
      </c>
      <c r="G1608" t="s">
        <v>8</v>
      </c>
    </row>
    <row r="1609" spans="1:7" x14ac:dyDescent="0.3">
      <c r="A1609" t="s">
        <v>31</v>
      </c>
      <c r="B1609" s="1">
        <v>45869</v>
      </c>
      <c r="C1609">
        <v>340214</v>
      </c>
      <c r="D1609">
        <v>55.933999999999997</v>
      </c>
      <c r="E1609" t="s">
        <v>4</v>
      </c>
      <c r="F1609" t="s">
        <v>47</v>
      </c>
      <c r="G1609" t="s">
        <v>8</v>
      </c>
    </row>
    <row r="1610" spans="1:7" x14ac:dyDescent="0.3">
      <c r="A1610" t="s">
        <v>31</v>
      </c>
      <c r="B1610" s="1">
        <v>45869</v>
      </c>
      <c r="C1610">
        <v>340215</v>
      </c>
      <c r="D1610">
        <v>-2.2170000000000001</v>
      </c>
      <c r="E1610" t="s">
        <v>4</v>
      </c>
      <c r="F1610" t="s">
        <v>47</v>
      </c>
      <c r="G1610" t="s">
        <v>8</v>
      </c>
    </row>
    <row r="1611" spans="1:7" x14ac:dyDescent="0.3">
      <c r="A1611" t="s">
        <v>31</v>
      </c>
      <c r="B1611" s="1">
        <v>45869</v>
      </c>
      <c r="C1611">
        <v>340216</v>
      </c>
      <c r="D1611">
        <v>17060.677</v>
      </c>
      <c r="E1611" t="s">
        <v>4</v>
      </c>
      <c r="F1611" t="s">
        <v>47</v>
      </c>
      <c r="G1611" t="s">
        <v>8</v>
      </c>
    </row>
    <row r="1612" spans="1:7" x14ac:dyDescent="0.3">
      <c r="A1612" t="s">
        <v>31</v>
      </c>
      <c r="B1612" s="1">
        <v>45869</v>
      </c>
      <c r="C1612">
        <v>340218</v>
      </c>
      <c r="D1612">
        <v>-16668.565999999999</v>
      </c>
      <c r="E1612" t="s">
        <v>4</v>
      </c>
      <c r="F1612" t="s">
        <v>47</v>
      </c>
      <c r="G1612" t="s">
        <v>8</v>
      </c>
    </row>
    <row r="1613" spans="1:7" x14ac:dyDescent="0.3">
      <c r="A1613" t="s">
        <v>31</v>
      </c>
      <c r="B1613" s="1">
        <v>45869</v>
      </c>
      <c r="C1613">
        <v>340219</v>
      </c>
      <c r="D1613">
        <v>35949.618000000002</v>
      </c>
      <c r="E1613" t="s">
        <v>4</v>
      </c>
      <c r="F1613" t="s">
        <v>47</v>
      </c>
      <c r="G1613" t="s">
        <v>8</v>
      </c>
    </row>
    <row r="1614" spans="1:7" x14ac:dyDescent="0.3">
      <c r="A1614" t="s">
        <v>31</v>
      </c>
      <c r="B1614" s="1">
        <v>45869</v>
      </c>
      <c r="C1614">
        <v>340220</v>
      </c>
      <c r="D1614">
        <v>1751228.888</v>
      </c>
      <c r="E1614" t="s">
        <v>4</v>
      </c>
      <c r="F1614" t="s">
        <v>47</v>
      </c>
      <c r="G1614" t="s">
        <v>8</v>
      </c>
    </row>
    <row r="1615" spans="1:7" x14ac:dyDescent="0.3">
      <c r="A1615" t="s">
        <v>31</v>
      </c>
      <c r="B1615" s="1">
        <v>45869</v>
      </c>
      <c r="C1615">
        <v>340221</v>
      </c>
      <c r="D1615">
        <v>-1718515.7649999999</v>
      </c>
      <c r="E1615" t="s">
        <v>4</v>
      </c>
      <c r="F1615" t="s">
        <v>47</v>
      </c>
      <c r="G1615" t="s">
        <v>8</v>
      </c>
    </row>
    <row r="1616" spans="1:7" x14ac:dyDescent="0.3">
      <c r="A1616" t="s">
        <v>31</v>
      </c>
      <c r="B1616" s="1">
        <v>45869</v>
      </c>
      <c r="C1616">
        <v>340222</v>
      </c>
      <c r="D1616">
        <v>613.29999999999995</v>
      </c>
      <c r="E1616" t="s">
        <v>4</v>
      </c>
      <c r="F1616" t="s">
        <v>47</v>
      </c>
      <c r="G1616" t="s">
        <v>8</v>
      </c>
    </row>
    <row r="1617" spans="1:7" x14ac:dyDescent="0.3">
      <c r="A1617" t="s">
        <v>31</v>
      </c>
      <c r="B1617" s="1">
        <v>45869</v>
      </c>
      <c r="C1617">
        <v>340223</v>
      </c>
      <c r="D1617">
        <v>1407769.602</v>
      </c>
      <c r="E1617" t="s">
        <v>4</v>
      </c>
      <c r="F1617" t="s">
        <v>47</v>
      </c>
      <c r="G1617" t="s">
        <v>8</v>
      </c>
    </row>
    <row r="1618" spans="1:7" x14ac:dyDescent="0.3">
      <c r="A1618" t="s">
        <v>31</v>
      </c>
      <c r="B1618" s="1">
        <v>45869</v>
      </c>
      <c r="C1618">
        <v>340224</v>
      </c>
      <c r="D1618">
        <v>-1407769.6029999999</v>
      </c>
      <c r="E1618" t="s">
        <v>4</v>
      </c>
      <c r="F1618" t="s">
        <v>47</v>
      </c>
      <c r="G1618" t="s">
        <v>8</v>
      </c>
    </row>
    <row r="1619" spans="1:7" x14ac:dyDescent="0.3">
      <c r="A1619" t="s">
        <v>31</v>
      </c>
      <c r="B1619" s="1">
        <v>45869</v>
      </c>
      <c r="C1619">
        <v>340225</v>
      </c>
      <c r="D1619">
        <v>623.94500000000005</v>
      </c>
      <c r="E1619" t="s">
        <v>4</v>
      </c>
      <c r="F1619" t="s">
        <v>47</v>
      </c>
      <c r="G1619" t="s">
        <v>8</v>
      </c>
    </row>
    <row r="1620" spans="1:7" x14ac:dyDescent="0.3">
      <c r="A1620" t="s">
        <v>31</v>
      </c>
      <c r="B1620" s="1">
        <v>45869</v>
      </c>
      <c r="C1620">
        <v>340226</v>
      </c>
      <c r="D1620">
        <v>485822.16200000001</v>
      </c>
      <c r="E1620" t="s">
        <v>4</v>
      </c>
      <c r="F1620" t="s">
        <v>47</v>
      </c>
      <c r="G1620" t="s">
        <v>8</v>
      </c>
    </row>
    <row r="1621" spans="1:7" x14ac:dyDescent="0.3">
      <c r="A1621" t="s">
        <v>31</v>
      </c>
      <c r="B1621" s="1">
        <v>45869</v>
      </c>
      <c r="C1621">
        <v>340227</v>
      </c>
      <c r="D1621">
        <v>-485822.17</v>
      </c>
      <c r="E1621" t="s">
        <v>4</v>
      </c>
      <c r="F1621" t="s">
        <v>47</v>
      </c>
      <c r="G1621" t="s">
        <v>8</v>
      </c>
    </row>
    <row r="1622" spans="1:7" x14ac:dyDescent="0.3">
      <c r="A1622" t="s">
        <v>31</v>
      </c>
      <c r="B1622" s="1">
        <v>45869</v>
      </c>
      <c r="C1622">
        <v>340228</v>
      </c>
      <c r="D1622">
        <v>105489.80899999999</v>
      </c>
      <c r="E1622" t="s">
        <v>4</v>
      </c>
      <c r="F1622" t="s">
        <v>47</v>
      </c>
      <c r="G1622" t="s">
        <v>8</v>
      </c>
    </row>
    <row r="1623" spans="1:7" x14ac:dyDescent="0.3">
      <c r="A1623" t="s">
        <v>31</v>
      </c>
      <c r="B1623" s="1">
        <v>45869</v>
      </c>
      <c r="C1623">
        <v>340229</v>
      </c>
      <c r="D1623">
        <v>898723.49800000002</v>
      </c>
      <c r="E1623" t="s">
        <v>4</v>
      </c>
      <c r="F1623" t="s">
        <v>47</v>
      </c>
      <c r="G1623" t="s">
        <v>8</v>
      </c>
    </row>
    <row r="1624" spans="1:7" x14ac:dyDescent="0.3">
      <c r="A1624" t="s">
        <v>31</v>
      </c>
      <c r="B1624" s="1">
        <v>45869</v>
      </c>
      <c r="C1624">
        <v>340230</v>
      </c>
      <c r="D1624">
        <v>-908755.23199999996</v>
      </c>
      <c r="E1624" t="s">
        <v>4</v>
      </c>
      <c r="F1624" t="s">
        <v>47</v>
      </c>
      <c r="G1624" t="s">
        <v>8</v>
      </c>
    </row>
    <row r="1625" spans="1:7" x14ac:dyDescent="0.3">
      <c r="A1625" t="s">
        <v>31</v>
      </c>
      <c r="B1625" s="1">
        <v>45869</v>
      </c>
      <c r="C1625">
        <v>340231</v>
      </c>
      <c r="D1625">
        <v>91103.236000000004</v>
      </c>
      <c r="E1625" t="s">
        <v>4</v>
      </c>
      <c r="F1625" t="s">
        <v>47</v>
      </c>
      <c r="G1625" t="s">
        <v>8</v>
      </c>
    </row>
    <row r="1626" spans="1:7" x14ac:dyDescent="0.3">
      <c r="A1626" t="s">
        <v>31</v>
      </c>
      <c r="B1626" s="1">
        <v>45869</v>
      </c>
      <c r="C1626">
        <v>340232</v>
      </c>
      <c r="D1626">
        <v>451261.88199999998</v>
      </c>
      <c r="E1626" t="s">
        <v>4</v>
      </c>
      <c r="F1626" t="s">
        <v>47</v>
      </c>
      <c r="G1626" t="s">
        <v>8</v>
      </c>
    </row>
    <row r="1627" spans="1:7" x14ac:dyDescent="0.3">
      <c r="A1627" t="s">
        <v>31</v>
      </c>
      <c r="B1627" s="1">
        <v>45869</v>
      </c>
      <c r="C1627">
        <v>340233</v>
      </c>
      <c r="D1627">
        <v>-419910.64399999997</v>
      </c>
      <c r="E1627" t="s">
        <v>4</v>
      </c>
      <c r="F1627" t="s">
        <v>47</v>
      </c>
      <c r="G1627" t="s">
        <v>8</v>
      </c>
    </row>
    <row r="1628" spans="1:7" x14ac:dyDescent="0.3">
      <c r="A1628" t="s">
        <v>31</v>
      </c>
      <c r="B1628" s="1">
        <v>45869</v>
      </c>
      <c r="C1628">
        <v>350002</v>
      </c>
      <c r="D1628">
        <v>1456.25</v>
      </c>
      <c r="E1628" t="s">
        <v>4</v>
      </c>
      <c r="F1628" t="s">
        <v>49</v>
      </c>
      <c r="G1628" t="s">
        <v>8</v>
      </c>
    </row>
    <row r="1629" spans="1:7" x14ac:dyDescent="0.3">
      <c r="A1629" t="s">
        <v>31</v>
      </c>
      <c r="B1629" s="1">
        <v>45869</v>
      </c>
      <c r="C1629">
        <v>350003</v>
      </c>
      <c r="D1629">
        <v>-145.715</v>
      </c>
      <c r="E1629" t="s">
        <v>4</v>
      </c>
      <c r="F1629" t="s">
        <v>49</v>
      </c>
      <c r="G1629" t="s">
        <v>8</v>
      </c>
    </row>
    <row r="1630" spans="1:7" x14ac:dyDescent="0.3">
      <c r="A1630" t="s">
        <v>31</v>
      </c>
      <c r="B1630" s="1">
        <v>45869</v>
      </c>
      <c r="C1630">
        <v>350031</v>
      </c>
      <c r="D1630">
        <v>228.851</v>
      </c>
      <c r="E1630" t="s">
        <v>4</v>
      </c>
      <c r="F1630" t="s">
        <v>43</v>
      </c>
      <c r="G1630" t="s">
        <v>8</v>
      </c>
    </row>
    <row r="1631" spans="1:7" x14ac:dyDescent="0.3">
      <c r="A1631" t="s">
        <v>31</v>
      </c>
      <c r="B1631" s="1">
        <v>45869</v>
      </c>
      <c r="C1631">
        <v>354012</v>
      </c>
      <c r="D1631">
        <v>4351.0569999999998</v>
      </c>
      <c r="E1631" t="s">
        <v>4</v>
      </c>
      <c r="F1631" t="s">
        <v>46</v>
      </c>
      <c r="G1631" t="s">
        <v>8</v>
      </c>
    </row>
    <row r="1632" spans="1:7" x14ac:dyDescent="0.3">
      <c r="A1632" t="s">
        <v>31</v>
      </c>
      <c r="B1632" s="1">
        <v>45869</v>
      </c>
      <c r="C1632">
        <v>354014</v>
      </c>
      <c r="D1632">
        <v>40743.75</v>
      </c>
      <c r="E1632" t="s">
        <v>4</v>
      </c>
      <c r="F1632" t="s">
        <v>46</v>
      </c>
      <c r="G1632" t="s">
        <v>8</v>
      </c>
    </row>
    <row r="1633" spans="1:7" x14ac:dyDescent="0.3">
      <c r="A1633" t="s">
        <v>31</v>
      </c>
      <c r="B1633" s="1">
        <v>45869</v>
      </c>
      <c r="C1633">
        <v>354015</v>
      </c>
      <c r="D1633">
        <v>1677.163</v>
      </c>
      <c r="E1633" t="s">
        <v>4</v>
      </c>
      <c r="F1633" t="s">
        <v>46</v>
      </c>
      <c r="G1633" t="s">
        <v>8</v>
      </c>
    </row>
    <row r="1634" spans="1:7" x14ac:dyDescent="0.3">
      <c r="A1634" t="s">
        <v>31</v>
      </c>
      <c r="B1634" s="1">
        <v>45869</v>
      </c>
      <c r="C1634">
        <v>355002</v>
      </c>
      <c r="D1634">
        <v>370.03899999999999</v>
      </c>
      <c r="E1634" t="s">
        <v>4</v>
      </c>
      <c r="F1634" t="s">
        <v>49</v>
      </c>
      <c r="G1634" t="s">
        <v>8</v>
      </c>
    </row>
    <row r="1635" spans="1:7" x14ac:dyDescent="0.3">
      <c r="A1635" t="s">
        <v>31</v>
      </c>
      <c r="B1635" s="1">
        <v>45869</v>
      </c>
      <c r="C1635">
        <v>355013</v>
      </c>
      <c r="D1635">
        <v>1596.17</v>
      </c>
      <c r="E1635" t="s">
        <v>4</v>
      </c>
      <c r="F1635" t="s">
        <v>49</v>
      </c>
      <c r="G1635" t="s">
        <v>8</v>
      </c>
    </row>
    <row r="1636" spans="1:7" x14ac:dyDescent="0.3">
      <c r="A1636" t="s">
        <v>31</v>
      </c>
      <c r="B1636" s="1">
        <v>45869</v>
      </c>
      <c r="C1636">
        <v>355014</v>
      </c>
      <c r="D1636">
        <v>246.262</v>
      </c>
      <c r="E1636" t="s">
        <v>4</v>
      </c>
      <c r="F1636" t="s">
        <v>49</v>
      </c>
      <c r="G1636" t="s">
        <v>8</v>
      </c>
    </row>
    <row r="1637" spans="1:7" x14ac:dyDescent="0.3">
      <c r="A1637" t="s">
        <v>31</v>
      </c>
      <c r="B1637" s="1">
        <v>45869</v>
      </c>
      <c r="C1637">
        <v>360022</v>
      </c>
      <c r="D1637">
        <v>4004.279</v>
      </c>
      <c r="E1637" t="s">
        <v>4</v>
      </c>
      <c r="F1637" t="s">
        <v>58</v>
      </c>
      <c r="G1637" t="s">
        <v>8</v>
      </c>
    </row>
    <row r="1638" spans="1:7" x14ac:dyDescent="0.3">
      <c r="A1638" t="s">
        <v>31</v>
      </c>
      <c r="B1638" s="1">
        <v>45869</v>
      </c>
      <c r="C1638">
        <v>372004</v>
      </c>
      <c r="D1638">
        <v>8515.9560000000001</v>
      </c>
      <c r="E1638" t="s">
        <v>4</v>
      </c>
      <c r="F1638" t="s">
        <v>45</v>
      </c>
      <c r="G1638" t="s">
        <v>8</v>
      </c>
    </row>
    <row r="1639" spans="1:7" x14ac:dyDescent="0.3">
      <c r="A1639" t="s">
        <v>31</v>
      </c>
      <c r="B1639" s="1">
        <v>45869</v>
      </c>
      <c r="C1639">
        <v>400002</v>
      </c>
      <c r="D1639">
        <v>-8997.7109999999993</v>
      </c>
      <c r="E1639" t="s">
        <v>6</v>
      </c>
      <c r="F1639" t="s">
        <v>50</v>
      </c>
      <c r="G1639" t="s">
        <v>8</v>
      </c>
    </row>
    <row r="1640" spans="1:7" x14ac:dyDescent="0.3">
      <c r="A1640" t="s">
        <v>31</v>
      </c>
      <c r="B1640" s="1">
        <v>45869</v>
      </c>
      <c r="C1640">
        <v>400004</v>
      </c>
      <c r="D1640">
        <v>-55341.372000000003</v>
      </c>
      <c r="E1640" t="s">
        <v>6</v>
      </c>
      <c r="F1640" t="s">
        <v>50</v>
      </c>
      <c r="G1640" t="s">
        <v>8</v>
      </c>
    </row>
    <row r="1641" spans="1:7" x14ac:dyDescent="0.3">
      <c r="A1641" t="s">
        <v>31</v>
      </c>
      <c r="B1641" s="1">
        <v>45869</v>
      </c>
      <c r="C1641">
        <v>410002</v>
      </c>
      <c r="D1641">
        <v>-13527.96</v>
      </c>
      <c r="E1641" t="s">
        <v>6</v>
      </c>
      <c r="F1641" t="s">
        <v>51</v>
      </c>
      <c r="G1641" t="s">
        <v>8</v>
      </c>
    </row>
    <row r="1642" spans="1:7" x14ac:dyDescent="0.3">
      <c r="A1642" t="s">
        <v>31</v>
      </c>
      <c r="B1642" s="1">
        <v>45869</v>
      </c>
      <c r="C1642">
        <v>410005</v>
      </c>
      <c r="D1642">
        <v>-1275.761</v>
      </c>
      <c r="E1642" t="s">
        <v>6</v>
      </c>
      <c r="F1642" t="s">
        <v>51</v>
      </c>
      <c r="G1642" t="s">
        <v>8</v>
      </c>
    </row>
    <row r="1643" spans="1:7" x14ac:dyDescent="0.3">
      <c r="A1643" t="s">
        <v>31</v>
      </c>
      <c r="B1643" s="1">
        <v>45869</v>
      </c>
      <c r="C1643">
        <v>410006</v>
      </c>
      <c r="D1643">
        <v>-1434.2760000000001</v>
      </c>
      <c r="E1643" t="s">
        <v>6</v>
      </c>
      <c r="F1643" t="s">
        <v>51</v>
      </c>
      <c r="G1643" t="s">
        <v>8</v>
      </c>
    </row>
    <row r="1644" spans="1:7" x14ac:dyDescent="0.3">
      <c r="A1644" t="s">
        <v>31</v>
      </c>
      <c r="B1644" s="1">
        <v>45869</v>
      </c>
      <c r="C1644">
        <v>410009</v>
      </c>
      <c r="D1644">
        <v>-265.233</v>
      </c>
      <c r="E1644" t="s">
        <v>6</v>
      </c>
      <c r="F1644" t="s">
        <v>51</v>
      </c>
      <c r="G1644" t="s">
        <v>8</v>
      </c>
    </row>
    <row r="1645" spans="1:7" x14ac:dyDescent="0.3">
      <c r="A1645" t="s">
        <v>31</v>
      </c>
      <c r="B1645" s="1">
        <v>45869</v>
      </c>
      <c r="C1645">
        <v>410032</v>
      </c>
      <c r="D1645">
        <v>-35119.071000000004</v>
      </c>
      <c r="E1645" t="s">
        <v>6</v>
      </c>
      <c r="F1645" t="s">
        <v>51</v>
      </c>
      <c r="G1645" t="s">
        <v>8</v>
      </c>
    </row>
    <row r="1646" spans="1:7" x14ac:dyDescent="0.3">
      <c r="A1646" t="s">
        <v>31</v>
      </c>
      <c r="B1646" s="1">
        <v>45869</v>
      </c>
      <c r="C1646">
        <v>410036</v>
      </c>
      <c r="D1646">
        <v>-238.768</v>
      </c>
      <c r="E1646" t="s">
        <v>6</v>
      </c>
      <c r="F1646" t="s">
        <v>51</v>
      </c>
      <c r="G1646" t="s">
        <v>8</v>
      </c>
    </row>
    <row r="1647" spans="1:7" x14ac:dyDescent="0.3">
      <c r="A1647" t="s">
        <v>31</v>
      </c>
      <c r="B1647" s="1">
        <v>45869</v>
      </c>
      <c r="C1647">
        <v>410037</v>
      </c>
      <c r="D1647">
        <v>-18926.242999999999</v>
      </c>
      <c r="E1647" t="s">
        <v>6</v>
      </c>
      <c r="F1647" t="s">
        <v>51</v>
      </c>
      <c r="G1647" t="s">
        <v>8</v>
      </c>
    </row>
    <row r="1648" spans="1:7" x14ac:dyDescent="0.3">
      <c r="A1648" t="s">
        <v>31</v>
      </c>
      <c r="B1648" s="1">
        <v>45869</v>
      </c>
      <c r="C1648">
        <v>410040</v>
      </c>
      <c r="D1648">
        <v>-95.668999999999997</v>
      </c>
      <c r="E1648" t="s">
        <v>6</v>
      </c>
      <c r="F1648" t="s">
        <v>51</v>
      </c>
      <c r="G1648" t="s">
        <v>8</v>
      </c>
    </row>
    <row r="1649" spans="1:7" x14ac:dyDescent="0.3">
      <c r="A1649" t="s">
        <v>31</v>
      </c>
      <c r="B1649" s="1">
        <v>45869</v>
      </c>
      <c r="C1649">
        <v>415002</v>
      </c>
      <c r="D1649">
        <v>-92040.422000000006</v>
      </c>
      <c r="E1649" t="s">
        <v>6</v>
      </c>
      <c r="F1649" t="s">
        <v>50</v>
      </c>
      <c r="G1649" t="s">
        <v>8</v>
      </c>
    </row>
    <row r="1650" spans="1:7" x14ac:dyDescent="0.3">
      <c r="A1650" t="s">
        <v>31</v>
      </c>
      <c r="B1650" s="1">
        <v>45869</v>
      </c>
      <c r="C1650">
        <v>415004</v>
      </c>
      <c r="D1650">
        <v>-283325.57199999999</v>
      </c>
      <c r="E1650" t="s">
        <v>6</v>
      </c>
      <c r="F1650" t="s">
        <v>50</v>
      </c>
      <c r="G1650" t="s">
        <v>8</v>
      </c>
    </row>
    <row r="1651" spans="1:7" x14ac:dyDescent="0.3">
      <c r="A1651" t="s">
        <v>31</v>
      </c>
      <c r="B1651" s="1">
        <v>45869</v>
      </c>
      <c r="C1651">
        <v>418003</v>
      </c>
      <c r="D1651">
        <v>49.021999999999998</v>
      </c>
      <c r="E1651" t="s">
        <v>6</v>
      </c>
      <c r="F1651" t="s">
        <v>51</v>
      </c>
      <c r="G1651" t="s">
        <v>8</v>
      </c>
    </row>
    <row r="1652" spans="1:7" x14ac:dyDescent="0.3">
      <c r="A1652" t="s">
        <v>31</v>
      </c>
      <c r="B1652" s="1">
        <v>45869</v>
      </c>
      <c r="C1652">
        <v>421002</v>
      </c>
      <c r="D1652">
        <v>-11990.9</v>
      </c>
      <c r="E1652" t="s">
        <v>6</v>
      </c>
      <c r="F1652" t="s">
        <v>52</v>
      </c>
      <c r="G1652" t="s">
        <v>8</v>
      </c>
    </row>
    <row r="1653" spans="1:7" x14ac:dyDescent="0.3">
      <c r="A1653" t="s">
        <v>31</v>
      </c>
      <c r="B1653" s="1">
        <v>45869</v>
      </c>
      <c r="C1653">
        <v>421003</v>
      </c>
      <c r="D1653">
        <v>3842.9969999999998</v>
      </c>
      <c r="E1653" t="s">
        <v>6</v>
      </c>
      <c r="F1653" t="s">
        <v>52</v>
      </c>
      <c r="G1653" t="s">
        <v>8</v>
      </c>
    </row>
    <row r="1654" spans="1:7" x14ac:dyDescent="0.3">
      <c r="A1654" t="s">
        <v>31</v>
      </c>
      <c r="B1654" s="1">
        <v>45869</v>
      </c>
      <c r="C1654">
        <v>421004</v>
      </c>
      <c r="D1654">
        <v>-5540.2290000000003</v>
      </c>
      <c r="E1654" t="s">
        <v>6</v>
      </c>
      <c r="F1654" t="s">
        <v>52</v>
      </c>
      <c r="G1654" t="s">
        <v>8</v>
      </c>
    </row>
    <row r="1655" spans="1:7" x14ac:dyDescent="0.3">
      <c r="A1655" t="s">
        <v>31</v>
      </c>
      <c r="B1655" s="1">
        <v>45869</v>
      </c>
      <c r="C1655">
        <v>421007</v>
      </c>
      <c r="D1655">
        <v>2640</v>
      </c>
      <c r="E1655" t="s">
        <v>6</v>
      </c>
      <c r="F1655" t="s">
        <v>52</v>
      </c>
      <c r="G1655" t="s">
        <v>8</v>
      </c>
    </row>
    <row r="1656" spans="1:7" x14ac:dyDescent="0.3">
      <c r="A1656" t="s">
        <v>31</v>
      </c>
      <c r="B1656" s="1">
        <v>45869</v>
      </c>
      <c r="C1656">
        <v>510002</v>
      </c>
      <c r="D1656">
        <v>93310.471999999994</v>
      </c>
      <c r="E1656" t="s">
        <v>6</v>
      </c>
      <c r="F1656" t="s">
        <v>53</v>
      </c>
      <c r="G1656" t="s">
        <v>8</v>
      </c>
    </row>
    <row r="1657" spans="1:7" x14ac:dyDescent="0.3">
      <c r="A1657" t="s">
        <v>31</v>
      </c>
      <c r="B1657" s="1">
        <v>45869</v>
      </c>
      <c r="C1657">
        <v>510005</v>
      </c>
      <c r="D1657">
        <v>-113.952</v>
      </c>
      <c r="E1657" t="s">
        <v>6</v>
      </c>
      <c r="F1657" t="s">
        <v>53</v>
      </c>
      <c r="G1657" t="s">
        <v>8</v>
      </c>
    </row>
    <row r="1658" spans="1:7" x14ac:dyDescent="0.3">
      <c r="A1658" t="s">
        <v>31</v>
      </c>
      <c r="B1658" s="1">
        <v>45869</v>
      </c>
      <c r="C1658">
        <v>510007</v>
      </c>
      <c r="D1658">
        <v>6908.9</v>
      </c>
      <c r="E1658" t="s">
        <v>6</v>
      </c>
      <c r="F1658" t="s">
        <v>53</v>
      </c>
      <c r="G1658" t="s">
        <v>8</v>
      </c>
    </row>
    <row r="1659" spans="1:7" x14ac:dyDescent="0.3">
      <c r="A1659" t="s">
        <v>31</v>
      </c>
      <c r="B1659" s="1">
        <v>45869</v>
      </c>
      <c r="C1659">
        <v>510012</v>
      </c>
      <c r="D1659">
        <v>3269.2750000000001</v>
      </c>
      <c r="E1659" t="s">
        <v>6</v>
      </c>
      <c r="F1659" t="s">
        <v>53</v>
      </c>
      <c r="G1659" t="s">
        <v>8</v>
      </c>
    </row>
    <row r="1660" spans="1:7" x14ac:dyDescent="0.3">
      <c r="A1660" t="s">
        <v>31</v>
      </c>
      <c r="B1660" s="1">
        <v>45869</v>
      </c>
      <c r="C1660">
        <v>510018</v>
      </c>
      <c r="D1660">
        <v>846.77800000000002</v>
      </c>
      <c r="E1660" t="s">
        <v>6</v>
      </c>
      <c r="F1660" t="s">
        <v>53</v>
      </c>
      <c r="G1660" t="s">
        <v>8</v>
      </c>
    </row>
    <row r="1661" spans="1:7" x14ac:dyDescent="0.3">
      <c r="A1661" t="s">
        <v>31</v>
      </c>
      <c r="B1661" s="1">
        <v>45869</v>
      </c>
      <c r="C1661">
        <v>510059</v>
      </c>
      <c r="D1661">
        <v>2071.732</v>
      </c>
      <c r="E1661" t="s">
        <v>6</v>
      </c>
      <c r="F1661" t="s">
        <v>53</v>
      </c>
      <c r="G1661" t="s">
        <v>8</v>
      </c>
    </row>
    <row r="1662" spans="1:7" x14ac:dyDescent="0.3">
      <c r="A1662" t="s">
        <v>31</v>
      </c>
      <c r="B1662" s="1">
        <v>45869</v>
      </c>
      <c r="C1662">
        <v>510060</v>
      </c>
      <c r="D1662">
        <v>148.499</v>
      </c>
      <c r="E1662" t="s">
        <v>6</v>
      </c>
      <c r="F1662" t="s">
        <v>53</v>
      </c>
      <c r="G1662" t="s">
        <v>8</v>
      </c>
    </row>
    <row r="1663" spans="1:7" x14ac:dyDescent="0.3">
      <c r="A1663" t="s">
        <v>31</v>
      </c>
      <c r="B1663" s="1">
        <v>45869</v>
      </c>
      <c r="C1663">
        <v>510062</v>
      </c>
      <c r="D1663">
        <v>12291.75</v>
      </c>
      <c r="E1663" t="s">
        <v>6</v>
      </c>
      <c r="F1663" t="s">
        <v>53</v>
      </c>
      <c r="G1663" t="s">
        <v>8</v>
      </c>
    </row>
    <row r="1664" spans="1:7" x14ac:dyDescent="0.3">
      <c r="A1664" t="s">
        <v>31</v>
      </c>
      <c r="B1664" s="1">
        <v>45869</v>
      </c>
      <c r="C1664">
        <v>510064</v>
      </c>
      <c r="D1664">
        <v>1289.568</v>
      </c>
      <c r="E1664" t="s">
        <v>6</v>
      </c>
      <c r="F1664" t="s">
        <v>53</v>
      </c>
      <c r="G1664" t="s">
        <v>8</v>
      </c>
    </row>
    <row r="1665" spans="1:7" x14ac:dyDescent="0.3">
      <c r="A1665" t="s">
        <v>31</v>
      </c>
      <c r="B1665" s="1">
        <v>45869</v>
      </c>
      <c r="C1665">
        <v>510065</v>
      </c>
      <c r="D1665">
        <v>946.59500000000003</v>
      </c>
      <c r="E1665" t="s">
        <v>6</v>
      </c>
      <c r="F1665" t="s">
        <v>53</v>
      </c>
      <c r="G1665" t="s">
        <v>8</v>
      </c>
    </row>
    <row r="1666" spans="1:7" x14ac:dyDescent="0.3">
      <c r="A1666" t="s">
        <v>31</v>
      </c>
      <c r="B1666" s="1">
        <v>45869</v>
      </c>
      <c r="C1666">
        <v>520011</v>
      </c>
      <c r="D1666">
        <v>23188.861000000001</v>
      </c>
      <c r="E1666" t="s">
        <v>6</v>
      </c>
      <c r="F1666" t="s">
        <v>53</v>
      </c>
      <c r="G1666" t="s">
        <v>8</v>
      </c>
    </row>
    <row r="1667" spans="1:7" x14ac:dyDescent="0.3">
      <c r="A1667" t="s">
        <v>31</v>
      </c>
      <c r="B1667" s="1">
        <v>45869</v>
      </c>
      <c r="C1667">
        <v>520020</v>
      </c>
      <c r="D1667">
        <v>-1663.2149999999999</v>
      </c>
      <c r="E1667" t="s">
        <v>6</v>
      </c>
      <c r="F1667" t="s">
        <v>53</v>
      </c>
      <c r="G1667" t="s">
        <v>8</v>
      </c>
    </row>
    <row r="1668" spans="1:7" x14ac:dyDescent="0.3">
      <c r="A1668" t="s">
        <v>31</v>
      </c>
      <c r="B1668" s="1">
        <v>45869</v>
      </c>
      <c r="C1668">
        <v>520021</v>
      </c>
      <c r="D1668">
        <v>128.54300000000001</v>
      </c>
      <c r="E1668" t="s">
        <v>6</v>
      </c>
      <c r="F1668" t="s">
        <v>60</v>
      </c>
      <c r="G1668" t="s">
        <v>8</v>
      </c>
    </row>
    <row r="1669" spans="1:7" x14ac:dyDescent="0.3">
      <c r="A1669" t="s">
        <v>31</v>
      </c>
      <c r="B1669" s="1">
        <v>45869</v>
      </c>
      <c r="C1669">
        <v>530012</v>
      </c>
      <c r="D1669">
        <v>1340.511</v>
      </c>
      <c r="E1669" t="s">
        <v>6</v>
      </c>
      <c r="F1669" t="s">
        <v>53</v>
      </c>
      <c r="G1669" t="s">
        <v>8</v>
      </c>
    </row>
    <row r="1670" spans="1:7" x14ac:dyDescent="0.3">
      <c r="A1670" t="s">
        <v>31</v>
      </c>
      <c r="B1670" s="1">
        <v>45869</v>
      </c>
      <c r="C1670">
        <v>541004</v>
      </c>
      <c r="D1670">
        <v>807.86099999999999</v>
      </c>
      <c r="E1670" t="s">
        <v>6</v>
      </c>
      <c r="F1670" t="s">
        <v>61</v>
      </c>
      <c r="G1670" t="s">
        <v>8</v>
      </c>
    </row>
    <row r="1671" spans="1:7" x14ac:dyDescent="0.3">
      <c r="A1671" t="s">
        <v>31</v>
      </c>
      <c r="B1671" s="1">
        <v>45869</v>
      </c>
      <c r="C1671">
        <v>541009</v>
      </c>
      <c r="D1671">
        <v>393.68099999999998</v>
      </c>
      <c r="E1671" t="s">
        <v>6</v>
      </c>
      <c r="F1671" t="s">
        <v>61</v>
      </c>
      <c r="G1671" t="s">
        <v>8</v>
      </c>
    </row>
    <row r="1672" spans="1:7" x14ac:dyDescent="0.3">
      <c r="A1672" t="s">
        <v>31</v>
      </c>
      <c r="B1672" s="1">
        <v>45869</v>
      </c>
      <c r="C1672">
        <v>541010</v>
      </c>
      <c r="D1672">
        <v>5400.6909999999998</v>
      </c>
      <c r="E1672" t="s">
        <v>6</v>
      </c>
      <c r="F1672" t="s">
        <v>61</v>
      </c>
      <c r="G1672" t="s">
        <v>8</v>
      </c>
    </row>
    <row r="1673" spans="1:7" x14ac:dyDescent="0.3">
      <c r="A1673" t="s">
        <v>31</v>
      </c>
      <c r="B1673" s="1">
        <v>45869</v>
      </c>
      <c r="C1673">
        <v>541012</v>
      </c>
      <c r="D1673">
        <v>280.12799999999999</v>
      </c>
      <c r="E1673" t="s">
        <v>6</v>
      </c>
      <c r="F1673" t="s">
        <v>61</v>
      </c>
      <c r="G1673" t="s">
        <v>8</v>
      </c>
    </row>
    <row r="1674" spans="1:7" x14ac:dyDescent="0.3">
      <c r="A1674" t="s">
        <v>31</v>
      </c>
      <c r="B1674" s="1">
        <v>45869</v>
      </c>
      <c r="C1674">
        <v>541013</v>
      </c>
      <c r="D1674">
        <v>57.594999999999999</v>
      </c>
      <c r="E1674" t="s">
        <v>6</v>
      </c>
      <c r="F1674" t="s">
        <v>61</v>
      </c>
      <c r="G1674" t="s">
        <v>8</v>
      </c>
    </row>
    <row r="1675" spans="1:7" x14ac:dyDescent="0.3">
      <c r="A1675" t="s">
        <v>31</v>
      </c>
      <c r="B1675" s="1">
        <v>45869</v>
      </c>
      <c r="C1675">
        <v>544006</v>
      </c>
      <c r="D1675">
        <v>440.178</v>
      </c>
      <c r="E1675" t="s">
        <v>6</v>
      </c>
      <c r="F1675" t="s">
        <v>61</v>
      </c>
      <c r="G1675" t="s">
        <v>8</v>
      </c>
    </row>
    <row r="1676" spans="1:7" x14ac:dyDescent="0.3">
      <c r="A1676" t="s">
        <v>31</v>
      </c>
      <c r="B1676" s="1">
        <v>45869</v>
      </c>
      <c r="C1676">
        <v>546002</v>
      </c>
      <c r="D1676">
        <v>298026.913</v>
      </c>
      <c r="E1676" t="s">
        <v>6</v>
      </c>
      <c r="F1676" t="s">
        <v>51</v>
      </c>
      <c r="G1676" t="s">
        <v>8</v>
      </c>
    </row>
    <row r="1677" spans="1:7" x14ac:dyDescent="0.3">
      <c r="A1677" t="s">
        <v>31</v>
      </c>
      <c r="B1677" s="1">
        <v>45869</v>
      </c>
      <c r="C1677">
        <v>546008</v>
      </c>
      <c r="D1677">
        <v>11.173999999999999</v>
      </c>
      <c r="E1677" t="s">
        <v>6</v>
      </c>
      <c r="F1677" t="s">
        <v>51</v>
      </c>
      <c r="G1677" t="s">
        <v>8</v>
      </c>
    </row>
    <row r="1678" spans="1:7" x14ac:dyDescent="0.3">
      <c r="A1678" t="s">
        <v>31</v>
      </c>
      <c r="B1678" s="1">
        <v>45869</v>
      </c>
      <c r="C1678">
        <v>546013</v>
      </c>
      <c r="D1678">
        <v>20346.057000000001</v>
      </c>
      <c r="E1678" t="s">
        <v>6</v>
      </c>
      <c r="F1678" t="s">
        <v>51</v>
      </c>
      <c r="G1678" t="s">
        <v>8</v>
      </c>
    </row>
    <row r="1679" spans="1:7" x14ac:dyDescent="0.3">
      <c r="A1679" t="s">
        <v>31</v>
      </c>
      <c r="B1679" s="1">
        <v>45869</v>
      </c>
      <c r="C1679">
        <v>546019</v>
      </c>
      <c r="D1679">
        <v>3116.34</v>
      </c>
      <c r="E1679" t="s">
        <v>6</v>
      </c>
      <c r="F1679" t="s">
        <v>51</v>
      </c>
      <c r="G1679" t="s">
        <v>8</v>
      </c>
    </row>
    <row r="1680" spans="1:7" x14ac:dyDescent="0.3">
      <c r="A1680" t="s">
        <v>31</v>
      </c>
      <c r="B1680" s="1">
        <v>45869</v>
      </c>
      <c r="C1680">
        <v>546035</v>
      </c>
      <c r="D1680">
        <v>18057.274000000001</v>
      </c>
      <c r="E1680" t="s">
        <v>6</v>
      </c>
      <c r="F1680" t="s">
        <v>51</v>
      </c>
      <c r="G1680" t="s">
        <v>8</v>
      </c>
    </row>
    <row r="1681" spans="1:7" x14ac:dyDescent="0.3">
      <c r="A1681" t="s">
        <v>31</v>
      </c>
      <c r="B1681" s="1">
        <v>45869</v>
      </c>
      <c r="C1681">
        <v>546040</v>
      </c>
      <c r="D1681">
        <v>4886.0569999999998</v>
      </c>
      <c r="E1681" t="s">
        <v>6</v>
      </c>
      <c r="F1681" t="s">
        <v>51</v>
      </c>
      <c r="G1681" t="s">
        <v>8</v>
      </c>
    </row>
    <row r="1682" spans="1:7" x14ac:dyDescent="0.3">
      <c r="A1682" t="s">
        <v>31</v>
      </c>
      <c r="B1682" s="1">
        <v>45869</v>
      </c>
      <c r="C1682">
        <v>546047</v>
      </c>
      <c r="D1682">
        <v>608.18200000000002</v>
      </c>
      <c r="E1682" t="s">
        <v>6</v>
      </c>
      <c r="F1682" t="s">
        <v>51</v>
      </c>
      <c r="G1682" t="s">
        <v>8</v>
      </c>
    </row>
    <row r="1683" spans="1:7" x14ac:dyDescent="0.3">
      <c r="A1683" t="s">
        <v>31</v>
      </c>
      <c r="B1683" s="1">
        <v>45869</v>
      </c>
      <c r="C1683">
        <v>547002</v>
      </c>
      <c r="D1683">
        <v>2203.4299999999998</v>
      </c>
      <c r="E1683" t="s">
        <v>6</v>
      </c>
      <c r="F1683" t="s">
        <v>54</v>
      </c>
      <c r="G1683" t="s">
        <v>8</v>
      </c>
    </row>
    <row r="1684" spans="1:7" x14ac:dyDescent="0.3">
      <c r="A1684" t="s">
        <v>31</v>
      </c>
      <c r="B1684" s="1">
        <v>45869</v>
      </c>
      <c r="C1684">
        <v>547006</v>
      </c>
      <c r="D1684">
        <v>275.63400000000001</v>
      </c>
      <c r="E1684" t="s">
        <v>6</v>
      </c>
      <c r="F1684" t="s">
        <v>54</v>
      </c>
      <c r="G1684" t="s">
        <v>8</v>
      </c>
    </row>
    <row r="1685" spans="1:7" x14ac:dyDescent="0.3">
      <c r="A1685" t="s">
        <v>31</v>
      </c>
      <c r="B1685" s="1">
        <v>45869</v>
      </c>
      <c r="C1685">
        <v>547011</v>
      </c>
      <c r="D1685">
        <v>64.097999999999999</v>
      </c>
      <c r="E1685" t="s">
        <v>6</v>
      </c>
      <c r="F1685" t="s">
        <v>54</v>
      </c>
      <c r="G1685" t="s">
        <v>8</v>
      </c>
    </row>
    <row r="1686" spans="1:7" x14ac:dyDescent="0.3">
      <c r="A1686" t="s">
        <v>31</v>
      </c>
      <c r="B1686" s="1">
        <v>45869</v>
      </c>
      <c r="C1686">
        <v>551003</v>
      </c>
      <c r="D1686">
        <v>10992.386</v>
      </c>
      <c r="E1686" t="s">
        <v>6</v>
      </c>
      <c r="F1686" t="s">
        <v>63</v>
      </c>
      <c r="G1686" t="s">
        <v>8</v>
      </c>
    </row>
    <row r="1687" spans="1:7" x14ac:dyDescent="0.3">
      <c r="A1687" t="s">
        <v>31</v>
      </c>
      <c r="B1687" s="1">
        <v>45869</v>
      </c>
      <c r="C1687">
        <v>551008</v>
      </c>
      <c r="D1687">
        <v>28.747</v>
      </c>
      <c r="E1687" t="s">
        <v>6</v>
      </c>
      <c r="F1687" t="s">
        <v>63</v>
      </c>
      <c r="G1687" t="s">
        <v>8</v>
      </c>
    </row>
    <row r="1688" spans="1:7" x14ac:dyDescent="0.3">
      <c r="A1688" t="s">
        <v>31</v>
      </c>
      <c r="B1688" s="1">
        <v>45869</v>
      </c>
      <c r="C1688">
        <v>552502</v>
      </c>
      <c r="D1688">
        <v>2204.4569999999999</v>
      </c>
      <c r="E1688" t="s">
        <v>6</v>
      </c>
      <c r="F1688" t="s">
        <v>55</v>
      </c>
      <c r="G1688" t="s">
        <v>8</v>
      </c>
    </row>
    <row r="1689" spans="1:7" x14ac:dyDescent="0.3">
      <c r="A1689" t="s">
        <v>31</v>
      </c>
      <c r="B1689" s="1">
        <v>45869</v>
      </c>
      <c r="C1689">
        <v>556002</v>
      </c>
      <c r="D1689">
        <v>-587.42200000000003</v>
      </c>
      <c r="E1689" t="s">
        <v>6</v>
      </c>
      <c r="F1689" t="s">
        <v>60</v>
      </c>
      <c r="G1689" t="s">
        <v>8</v>
      </c>
    </row>
    <row r="1690" spans="1:7" x14ac:dyDescent="0.3">
      <c r="A1690" t="s">
        <v>31</v>
      </c>
      <c r="B1690" s="1">
        <v>45869</v>
      </c>
      <c r="C1690">
        <v>556004</v>
      </c>
      <c r="D1690">
        <v>19.690000000000001</v>
      </c>
      <c r="E1690" t="s">
        <v>6</v>
      </c>
      <c r="F1690" t="s">
        <v>55</v>
      </c>
      <c r="G1690" t="s">
        <v>8</v>
      </c>
    </row>
    <row r="1691" spans="1:7" x14ac:dyDescent="0.3">
      <c r="A1691" t="s">
        <v>31</v>
      </c>
      <c r="B1691" s="1">
        <v>45869</v>
      </c>
      <c r="C1691">
        <v>557002</v>
      </c>
      <c r="D1691">
        <v>981.61500000000001</v>
      </c>
      <c r="E1691" t="s">
        <v>6</v>
      </c>
      <c r="F1691" t="s">
        <v>56</v>
      </c>
      <c r="G1691" t="s">
        <v>8</v>
      </c>
    </row>
    <row r="1692" spans="1:7" x14ac:dyDescent="0.3">
      <c r="A1692" t="s">
        <v>31</v>
      </c>
      <c r="B1692" s="1">
        <v>45869</v>
      </c>
      <c r="C1692">
        <v>558006</v>
      </c>
      <c r="D1692">
        <v>301.85899999999998</v>
      </c>
      <c r="E1692" t="s">
        <v>6</v>
      </c>
      <c r="F1692" t="s">
        <v>57</v>
      </c>
      <c r="G1692" t="s">
        <v>8</v>
      </c>
    </row>
    <row r="1693" spans="1:7" x14ac:dyDescent="0.3">
      <c r="A1693" t="s">
        <v>31</v>
      </c>
      <c r="B1693" s="1">
        <v>45869</v>
      </c>
      <c r="C1693">
        <v>558012</v>
      </c>
      <c r="D1693">
        <v>347.74</v>
      </c>
      <c r="E1693" t="s">
        <v>6</v>
      </c>
      <c r="F1693" t="s">
        <v>60</v>
      </c>
      <c r="G1693" t="s">
        <v>8</v>
      </c>
    </row>
    <row r="1694" spans="1:7" x14ac:dyDescent="0.3">
      <c r="A1694" t="s">
        <v>31</v>
      </c>
      <c r="B1694" s="1">
        <v>45869</v>
      </c>
      <c r="C1694">
        <v>559002</v>
      </c>
      <c r="D1694">
        <v>253.11799999999999</v>
      </c>
      <c r="E1694" t="s">
        <v>6</v>
      </c>
      <c r="F1694" t="s">
        <v>60</v>
      </c>
      <c r="G1694" t="s">
        <v>8</v>
      </c>
    </row>
    <row r="1695" spans="1:7" x14ac:dyDescent="0.3">
      <c r="A1695" t="s">
        <v>31</v>
      </c>
      <c r="B1695" s="1">
        <v>45869</v>
      </c>
      <c r="C1695">
        <v>560008</v>
      </c>
      <c r="D1695">
        <v>825.08799999999997</v>
      </c>
      <c r="E1695" t="s">
        <v>6</v>
      </c>
      <c r="F1695" t="s">
        <v>56</v>
      </c>
      <c r="G1695" t="s">
        <v>8</v>
      </c>
    </row>
    <row r="1696" spans="1:7" x14ac:dyDescent="0.3">
      <c r="A1696" t="s">
        <v>31</v>
      </c>
      <c r="B1696" s="1">
        <v>45869</v>
      </c>
      <c r="C1696">
        <v>564004</v>
      </c>
      <c r="D1696">
        <v>4522.4880000000003</v>
      </c>
      <c r="E1696" t="s">
        <v>6</v>
      </c>
      <c r="F1696" t="s">
        <v>51</v>
      </c>
      <c r="G1696" t="s">
        <v>8</v>
      </c>
    </row>
    <row r="1697" spans="1:7" x14ac:dyDescent="0.3">
      <c r="A1697" t="s">
        <v>31</v>
      </c>
      <c r="B1697" s="1">
        <v>45869</v>
      </c>
      <c r="C1697">
        <v>564006</v>
      </c>
      <c r="D1697">
        <v>-4.4999999999999998E-2</v>
      </c>
      <c r="E1697" t="s">
        <v>6</v>
      </c>
      <c r="F1697" t="s">
        <v>57</v>
      </c>
      <c r="G1697" t="s">
        <v>8</v>
      </c>
    </row>
    <row r="1698" spans="1:7" x14ac:dyDescent="0.3">
      <c r="A1698" t="s">
        <v>31</v>
      </c>
      <c r="B1698" s="1">
        <v>45869</v>
      </c>
      <c r="C1698">
        <v>564020</v>
      </c>
      <c r="D1698">
        <v>227.88800000000001</v>
      </c>
      <c r="E1698" t="s">
        <v>6</v>
      </c>
      <c r="F1698" t="s">
        <v>57</v>
      </c>
      <c r="G1698" t="s">
        <v>8</v>
      </c>
    </row>
    <row r="1699" spans="1:7" x14ac:dyDescent="0.3">
      <c r="A1699" t="s">
        <v>31</v>
      </c>
      <c r="B1699" s="1">
        <v>45869</v>
      </c>
      <c r="C1699">
        <v>570002</v>
      </c>
      <c r="D1699">
        <v>270.72300000000001</v>
      </c>
      <c r="E1699" t="s">
        <v>6</v>
      </c>
      <c r="F1699" t="s">
        <v>66</v>
      </c>
      <c r="G1699" t="s">
        <v>8</v>
      </c>
    </row>
    <row r="1700" spans="1:7" x14ac:dyDescent="0.3">
      <c r="A1700" t="s">
        <v>31</v>
      </c>
      <c r="B1700" s="1">
        <v>45869</v>
      </c>
      <c r="C1700">
        <v>580002</v>
      </c>
      <c r="D1700">
        <v>6914.5069999999996</v>
      </c>
      <c r="E1700" t="s">
        <v>6</v>
      </c>
      <c r="F1700" t="s">
        <v>64</v>
      </c>
      <c r="G1700" t="s">
        <v>8</v>
      </c>
    </row>
    <row r="1701" spans="1:7" x14ac:dyDescent="0.3">
      <c r="A1701" t="s">
        <v>32</v>
      </c>
      <c r="B1701" s="1">
        <v>45869</v>
      </c>
      <c r="C1701">
        <v>210002</v>
      </c>
      <c r="D1701">
        <v>-6836351.1689999998</v>
      </c>
      <c r="E1701" t="s">
        <v>4</v>
      </c>
      <c r="F1701" t="s">
        <v>42</v>
      </c>
      <c r="G1701" t="s">
        <v>7</v>
      </c>
    </row>
    <row r="1702" spans="1:7" x14ac:dyDescent="0.3">
      <c r="A1702" t="s">
        <v>32</v>
      </c>
      <c r="B1702" s="1">
        <v>45869</v>
      </c>
      <c r="C1702">
        <v>220003</v>
      </c>
      <c r="D1702">
        <v>4168000.088</v>
      </c>
      <c r="E1702" t="s">
        <v>4</v>
      </c>
      <c r="F1702" t="s">
        <v>42</v>
      </c>
      <c r="G1702" t="s">
        <v>7</v>
      </c>
    </row>
    <row r="1703" spans="1:7" x14ac:dyDescent="0.3">
      <c r="A1703" t="s">
        <v>32</v>
      </c>
      <c r="B1703" s="1">
        <v>45869</v>
      </c>
      <c r="C1703">
        <v>220004</v>
      </c>
      <c r="D1703">
        <v>-3899.835</v>
      </c>
      <c r="E1703" t="s">
        <v>4</v>
      </c>
      <c r="F1703" t="s">
        <v>42</v>
      </c>
      <c r="G1703" t="s">
        <v>7</v>
      </c>
    </row>
    <row r="1704" spans="1:7" x14ac:dyDescent="0.3">
      <c r="A1704" t="s">
        <v>32</v>
      </c>
      <c r="B1704" s="1">
        <v>45869</v>
      </c>
      <c r="C1704">
        <v>220006</v>
      </c>
      <c r="D1704">
        <v>-7020219.324</v>
      </c>
      <c r="E1704" t="s">
        <v>4</v>
      </c>
      <c r="F1704" t="s">
        <v>42</v>
      </c>
      <c r="G1704" t="s">
        <v>7</v>
      </c>
    </row>
    <row r="1705" spans="1:7" x14ac:dyDescent="0.3">
      <c r="A1705" t="s">
        <v>32</v>
      </c>
      <c r="B1705" s="1">
        <v>45869</v>
      </c>
      <c r="C1705">
        <v>234003</v>
      </c>
      <c r="D1705">
        <v>-209203.43900000001</v>
      </c>
      <c r="E1705" t="s">
        <v>4</v>
      </c>
      <c r="F1705" t="s">
        <v>43</v>
      </c>
      <c r="G1705" t="s">
        <v>7</v>
      </c>
    </row>
    <row r="1706" spans="1:7" x14ac:dyDescent="0.3">
      <c r="A1706" t="s">
        <v>32</v>
      </c>
      <c r="B1706" s="1">
        <v>45869</v>
      </c>
      <c r="C1706">
        <v>240002</v>
      </c>
      <c r="D1706">
        <v>-45809.339</v>
      </c>
      <c r="E1706" t="s">
        <v>4</v>
      </c>
      <c r="F1706" t="s">
        <v>43</v>
      </c>
      <c r="G1706" t="s">
        <v>7</v>
      </c>
    </row>
    <row r="1707" spans="1:7" x14ac:dyDescent="0.3">
      <c r="A1707" t="s">
        <v>32</v>
      </c>
      <c r="B1707" s="1">
        <v>45869</v>
      </c>
      <c r="C1707">
        <v>240009</v>
      </c>
      <c r="D1707">
        <v>-13781.994000000001</v>
      </c>
      <c r="E1707" t="s">
        <v>4</v>
      </c>
      <c r="F1707" t="s">
        <v>43</v>
      </c>
      <c r="G1707" t="s">
        <v>7</v>
      </c>
    </row>
    <row r="1708" spans="1:7" x14ac:dyDescent="0.3">
      <c r="A1708" t="s">
        <v>32</v>
      </c>
      <c r="B1708" s="1">
        <v>45869</v>
      </c>
      <c r="C1708">
        <v>242003</v>
      </c>
      <c r="D1708">
        <v>-1248108.389</v>
      </c>
      <c r="E1708" t="s">
        <v>4</v>
      </c>
      <c r="F1708" t="s">
        <v>43</v>
      </c>
      <c r="G1708" t="s">
        <v>7</v>
      </c>
    </row>
    <row r="1709" spans="1:7" x14ac:dyDescent="0.3">
      <c r="A1709" t="s">
        <v>32</v>
      </c>
      <c r="B1709" s="1">
        <v>45869</v>
      </c>
      <c r="C1709">
        <v>242007</v>
      </c>
      <c r="D1709">
        <v>-14357.331</v>
      </c>
      <c r="E1709" t="s">
        <v>4</v>
      </c>
      <c r="F1709" t="s">
        <v>43</v>
      </c>
      <c r="G1709" t="s">
        <v>7</v>
      </c>
    </row>
    <row r="1710" spans="1:7" x14ac:dyDescent="0.3">
      <c r="A1710" t="s">
        <v>32</v>
      </c>
      <c r="B1710" s="1">
        <v>45869</v>
      </c>
      <c r="C1710">
        <v>242012</v>
      </c>
      <c r="D1710">
        <v>-1177439.2930000001</v>
      </c>
      <c r="E1710" t="s">
        <v>4</v>
      </c>
      <c r="F1710" t="s">
        <v>43</v>
      </c>
      <c r="G1710" t="s">
        <v>7</v>
      </c>
    </row>
    <row r="1711" spans="1:7" x14ac:dyDescent="0.3">
      <c r="A1711" t="s">
        <v>32</v>
      </c>
      <c r="B1711" s="1">
        <v>45869</v>
      </c>
      <c r="C1711">
        <v>242013</v>
      </c>
      <c r="D1711">
        <v>-240927.24799999999</v>
      </c>
      <c r="E1711" t="s">
        <v>4</v>
      </c>
      <c r="F1711" t="s">
        <v>43</v>
      </c>
      <c r="G1711" t="s">
        <v>7</v>
      </c>
    </row>
    <row r="1712" spans="1:7" x14ac:dyDescent="0.3">
      <c r="A1712" t="s">
        <v>32</v>
      </c>
      <c r="B1712" s="1">
        <v>45869</v>
      </c>
      <c r="C1712">
        <v>242014</v>
      </c>
      <c r="D1712">
        <v>-274838.89299999998</v>
      </c>
      <c r="E1712" t="s">
        <v>4</v>
      </c>
      <c r="F1712" t="s">
        <v>43</v>
      </c>
      <c r="G1712" t="s">
        <v>7</v>
      </c>
    </row>
    <row r="1713" spans="1:7" x14ac:dyDescent="0.3">
      <c r="A1713" t="s">
        <v>32</v>
      </c>
      <c r="B1713" s="1">
        <v>45869</v>
      </c>
      <c r="C1713">
        <v>242017</v>
      </c>
      <c r="D1713">
        <v>-51299.050999999999</v>
      </c>
      <c r="E1713" t="s">
        <v>4</v>
      </c>
      <c r="F1713" t="s">
        <v>43</v>
      </c>
      <c r="G1713" t="s">
        <v>7</v>
      </c>
    </row>
    <row r="1714" spans="1:7" x14ac:dyDescent="0.3">
      <c r="A1714" t="s">
        <v>32</v>
      </c>
      <c r="B1714" s="1">
        <v>45869</v>
      </c>
      <c r="C1714">
        <v>242019</v>
      </c>
      <c r="D1714">
        <v>-5228.232</v>
      </c>
      <c r="E1714" t="s">
        <v>4</v>
      </c>
      <c r="F1714" t="s">
        <v>43</v>
      </c>
      <c r="G1714" t="s">
        <v>7</v>
      </c>
    </row>
    <row r="1715" spans="1:7" x14ac:dyDescent="0.3">
      <c r="A1715" t="s">
        <v>32</v>
      </c>
      <c r="B1715" s="1">
        <v>45869</v>
      </c>
      <c r="C1715">
        <v>242022</v>
      </c>
      <c r="D1715">
        <v>-10146.431</v>
      </c>
      <c r="E1715" t="s">
        <v>4</v>
      </c>
      <c r="F1715" t="s">
        <v>43</v>
      </c>
      <c r="G1715" t="s">
        <v>7</v>
      </c>
    </row>
    <row r="1716" spans="1:7" x14ac:dyDescent="0.3">
      <c r="A1716" t="s">
        <v>32</v>
      </c>
      <c r="B1716" s="1">
        <v>45869</v>
      </c>
      <c r="C1716">
        <v>242023</v>
      </c>
      <c r="D1716">
        <v>-3473.9009999999998</v>
      </c>
      <c r="E1716" t="s">
        <v>4</v>
      </c>
      <c r="F1716" t="s">
        <v>43</v>
      </c>
      <c r="G1716" t="s">
        <v>7</v>
      </c>
    </row>
    <row r="1717" spans="1:7" x14ac:dyDescent="0.3">
      <c r="A1717" t="s">
        <v>32</v>
      </c>
      <c r="B1717" s="1">
        <v>45869</v>
      </c>
      <c r="C1717">
        <v>242027</v>
      </c>
      <c r="D1717">
        <v>-94823.191999999995</v>
      </c>
      <c r="E1717" t="s">
        <v>4</v>
      </c>
      <c r="F1717" t="s">
        <v>43</v>
      </c>
      <c r="G1717" t="s">
        <v>7</v>
      </c>
    </row>
    <row r="1718" spans="1:7" x14ac:dyDescent="0.3">
      <c r="A1718" t="s">
        <v>32</v>
      </c>
      <c r="B1718" s="1">
        <v>45869</v>
      </c>
      <c r="C1718">
        <v>242030</v>
      </c>
      <c r="D1718">
        <v>-146121.389</v>
      </c>
      <c r="E1718" t="s">
        <v>4</v>
      </c>
      <c r="F1718" t="s">
        <v>43</v>
      </c>
      <c r="G1718" t="s">
        <v>7</v>
      </c>
    </row>
    <row r="1719" spans="1:7" x14ac:dyDescent="0.3">
      <c r="A1719" t="s">
        <v>32</v>
      </c>
      <c r="B1719" s="1">
        <v>45869</v>
      </c>
      <c r="C1719">
        <v>242032</v>
      </c>
      <c r="D1719">
        <v>-1567.11</v>
      </c>
      <c r="E1719" t="s">
        <v>4</v>
      </c>
      <c r="F1719" t="s">
        <v>43</v>
      </c>
      <c r="G1719" t="s">
        <v>7</v>
      </c>
    </row>
    <row r="1720" spans="1:7" x14ac:dyDescent="0.3">
      <c r="A1720" t="s">
        <v>32</v>
      </c>
      <c r="B1720" s="1">
        <v>45869</v>
      </c>
      <c r="C1720">
        <v>242036</v>
      </c>
      <c r="D1720">
        <v>-16216.566000000001</v>
      </c>
      <c r="E1720" t="s">
        <v>4</v>
      </c>
      <c r="F1720" t="s">
        <v>43</v>
      </c>
      <c r="G1720" t="s">
        <v>7</v>
      </c>
    </row>
    <row r="1721" spans="1:7" x14ac:dyDescent="0.3">
      <c r="A1721" t="s">
        <v>32</v>
      </c>
      <c r="B1721" s="1">
        <v>45869</v>
      </c>
      <c r="C1721">
        <v>242037</v>
      </c>
      <c r="D1721">
        <v>-30837.006000000001</v>
      </c>
      <c r="E1721" t="s">
        <v>4</v>
      </c>
      <c r="F1721" t="s">
        <v>43</v>
      </c>
      <c r="G1721" t="s">
        <v>7</v>
      </c>
    </row>
    <row r="1722" spans="1:7" x14ac:dyDescent="0.3">
      <c r="A1722" t="s">
        <v>32</v>
      </c>
      <c r="B1722" s="1">
        <v>45869</v>
      </c>
      <c r="C1722">
        <v>242038</v>
      </c>
      <c r="D1722">
        <v>-6673.0029999999997</v>
      </c>
      <c r="E1722" t="s">
        <v>4</v>
      </c>
      <c r="F1722" t="s">
        <v>43</v>
      </c>
      <c r="G1722" t="s">
        <v>7</v>
      </c>
    </row>
    <row r="1723" spans="1:7" x14ac:dyDescent="0.3">
      <c r="A1723" t="s">
        <v>32</v>
      </c>
      <c r="B1723" s="1">
        <v>45869</v>
      </c>
      <c r="C1723">
        <v>242039</v>
      </c>
      <c r="D1723">
        <v>-26715.919000000002</v>
      </c>
      <c r="E1723" t="s">
        <v>4</v>
      </c>
      <c r="F1723" t="s">
        <v>43</v>
      </c>
      <c r="G1723" t="s">
        <v>7</v>
      </c>
    </row>
    <row r="1724" spans="1:7" x14ac:dyDescent="0.3">
      <c r="A1724" t="s">
        <v>32</v>
      </c>
      <c r="B1724" s="1">
        <v>45869</v>
      </c>
      <c r="C1724">
        <v>242041</v>
      </c>
      <c r="D1724">
        <v>27084.785</v>
      </c>
      <c r="E1724" t="s">
        <v>4</v>
      </c>
      <c r="F1724" t="s">
        <v>43</v>
      </c>
      <c r="G1724" t="s">
        <v>7</v>
      </c>
    </row>
    <row r="1725" spans="1:7" x14ac:dyDescent="0.3">
      <c r="A1725" t="s">
        <v>32</v>
      </c>
      <c r="B1725" s="1">
        <v>45869</v>
      </c>
      <c r="C1725">
        <v>242044</v>
      </c>
      <c r="D1725">
        <v>-35604.915000000001</v>
      </c>
      <c r="E1725" t="s">
        <v>4</v>
      </c>
      <c r="F1725" t="s">
        <v>43</v>
      </c>
      <c r="G1725" t="s">
        <v>7</v>
      </c>
    </row>
    <row r="1726" spans="1:7" x14ac:dyDescent="0.3">
      <c r="A1726" t="s">
        <v>32</v>
      </c>
      <c r="B1726" s="1">
        <v>45869</v>
      </c>
      <c r="C1726">
        <v>243002</v>
      </c>
      <c r="D1726">
        <v>-189217.641</v>
      </c>
      <c r="E1726" t="s">
        <v>4</v>
      </c>
      <c r="F1726" t="s">
        <v>43</v>
      </c>
      <c r="G1726" t="s">
        <v>7</v>
      </c>
    </row>
    <row r="1727" spans="1:7" x14ac:dyDescent="0.3">
      <c r="A1727" t="s">
        <v>32</v>
      </c>
      <c r="B1727" s="1">
        <v>45869</v>
      </c>
      <c r="C1727">
        <v>243003</v>
      </c>
      <c r="D1727">
        <v>-384302.63400000002</v>
      </c>
      <c r="E1727" t="s">
        <v>4</v>
      </c>
      <c r="F1727" t="s">
        <v>43</v>
      </c>
      <c r="G1727" t="s">
        <v>7</v>
      </c>
    </row>
    <row r="1728" spans="1:7" x14ac:dyDescent="0.3">
      <c r="A1728" t="s">
        <v>32</v>
      </c>
      <c r="B1728" s="1">
        <v>45869</v>
      </c>
      <c r="C1728">
        <v>243009</v>
      </c>
      <c r="D1728">
        <v>-2008.943</v>
      </c>
      <c r="E1728" t="s">
        <v>4</v>
      </c>
      <c r="F1728" t="s">
        <v>43</v>
      </c>
      <c r="G1728" t="s">
        <v>7</v>
      </c>
    </row>
    <row r="1729" spans="1:7" x14ac:dyDescent="0.3">
      <c r="A1729" t="s">
        <v>32</v>
      </c>
      <c r="B1729" s="1">
        <v>45869</v>
      </c>
      <c r="C1729">
        <v>245010</v>
      </c>
      <c r="D1729">
        <v>-159912.367</v>
      </c>
      <c r="E1729" t="s">
        <v>4</v>
      </c>
      <c r="F1729" t="s">
        <v>44</v>
      </c>
      <c r="G1729" t="s">
        <v>7</v>
      </c>
    </row>
    <row r="1730" spans="1:7" x14ac:dyDescent="0.3">
      <c r="A1730" t="s">
        <v>32</v>
      </c>
      <c r="B1730" s="1">
        <v>45869</v>
      </c>
      <c r="C1730">
        <v>245018</v>
      </c>
      <c r="D1730">
        <v>-27357.688999999998</v>
      </c>
      <c r="E1730" t="s">
        <v>4</v>
      </c>
      <c r="F1730" t="s">
        <v>43</v>
      </c>
      <c r="G1730" t="s">
        <v>7</v>
      </c>
    </row>
    <row r="1731" spans="1:7" x14ac:dyDescent="0.3">
      <c r="A1731" t="s">
        <v>32</v>
      </c>
      <c r="B1731" s="1">
        <v>45869</v>
      </c>
      <c r="C1731">
        <v>245049</v>
      </c>
      <c r="D1731">
        <v>-137070.98000000001</v>
      </c>
      <c r="E1731" t="s">
        <v>4</v>
      </c>
      <c r="F1731" t="s">
        <v>43</v>
      </c>
      <c r="G1731" t="s">
        <v>7</v>
      </c>
    </row>
    <row r="1732" spans="1:7" x14ac:dyDescent="0.3">
      <c r="A1732" t="s">
        <v>32</v>
      </c>
      <c r="B1732" s="1">
        <v>45869</v>
      </c>
      <c r="C1732">
        <v>245055</v>
      </c>
      <c r="D1732">
        <v>893.47699999999998</v>
      </c>
      <c r="E1732" t="s">
        <v>4</v>
      </c>
      <c r="F1732" t="s">
        <v>43</v>
      </c>
      <c r="G1732" t="s">
        <v>7</v>
      </c>
    </row>
    <row r="1733" spans="1:7" x14ac:dyDescent="0.3">
      <c r="A1733" t="s">
        <v>32</v>
      </c>
      <c r="B1733" s="1">
        <v>45869</v>
      </c>
      <c r="C1733">
        <v>245062</v>
      </c>
      <c r="D1733">
        <v>-111058.785</v>
      </c>
      <c r="E1733" t="s">
        <v>4</v>
      </c>
      <c r="F1733" t="s">
        <v>43</v>
      </c>
      <c r="G1733" t="s">
        <v>7</v>
      </c>
    </row>
    <row r="1734" spans="1:7" x14ac:dyDescent="0.3">
      <c r="A1734" t="s">
        <v>32</v>
      </c>
      <c r="B1734" s="1">
        <v>45869</v>
      </c>
      <c r="C1734">
        <v>250003</v>
      </c>
      <c r="D1734">
        <v>-60084.499000000003</v>
      </c>
      <c r="E1734" t="s">
        <v>4</v>
      </c>
      <c r="F1734" t="s">
        <v>45</v>
      </c>
      <c r="G1734" t="s">
        <v>7</v>
      </c>
    </row>
    <row r="1735" spans="1:7" x14ac:dyDescent="0.3">
      <c r="A1735" t="s">
        <v>32</v>
      </c>
      <c r="B1735" s="1">
        <v>45869</v>
      </c>
      <c r="C1735">
        <v>250007</v>
      </c>
      <c r="D1735">
        <v>-102170.054</v>
      </c>
      <c r="E1735" t="s">
        <v>4</v>
      </c>
      <c r="F1735" t="s">
        <v>43</v>
      </c>
      <c r="G1735" t="s">
        <v>7</v>
      </c>
    </row>
    <row r="1736" spans="1:7" x14ac:dyDescent="0.3">
      <c r="A1736" t="s">
        <v>32</v>
      </c>
      <c r="B1736" s="1">
        <v>45869</v>
      </c>
      <c r="C1736">
        <v>250009</v>
      </c>
      <c r="D1736">
        <v>-1097.7950000000001</v>
      </c>
      <c r="E1736" t="s">
        <v>4</v>
      </c>
      <c r="F1736" t="s">
        <v>43</v>
      </c>
      <c r="G1736" t="s">
        <v>7</v>
      </c>
    </row>
    <row r="1737" spans="1:7" x14ac:dyDescent="0.3">
      <c r="A1737" t="s">
        <v>32</v>
      </c>
      <c r="B1737" s="1">
        <v>45869</v>
      </c>
      <c r="C1737">
        <v>251002</v>
      </c>
      <c r="D1737">
        <v>-15208.598</v>
      </c>
      <c r="E1737" t="s">
        <v>4</v>
      </c>
      <c r="F1737" t="s">
        <v>45</v>
      </c>
      <c r="G1737" t="s">
        <v>7</v>
      </c>
    </row>
    <row r="1738" spans="1:7" x14ac:dyDescent="0.3">
      <c r="A1738" t="s">
        <v>32</v>
      </c>
      <c r="B1738" s="1">
        <v>45869</v>
      </c>
      <c r="C1738">
        <v>251003</v>
      </c>
      <c r="D1738">
        <v>-2836188.0890000002</v>
      </c>
      <c r="E1738" t="s">
        <v>4</v>
      </c>
      <c r="F1738" t="s">
        <v>45</v>
      </c>
      <c r="G1738" t="s">
        <v>7</v>
      </c>
    </row>
    <row r="1739" spans="1:7" x14ac:dyDescent="0.3">
      <c r="A1739" t="s">
        <v>32</v>
      </c>
      <c r="B1739" s="1">
        <v>45869</v>
      </c>
      <c r="C1739">
        <v>251005</v>
      </c>
      <c r="D1739">
        <v>36710.625</v>
      </c>
      <c r="E1739" t="s">
        <v>4</v>
      </c>
      <c r="F1739" t="s">
        <v>46</v>
      </c>
      <c r="G1739" t="s">
        <v>7</v>
      </c>
    </row>
    <row r="1740" spans="1:7" x14ac:dyDescent="0.3">
      <c r="A1740" t="s">
        <v>32</v>
      </c>
      <c r="B1740" s="1">
        <v>45869</v>
      </c>
      <c r="C1740">
        <v>256037</v>
      </c>
      <c r="D1740">
        <v>-16141.937</v>
      </c>
      <c r="E1740" t="s">
        <v>4</v>
      </c>
      <c r="F1740" t="s">
        <v>43</v>
      </c>
      <c r="G1740" t="s">
        <v>7</v>
      </c>
    </row>
    <row r="1741" spans="1:7" x14ac:dyDescent="0.3">
      <c r="A1741" t="s">
        <v>32</v>
      </c>
      <c r="B1741" s="1">
        <v>45869</v>
      </c>
      <c r="C1741">
        <v>257008</v>
      </c>
      <c r="D1741">
        <v>-9814.74</v>
      </c>
      <c r="E1741" t="s">
        <v>4</v>
      </c>
      <c r="F1741" t="s">
        <v>45</v>
      </c>
      <c r="G1741" t="s">
        <v>7</v>
      </c>
    </row>
    <row r="1742" spans="1:7" x14ac:dyDescent="0.3">
      <c r="A1742" t="s">
        <v>32</v>
      </c>
      <c r="B1742" s="1">
        <v>45869</v>
      </c>
      <c r="C1742">
        <v>257009</v>
      </c>
      <c r="D1742">
        <v>-27329.892</v>
      </c>
      <c r="E1742" t="s">
        <v>4</v>
      </c>
      <c r="F1742" t="s">
        <v>45</v>
      </c>
      <c r="G1742" t="s">
        <v>7</v>
      </c>
    </row>
    <row r="1743" spans="1:7" x14ac:dyDescent="0.3">
      <c r="A1743" t="s">
        <v>32</v>
      </c>
      <c r="B1743" s="1">
        <v>45869</v>
      </c>
      <c r="C1743">
        <v>257011</v>
      </c>
      <c r="D1743">
        <v>-11142.517</v>
      </c>
      <c r="E1743" t="s">
        <v>4</v>
      </c>
      <c r="F1743" t="s">
        <v>45</v>
      </c>
      <c r="G1743" t="s">
        <v>7</v>
      </c>
    </row>
    <row r="1744" spans="1:7" x14ac:dyDescent="0.3">
      <c r="A1744" t="s">
        <v>32</v>
      </c>
      <c r="B1744" s="1">
        <v>45869</v>
      </c>
      <c r="C1744">
        <v>257022</v>
      </c>
      <c r="D1744">
        <v>6006.335</v>
      </c>
      <c r="E1744" t="s">
        <v>4</v>
      </c>
      <c r="F1744" t="s">
        <v>45</v>
      </c>
      <c r="G1744" t="s">
        <v>7</v>
      </c>
    </row>
    <row r="1745" spans="1:7" x14ac:dyDescent="0.3">
      <c r="A1745" t="s">
        <v>32</v>
      </c>
      <c r="B1745" s="1">
        <v>45869</v>
      </c>
      <c r="C1745">
        <v>257028</v>
      </c>
      <c r="D1745">
        <v>-119040.226</v>
      </c>
      <c r="E1745" t="s">
        <v>4</v>
      </c>
      <c r="F1745" t="s">
        <v>45</v>
      </c>
      <c r="G1745" t="s">
        <v>7</v>
      </c>
    </row>
    <row r="1746" spans="1:7" x14ac:dyDescent="0.3">
      <c r="A1746" t="s">
        <v>32</v>
      </c>
      <c r="B1746" s="1">
        <v>45869</v>
      </c>
      <c r="C1746">
        <v>260004</v>
      </c>
      <c r="D1746">
        <v>-1884.904</v>
      </c>
      <c r="E1746" t="s">
        <v>4</v>
      </c>
      <c r="F1746" t="s">
        <v>45</v>
      </c>
      <c r="G1746" t="s">
        <v>7</v>
      </c>
    </row>
    <row r="1747" spans="1:7" x14ac:dyDescent="0.3">
      <c r="A1747" t="s">
        <v>32</v>
      </c>
      <c r="B1747" s="1">
        <v>45869</v>
      </c>
      <c r="C1747">
        <v>270024</v>
      </c>
      <c r="D1747">
        <v>-28490.148000000001</v>
      </c>
      <c r="E1747" t="s">
        <v>4</v>
      </c>
      <c r="F1747" t="s">
        <v>58</v>
      </c>
      <c r="G1747" t="s">
        <v>7</v>
      </c>
    </row>
    <row r="1748" spans="1:7" x14ac:dyDescent="0.3">
      <c r="A1748" t="s">
        <v>32</v>
      </c>
      <c r="B1748" s="1">
        <v>45869</v>
      </c>
      <c r="C1748">
        <v>270025</v>
      </c>
      <c r="D1748">
        <v>-212108.81200000001</v>
      </c>
      <c r="E1748" t="s">
        <v>4</v>
      </c>
      <c r="F1748" t="s">
        <v>58</v>
      </c>
      <c r="G1748" t="s">
        <v>7</v>
      </c>
    </row>
    <row r="1749" spans="1:7" x14ac:dyDescent="0.3">
      <c r="A1749" t="s">
        <v>32</v>
      </c>
      <c r="B1749" s="1">
        <v>45869</v>
      </c>
      <c r="C1749">
        <v>270026</v>
      </c>
      <c r="D1749">
        <v>-84543.466</v>
      </c>
      <c r="E1749" t="s">
        <v>4</v>
      </c>
      <c r="F1749" t="s">
        <v>58</v>
      </c>
      <c r="G1749" t="s">
        <v>7</v>
      </c>
    </row>
    <row r="1750" spans="1:7" x14ac:dyDescent="0.3">
      <c r="A1750" t="s">
        <v>32</v>
      </c>
      <c r="B1750" s="1">
        <v>45869</v>
      </c>
      <c r="C1750">
        <v>270027</v>
      </c>
      <c r="D1750">
        <v>-28357.249</v>
      </c>
      <c r="E1750" t="s">
        <v>4</v>
      </c>
      <c r="F1750" t="s">
        <v>58</v>
      </c>
      <c r="G1750" t="s">
        <v>7</v>
      </c>
    </row>
    <row r="1751" spans="1:7" x14ac:dyDescent="0.3">
      <c r="A1751" t="s">
        <v>32</v>
      </c>
      <c r="B1751" s="1">
        <v>45869</v>
      </c>
      <c r="C1751">
        <v>300004</v>
      </c>
      <c r="D1751">
        <v>13598.591</v>
      </c>
      <c r="E1751" t="s">
        <v>4</v>
      </c>
      <c r="F1751" t="s">
        <v>65</v>
      </c>
      <c r="G1751" t="s">
        <v>7</v>
      </c>
    </row>
    <row r="1752" spans="1:7" x14ac:dyDescent="0.3">
      <c r="A1752" t="s">
        <v>32</v>
      </c>
      <c r="B1752" s="1">
        <v>45869</v>
      </c>
      <c r="C1752">
        <v>300005</v>
      </c>
      <c r="D1752">
        <v>59291.12</v>
      </c>
      <c r="E1752" t="s">
        <v>4</v>
      </c>
      <c r="F1752" t="s">
        <v>65</v>
      </c>
      <c r="G1752" t="s">
        <v>7</v>
      </c>
    </row>
    <row r="1753" spans="1:7" x14ac:dyDescent="0.3">
      <c r="A1753" t="s">
        <v>32</v>
      </c>
      <c r="B1753" s="1">
        <v>45869</v>
      </c>
      <c r="C1753">
        <v>300008</v>
      </c>
      <c r="D1753">
        <v>220182.03200000001</v>
      </c>
      <c r="E1753" t="s">
        <v>4</v>
      </c>
      <c r="F1753" t="s">
        <v>65</v>
      </c>
      <c r="G1753" t="s">
        <v>7</v>
      </c>
    </row>
    <row r="1754" spans="1:7" x14ac:dyDescent="0.3">
      <c r="A1754" t="s">
        <v>32</v>
      </c>
      <c r="B1754" s="1">
        <v>45869</v>
      </c>
      <c r="C1754">
        <v>300009</v>
      </c>
      <c r="D1754">
        <v>4963.6239999999998</v>
      </c>
      <c r="E1754" t="s">
        <v>4</v>
      </c>
      <c r="F1754" t="s">
        <v>65</v>
      </c>
      <c r="G1754" t="s">
        <v>7</v>
      </c>
    </row>
    <row r="1755" spans="1:7" x14ac:dyDescent="0.3">
      <c r="A1755" t="s">
        <v>32</v>
      </c>
      <c r="B1755" s="1">
        <v>45869</v>
      </c>
      <c r="C1755">
        <v>300011</v>
      </c>
      <c r="D1755">
        <v>1056.989</v>
      </c>
      <c r="E1755" t="s">
        <v>4</v>
      </c>
      <c r="F1755" t="s">
        <v>65</v>
      </c>
      <c r="G1755" t="s">
        <v>7</v>
      </c>
    </row>
    <row r="1756" spans="1:7" x14ac:dyDescent="0.3">
      <c r="A1756" t="s">
        <v>32</v>
      </c>
      <c r="B1756" s="1">
        <v>45869</v>
      </c>
      <c r="C1756">
        <v>300012</v>
      </c>
      <c r="D1756">
        <v>55887.766000000003</v>
      </c>
      <c r="E1756" t="s">
        <v>4</v>
      </c>
      <c r="F1756" t="s">
        <v>65</v>
      </c>
      <c r="G1756" t="s">
        <v>7</v>
      </c>
    </row>
    <row r="1757" spans="1:7" x14ac:dyDescent="0.3">
      <c r="A1757" t="s">
        <v>32</v>
      </c>
      <c r="B1757" s="1">
        <v>45869</v>
      </c>
      <c r="C1757">
        <v>300014</v>
      </c>
      <c r="D1757">
        <v>22457.548999999999</v>
      </c>
      <c r="E1757" t="s">
        <v>4</v>
      </c>
      <c r="F1757" t="s">
        <v>65</v>
      </c>
      <c r="G1757" t="s">
        <v>7</v>
      </c>
    </row>
    <row r="1758" spans="1:7" x14ac:dyDescent="0.3">
      <c r="A1758" t="s">
        <v>32</v>
      </c>
      <c r="B1758" s="1">
        <v>45869</v>
      </c>
      <c r="C1758">
        <v>300504</v>
      </c>
      <c r="D1758">
        <v>-12674.323</v>
      </c>
      <c r="E1758" t="s">
        <v>4</v>
      </c>
      <c r="F1758" t="s">
        <v>65</v>
      </c>
      <c r="G1758" t="s">
        <v>7</v>
      </c>
    </row>
    <row r="1759" spans="1:7" x14ac:dyDescent="0.3">
      <c r="A1759" t="s">
        <v>32</v>
      </c>
      <c r="B1759" s="1">
        <v>45869</v>
      </c>
      <c r="C1759">
        <v>300505</v>
      </c>
      <c r="D1759">
        <v>-50573.118000000002</v>
      </c>
      <c r="E1759" t="s">
        <v>4</v>
      </c>
      <c r="F1759" t="s">
        <v>65</v>
      </c>
      <c r="G1759" t="s">
        <v>7</v>
      </c>
    </row>
    <row r="1760" spans="1:7" x14ac:dyDescent="0.3">
      <c r="A1760" t="s">
        <v>32</v>
      </c>
      <c r="B1760" s="1">
        <v>45869</v>
      </c>
      <c r="C1760">
        <v>300508</v>
      </c>
      <c r="D1760">
        <v>-162175.63099999999</v>
      </c>
      <c r="E1760" t="s">
        <v>4</v>
      </c>
      <c r="F1760" t="s">
        <v>65</v>
      </c>
      <c r="G1760" t="s">
        <v>7</v>
      </c>
    </row>
    <row r="1761" spans="1:7" x14ac:dyDescent="0.3">
      <c r="A1761" t="s">
        <v>32</v>
      </c>
      <c r="B1761" s="1">
        <v>45869</v>
      </c>
      <c r="C1761">
        <v>300509</v>
      </c>
      <c r="D1761">
        <v>-4948.4660000000003</v>
      </c>
      <c r="E1761" t="s">
        <v>4</v>
      </c>
      <c r="F1761" t="s">
        <v>65</v>
      </c>
      <c r="G1761" t="s">
        <v>7</v>
      </c>
    </row>
    <row r="1762" spans="1:7" x14ac:dyDescent="0.3">
      <c r="A1762" t="s">
        <v>32</v>
      </c>
      <c r="B1762" s="1">
        <v>45869</v>
      </c>
      <c r="C1762">
        <v>300511</v>
      </c>
      <c r="D1762">
        <v>-1046.8889999999999</v>
      </c>
      <c r="E1762" t="s">
        <v>4</v>
      </c>
      <c r="F1762" t="s">
        <v>65</v>
      </c>
      <c r="G1762" t="s">
        <v>7</v>
      </c>
    </row>
    <row r="1763" spans="1:7" x14ac:dyDescent="0.3">
      <c r="A1763" t="s">
        <v>32</v>
      </c>
      <c r="B1763" s="1">
        <v>45869</v>
      </c>
      <c r="C1763">
        <v>300512</v>
      </c>
      <c r="D1763">
        <v>-54402.713000000003</v>
      </c>
      <c r="E1763" t="s">
        <v>4</v>
      </c>
      <c r="F1763" t="s">
        <v>65</v>
      </c>
      <c r="G1763" t="s">
        <v>7</v>
      </c>
    </row>
    <row r="1764" spans="1:7" x14ac:dyDescent="0.3">
      <c r="A1764" t="s">
        <v>32</v>
      </c>
      <c r="B1764" s="1">
        <v>45869</v>
      </c>
      <c r="C1764">
        <v>300514</v>
      </c>
      <c r="D1764">
        <v>-21896.65</v>
      </c>
      <c r="E1764" t="s">
        <v>4</v>
      </c>
      <c r="F1764" t="s">
        <v>65</v>
      </c>
      <c r="G1764" t="s">
        <v>7</v>
      </c>
    </row>
    <row r="1765" spans="1:7" x14ac:dyDescent="0.3">
      <c r="A1765" t="s">
        <v>32</v>
      </c>
      <c r="B1765" s="1">
        <v>45869</v>
      </c>
      <c r="C1765">
        <v>301002</v>
      </c>
      <c r="D1765">
        <v>37797.682999999997</v>
      </c>
      <c r="E1765" t="s">
        <v>4</v>
      </c>
      <c r="F1765" t="s">
        <v>68</v>
      </c>
      <c r="G1765" t="s">
        <v>7</v>
      </c>
    </row>
    <row r="1766" spans="1:7" x14ac:dyDescent="0.3">
      <c r="A1766" t="s">
        <v>32</v>
      </c>
      <c r="B1766" s="1">
        <v>45869</v>
      </c>
      <c r="C1766">
        <v>301004</v>
      </c>
      <c r="D1766">
        <v>79267.357000000004</v>
      </c>
      <c r="E1766" t="s">
        <v>4</v>
      </c>
      <c r="F1766" t="s">
        <v>65</v>
      </c>
      <c r="G1766" t="s">
        <v>7</v>
      </c>
    </row>
    <row r="1767" spans="1:7" x14ac:dyDescent="0.3">
      <c r="A1767" t="s">
        <v>32</v>
      </c>
      <c r="B1767" s="1">
        <v>45869</v>
      </c>
      <c r="C1767">
        <v>301005</v>
      </c>
      <c r="D1767">
        <v>30722.951000000001</v>
      </c>
      <c r="E1767" t="s">
        <v>4</v>
      </c>
      <c r="F1767" t="s">
        <v>65</v>
      </c>
      <c r="G1767" t="s">
        <v>7</v>
      </c>
    </row>
    <row r="1768" spans="1:7" x14ac:dyDescent="0.3">
      <c r="A1768" t="s">
        <v>32</v>
      </c>
      <c r="B1768" s="1">
        <v>45869</v>
      </c>
      <c r="C1768">
        <v>301502</v>
      </c>
      <c r="D1768">
        <v>-37797.682999999997</v>
      </c>
      <c r="E1768" t="s">
        <v>4</v>
      </c>
      <c r="F1768" t="s">
        <v>68</v>
      </c>
      <c r="G1768" t="s">
        <v>7</v>
      </c>
    </row>
    <row r="1769" spans="1:7" x14ac:dyDescent="0.3">
      <c r="A1769" t="s">
        <v>32</v>
      </c>
      <c r="B1769" s="1">
        <v>45869</v>
      </c>
      <c r="C1769">
        <v>301504</v>
      </c>
      <c r="D1769">
        <v>-79267.357000000004</v>
      </c>
      <c r="E1769" t="s">
        <v>4</v>
      </c>
      <c r="F1769" t="s">
        <v>65</v>
      </c>
      <c r="G1769" t="s">
        <v>7</v>
      </c>
    </row>
    <row r="1770" spans="1:7" x14ac:dyDescent="0.3">
      <c r="A1770" t="s">
        <v>32</v>
      </c>
      <c r="B1770" s="1">
        <v>45869</v>
      </c>
      <c r="C1770">
        <v>301505</v>
      </c>
      <c r="D1770">
        <v>-30722.951000000001</v>
      </c>
      <c r="E1770" t="s">
        <v>4</v>
      </c>
      <c r="F1770" t="s">
        <v>65</v>
      </c>
      <c r="G1770" t="s">
        <v>7</v>
      </c>
    </row>
    <row r="1771" spans="1:7" x14ac:dyDescent="0.3">
      <c r="A1771" t="s">
        <v>32</v>
      </c>
      <c r="B1771" s="1">
        <v>45869</v>
      </c>
      <c r="C1771">
        <v>303002</v>
      </c>
      <c r="D1771">
        <v>12173.691000000001</v>
      </c>
      <c r="E1771" t="s">
        <v>4</v>
      </c>
      <c r="F1771" t="s">
        <v>65</v>
      </c>
      <c r="G1771" t="s">
        <v>7</v>
      </c>
    </row>
    <row r="1772" spans="1:7" x14ac:dyDescent="0.3">
      <c r="A1772" t="s">
        <v>32</v>
      </c>
      <c r="B1772" s="1">
        <v>45869</v>
      </c>
      <c r="C1772">
        <v>304002</v>
      </c>
      <c r="D1772">
        <v>324379.33600000001</v>
      </c>
      <c r="E1772" t="s">
        <v>4</v>
      </c>
      <c r="F1772" t="s">
        <v>65</v>
      </c>
      <c r="G1772" t="s">
        <v>7</v>
      </c>
    </row>
    <row r="1773" spans="1:7" x14ac:dyDescent="0.3">
      <c r="A1773" t="s">
        <v>32</v>
      </c>
      <c r="B1773" s="1">
        <v>45869</v>
      </c>
      <c r="C1773">
        <v>304502</v>
      </c>
      <c r="D1773">
        <v>-138526.28700000001</v>
      </c>
      <c r="E1773" t="s">
        <v>4</v>
      </c>
      <c r="F1773" t="s">
        <v>65</v>
      </c>
      <c r="G1773" t="s">
        <v>7</v>
      </c>
    </row>
    <row r="1774" spans="1:7" x14ac:dyDescent="0.3">
      <c r="A1774" t="s">
        <v>32</v>
      </c>
      <c r="B1774" s="1">
        <v>45869</v>
      </c>
      <c r="C1774">
        <v>310010</v>
      </c>
      <c r="D1774">
        <v>4675240.9790000003</v>
      </c>
      <c r="E1774" t="s">
        <v>4</v>
      </c>
      <c r="F1774" t="s">
        <v>42</v>
      </c>
      <c r="G1774" t="s">
        <v>7</v>
      </c>
    </row>
    <row r="1775" spans="1:7" x14ac:dyDescent="0.3">
      <c r="A1775" t="s">
        <v>32</v>
      </c>
      <c r="B1775" s="1">
        <v>45869</v>
      </c>
      <c r="C1775">
        <v>310021</v>
      </c>
      <c r="D1775">
        <v>180388.845</v>
      </c>
      <c r="E1775" t="s">
        <v>4</v>
      </c>
      <c r="F1775" t="s">
        <v>42</v>
      </c>
      <c r="G1775" t="s">
        <v>7</v>
      </c>
    </row>
    <row r="1776" spans="1:7" x14ac:dyDescent="0.3">
      <c r="A1776" t="s">
        <v>32</v>
      </c>
      <c r="B1776" s="1">
        <v>45869</v>
      </c>
      <c r="C1776">
        <v>310032</v>
      </c>
      <c r="D1776">
        <v>303.83499999999998</v>
      </c>
      <c r="E1776" t="s">
        <v>4</v>
      </c>
      <c r="F1776" t="s">
        <v>42</v>
      </c>
      <c r="G1776" t="s">
        <v>7</v>
      </c>
    </row>
    <row r="1777" spans="1:7" x14ac:dyDescent="0.3">
      <c r="A1777" t="s">
        <v>32</v>
      </c>
      <c r="B1777" s="1">
        <v>45869</v>
      </c>
      <c r="C1777">
        <v>320002</v>
      </c>
      <c r="D1777">
        <v>206254.64199999999</v>
      </c>
      <c r="E1777" t="s">
        <v>4</v>
      </c>
      <c r="F1777" t="s">
        <v>46</v>
      </c>
      <c r="G1777" t="s">
        <v>7</v>
      </c>
    </row>
    <row r="1778" spans="1:7" x14ac:dyDescent="0.3">
      <c r="A1778" t="s">
        <v>32</v>
      </c>
      <c r="B1778" s="1">
        <v>45869</v>
      </c>
      <c r="C1778">
        <v>320003</v>
      </c>
      <c r="D1778">
        <v>4153669.4279999998</v>
      </c>
      <c r="E1778" t="s">
        <v>4</v>
      </c>
      <c r="F1778" t="s">
        <v>46</v>
      </c>
      <c r="G1778" t="s">
        <v>7</v>
      </c>
    </row>
    <row r="1779" spans="1:7" x14ac:dyDescent="0.3">
      <c r="A1779" t="s">
        <v>32</v>
      </c>
      <c r="B1779" s="1">
        <v>45869</v>
      </c>
      <c r="C1779">
        <v>320013</v>
      </c>
      <c r="D1779">
        <v>36576.688000000002</v>
      </c>
      <c r="E1779" t="s">
        <v>4</v>
      </c>
      <c r="F1779" t="s">
        <v>46</v>
      </c>
      <c r="G1779" t="s">
        <v>7</v>
      </c>
    </row>
    <row r="1780" spans="1:7" x14ac:dyDescent="0.3">
      <c r="A1780" t="s">
        <v>32</v>
      </c>
      <c r="B1780" s="1">
        <v>45869</v>
      </c>
      <c r="C1780">
        <v>320023</v>
      </c>
      <c r="D1780">
        <v>-81529.322</v>
      </c>
      <c r="E1780" t="s">
        <v>4</v>
      </c>
      <c r="F1780" t="s">
        <v>46</v>
      </c>
      <c r="G1780" t="s">
        <v>7</v>
      </c>
    </row>
    <row r="1781" spans="1:7" x14ac:dyDescent="0.3">
      <c r="A1781" t="s">
        <v>32</v>
      </c>
      <c r="B1781" s="1">
        <v>45869</v>
      </c>
      <c r="C1781">
        <v>321004</v>
      </c>
      <c r="D1781">
        <v>561.28300000000002</v>
      </c>
      <c r="E1781" t="s">
        <v>4</v>
      </c>
      <c r="F1781" t="s">
        <v>46</v>
      </c>
      <c r="G1781" t="s">
        <v>7</v>
      </c>
    </row>
    <row r="1782" spans="1:7" x14ac:dyDescent="0.3">
      <c r="A1782" t="s">
        <v>32</v>
      </c>
      <c r="B1782" s="1">
        <v>45869</v>
      </c>
      <c r="C1782">
        <v>321010</v>
      </c>
      <c r="D1782">
        <v>3369.6390000000001</v>
      </c>
      <c r="E1782" t="s">
        <v>4</v>
      </c>
      <c r="F1782" t="s">
        <v>46</v>
      </c>
      <c r="G1782" t="s">
        <v>7</v>
      </c>
    </row>
    <row r="1783" spans="1:7" x14ac:dyDescent="0.3">
      <c r="A1783" t="s">
        <v>32</v>
      </c>
      <c r="B1783" s="1">
        <v>45869</v>
      </c>
      <c r="C1783">
        <v>321012</v>
      </c>
      <c r="D1783">
        <v>480941.24900000001</v>
      </c>
      <c r="E1783" t="s">
        <v>4</v>
      </c>
      <c r="F1783" t="s">
        <v>46</v>
      </c>
      <c r="G1783" t="s">
        <v>7</v>
      </c>
    </row>
    <row r="1784" spans="1:7" x14ac:dyDescent="0.3">
      <c r="A1784" t="s">
        <v>32</v>
      </c>
      <c r="B1784" s="1">
        <v>45869</v>
      </c>
      <c r="C1784">
        <v>321013</v>
      </c>
      <c r="D1784">
        <v>51554.364999999998</v>
      </c>
      <c r="E1784" t="s">
        <v>4</v>
      </c>
      <c r="F1784" t="s">
        <v>46</v>
      </c>
      <c r="G1784" t="s">
        <v>7</v>
      </c>
    </row>
    <row r="1785" spans="1:7" x14ac:dyDescent="0.3">
      <c r="A1785" t="s">
        <v>32</v>
      </c>
      <c r="B1785" s="1">
        <v>45869</v>
      </c>
      <c r="C1785">
        <v>321014</v>
      </c>
      <c r="D1785">
        <v>35883.374000000003</v>
      </c>
      <c r="E1785" t="s">
        <v>4</v>
      </c>
      <c r="F1785" t="s">
        <v>46</v>
      </c>
      <c r="G1785" t="s">
        <v>7</v>
      </c>
    </row>
    <row r="1786" spans="1:7" x14ac:dyDescent="0.3">
      <c r="A1786" t="s">
        <v>32</v>
      </c>
      <c r="B1786" s="1">
        <v>45869</v>
      </c>
      <c r="C1786">
        <v>321021</v>
      </c>
      <c r="D1786">
        <v>-198.279</v>
      </c>
      <c r="E1786" t="s">
        <v>4</v>
      </c>
      <c r="F1786" t="s">
        <v>46</v>
      </c>
      <c r="G1786" t="s">
        <v>7</v>
      </c>
    </row>
    <row r="1787" spans="1:7" x14ac:dyDescent="0.3">
      <c r="A1787" t="s">
        <v>32</v>
      </c>
      <c r="B1787" s="1">
        <v>45869</v>
      </c>
      <c r="C1787">
        <v>321025</v>
      </c>
      <c r="D1787">
        <v>152794.951</v>
      </c>
      <c r="E1787" t="s">
        <v>4</v>
      </c>
      <c r="F1787" t="s">
        <v>46</v>
      </c>
      <c r="G1787" t="s">
        <v>7</v>
      </c>
    </row>
    <row r="1788" spans="1:7" x14ac:dyDescent="0.3">
      <c r="A1788" t="s">
        <v>32</v>
      </c>
      <c r="B1788" s="1">
        <v>45869</v>
      </c>
      <c r="C1788">
        <v>321029</v>
      </c>
      <c r="D1788">
        <v>155386.97200000001</v>
      </c>
      <c r="E1788" t="s">
        <v>4</v>
      </c>
      <c r="F1788" t="s">
        <v>46</v>
      </c>
      <c r="G1788" t="s">
        <v>7</v>
      </c>
    </row>
    <row r="1789" spans="1:7" x14ac:dyDescent="0.3">
      <c r="A1789" t="s">
        <v>32</v>
      </c>
      <c r="B1789" s="1">
        <v>45869</v>
      </c>
      <c r="C1789">
        <v>321030</v>
      </c>
      <c r="D1789">
        <v>96.037000000000006</v>
      </c>
      <c r="E1789" t="s">
        <v>4</v>
      </c>
      <c r="F1789" t="s">
        <v>46</v>
      </c>
      <c r="G1789" t="s">
        <v>7</v>
      </c>
    </row>
    <row r="1790" spans="1:7" x14ac:dyDescent="0.3">
      <c r="A1790" t="s">
        <v>32</v>
      </c>
      <c r="B1790" s="1">
        <v>45869</v>
      </c>
      <c r="C1790">
        <v>321031</v>
      </c>
      <c r="D1790">
        <v>46138.470999999998</v>
      </c>
      <c r="E1790" t="s">
        <v>4</v>
      </c>
      <c r="F1790" t="s">
        <v>46</v>
      </c>
      <c r="G1790" t="s">
        <v>7</v>
      </c>
    </row>
    <row r="1791" spans="1:7" x14ac:dyDescent="0.3">
      <c r="A1791" t="s">
        <v>32</v>
      </c>
      <c r="B1791" s="1">
        <v>45869</v>
      </c>
      <c r="C1791">
        <v>321036</v>
      </c>
      <c r="D1791">
        <v>199.779</v>
      </c>
      <c r="E1791" t="s">
        <v>4</v>
      </c>
      <c r="F1791" t="s">
        <v>46</v>
      </c>
      <c r="G1791" t="s">
        <v>7</v>
      </c>
    </row>
    <row r="1792" spans="1:7" x14ac:dyDescent="0.3">
      <c r="A1792" t="s">
        <v>32</v>
      </c>
      <c r="B1792" s="1">
        <v>45869</v>
      </c>
      <c r="C1792">
        <v>321041</v>
      </c>
      <c r="D1792">
        <v>17352.905999999999</v>
      </c>
      <c r="E1792" t="s">
        <v>4</v>
      </c>
      <c r="F1792" t="s">
        <v>46</v>
      </c>
      <c r="G1792" t="s">
        <v>7</v>
      </c>
    </row>
    <row r="1793" spans="1:7" x14ac:dyDescent="0.3">
      <c r="A1793" t="s">
        <v>32</v>
      </c>
      <c r="B1793" s="1">
        <v>45869</v>
      </c>
      <c r="C1793">
        <v>321042</v>
      </c>
      <c r="D1793">
        <v>-33.578000000000003</v>
      </c>
      <c r="E1793" t="s">
        <v>4</v>
      </c>
      <c r="F1793" t="s">
        <v>46</v>
      </c>
      <c r="G1793" t="s">
        <v>7</v>
      </c>
    </row>
    <row r="1794" spans="1:7" x14ac:dyDescent="0.3">
      <c r="A1794" t="s">
        <v>32</v>
      </c>
      <c r="B1794" s="1">
        <v>45869</v>
      </c>
      <c r="C1794">
        <v>330002</v>
      </c>
      <c r="D1794">
        <v>-18760.062000000002</v>
      </c>
      <c r="E1794" t="s">
        <v>4</v>
      </c>
      <c r="F1794" t="s">
        <v>43</v>
      </c>
      <c r="G1794" t="s">
        <v>7</v>
      </c>
    </row>
    <row r="1795" spans="1:7" x14ac:dyDescent="0.3">
      <c r="A1795" t="s">
        <v>32</v>
      </c>
      <c r="B1795" s="1">
        <v>45869</v>
      </c>
      <c r="C1795">
        <v>330034</v>
      </c>
      <c r="D1795">
        <v>819.32899999999995</v>
      </c>
      <c r="E1795" t="s">
        <v>4</v>
      </c>
      <c r="F1795" t="s">
        <v>43</v>
      </c>
      <c r="G1795" t="s">
        <v>7</v>
      </c>
    </row>
    <row r="1796" spans="1:7" x14ac:dyDescent="0.3">
      <c r="A1796" t="s">
        <v>32</v>
      </c>
      <c r="B1796" s="1">
        <v>45869</v>
      </c>
      <c r="C1796">
        <v>330040</v>
      </c>
      <c r="D1796">
        <v>-7477.3019999999997</v>
      </c>
      <c r="E1796" t="s">
        <v>4</v>
      </c>
      <c r="F1796" t="s">
        <v>43</v>
      </c>
      <c r="G1796" t="s">
        <v>7</v>
      </c>
    </row>
    <row r="1797" spans="1:7" x14ac:dyDescent="0.3">
      <c r="A1797" t="s">
        <v>32</v>
      </c>
      <c r="B1797" s="1">
        <v>45869</v>
      </c>
      <c r="C1797">
        <v>330115</v>
      </c>
      <c r="D1797">
        <v>-25427.511999999999</v>
      </c>
      <c r="E1797" t="s">
        <v>4</v>
      </c>
      <c r="F1797" t="s">
        <v>43</v>
      </c>
      <c r="G1797" t="s">
        <v>7</v>
      </c>
    </row>
    <row r="1798" spans="1:7" x14ac:dyDescent="0.3">
      <c r="A1798" t="s">
        <v>32</v>
      </c>
      <c r="B1798" s="1">
        <v>45869</v>
      </c>
      <c r="C1798">
        <v>340053</v>
      </c>
      <c r="D1798">
        <v>2845913.1519999998</v>
      </c>
      <c r="E1798" t="s">
        <v>4</v>
      </c>
      <c r="F1798" t="s">
        <v>47</v>
      </c>
      <c r="G1798" t="s">
        <v>7</v>
      </c>
    </row>
    <row r="1799" spans="1:7" x14ac:dyDescent="0.3">
      <c r="A1799" t="s">
        <v>32</v>
      </c>
      <c r="B1799" s="1">
        <v>45869</v>
      </c>
      <c r="C1799">
        <v>340054</v>
      </c>
      <c r="D1799">
        <v>-2833641.8020000001</v>
      </c>
      <c r="E1799" t="s">
        <v>4</v>
      </c>
      <c r="F1799" t="s">
        <v>47</v>
      </c>
      <c r="G1799" t="s">
        <v>7</v>
      </c>
    </row>
    <row r="1800" spans="1:7" x14ac:dyDescent="0.3">
      <c r="A1800" t="s">
        <v>32</v>
      </c>
      <c r="B1800" s="1">
        <v>45869</v>
      </c>
      <c r="C1800">
        <v>340102</v>
      </c>
      <c r="D1800">
        <v>497282.16</v>
      </c>
      <c r="E1800" t="s">
        <v>4</v>
      </c>
      <c r="F1800" t="s">
        <v>47</v>
      </c>
      <c r="G1800" t="s">
        <v>7</v>
      </c>
    </row>
    <row r="1801" spans="1:7" x14ac:dyDescent="0.3">
      <c r="A1801" t="s">
        <v>32</v>
      </c>
      <c r="B1801" s="1">
        <v>45869</v>
      </c>
      <c r="C1801">
        <v>340103</v>
      </c>
      <c r="D1801">
        <v>94008817.446999997</v>
      </c>
      <c r="E1801" t="s">
        <v>4</v>
      </c>
      <c r="F1801" t="s">
        <v>47</v>
      </c>
      <c r="G1801" t="s">
        <v>7</v>
      </c>
    </row>
    <row r="1802" spans="1:7" x14ac:dyDescent="0.3">
      <c r="A1802" t="s">
        <v>32</v>
      </c>
      <c r="B1802" s="1">
        <v>45869</v>
      </c>
      <c r="C1802">
        <v>340104</v>
      </c>
      <c r="D1802">
        <v>-94035516.484999999</v>
      </c>
      <c r="E1802" t="s">
        <v>4</v>
      </c>
      <c r="F1802" t="s">
        <v>47</v>
      </c>
      <c r="G1802" t="s">
        <v>7</v>
      </c>
    </row>
    <row r="1803" spans="1:7" x14ac:dyDescent="0.3">
      <c r="A1803" t="s">
        <v>32</v>
      </c>
      <c r="B1803" s="1">
        <v>45869</v>
      </c>
      <c r="C1803">
        <v>345019</v>
      </c>
      <c r="D1803">
        <v>50317.311999999998</v>
      </c>
      <c r="E1803" t="s">
        <v>4</v>
      </c>
      <c r="F1803" t="s">
        <v>47</v>
      </c>
      <c r="G1803" t="s">
        <v>7</v>
      </c>
    </row>
    <row r="1804" spans="1:7" x14ac:dyDescent="0.3">
      <c r="A1804" t="s">
        <v>32</v>
      </c>
      <c r="B1804" s="1">
        <v>45869</v>
      </c>
      <c r="C1804">
        <v>345020</v>
      </c>
      <c r="D1804">
        <v>5822684.8260000004</v>
      </c>
      <c r="E1804" t="s">
        <v>4</v>
      </c>
      <c r="F1804" t="s">
        <v>47</v>
      </c>
      <c r="G1804" t="s">
        <v>7</v>
      </c>
    </row>
    <row r="1805" spans="1:7" x14ac:dyDescent="0.3">
      <c r="A1805" t="s">
        <v>32</v>
      </c>
      <c r="B1805" s="1">
        <v>45869</v>
      </c>
      <c r="C1805">
        <v>345021</v>
      </c>
      <c r="D1805">
        <v>-5161877.1279999996</v>
      </c>
      <c r="E1805" t="s">
        <v>4</v>
      </c>
      <c r="F1805" t="s">
        <v>47</v>
      </c>
      <c r="G1805" t="s">
        <v>7</v>
      </c>
    </row>
    <row r="1806" spans="1:7" x14ac:dyDescent="0.3">
      <c r="A1806" t="s">
        <v>32</v>
      </c>
      <c r="B1806" s="1">
        <v>45869</v>
      </c>
      <c r="C1806">
        <v>345022</v>
      </c>
      <c r="D1806">
        <v>12109.924000000001</v>
      </c>
      <c r="E1806" t="s">
        <v>4</v>
      </c>
      <c r="F1806" t="s">
        <v>47</v>
      </c>
      <c r="G1806" t="s">
        <v>7</v>
      </c>
    </row>
    <row r="1807" spans="1:7" x14ac:dyDescent="0.3">
      <c r="A1807" t="s">
        <v>32</v>
      </c>
      <c r="B1807" s="1">
        <v>45869</v>
      </c>
      <c r="C1807">
        <v>350002</v>
      </c>
      <c r="D1807">
        <v>8641.7929999999997</v>
      </c>
      <c r="E1807" t="s">
        <v>4</v>
      </c>
      <c r="F1807" t="s">
        <v>49</v>
      </c>
      <c r="G1807" t="s">
        <v>7</v>
      </c>
    </row>
    <row r="1808" spans="1:7" x14ac:dyDescent="0.3">
      <c r="A1808" t="s">
        <v>32</v>
      </c>
      <c r="B1808" s="1">
        <v>45869</v>
      </c>
      <c r="C1808">
        <v>350003</v>
      </c>
      <c r="D1808">
        <v>80.706999999999994</v>
      </c>
      <c r="E1808" t="s">
        <v>4</v>
      </c>
      <c r="F1808" t="s">
        <v>49</v>
      </c>
      <c r="G1808" t="s">
        <v>7</v>
      </c>
    </row>
    <row r="1809" spans="1:7" x14ac:dyDescent="0.3">
      <c r="A1809" t="s">
        <v>32</v>
      </c>
      <c r="B1809" s="1">
        <v>45869</v>
      </c>
      <c r="C1809">
        <v>350031</v>
      </c>
      <c r="D1809">
        <v>13781.994000000001</v>
      </c>
      <c r="E1809" t="s">
        <v>4</v>
      </c>
      <c r="F1809" t="s">
        <v>43</v>
      </c>
      <c r="G1809" t="s">
        <v>7</v>
      </c>
    </row>
    <row r="1810" spans="1:7" x14ac:dyDescent="0.3">
      <c r="A1810" t="s">
        <v>32</v>
      </c>
      <c r="B1810" s="1">
        <v>45869</v>
      </c>
      <c r="C1810">
        <v>351004</v>
      </c>
      <c r="D1810">
        <v>4965.5910000000003</v>
      </c>
      <c r="E1810" t="s">
        <v>4</v>
      </c>
      <c r="F1810" t="s">
        <v>45</v>
      </c>
      <c r="G1810" t="s">
        <v>7</v>
      </c>
    </row>
    <row r="1811" spans="1:7" x14ac:dyDescent="0.3">
      <c r="A1811" t="s">
        <v>32</v>
      </c>
      <c r="B1811" s="1">
        <v>45869</v>
      </c>
      <c r="C1811">
        <v>352002</v>
      </c>
      <c r="D1811">
        <v>1616.9960000000001</v>
      </c>
      <c r="E1811" t="s">
        <v>4</v>
      </c>
      <c r="F1811" t="s">
        <v>48</v>
      </c>
      <c r="G1811" t="s">
        <v>7</v>
      </c>
    </row>
    <row r="1812" spans="1:7" x14ac:dyDescent="0.3">
      <c r="A1812" t="s">
        <v>32</v>
      </c>
      <c r="B1812" s="1">
        <v>45869</v>
      </c>
      <c r="C1812">
        <v>352006</v>
      </c>
      <c r="D1812">
        <v>-3.198</v>
      </c>
      <c r="E1812" t="s">
        <v>4</v>
      </c>
      <c r="F1812" t="s">
        <v>48</v>
      </c>
      <c r="G1812" t="s">
        <v>7</v>
      </c>
    </row>
    <row r="1813" spans="1:7" x14ac:dyDescent="0.3">
      <c r="A1813" t="s">
        <v>32</v>
      </c>
      <c r="B1813" s="1">
        <v>45869</v>
      </c>
      <c r="C1813">
        <v>354012</v>
      </c>
      <c r="D1813">
        <v>4890175.4539999999</v>
      </c>
      <c r="E1813" t="s">
        <v>4</v>
      </c>
      <c r="F1813" t="s">
        <v>46</v>
      </c>
      <c r="G1813" t="s">
        <v>7</v>
      </c>
    </row>
    <row r="1814" spans="1:7" x14ac:dyDescent="0.3">
      <c r="A1814" t="s">
        <v>32</v>
      </c>
      <c r="B1814" s="1">
        <v>45869</v>
      </c>
      <c r="C1814">
        <v>354013</v>
      </c>
      <c r="D1814">
        <v>45604.076999999997</v>
      </c>
      <c r="E1814" t="s">
        <v>4</v>
      </c>
      <c r="F1814" t="s">
        <v>46</v>
      </c>
      <c r="G1814" t="s">
        <v>7</v>
      </c>
    </row>
    <row r="1815" spans="1:7" x14ac:dyDescent="0.3">
      <c r="A1815" t="s">
        <v>32</v>
      </c>
      <c r="B1815" s="1">
        <v>45869</v>
      </c>
      <c r="C1815">
        <v>354014</v>
      </c>
      <c r="D1815">
        <v>371967.61099999998</v>
      </c>
      <c r="E1815" t="s">
        <v>4</v>
      </c>
      <c r="F1815" t="s">
        <v>46</v>
      </c>
      <c r="G1815" t="s">
        <v>7</v>
      </c>
    </row>
    <row r="1816" spans="1:7" x14ac:dyDescent="0.3">
      <c r="A1816" t="s">
        <v>32</v>
      </c>
      <c r="B1816" s="1">
        <v>45869</v>
      </c>
      <c r="C1816">
        <v>355002</v>
      </c>
      <c r="D1816">
        <v>11145.554</v>
      </c>
      <c r="E1816" t="s">
        <v>4</v>
      </c>
      <c r="F1816" t="s">
        <v>49</v>
      </c>
      <c r="G1816" t="s">
        <v>7</v>
      </c>
    </row>
    <row r="1817" spans="1:7" x14ac:dyDescent="0.3">
      <c r="A1817" t="s">
        <v>32</v>
      </c>
      <c r="B1817" s="1">
        <v>45869</v>
      </c>
      <c r="C1817">
        <v>355013</v>
      </c>
      <c r="D1817">
        <v>216560.31299999999</v>
      </c>
      <c r="E1817" t="s">
        <v>4</v>
      </c>
      <c r="F1817" t="s">
        <v>49</v>
      </c>
      <c r="G1817" t="s">
        <v>7</v>
      </c>
    </row>
    <row r="1818" spans="1:7" x14ac:dyDescent="0.3">
      <c r="A1818" t="s">
        <v>32</v>
      </c>
      <c r="B1818" s="1">
        <v>45869</v>
      </c>
      <c r="C1818">
        <v>355014</v>
      </c>
      <c r="D1818">
        <v>105375.382</v>
      </c>
      <c r="E1818" t="s">
        <v>4</v>
      </c>
      <c r="F1818" t="s">
        <v>49</v>
      </c>
      <c r="G1818" t="s">
        <v>7</v>
      </c>
    </row>
    <row r="1819" spans="1:7" x14ac:dyDescent="0.3">
      <c r="A1819" t="s">
        <v>32</v>
      </c>
      <c r="B1819" s="1">
        <v>45869</v>
      </c>
      <c r="C1819">
        <v>360021</v>
      </c>
      <c r="D1819">
        <v>-54.116999999999997</v>
      </c>
      <c r="E1819" t="s">
        <v>4</v>
      </c>
      <c r="F1819" t="s">
        <v>45</v>
      </c>
      <c r="G1819" t="s">
        <v>7</v>
      </c>
    </row>
    <row r="1820" spans="1:7" x14ac:dyDescent="0.3">
      <c r="A1820" t="s">
        <v>32</v>
      </c>
      <c r="B1820" s="1">
        <v>45869</v>
      </c>
      <c r="C1820">
        <v>360026</v>
      </c>
      <c r="D1820">
        <v>314902.22499999998</v>
      </c>
      <c r="E1820" t="s">
        <v>4</v>
      </c>
      <c r="F1820" t="s">
        <v>58</v>
      </c>
      <c r="G1820" t="s">
        <v>7</v>
      </c>
    </row>
    <row r="1821" spans="1:7" x14ac:dyDescent="0.3">
      <c r="A1821" t="s">
        <v>32</v>
      </c>
      <c r="B1821" s="1">
        <v>45869</v>
      </c>
      <c r="C1821">
        <v>360028</v>
      </c>
      <c r="D1821">
        <v>115681.383</v>
      </c>
      <c r="E1821" t="s">
        <v>4</v>
      </c>
      <c r="F1821" t="s">
        <v>58</v>
      </c>
      <c r="G1821" t="s">
        <v>7</v>
      </c>
    </row>
    <row r="1822" spans="1:7" x14ac:dyDescent="0.3">
      <c r="A1822" t="s">
        <v>32</v>
      </c>
      <c r="B1822" s="1">
        <v>45869</v>
      </c>
      <c r="C1822">
        <v>360030</v>
      </c>
      <c r="D1822">
        <v>72781.376999999993</v>
      </c>
      <c r="E1822" t="s">
        <v>4</v>
      </c>
      <c r="F1822" t="s">
        <v>58</v>
      </c>
      <c r="G1822" t="s">
        <v>7</v>
      </c>
    </row>
    <row r="1823" spans="1:7" x14ac:dyDescent="0.3">
      <c r="A1823" t="s">
        <v>32</v>
      </c>
      <c r="B1823" s="1">
        <v>45869</v>
      </c>
      <c r="C1823">
        <v>360032</v>
      </c>
      <c r="D1823">
        <v>20161.828000000001</v>
      </c>
      <c r="E1823" t="s">
        <v>4</v>
      </c>
      <c r="F1823" t="s">
        <v>58</v>
      </c>
      <c r="G1823" t="s">
        <v>7</v>
      </c>
    </row>
    <row r="1824" spans="1:7" x14ac:dyDescent="0.3">
      <c r="A1824" t="s">
        <v>32</v>
      </c>
      <c r="B1824" s="1">
        <v>45869</v>
      </c>
      <c r="C1824">
        <v>364502</v>
      </c>
      <c r="D1824">
        <v>142964.23499999999</v>
      </c>
      <c r="E1824" t="s">
        <v>4</v>
      </c>
      <c r="F1824" t="s">
        <v>58</v>
      </c>
      <c r="G1824" t="s">
        <v>7</v>
      </c>
    </row>
    <row r="1825" spans="1:7" x14ac:dyDescent="0.3">
      <c r="A1825" t="s">
        <v>32</v>
      </c>
      <c r="B1825" s="1">
        <v>45869</v>
      </c>
      <c r="C1825">
        <v>400002</v>
      </c>
      <c r="D1825">
        <v>-90239.476999999999</v>
      </c>
      <c r="E1825" t="s">
        <v>6</v>
      </c>
      <c r="F1825" t="s">
        <v>50</v>
      </c>
      <c r="G1825" t="s">
        <v>7</v>
      </c>
    </row>
    <row r="1826" spans="1:7" x14ac:dyDescent="0.3">
      <c r="A1826" t="s">
        <v>32</v>
      </c>
      <c r="B1826" s="1">
        <v>45869</v>
      </c>
      <c r="C1826">
        <v>400004</v>
      </c>
      <c r="D1826">
        <v>-55442.779000000002</v>
      </c>
      <c r="E1826" t="s">
        <v>6</v>
      </c>
      <c r="F1826" t="s">
        <v>50</v>
      </c>
      <c r="G1826" t="s">
        <v>7</v>
      </c>
    </row>
    <row r="1827" spans="1:7" x14ac:dyDescent="0.3">
      <c r="A1827" t="s">
        <v>32</v>
      </c>
      <c r="B1827" s="1">
        <v>45869</v>
      </c>
      <c r="C1827">
        <v>410005</v>
      </c>
      <c r="D1827">
        <v>-553.39300000000003</v>
      </c>
      <c r="E1827" t="s">
        <v>6</v>
      </c>
      <c r="F1827" t="s">
        <v>51</v>
      </c>
      <c r="G1827" t="s">
        <v>7</v>
      </c>
    </row>
    <row r="1828" spans="1:7" x14ac:dyDescent="0.3">
      <c r="A1828" t="s">
        <v>32</v>
      </c>
      <c r="B1828" s="1">
        <v>45869</v>
      </c>
      <c r="C1828">
        <v>410006</v>
      </c>
      <c r="D1828">
        <v>-120156.863</v>
      </c>
      <c r="E1828" t="s">
        <v>6</v>
      </c>
      <c r="F1828" t="s">
        <v>51</v>
      </c>
      <c r="G1828" t="s">
        <v>7</v>
      </c>
    </row>
    <row r="1829" spans="1:7" x14ac:dyDescent="0.3">
      <c r="A1829" t="s">
        <v>32</v>
      </c>
      <c r="B1829" s="1">
        <v>45869</v>
      </c>
      <c r="C1829">
        <v>410009</v>
      </c>
      <c r="D1829">
        <v>-10716.705</v>
      </c>
      <c r="E1829" t="s">
        <v>6</v>
      </c>
      <c r="F1829" t="s">
        <v>51</v>
      </c>
      <c r="G1829" t="s">
        <v>7</v>
      </c>
    </row>
    <row r="1830" spans="1:7" x14ac:dyDescent="0.3">
      <c r="A1830" t="s">
        <v>32</v>
      </c>
      <c r="B1830" s="1">
        <v>45869</v>
      </c>
      <c r="C1830">
        <v>410015</v>
      </c>
      <c r="D1830">
        <v>-101062.182</v>
      </c>
      <c r="E1830" t="s">
        <v>6</v>
      </c>
      <c r="F1830" t="s">
        <v>51</v>
      </c>
      <c r="G1830" t="s">
        <v>7</v>
      </c>
    </row>
    <row r="1831" spans="1:7" x14ac:dyDescent="0.3">
      <c r="A1831" t="s">
        <v>32</v>
      </c>
      <c r="B1831" s="1">
        <v>45869</v>
      </c>
      <c r="C1831">
        <v>410018</v>
      </c>
      <c r="D1831">
        <v>-25.535</v>
      </c>
      <c r="E1831" t="s">
        <v>6</v>
      </c>
      <c r="F1831" t="s">
        <v>51</v>
      </c>
      <c r="G1831" t="s">
        <v>7</v>
      </c>
    </row>
    <row r="1832" spans="1:7" x14ac:dyDescent="0.3">
      <c r="A1832" t="s">
        <v>32</v>
      </c>
      <c r="B1832" s="1">
        <v>45869</v>
      </c>
      <c r="C1832">
        <v>410019</v>
      </c>
      <c r="D1832">
        <v>-2876.2919999999999</v>
      </c>
      <c r="E1832" t="s">
        <v>6</v>
      </c>
      <c r="F1832" t="s">
        <v>51</v>
      </c>
      <c r="G1832" t="s">
        <v>7</v>
      </c>
    </row>
    <row r="1833" spans="1:7" x14ac:dyDescent="0.3">
      <c r="A1833" t="s">
        <v>32</v>
      </c>
      <c r="B1833" s="1">
        <v>45869</v>
      </c>
      <c r="C1833">
        <v>410032</v>
      </c>
      <c r="D1833">
        <v>-55572.627</v>
      </c>
      <c r="E1833" t="s">
        <v>6</v>
      </c>
      <c r="F1833" t="s">
        <v>51</v>
      </c>
      <c r="G1833" t="s">
        <v>7</v>
      </c>
    </row>
    <row r="1834" spans="1:7" x14ac:dyDescent="0.3">
      <c r="A1834" t="s">
        <v>32</v>
      </c>
      <c r="B1834" s="1">
        <v>45869</v>
      </c>
      <c r="C1834">
        <v>410037</v>
      </c>
      <c r="D1834">
        <v>-556098.06499999994</v>
      </c>
      <c r="E1834" t="s">
        <v>6</v>
      </c>
      <c r="F1834" t="s">
        <v>51</v>
      </c>
      <c r="G1834" t="s">
        <v>7</v>
      </c>
    </row>
    <row r="1835" spans="1:7" x14ac:dyDescent="0.3">
      <c r="A1835" t="s">
        <v>32</v>
      </c>
      <c r="B1835" s="1">
        <v>45869</v>
      </c>
      <c r="C1835">
        <v>410039</v>
      </c>
      <c r="D1835">
        <v>-20496.990000000002</v>
      </c>
      <c r="E1835" t="s">
        <v>6</v>
      </c>
      <c r="F1835" t="s">
        <v>51</v>
      </c>
      <c r="G1835" t="s">
        <v>7</v>
      </c>
    </row>
    <row r="1836" spans="1:7" x14ac:dyDescent="0.3">
      <c r="A1836" t="s">
        <v>32</v>
      </c>
      <c r="B1836" s="1">
        <v>45869</v>
      </c>
      <c r="C1836">
        <v>410040</v>
      </c>
      <c r="D1836">
        <v>-189.965</v>
      </c>
      <c r="E1836" t="s">
        <v>6</v>
      </c>
      <c r="F1836" t="s">
        <v>51</v>
      </c>
      <c r="G1836" t="s">
        <v>7</v>
      </c>
    </row>
    <row r="1837" spans="1:7" x14ac:dyDescent="0.3">
      <c r="A1837" t="s">
        <v>32</v>
      </c>
      <c r="B1837" s="1">
        <v>45869</v>
      </c>
      <c r="C1837">
        <v>415002</v>
      </c>
      <c r="D1837">
        <v>-3573736.3539999998</v>
      </c>
      <c r="E1837" t="s">
        <v>6</v>
      </c>
      <c r="F1837" t="s">
        <v>50</v>
      </c>
      <c r="G1837" t="s">
        <v>7</v>
      </c>
    </row>
    <row r="1838" spans="1:7" x14ac:dyDescent="0.3">
      <c r="A1838" t="s">
        <v>32</v>
      </c>
      <c r="B1838" s="1">
        <v>45869</v>
      </c>
      <c r="C1838">
        <v>415003</v>
      </c>
      <c r="D1838">
        <v>-14166.174999999999</v>
      </c>
      <c r="E1838" t="s">
        <v>6</v>
      </c>
      <c r="F1838" t="s">
        <v>50</v>
      </c>
      <c r="G1838" t="s">
        <v>7</v>
      </c>
    </row>
    <row r="1839" spans="1:7" x14ac:dyDescent="0.3">
      <c r="A1839" t="s">
        <v>32</v>
      </c>
      <c r="B1839" s="1">
        <v>45869</v>
      </c>
      <c r="C1839">
        <v>415004</v>
      </c>
      <c r="D1839">
        <v>-3532575.5049999999</v>
      </c>
      <c r="E1839" t="s">
        <v>6</v>
      </c>
      <c r="F1839" t="s">
        <v>50</v>
      </c>
      <c r="G1839" t="s">
        <v>7</v>
      </c>
    </row>
    <row r="1840" spans="1:7" x14ac:dyDescent="0.3">
      <c r="A1840" t="s">
        <v>32</v>
      </c>
      <c r="B1840" s="1">
        <v>45869</v>
      </c>
      <c r="C1840">
        <v>420003</v>
      </c>
      <c r="D1840">
        <v>-404.62200000000001</v>
      </c>
      <c r="E1840" t="s">
        <v>6</v>
      </c>
      <c r="F1840" t="s">
        <v>52</v>
      </c>
      <c r="G1840" t="s">
        <v>7</v>
      </c>
    </row>
    <row r="1841" spans="1:7" x14ac:dyDescent="0.3">
      <c r="A1841" t="s">
        <v>32</v>
      </c>
      <c r="B1841" s="1">
        <v>45869</v>
      </c>
      <c r="C1841">
        <v>420004</v>
      </c>
      <c r="D1841">
        <v>-182.29400000000001</v>
      </c>
      <c r="E1841" t="s">
        <v>6</v>
      </c>
      <c r="F1841" t="s">
        <v>52</v>
      </c>
      <c r="G1841" t="s">
        <v>7</v>
      </c>
    </row>
    <row r="1842" spans="1:7" x14ac:dyDescent="0.3">
      <c r="A1842" t="s">
        <v>32</v>
      </c>
      <c r="B1842" s="1">
        <v>45869</v>
      </c>
      <c r="C1842">
        <v>421003</v>
      </c>
      <c r="D1842">
        <v>-23893.034</v>
      </c>
      <c r="E1842" t="s">
        <v>6</v>
      </c>
      <c r="F1842" t="s">
        <v>52</v>
      </c>
      <c r="G1842" t="s">
        <v>7</v>
      </c>
    </row>
    <row r="1843" spans="1:7" x14ac:dyDescent="0.3">
      <c r="A1843" t="s">
        <v>32</v>
      </c>
      <c r="B1843" s="1">
        <v>45869</v>
      </c>
      <c r="C1843">
        <v>421007</v>
      </c>
      <c r="D1843">
        <v>33.585999999999999</v>
      </c>
      <c r="E1843" t="s">
        <v>6</v>
      </c>
      <c r="F1843" t="s">
        <v>52</v>
      </c>
      <c r="G1843" t="s">
        <v>7</v>
      </c>
    </row>
    <row r="1844" spans="1:7" x14ac:dyDescent="0.3">
      <c r="A1844" t="s">
        <v>32</v>
      </c>
      <c r="B1844" s="1">
        <v>45869</v>
      </c>
      <c r="C1844">
        <v>423002</v>
      </c>
      <c r="D1844">
        <v>-36.612000000000002</v>
      </c>
      <c r="E1844" t="s">
        <v>6</v>
      </c>
      <c r="F1844" t="s">
        <v>52</v>
      </c>
      <c r="G1844" t="s">
        <v>7</v>
      </c>
    </row>
    <row r="1845" spans="1:7" x14ac:dyDescent="0.3">
      <c r="A1845" t="s">
        <v>32</v>
      </c>
      <c r="B1845" s="1">
        <v>45869</v>
      </c>
      <c r="C1845">
        <v>510002</v>
      </c>
      <c r="D1845">
        <v>1346971.9709999999</v>
      </c>
      <c r="E1845" t="s">
        <v>6</v>
      </c>
      <c r="F1845" t="s">
        <v>53</v>
      </c>
      <c r="G1845" t="s">
        <v>7</v>
      </c>
    </row>
    <row r="1846" spans="1:7" x14ac:dyDescent="0.3">
      <c r="A1846" t="s">
        <v>32</v>
      </c>
      <c r="B1846" s="1">
        <v>45869</v>
      </c>
      <c r="C1846">
        <v>510005</v>
      </c>
      <c r="D1846">
        <v>64598.245000000003</v>
      </c>
      <c r="E1846" t="s">
        <v>6</v>
      </c>
      <c r="F1846" t="s">
        <v>53</v>
      </c>
      <c r="G1846" t="s">
        <v>7</v>
      </c>
    </row>
    <row r="1847" spans="1:7" x14ac:dyDescent="0.3">
      <c r="A1847" t="s">
        <v>32</v>
      </c>
      <c r="B1847" s="1">
        <v>45869</v>
      </c>
      <c r="C1847">
        <v>510007</v>
      </c>
      <c r="D1847">
        <v>97479.065000000002</v>
      </c>
      <c r="E1847" t="s">
        <v>6</v>
      </c>
      <c r="F1847" t="s">
        <v>53</v>
      </c>
      <c r="G1847" t="s">
        <v>7</v>
      </c>
    </row>
    <row r="1848" spans="1:7" x14ac:dyDescent="0.3">
      <c r="A1848" t="s">
        <v>32</v>
      </c>
      <c r="B1848" s="1">
        <v>45869</v>
      </c>
      <c r="C1848">
        <v>510008</v>
      </c>
      <c r="D1848">
        <v>1522.798</v>
      </c>
      <c r="E1848" t="s">
        <v>6</v>
      </c>
      <c r="F1848" t="s">
        <v>53</v>
      </c>
      <c r="G1848" t="s">
        <v>7</v>
      </c>
    </row>
    <row r="1849" spans="1:7" x14ac:dyDescent="0.3">
      <c r="A1849" t="s">
        <v>32</v>
      </c>
      <c r="B1849" s="1">
        <v>45869</v>
      </c>
      <c r="C1849">
        <v>510010</v>
      </c>
      <c r="D1849">
        <v>13749.118</v>
      </c>
      <c r="E1849" t="s">
        <v>6</v>
      </c>
      <c r="F1849" t="s">
        <v>53</v>
      </c>
      <c r="G1849" t="s">
        <v>7</v>
      </c>
    </row>
    <row r="1850" spans="1:7" x14ac:dyDescent="0.3">
      <c r="A1850" t="s">
        <v>32</v>
      </c>
      <c r="B1850" s="1">
        <v>45869</v>
      </c>
      <c r="C1850">
        <v>510012</v>
      </c>
      <c r="D1850">
        <v>16145.093000000001</v>
      </c>
      <c r="E1850" t="s">
        <v>6</v>
      </c>
      <c r="F1850" t="s">
        <v>53</v>
      </c>
      <c r="G1850" t="s">
        <v>7</v>
      </c>
    </row>
    <row r="1851" spans="1:7" x14ac:dyDescent="0.3">
      <c r="A1851" t="s">
        <v>32</v>
      </c>
      <c r="B1851" s="1">
        <v>45869</v>
      </c>
      <c r="C1851">
        <v>510015</v>
      </c>
      <c r="D1851">
        <v>120037.796</v>
      </c>
      <c r="E1851" t="s">
        <v>6</v>
      </c>
      <c r="F1851" t="s">
        <v>53</v>
      </c>
      <c r="G1851" t="s">
        <v>7</v>
      </c>
    </row>
    <row r="1852" spans="1:7" x14ac:dyDescent="0.3">
      <c r="A1852" t="s">
        <v>32</v>
      </c>
      <c r="B1852" s="1">
        <v>45869</v>
      </c>
      <c r="C1852">
        <v>510018</v>
      </c>
      <c r="D1852">
        <v>126077.216</v>
      </c>
      <c r="E1852" t="s">
        <v>6</v>
      </c>
      <c r="F1852" t="s">
        <v>53</v>
      </c>
      <c r="G1852" t="s">
        <v>7</v>
      </c>
    </row>
    <row r="1853" spans="1:7" x14ac:dyDescent="0.3">
      <c r="A1853" t="s">
        <v>32</v>
      </c>
      <c r="B1853" s="1">
        <v>45869</v>
      </c>
      <c r="C1853">
        <v>510048</v>
      </c>
      <c r="D1853">
        <v>34.481999999999999</v>
      </c>
      <c r="E1853" t="s">
        <v>6</v>
      </c>
      <c r="F1853" t="s">
        <v>61</v>
      </c>
      <c r="G1853" t="s">
        <v>7</v>
      </c>
    </row>
    <row r="1854" spans="1:7" x14ac:dyDescent="0.3">
      <c r="A1854" t="s">
        <v>32</v>
      </c>
      <c r="B1854" s="1">
        <v>45869</v>
      </c>
      <c r="C1854">
        <v>510059</v>
      </c>
      <c r="D1854">
        <v>8518.3880000000008</v>
      </c>
      <c r="E1854" t="s">
        <v>6</v>
      </c>
      <c r="F1854" t="s">
        <v>53</v>
      </c>
      <c r="G1854" t="s">
        <v>7</v>
      </c>
    </row>
    <row r="1855" spans="1:7" x14ac:dyDescent="0.3">
      <c r="A1855" t="s">
        <v>32</v>
      </c>
      <c r="B1855" s="1">
        <v>45869</v>
      </c>
      <c r="C1855">
        <v>510062</v>
      </c>
      <c r="D1855">
        <v>24305.612000000001</v>
      </c>
      <c r="E1855" t="s">
        <v>6</v>
      </c>
      <c r="F1855" t="s">
        <v>53</v>
      </c>
      <c r="G1855" t="s">
        <v>7</v>
      </c>
    </row>
    <row r="1856" spans="1:7" x14ac:dyDescent="0.3">
      <c r="A1856" t="s">
        <v>32</v>
      </c>
      <c r="B1856" s="1">
        <v>45869</v>
      </c>
      <c r="C1856">
        <v>510064</v>
      </c>
      <c r="D1856">
        <v>1469.694</v>
      </c>
      <c r="E1856" t="s">
        <v>6</v>
      </c>
      <c r="F1856" t="s">
        <v>53</v>
      </c>
      <c r="G1856" t="s">
        <v>7</v>
      </c>
    </row>
    <row r="1857" spans="1:7" x14ac:dyDescent="0.3">
      <c r="A1857" t="s">
        <v>32</v>
      </c>
      <c r="B1857" s="1">
        <v>45869</v>
      </c>
      <c r="C1857">
        <v>510065</v>
      </c>
      <c r="D1857">
        <v>22225.407999999999</v>
      </c>
      <c r="E1857" t="s">
        <v>6</v>
      </c>
      <c r="F1857" t="s">
        <v>53</v>
      </c>
      <c r="G1857" t="s">
        <v>7</v>
      </c>
    </row>
    <row r="1858" spans="1:7" x14ac:dyDescent="0.3">
      <c r="A1858" t="s">
        <v>32</v>
      </c>
      <c r="B1858" s="1">
        <v>45869</v>
      </c>
      <c r="C1858">
        <v>520020</v>
      </c>
      <c r="D1858">
        <v>2801.598</v>
      </c>
      <c r="E1858" t="s">
        <v>6</v>
      </c>
      <c r="F1858" t="s">
        <v>53</v>
      </c>
      <c r="G1858" t="s">
        <v>7</v>
      </c>
    </row>
    <row r="1859" spans="1:7" x14ac:dyDescent="0.3">
      <c r="A1859" t="s">
        <v>32</v>
      </c>
      <c r="B1859" s="1">
        <v>45869</v>
      </c>
      <c r="C1859">
        <v>520021</v>
      </c>
      <c r="D1859">
        <v>1669.4880000000001</v>
      </c>
      <c r="E1859" t="s">
        <v>6</v>
      </c>
      <c r="F1859" t="s">
        <v>60</v>
      </c>
      <c r="G1859" t="s">
        <v>7</v>
      </c>
    </row>
    <row r="1860" spans="1:7" x14ac:dyDescent="0.3">
      <c r="A1860" t="s">
        <v>32</v>
      </c>
      <c r="B1860" s="1">
        <v>45869</v>
      </c>
      <c r="C1860">
        <v>530012</v>
      </c>
      <c r="D1860">
        <v>11356.204</v>
      </c>
      <c r="E1860" t="s">
        <v>6</v>
      </c>
      <c r="F1860" t="s">
        <v>53</v>
      </c>
      <c r="G1860" t="s">
        <v>7</v>
      </c>
    </row>
    <row r="1861" spans="1:7" x14ac:dyDescent="0.3">
      <c r="A1861" t="s">
        <v>32</v>
      </c>
      <c r="B1861" s="1">
        <v>45869</v>
      </c>
      <c r="C1861">
        <v>540004</v>
      </c>
      <c r="D1861">
        <v>67.72</v>
      </c>
      <c r="E1861" t="s">
        <v>6</v>
      </c>
      <c r="F1861" t="s">
        <v>67</v>
      </c>
      <c r="G1861" t="s">
        <v>7</v>
      </c>
    </row>
    <row r="1862" spans="1:7" x14ac:dyDescent="0.3">
      <c r="A1862" t="s">
        <v>32</v>
      </c>
      <c r="B1862" s="1">
        <v>45869</v>
      </c>
      <c r="C1862">
        <v>540008</v>
      </c>
      <c r="D1862">
        <v>2425.645</v>
      </c>
      <c r="E1862" t="s">
        <v>6</v>
      </c>
      <c r="F1862" t="s">
        <v>67</v>
      </c>
      <c r="G1862" t="s">
        <v>7</v>
      </c>
    </row>
    <row r="1863" spans="1:7" x14ac:dyDescent="0.3">
      <c r="A1863" t="s">
        <v>32</v>
      </c>
      <c r="B1863" s="1">
        <v>45869</v>
      </c>
      <c r="C1863">
        <v>541002</v>
      </c>
      <c r="D1863">
        <v>11830.359</v>
      </c>
      <c r="E1863" t="s">
        <v>6</v>
      </c>
      <c r="F1863" t="s">
        <v>61</v>
      </c>
      <c r="G1863" t="s">
        <v>7</v>
      </c>
    </row>
    <row r="1864" spans="1:7" x14ac:dyDescent="0.3">
      <c r="A1864" t="s">
        <v>32</v>
      </c>
      <c r="B1864" s="1">
        <v>45869</v>
      </c>
      <c r="C1864">
        <v>541004</v>
      </c>
      <c r="D1864">
        <v>66489.179000000004</v>
      </c>
      <c r="E1864" t="s">
        <v>6</v>
      </c>
      <c r="F1864" t="s">
        <v>61</v>
      </c>
      <c r="G1864" t="s">
        <v>7</v>
      </c>
    </row>
    <row r="1865" spans="1:7" x14ac:dyDescent="0.3">
      <c r="A1865" t="s">
        <v>32</v>
      </c>
      <c r="B1865" s="1">
        <v>45869</v>
      </c>
      <c r="C1865">
        <v>541009</v>
      </c>
      <c r="D1865">
        <v>22599.381000000001</v>
      </c>
      <c r="E1865" t="s">
        <v>6</v>
      </c>
      <c r="F1865" t="s">
        <v>61</v>
      </c>
      <c r="G1865" t="s">
        <v>7</v>
      </c>
    </row>
    <row r="1866" spans="1:7" x14ac:dyDescent="0.3">
      <c r="A1866" t="s">
        <v>32</v>
      </c>
      <c r="B1866" s="1">
        <v>45869</v>
      </c>
      <c r="C1866">
        <v>541010</v>
      </c>
      <c r="D1866">
        <v>10985.117</v>
      </c>
      <c r="E1866" t="s">
        <v>6</v>
      </c>
      <c r="F1866" t="s">
        <v>61</v>
      </c>
      <c r="G1866" t="s">
        <v>7</v>
      </c>
    </row>
    <row r="1867" spans="1:7" x14ac:dyDescent="0.3">
      <c r="A1867" t="s">
        <v>32</v>
      </c>
      <c r="B1867" s="1">
        <v>45869</v>
      </c>
      <c r="C1867">
        <v>541013</v>
      </c>
      <c r="D1867">
        <v>4986.1639999999998</v>
      </c>
      <c r="E1867" t="s">
        <v>6</v>
      </c>
      <c r="F1867" t="s">
        <v>61</v>
      </c>
      <c r="G1867" t="s">
        <v>7</v>
      </c>
    </row>
    <row r="1868" spans="1:7" x14ac:dyDescent="0.3">
      <c r="A1868" t="s">
        <v>32</v>
      </c>
      <c r="B1868" s="1">
        <v>45869</v>
      </c>
      <c r="C1868">
        <v>544006</v>
      </c>
      <c r="D1868">
        <v>24843.007000000001</v>
      </c>
      <c r="E1868" t="s">
        <v>6</v>
      </c>
      <c r="F1868" t="s">
        <v>61</v>
      </c>
      <c r="G1868" t="s">
        <v>7</v>
      </c>
    </row>
    <row r="1869" spans="1:7" x14ac:dyDescent="0.3">
      <c r="A1869" t="s">
        <v>32</v>
      </c>
      <c r="B1869" s="1">
        <v>45869</v>
      </c>
      <c r="C1869">
        <v>546002</v>
      </c>
      <c r="D1869">
        <v>3408617.4410000001</v>
      </c>
      <c r="E1869" t="s">
        <v>6</v>
      </c>
      <c r="F1869" t="s">
        <v>51</v>
      </c>
      <c r="G1869" t="s">
        <v>7</v>
      </c>
    </row>
    <row r="1870" spans="1:7" x14ac:dyDescent="0.3">
      <c r="A1870" t="s">
        <v>32</v>
      </c>
      <c r="B1870" s="1">
        <v>45869</v>
      </c>
      <c r="C1870">
        <v>546005</v>
      </c>
      <c r="D1870">
        <v>22073.935000000001</v>
      </c>
      <c r="E1870" t="s">
        <v>6</v>
      </c>
      <c r="F1870" t="s">
        <v>51</v>
      </c>
      <c r="G1870" t="s">
        <v>7</v>
      </c>
    </row>
    <row r="1871" spans="1:7" x14ac:dyDescent="0.3">
      <c r="A1871" t="s">
        <v>32</v>
      </c>
      <c r="B1871" s="1">
        <v>45869</v>
      </c>
      <c r="C1871">
        <v>546008</v>
      </c>
      <c r="D1871">
        <v>88112.994000000006</v>
      </c>
      <c r="E1871" t="s">
        <v>6</v>
      </c>
      <c r="F1871" t="s">
        <v>51</v>
      </c>
      <c r="G1871" t="s">
        <v>7</v>
      </c>
    </row>
    <row r="1872" spans="1:7" x14ac:dyDescent="0.3">
      <c r="A1872" t="s">
        <v>32</v>
      </c>
      <c r="B1872" s="1">
        <v>45869</v>
      </c>
      <c r="C1872">
        <v>546012</v>
      </c>
      <c r="D1872">
        <v>222628.95499999999</v>
      </c>
      <c r="E1872" t="s">
        <v>6</v>
      </c>
      <c r="F1872" t="s">
        <v>51</v>
      </c>
      <c r="G1872" t="s">
        <v>7</v>
      </c>
    </row>
    <row r="1873" spans="1:7" x14ac:dyDescent="0.3">
      <c r="A1873" t="s">
        <v>32</v>
      </c>
      <c r="B1873" s="1">
        <v>45869</v>
      </c>
      <c r="C1873">
        <v>546015</v>
      </c>
      <c r="D1873">
        <v>314416.91200000001</v>
      </c>
      <c r="E1873" t="s">
        <v>6</v>
      </c>
      <c r="F1873" t="s">
        <v>51</v>
      </c>
      <c r="G1873" t="s">
        <v>7</v>
      </c>
    </row>
    <row r="1874" spans="1:7" x14ac:dyDescent="0.3">
      <c r="A1874" t="s">
        <v>32</v>
      </c>
      <c r="B1874" s="1">
        <v>45869</v>
      </c>
      <c r="C1874">
        <v>546016</v>
      </c>
      <c r="D1874">
        <v>181404.56099999999</v>
      </c>
      <c r="E1874" t="s">
        <v>6</v>
      </c>
      <c r="F1874" t="s">
        <v>51</v>
      </c>
      <c r="G1874" t="s">
        <v>7</v>
      </c>
    </row>
    <row r="1875" spans="1:7" x14ac:dyDescent="0.3">
      <c r="A1875" t="s">
        <v>32</v>
      </c>
      <c r="B1875" s="1">
        <v>45869</v>
      </c>
      <c r="C1875">
        <v>546018</v>
      </c>
      <c r="D1875">
        <v>6112.2209999999995</v>
      </c>
      <c r="E1875" t="s">
        <v>6</v>
      </c>
      <c r="F1875" t="s">
        <v>51</v>
      </c>
      <c r="G1875" t="s">
        <v>7</v>
      </c>
    </row>
    <row r="1876" spans="1:7" x14ac:dyDescent="0.3">
      <c r="A1876" t="s">
        <v>32</v>
      </c>
      <c r="B1876" s="1">
        <v>45869</v>
      </c>
      <c r="C1876">
        <v>546022</v>
      </c>
      <c r="D1876">
        <v>48169.743999999999</v>
      </c>
      <c r="E1876" t="s">
        <v>6</v>
      </c>
      <c r="F1876" t="s">
        <v>51</v>
      </c>
      <c r="G1876" t="s">
        <v>7</v>
      </c>
    </row>
    <row r="1877" spans="1:7" x14ac:dyDescent="0.3">
      <c r="A1877" t="s">
        <v>32</v>
      </c>
      <c r="B1877" s="1">
        <v>45869</v>
      </c>
      <c r="C1877">
        <v>546024</v>
      </c>
      <c r="D1877">
        <v>3412.9580000000001</v>
      </c>
      <c r="E1877" t="s">
        <v>6</v>
      </c>
      <c r="F1877" t="s">
        <v>51</v>
      </c>
      <c r="G1877" t="s">
        <v>7</v>
      </c>
    </row>
    <row r="1878" spans="1:7" x14ac:dyDescent="0.3">
      <c r="A1878" t="s">
        <v>32</v>
      </c>
      <c r="B1878" s="1">
        <v>45869</v>
      </c>
      <c r="C1878">
        <v>546035</v>
      </c>
      <c r="D1878">
        <v>17096.822</v>
      </c>
      <c r="E1878" t="s">
        <v>6</v>
      </c>
      <c r="F1878" t="s">
        <v>51</v>
      </c>
      <c r="G1878" t="s">
        <v>7</v>
      </c>
    </row>
    <row r="1879" spans="1:7" x14ac:dyDescent="0.3">
      <c r="A1879" t="s">
        <v>32</v>
      </c>
      <c r="B1879" s="1">
        <v>45869</v>
      </c>
      <c r="C1879">
        <v>546038</v>
      </c>
      <c r="D1879">
        <v>9946.9269999999997</v>
      </c>
      <c r="E1879" t="s">
        <v>6</v>
      </c>
      <c r="F1879" t="s">
        <v>51</v>
      </c>
      <c r="G1879" t="s">
        <v>7</v>
      </c>
    </row>
    <row r="1880" spans="1:7" x14ac:dyDescent="0.3">
      <c r="A1880" t="s">
        <v>32</v>
      </c>
      <c r="B1880" s="1">
        <v>45869</v>
      </c>
      <c r="C1880">
        <v>546040</v>
      </c>
      <c r="D1880">
        <v>192161.378</v>
      </c>
      <c r="E1880" t="s">
        <v>6</v>
      </c>
      <c r="F1880" t="s">
        <v>51</v>
      </c>
      <c r="G1880" t="s">
        <v>7</v>
      </c>
    </row>
    <row r="1881" spans="1:7" x14ac:dyDescent="0.3">
      <c r="A1881" t="s">
        <v>32</v>
      </c>
      <c r="B1881" s="1">
        <v>45869</v>
      </c>
      <c r="C1881">
        <v>546042</v>
      </c>
      <c r="D1881">
        <v>1545.0830000000001</v>
      </c>
      <c r="E1881" t="s">
        <v>6</v>
      </c>
      <c r="F1881" t="s">
        <v>51</v>
      </c>
      <c r="G1881" t="s">
        <v>7</v>
      </c>
    </row>
    <row r="1882" spans="1:7" x14ac:dyDescent="0.3">
      <c r="A1882" t="s">
        <v>32</v>
      </c>
      <c r="B1882" s="1">
        <v>45869</v>
      </c>
      <c r="C1882">
        <v>546045</v>
      </c>
      <c r="D1882">
        <v>13827.671</v>
      </c>
      <c r="E1882" t="s">
        <v>6</v>
      </c>
      <c r="F1882" t="s">
        <v>51</v>
      </c>
      <c r="G1882" t="s">
        <v>7</v>
      </c>
    </row>
    <row r="1883" spans="1:7" x14ac:dyDescent="0.3">
      <c r="A1883" t="s">
        <v>32</v>
      </c>
      <c r="B1883" s="1">
        <v>45869</v>
      </c>
      <c r="C1883">
        <v>546046</v>
      </c>
      <c r="D1883">
        <v>15988.623</v>
      </c>
      <c r="E1883" t="s">
        <v>6</v>
      </c>
      <c r="F1883" t="s">
        <v>51</v>
      </c>
      <c r="G1883" t="s">
        <v>7</v>
      </c>
    </row>
    <row r="1884" spans="1:7" x14ac:dyDescent="0.3">
      <c r="A1884" t="s">
        <v>32</v>
      </c>
      <c r="B1884" s="1">
        <v>45869</v>
      </c>
      <c r="C1884">
        <v>546047</v>
      </c>
      <c r="D1884">
        <v>7941.9870000000001</v>
      </c>
      <c r="E1884" t="s">
        <v>6</v>
      </c>
      <c r="F1884" t="s">
        <v>51</v>
      </c>
      <c r="G1884" t="s">
        <v>7</v>
      </c>
    </row>
    <row r="1885" spans="1:7" x14ac:dyDescent="0.3">
      <c r="A1885" t="s">
        <v>32</v>
      </c>
      <c r="B1885" s="1">
        <v>45869</v>
      </c>
      <c r="C1885">
        <v>546050</v>
      </c>
      <c r="D1885">
        <v>25107.126</v>
      </c>
      <c r="E1885" t="s">
        <v>6</v>
      </c>
      <c r="F1885" t="s">
        <v>51</v>
      </c>
      <c r="G1885" t="s">
        <v>7</v>
      </c>
    </row>
    <row r="1886" spans="1:7" x14ac:dyDescent="0.3">
      <c r="A1886" t="s">
        <v>32</v>
      </c>
      <c r="B1886" s="1">
        <v>45869</v>
      </c>
      <c r="C1886">
        <v>547002</v>
      </c>
      <c r="D1886">
        <v>387156.11599999998</v>
      </c>
      <c r="E1886" t="s">
        <v>6</v>
      </c>
      <c r="F1886" t="s">
        <v>54</v>
      </c>
      <c r="G1886" t="s">
        <v>7</v>
      </c>
    </row>
    <row r="1887" spans="1:7" x14ac:dyDescent="0.3">
      <c r="A1887" t="s">
        <v>32</v>
      </c>
      <c r="B1887" s="1">
        <v>45869</v>
      </c>
      <c r="C1887">
        <v>547006</v>
      </c>
      <c r="D1887">
        <v>19323.018</v>
      </c>
      <c r="E1887" t="s">
        <v>6</v>
      </c>
      <c r="F1887" t="s">
        <v>54</v>
      </c>
      <c r="G1887" t="s">
        <v>7</v>
      </c>
    </row>
    <row r="1888" spans="1:7" x14ac:dyDescent="0.3">
      <c r="A1888" t="s">
        <v>32</v>
      </c>
      <c r="B1888" s="1">
        <v>45869</v>
      </c>
      <c r="C1888">
        <v>547011</v>
      </c>
      <c r="D1888">
        <v>1052.4359999999999</v>
      </c>
      <c r="E1888" t="s">
        <v>6</v>
      </c>
      <c r="F1888" t="s">
        <v>54</v>
      </c>
      <c r="G1888" t="s">
        <v>7</v>
      </c>
    </row>
    <row r="1889" spans="1:7" x14ac:dyDescent="0.3">
      <c r="A1889" t="s">
        <v>32</v>
      </c>
      <c r="B1889" s="1">
        <v>45869</v>
      </c>
      <c r="C1889">
        <v>550002</v>
      </c>
      <c r="D1889">
        <v>-4314.7569999999996</v>
      </c>
      <c r="E1889" t="s">
        <v>6</v>
      </c>
      <c r="F1889" t="s">
        <v>62</v>
      </c>
      <c r="G1889" t="s">
        <v>7</v>
      </c>
    </row>
    <row r="1890" spans="1:7" x14ac:dyDescent="0.3">
      <c r="A1890" t="s">
        <v>32</v>
      </c>
      <c r="B1890" s="1">
        <v>45869</v>
      </c>
      <c r="C1890">
        <v>550003</v>
      </c>
      <c r="D1890">
        <v>904196.46499999997</v>
      </c>
      <c r="E1890" t="s">
        <v>6</v>
      </c>
      <c r="F1890" t="s">
        <v>62</v>
      </c>
      <c r="G1890" t="s">
        <v>7</v>
      </c>
    </row>
    <row r="1891" spans="1:7" x14ac:dyDescent="0.3">
      <c r="A1891" t="s">
        <v>32</v>
      </c>
      <c r="B1891" s="1">
        <v>45869</v>
      </c>
      <c r="C1891">
        <v>551002</v>
      </c>
      <c r="D1891">
        <v>9145.1890000000003</v>
      </c>
      <c r="E1891" t="s">
        <v>6</v>
      </c>
      <c r="F1891" t="s">
        <v>63</v>
      </c>
      <c r="G1891" t="s">
        <v>7</v>
      </c>
    </row>
    <row r="1892" spans="1:7" x14ac:dyDescent="0.3">
      <c r="A1892" t="s">
        <v>32</v>
      </c>
      <c r="B1892" s="1">
        <v>45869</v>
      </c>
      <c r="C1892">
        <v>551003</v>
      </c>
      <c r="D1892">
        <v>25153.863000000001</v>
      </c>
      <c r="E1892" t="s">
        <v>6</v>
      </c>
      <c r="F1892" t="s">
        <v>63</v>
      </c>
      <c r="G1892" t="s">
        <v>7</v>
      </c>
    </row>
    <row r="1893" spans="1:7" x14ac:dyDescent="0.3">
      <c r="A1893" t="s">
        <v>32</v>
      </c>
      <c r="B1893" s="1">
        <v>45869</v>
      </c>
      <c r="C1893">
        <v>551008</v>
      </c>
      <c r="D1893">
        <v>452.73899999999998</v>
      </c>
      <c r="E1893" t="s">
        <v>6</v>
      </c>
      <c r="F1893" t="s">
        <v>63</v>
      </c>
      <c r="G1893" t="s">
        <v>7</v>
      </c>
    </row>
    <row r="1894" spans="1:7" x14ac:dyDescent="0.3">
      <c r="A1894" t="s">
        <v>32</v>
      </c>
      <c r="B1894" s="1">
        <v>45869</v>
      </c>
      <c r="C1894">
        <v>551011</v>
      </c>
      <c r="D1894">
        <v>279.76</v>
      </c>
      <c r="E1894" t="s">
        <v>6</v>
      </c>
      <c r="F1894" t="s">
        <v>61</v>
      </c>
      <c r="G1894" t="s">
        <v>7</v>
      </c>
    </row>
    <row r="1895" spans="1:7" x14ac:dyDescent="0.3">
      <c r="A1895" t="s">
        <v>32</v>
      </c>
      <c r="B1895" s="1">
        <v>45869</v>
      </c>
      <c r="C1895">
        <v>552002</v>
      </c>
      <c r="D1895">
        <v>1277.883</v>
      </c>
      <c r="E1895" t="s">
        <v>6</v>
      </c>
      <c r="F1895" t="s">
        <v>55</v>
      </c>
      <c r="G1895" t="s">
        <v>7</v>
      </c>
    </row>
    <row r="1896" spans="1:7" x14ac:dyDescent="0.3">
      <c r="A1896" t="s">
        <v>32</v>
      </c>
      <c r="B1896" s="1">
        <v>45869</v>
      </c>
      <c r="C1896">
        <v>552502</v>
      </c>
      <c r="D1896">
        <v>1.867</v>
      </c>
      <c r="E1896" t="s">
        <v>6</v>
      </c>
      <c r="F1896" t="s">
        <v>55</v>
      </c>
      <c r="G1896" t="s">
        <v>7</v>
      </c>
    </row>
    <row r="1897" spans="1:7" x14ac:dyDescent="0.3">
      <c r="A1897" t="s">
        <v>32</v>
      </c>
      <c r="B1897" s="1">
        <v>45869</v>
      </c>
      <c r="C1897">
        <v>552504</v>
      </c>
      <c r="D1897">
        <v>1673.8689999999999</v>
      </c>
      <c r="E1897" t="s">
        <v>6</v>
      </c>
      <c r="F1897" t="s">
        <v>55</v>
      </c>
      <c r="G1897" t="s">
        <v>7</v>
      </c>
    </row>
    <row r="1898" spans="1:7" x14ac:dyDescent="0.3">
      <c r="A1898" t="s">
        <v>32</v>
      </c>
      <c r="B1898" s="1">
        <v>45869</v>
      </c>
      <c r="C1898">
        <v>554005</v>
      </c>
      <c r="D1898">
        <v>792.09699999999998</v>
      </c>
      <c r="E1898" t="s">
        <v>6</v>
      </c>
      <c r="F1898" t="s">
        <v>55</v>
      </c>
      <c r="G1898" t="s">
        <v>7</v>
      </c>
    </row>
    <row r="1899" spans="1:7" x14ac:dyDescent="0.3">
      <c r="A1899" t="s">
        <v>32</v>
      </c>
      <c r="B1899" s="1">
        <v>45869</v>
      </c>
      <c r="C1899">
        <v>554007</v>
      </c>
      <c r="D1899">
        <v>2277.0990000000002</v>
      </c>
      <c r="E1899" t="s">
        <v>6</v>
      </c>
      <c r="F1899" t="s">
        <v>55</v>
      </c>
      <c r="G1899" t="s">
        <v>7</v>
      </c>
    </row>
    <row r="1900" spans="1:7" x14ac:dyDescent="0.3">
      <c r="A1900" t="s">
        <v>32</v>
      </c>
      <c r="B1900" s="1">
        <v>45869</v>
      </c>
      <c r="C1900">
        <v>555007</v>
      </c>
      <c r="D1900">
        <v>7665.5780000000004</v>
      </c>
      <c r="E1900" t="s">
        <v>6</v>
      </c>
      <c r="F1900" t="s">
        <v>55</v>
      </c>
      <c r="G1900" t="s">
        <v>7</v>
      </c>
    </row>
    <row r="1901" spans="1:7" x14ac:dyDescent="0.3">
      <c r="A1901" t="s">
        <v>32</v>
      </c>
      <c r="B1901" s="1">
        <v>45869</v>
      </c>
      <c r="C1901">
        <v>555502</v>
      </c>
      <c r="D1901">
        <v>8535.8850000000002</v>
      </c>
      <c r="E1901" t="s">
        <v>6</v>
      </c>
      <c r="F1901" t="s">
        <v>55</v>
      </c>
      <c r="G1901" t="s">
        <v>7</v>
      </c>
    </row>
    <row r="1902" spans="1:7" x14ac:dyDescent="0.3">
      <c r="A1902" t="s">
        <v>32</v>
      </c>
      <c r="B1902" s="1">
        <v>45869</v>
      </c>
      <c r="C1902">
        <v>555508</v>
      </c>
      <c r="D1902">
        <v>1649.575</v>
      </c>
      <c r="E1902" t="s">
        <v>6</v>
      </c>
      <c r="F1902" t="s">
        <v>55</v>
      </c>
      <c r="G1902" t="s">
        <v>7</v>
      </c>
    </row>
    <row r="1903" spans="1:7" x14ac:dyDescent="0.3">
      <c r="A1903" t="s">
        <v>32</v>
      </c>
      <c r="B1903" s="1">
        <v>45869</v>
      </c>
      <c r="C1903">
        <v>556002</v>
      </c>
      <c r="D1903">
        <v>-3655.2269999999999</v>
      </c>
      <c r="E1903" t="s">
        <v>6</v>
      </c>
      <c r="F1903" t="s">
        <v>60</v>
      </c>
      <c r="G1903" t="s">
        <v>7</v>
      </c>
    </row>
    <row r="1904" spans="1:7" x14ac:dyDescent="0.3">
      <c r="A1904" t="s">
        <v>32</v>
      </c>
      <c r="B1904" s="1">
        <v>45869</v>
      </c>
      <c r="C1904">
        <v>556004</v>
      </c>
      <c r="D1904">
        <v>4520.5079999999998</v>
      </c>
      <c r="E1904" t="s">
        <v>6</v>
      </c>
      <c r="F1904" t="s">
        <v>55</v>
      </c>
      <c r="G1904" t="s">
        <v>7</v>
      </c>
    </row>
    <row r="1905" spans="1:7" x14ac:dyDescent="0.3">
      <c r="A1905" t="s">
        <v>32</v>
      </c>
      <c r="B1905" s="1">
        <v>45869</v>
      </c>
      <c r="C1905">
        <v>557002</v>
      </c>
      <c r="D1905">
        <v>44203.841</v>
      </c>
      <c r="E1905" t="s">
        <v>6</v>
      </c>
      <c r="F1905" t="s">
        <v>56</v>
      </c>
      <c r="G1905" t="s">
        <v>7</v>
      </c>
    </row>
    <row r="1906" spans="1:7" x14ac:dyDescent="0.3">
      <c r="A1906" t="s">
        <v>32</v>
      </c>
      <c r="B1906" s="1">
        <v>45869</v>
      </c>
      <c r="C1906">
        <v>557003</v>
      </c>
      <c r="D1906">
        <v>15326.37</v>
      </c>
      <c r="E1906" t="s">
        <v>6</v>
      </c>
      <c r="F1906" t="s">
        <v>56</v>
      </c>
      <c r="G1906" t="s">
        <v>7</v>
      </c>
    </row>
    <row r="1907" spans="1:7" x14ac:dyDescent="0.3">
      <c r="A1907" t="s">
        <v>32</v>
      </c>
      <c r="B1907" s="1">
        <v>45869</v>
      </c>
      <c r="C1907">
        <v>558003</v>
      </c>
      <c r="D1907">
        <v>2964.221</v>
      </c>
      <c r="E1907" t="s">
        <v>6</v>
      </c>
      <c r="F1907" t="s">
        <v>57</v>
      </c>
      <c r="G1907" t="s">
        <v>7</v>
      </c>
    </row>
    <row r="1908" spans="1:7" x14ac:dyDescent="0.3">
      <c r="A1908" t="s">
        <v>32</v>
      </c>
      <c r="B1908" s="1">
        <v>45869</v>
      </c>
      <c r="C1908">
        <v>558006</v>
      </c>
      <c r="D1908">
        <v>7586.9639999999999</v>
      </c>
      <c r="E1908" t="s">
        <v>6</v>
      </c>
      <c r="F1908" t="s">
        <v>57</v>
      </c>
      <c r="G1908" t="s">
        <v>7</v>
      </c>
    </row>
    <row r="1909" spans="1:7" x14ac:dyDescent="0.3">
      <c r="A1909" t="s">
        <v>32</v>
      </c>
      <c r="B1909" s="1">
        <v>45869</v>
      </c>
      <c r="C1909">
        <v>558007</v>
      </c>
      <c r="D1909">
        <v>220.61699999999999</v>
      </c>
      <c r="E1909" t="s">
        <v>6</v>
      </c>
      <c r="F1909" t="s">
        <v>60</v>
      </c>
      <c r="G1909" t="s">
        <v>7</v>
      </c>
    </row>
    <row r="1910" spans="1:7" x14ac:dyDescent="0.3">
      <c r="A1910" t="s">
        <v>32</v>
      </c>
      <c r="B1910" s="1">
        <v>45869</v>
      </c>
      <c r="C1910">
        <v>558012</v>
      </c>
      <c r="D1910">
        <v>2259.4360000000001</v>
      </c>
      <c r="E1910" t="s">
        <v>6</v>
      </c>
      <c r="F1910" t="s">
        <v>60</v>
      </c>
      <c r="G1910" t="s">
        <v>7</v>
      </c>
    </row>
    <row r="1911" spans="1:7" x14ac:dyDescent="0.3">
      <c r="A1911" t="s">
        <v>32</v>
      </c>
      <c r="B1911" s="1">
        <v>45869</v>
      </c>
      <c r="C1911">
        <v>559002</v>
      </c>
      <c r="D1911">
        <v>166.39599999999999</v>
      </c>
      <c r="E1911" t="s">
        <v>6</v>
      </c>
      <c r="F1911" t="s">
        <v>60</v>
      </c>
      <c r="G1911" t="s">
        <v>7</v>
      </c>
    </row>
    <row r="1912" spans="1:7" x14ac:dyDescent="0.3">
      <c r="A1912" t="s">
        <v>32</v>
      </c>
      <c r="B1912" s="1">
        <v>45869</v>
      </c>
      <c r="C1912">
        <v>563002</v>
      </c>
      <c r="D1912">
        <v>-5.6379999999999999</v>
      </c>
      <c r="E1912" t="s">
        <v>6</v>
      </c>
      <c r="F1912" t="s">
        <v>57</v>
      </c>
      <c r="G1912" t="s">
        <v>7</v>
      </c>
    </row>
    <row r="1913" spans="1:7" x14ac:dyDescent="0.3">
      <c r="A1913" t="s">
        <v>32</v>
      </c>
      <c r="B1913" s="1">
        <v>45869</v>
      </c>
      <c r="C1913">
        <v>564004</v>
      </c>
      <c r="D1913">
        <v>101057.44</v>
      </c>
      <c r="E1913" t="s">
        <v>6</v>
      </c>
      <c r="F1913" t="s">
        <v>51</v>
      </c>
      <c r="G1913" t="s">
        <v>7</v>
      </c>
    </row>
    <row r="1914" spans="1:7" x14ac:dyDescent="0.3">
      <c r="A1914" t="s">
        <v>32</v>
      </c>
      <c r="B1914" s="1">
        <v>45869</v>
      </c>
      <c r="C1914">
        <v>564006</v>
      </c>
      <c r="D1914">
        <v>-2.0819999999999999</v>
      </c>
      <c r="E1914" t="s">
        <v>6</v>
      </c>
      <c r="F1914" t="s">
        <v>57</v>
      </c>
      <c r="G1914" t="s">
        <v>7</v>
      </c>
    </row>
    <row r="1915" spans="1:7" x14ac:dyDescent="0.3">
      <c r="A1915" t="s">
        <v>32</v>
      </c>
      <c r="B1915" s="1">
        <v>45869</v>
      </c>
      <c r="C1915">
        <v>564007</v>
      </c>
      <c r="D1915">
        <v>1E-3</v>
      </c>
      <c r="E1915" t="s">
        <v>6</v>
      </c>
      <c r="F1915" t="s">
        <v>57</v>
      </c>
      <c r="G1915" t="s">
        <v>7</v>
      </c>
    </row>
    <row r="1916" spans="1:7" x14ac:dyDescent="0.3">
      <c r="A1916" t="s">
        <v>32</v>
      </c>
      <c r="B1916" s="1">
        <v>45869</v>
      </c>
      <c r="C1916">
        <v>564008</v>
      </c>
      <c r="D1916">
        <v>508.79</v>
      </c>
      <c r="E1916" t="s">
        <v>6</v>
      </c>
      <c r="F1916" t="s">
        <v>55</v>
      </c>
      <c r="G1916" t="s">
        <v>7</v>
      </c>
    </row>
    <row r="1917" spans="1:7" x14ac:dyDescent="0.3">
      <c r="A1917" t="s">
        <v>32</v>
      </c>
      <c r="B1917" s="1">
        <v>45869</v>
      </c>
      <c r="C1917">
        <v>564020</v>
      </c>
      <c r="D1917">
        <v>762.91700000000003</v>
      </c>
      <c r="E1917" t="s">
        <v>6</v>
      </c>
      <c r="F1917" t="s">
        <v>57</v>
      </c>
      <c r="G1917" t="s">
        <v>7</v>
      </c>
    </row>
    <row r="1918" spans="1:7" x14ac:dyDescent="0.3">
      <c r="A1918" t="s">
        <v>32</v>
      </c>
      <c r="B1918" s="1">
        <v>45869</v>
      </c>
      <c r="C1918">
        <v>564021</v>
      </c>
      <c r="D1918">
        <v>191.548</v>
      </c>
      <c r="E1918" t="s">
        <v>6</v>
      </c>
      <c r="F1918" t="s">
        <v>57</v>
      </c>
      <c r="G1918" t="s">
        <v>7</v>
      </c>
    </row>
    <row r="1919" spans="1:7" x14ac:dyDescent="0.3">
      <c r="A1919" t="s">
        <v>32</v>
      </c>
      <c r="B1919" s="1">
        <v>45869</v>
      </c>
      <c r="C1919">
        <v>564022</v>
      </c>
      <c r="D1919">
        <v>6432.89</v>
      </c>
      <c r="E1919" t="s">
        <v>6</v>
      </c>
      <c r="F1919" t="s">
        <v>67</v>
      </c>
      <c r="G1919" t="s">
        <v>7</v>
      </c>
    </row>
    <row r="1920" spans="1:7" x14ac:dyDescent="0.3">
      <c r="A1920" t="s">
        <v>32</v>
      </c>
      <c r="B1920" s="1">
        <v>45869</v>
      </c>
      <c r="C1920">
        <v>570002</v>
      </c>
      <c r="D1920">
        <v>10204.629999999999</v>
      </c>
      <c r="E1920" t="s">
        <v>6</v>
      </c>
      <c r="F1920" t="s">
        <v>66</v>
      </c>
      <c r="G1920" t="s">
        <v>7</v>
      </c>
    </row>
    <row r="1921" spans="1:7" x14ac:dyDescent="0.3">
      <c r="A1921" t="s">
        <v>32</v>
      </c>
      <c r="B1921" s="1">
        <v>45869</v>
      </c>
      <c r="C1921">
        <v>570004</v>
      </c>
      <c r="D1921">
        <v>16402.291000000001</v>
      </c>
      <c r="E1921" t="s">
        <v>6</v>
      </c>
      <c r="F1921" t="s">
        <v>66</v>
      </c>
      <c r="G1921" t="s">
        <v>7</v>
      </c>
    </row>
    <row r="1922" spans="1:7" x14ac:dyDescent="0.3">
      <c r="A1922" t="s">
        <v>32</v>
      </c>
      <c r="B1922" s="1">
        <v>45869</v>
      </c>
      <c r="C1922">
        <v>580002</v>
      </c>
      <c r="D1922">
        <v>27958.655999999999</v>
      </c>
      <c r="E1922" t="s">
        <v>6</v>
      </c>
      <c r="F1922" t="s">
        <v>64</v>
      </c>
      <c r="G1922" t="s">
        <v>7</v>
      </c>
    </row>
    <row r="1923" spans="1:7" x14ac:dyDescent="0.3">
      <c r="A1923" t="s">
        <v>32</v>
      </c>
      <c r="B1923" s="1">
        <v>45869</v>
      </c>
      <c r="C1923">
        <v>580003</v>
      </c>
      <c r="D1923">
        <v>38919.256999999998</v>
      </c>
      <c r="E1923" t="s">
        <v>6</v>
      </c>
      <c r="F1923" t="s">
        <v>64</v>
      </c>
      <c r="G1923" t="s">
        <v>7</v>
      </c>
    </row>
    <row r="1924" spans="1:7" x14ac:dyDescent="0.3">
      <c r="A1924" t="s">
        <v>32</v>
      </c>
      <c r="B1924" s="1">
        <v>45869</v>
      </c>
      <c r="C1924">
        <v>580005</v>
      </c>
      <c r="D1924">
        <v>-100027.70600000001</v>
      </c>
      <c r="E1924" t="s">
        <v>6</v>
      </c>
      <c r="F1924" t="s">
        <v>64</v>
      </c>
      <c r="G1924" t="s">
        <v>7</v>
      </c>
    </row>
    <row r="1925" spans="1:7" x14ac:dyDescent="0.3">
      <c r="A1925" t="s">
        <v>33</v>
      </c>
      <c r="B1925" s="1">
        <v>45869</v>
      </c>
      <c r="C1925">
        <v>210002</v>
      </c>
      <c r="D1925">
        <v>-626476.96</v>
      </c>
      <c r="E1925" t="s">
        <v>4</v>
      </c>
      <c r="F1925" t="s">
        <v>42</v>
      </c>
      <c r="G1925" t="s">
        <v>7</v>
      </c>
    </row>
    <row r="1926" spans="1:7" x14ac:dyDescent="0.3">
      <c r="A1926" t="s">
        <v>33</v>
      </c>
      <c r="B1926" s="1">
        <v>45869</v>
      </c>
      <c r="C1926">
        <v>220006</v>
      </c>
      <c r="D1926">
        <v>-318094.49400000001</v>
      </c>
      <c r="E1926" t="s">
        <v>4</v>
      </c>
      <c r="F1926" t="s">
        <v>42</v>
      </c>
      <c r="G1926" t="s">
        <v>7</v>
      </c>
    </row>
    <row r="1927" spans="1:7" x14ac:dyDescent="0.3">
      <c r="A1927" t="s">
        <v>33</v>
      </c>
      <c r="B1927" s="1">
        <v>45869</v>
      </c>
      <c r="C1927">
        <v>220011</v>
      </c>
      <c r="D1927">
        <v>653731.12399999995</v>
      </c>
      <c r="E1927" t="s">
        <v>4</v>
      </c>
      <c r="F1927" t="s">
        <v>42</v>
      </c>
      <c r="G1927" t="s">
        <v>7</v>
      </c>
    </row>
    <row r="1928" spans="1:7" x14ac:dyDescent="0.3">
      <c r="A1928" t="s">
        <v>33</v>
      </c>
      <c r="B1928" s="1">
        <v>45869</v>
      </c>
      <c r="C1928">
        <v>240002</v>
      </c>
      <c r="D1928">
        <v>-365.12799999999999</v>
      </c>
      <c r="E1928" t="s">
        <v>4</v>
      </c>
      <c r="F1928" t="s">
        <v>43</v>
      </c>
      <c r="G1928" t="s">
        <v>7</v>
      </c>
    </row>
    <row r="1929" spans="1:7" x14ac:dyDescent="0.3">
      <c r="A1929" t="s">
        <v>33</v>
      </c>
      <c r="B1929" s="1">
        <v>45869</v>
      </c>
      <c r="C1929">
        <v>240009</v>
      </c>
      <c r="D1929">
        <v>-156.12200000000001</v>
      </c>
      <c r="E1929" t="s">
        <v>4</v>
      </c>
      <c r="F1929" t="s">
        <v>43</v>
      </c>
      <c r="G1929" t="s">
        <v>7</v>
      </c>
    </row>
    <row r="1930" spans="1:7" x14ac:dyDescent="0.3">
      <c r="A1930" t="s">
        <v>33</v>
      </c>
      <c r="B1930" s="1">
        <v>45869</v>
      </c>
      <c r="C1930">
        <v>242003</v>
      </c>
      <c r="D1930">
        <v>-569875.42500000005</v>
      </c>
      <c r="E1930" t="s">
        <v>4</v>
      </c>
      <c r="F1930" t="s">
        <v>43</v>
      </c>
      <c r="G1930" t="s">
        <v>7</v>
      </c>
    </row>
    <row r="1931" spans="1:7" x14ac:dyDescent="0.3">
      <c r="A1931" t="s">
        <v>33</v>
      </c>
      <c r="B1931" s="1">
        <v>45869</v>
      </c>
      <c r="C1931">
        <v>242007</v>
      </c>
      <c r="D1931">
        <v>659.62400000000002</v>
      </c>
      <c r="E1931" t="s">
        <v>4</v>
      </c>
      <c r="F1931" t="s">
        <v>43</v>
      </c>
      <c r="G1931" t="s">
        <v>7</v>
      </c>
    </row>
    <row r="1932" spans="1:7" x14ac:dyDescent="0.3">
      <c r="A1932" t="s">
        <v>33</v>
      </c>
      <c r="B1932" s="1">
        <v>45869</v>
      </c>
      <c r="C1932">
        <v>242011</v>
      </c>
      <c r="D1932">
        <v>-51554.364999999998</v>
      </c>
      <c r="E1932" t="s">
        <v>4</v>
      </c>
      <c r="F1932" t="s">
        <v>43</v>
      </c>
      <c r="G1932" t="s">
        <v>7</v>
      </c>
    </row>
    <row r="1933" spans="1:7" x14ac:dyDescent="0.3">
      <c r="A1933" t="s">
        <v>33</v>
      </c>
      <c r="B1933" s="1">
        <v>45869</v>
      </c>
      <c r="C1933">
        <v>242012</v>
      </c>
      <c r="D1933">
        <v>-923.101</v>
      </c>
      <c r="E1933" t="s">
        <v>4</v>
      </c>
      <c r="F1933" t="s">
        <v>43</v>
      </c>
      <c r="G1933" t="s">
        <v>7</v>
      </c>
    </row>
    <row r="1934" spans="1:7" x14ac:dyDescent="0.3">
      <c r="A1934" t="s">
        <v>33</v>
      </c>
      <c r="B1934" s="1">
        <v>45869</v>
      </c>
      <c r="C1934">
        <v>242014</v>
      </c>
      <c r="D1934">
        <v>-25226.641</v>
      </c>
      <c r="E1934" t="s">
        <v>4</v>
      </c>
      <c r="F1934" t="s">
        <v>43</v>
      </c>
      <c r="G1934" t="s">
        <v>7</v>
      </c>
    </row>
    <row r="1935" spans="1:7" x14ac:dyDescent="0.3">
      <c r="A1935" t="s">
        <v>33</v>
      </c>
      <c r="B1935" s="1">
        <v>45869</v>
      </c>
      <c r="C1935">
        <v>242027</v>
      </c>
      <c r="D1935">
        <v>-4549.7280000000001</v>
      </c>
      <c r="E1935" t="s">
        <v>4</v>
      </c>
      <c r="F1935" t="s">
        <v>43</v>
      </c>
      <c r="G1935" t="s">
        <v>7</v>
      </c>
    </row>
    <row r="1936" spans="1:7" x14ac:dyDescent="0.3">
      <c r="A1936" t="s">
        <v>33</v>
      </c>
      <c r="B1936" s="1">
        <v>45869</v>
      </c>
      <c r="C1936">
        <v>242030</v>
      </c>
      <c r="D1936">
        <v>-60057.803999999996</v>
      </c>
      <c r="E1936" t="s">
        <v>4</v>
      </c>
      <c r="F1936" t="s">
        <v>43</v>
      </c>
      <c r="G1936" t="s">
        <v>7</v>
      </c>
    </row>
    <row r="1937" spans="1:7" x14ac:dyDescent="0.3">
      <c r="A1937" t="s">
        <v>33</v>
      </c>
      <c r="B1937" s="1">
        <v>45869</v>
      </c>
      <c r="C1937">
        <v>242038</v>
      </c>
      <c r="D1937">
        <v>-26.597000000000001</v>
      </c>
      <c r="E1937" t="s">
        <v>4</v>
      </c>
      <c r="F1937" t="s">
        <v>43</v>
      </c>
      <c r="G1937" t="s">
        <v>7</v>
      </c>
    </row>
    <row r="1938" spans="1:7" x14ac:dyDescent="0.3">
      <c r="A1938" t="s">
        <v>33</v>
      </c>
      <c r="B1938" s="1">
        <v>45869</v>
      </c>
      <c r="C1938">
        <v>242041</v>
      </c>
      <c r="D1938">
        <v>491.95100000000002</v>
      </c>
      <c r="E1938" t="s">
        <v>4</v>
      </c>
      <c r="F1938" t="s">
        <v>43</v>
      </c>
      <c r="G1938" t="s">
        <v>7</v>
      </c>
    </row>
    <row r="1939" spans="1:7" x14ac:dyDescent="0.3">
      <c r="A1939" t="s">
        <v>33</v>
      </c>
      <c r="B1939" s="1">
        <v>45869</v>
      </c>
      <c r="C1939">
        <v>243002</v>
      </c>
      <c r="D1939">
        <v>-2669.0189999999998</v>
      </c>
      <c r="E1939" t="s">
        <v>4</v>
      </c>
      <c r="F1939" t="s">
        <v>43</v>
      </c>
      <c r="G1939" t="s">
        <v>7</v>
      </c>
    </row>
    <row r="1940" spans="1:7" x14ac:dyDescent="0.3">
      <c r="A1940" t="s">
        <v>33</v>
      </c>
      <c r="B1940" s="1">
        <v>45869</v>
      </c>
      <c r="C1940">
        <v>243003</v>
      </c>
      <c r="D1940">
        <v>-16088.231</v>
      </c>
      <c r="E1940" t="s">
        <v>4</v>
      </c>
      <c r="F1940" t="s">
        <v>43</v>
      </c>
      <c r="G1940" t="s">
        <v>7</v>
      </c>
    </row>
    <row r="1941" spans="1:7" x14ac:dyDescent="0.3">
      <c r="A1941" t="s">
        <v>33</v>
      </c>
      <c r="B1941" s="1">
        <v>45869</v>
      </c>
      <c r="C1941">
        <v>243009</v>
      </c>
      <c r="D1941">
        <v>-184.43799999999999</v>
      </c>
      <c r="E1941" t="s">
        <v>4</v>
      </c>
      <c r="F1941" t="s">
        <v>43</v>
      </c>
      <c r="G1941" t="s">
        <v>7</v>
      </c>
    </row>
    <row r="1942" spans="1:7" x14ac:dyDescent="0.3">
      <c r="A1942" t="s">
        <v>33</v>
      </c>
      <c r="B1942" s="1">
        <v>45869</v>
      </c>
      <c r="C1942">
        <v>245010</v>
      </c>
      <c r="D1942">
        <v>-44467.108999999997</v>
      </c>
      <c r="E1942" t="s">
        <v>4</v>
      </c>
      <c r="F1942" t="s">
        <v>44</v>
      </c>
      <c r="G1942" t="s">
        <v>7</v>
      </c>
    </row>
    <row r="1943" spans="1:7" x14ac:dyDescent="0.3">
      <c r="A1943" t="s">
        <v>33</v>
      </c>
      <c r="B1943" s="1">
        <v>45869</v>
      </c>
      <c r="C1943">
        <v>245018</v>
      </c>
      <c r="D1943">
        <v>-9163.2340000000004</v>
      </c>
      <c r="E1943" t="s">
        <v>4</v>
      </c>
      <c r="F1943" t="s">
        <v>43</v>
      </c>
      <c r="G1943" t="s">
        <v>7</v>
      </c>
    </row>
    <row r="1944" spans="1:7" x14ac:dyDescent="0.3">
      <c r="A1944" t="s">
        <v>33</v>
      </c>
      <c r="B1944" s="1">
        <v>45869</v>
      </c>
      <c r="C1944">
        <v>245056</v>
      </c>
      <c r="D1944">
        <v>-150.99199999999999</v>
      </c>
      <c r="E1944" t="s">
        <v>4</v>
      </c>
      <c r="F1944" t="s">
        <v>49</v>
      </c>
      <c r="G1944" t="s">
        <v>7</v>
      </c>
    </row>
    <row r="1945" spans="1:7" x14ac:dyDescent="0.3">
      <c r="A1945" t="s">
        <v>33</v>
      </c>
      <c r="B1945" s="1">
        <v>45869</v>
      </c>
      <c r="C1945">
        <v>245062</v>
      </c>
      <c r="D1945">
        <v>-32887.341</v>
      </c>
      <c r="E1945" t="s">
        <v>4</v>
      </c>
      <c r="F1945" t="s">
        <v>43</v>
      </c>
      <c r="G1945" t="s">
        <v>7</v>
      </c>
    </row>
    <row r="1946" spans="1:7" x14ac:dyDescent="0.3">
      <c r="A1946" t="s">
        <v>33</v>
      </c>
      <c r="B1946" s="1">
        <v>45869</v>
      </c>
      <c r="C1946">
        <v>250003</v>
      </c>
      <c r="D1946">
        <v>-10591.643</v>
      </c>
      <c r="E1946" t="s">
        <v>4</v>
      </c>
      <c r="F1946" t="s">
        <v>45</v>
      </c>
      <c r="G1946" t="s">
        <v>7</v>
      </c>
    </row>
    <row r="1947" spans="1:7" x14ac:dyDescent="0.3">
      <c r="A1947" t="s">
        <v>33</v>
      </c>
      <c r="B1947" s="1">
        <v>45869</v>
      </c>
      <c r="C1947">
        <v>250007</v>
      </c>
      <c r="D1947">
        <v>38943.409</v>
      </c>
      <c r="E1947" t="s">
        <v>4</v>
      </c>
      <c r="F1947" t="s">
        <v>43</v>
      </c>
      <c r="G1947" t="s">
        <v>7</v>
      </c>
    </row>
    <row r="1948" spans="1:7" x14ac:dyDescent="0.3">
      <c r="A1948" t="s">
        <v>33</v>
      </c>
      <c r="B1948" s="1">
        <v>45869</v>
      </c>
      <c r="C1948">
        <v>251003</v>
      </c>
      <c r="D1948">
        <v>-2948.1559999999999</v>
      </c>
      <c r="E1948" t="s">
        <v>4</v>
      </c>
      <c r="F1948" t="s">
        <v>45</v>
      </c>
      <c r="G1948" t="s">
        <v>7</v>
      </c>
    </row>
    <row r="1949" spans="1:7" x14ac:dyDescent="0.3">
      <c r="A1949" t="s">
        <v>33</v>
      </c>
      <c r="B1949" s="1">
        <v>45869</v>
      </c>
      <c r="C1949">
        <v>251005</v>
      </c>
      <c r="D1949">
        <v>2937.761</v>
      </c>
      <c r="E1949" t="s">
        <v>4</v>
      </c>
      <c r="F1949" t="s">
        <v>46</v>
      </c>
      <c r="G1949" t="s">
        <v>7</v>
      </c>
    </row>
    <row r="1950" spans="1:7" x14ac:dyDescent="0.3">
      <c r="A1950" t="s">
        <v>33</v>
      </c>
      <c r="B1950" s="1">
        <v>45869</v>
      </c>
      <c r="C1950">
        <v>257008</v>
      </c>
      <c r="D1950">
        <v>-8609.3770000000004</v>
      </c>
      <c r="E1950" t="s">
        <v>4</v>
      </c>
      <c r="F1950" t="s">
        <v>45</v>
      </c>
      <c r="G1950" t="s">
        <v>7</v>
      </c>
    </row>
    <row r="1951" spans="1:7" x14ac:dyDescent="0.3">
      <c r="A1951" t="s">
        <v>33</v>
      </c>
      <c r="B1951" s="1">
        <v>45869</v>
      </c>
      <c r="C1951">
        <v>257009</v>
      </c>
      <c r="D1951">
        <v>-7591.2449999999999</v>
      </c>
      <c r="E1951" t="s">
        <v>4</v>
      </c>
      <c r="F1951" t="s">
        <v>45</v>
      </c>
      <c r="G1951" t="s">
        <v>7</v>
      </c>
    </row>
    <row r="1952" spans="1:7" x14ac:dyDescent="0.3">
      <c r="A1952" t="s">
        <v>33</v>
      </c>
      <c r="B1952" s="1">
        <v>45869</v>
      </c>
      <c r="C1952">
        <v>257011</v>
      </c>
      <c r="D1952">
        <v>-5158.8180000000002</v>
      </c>
      <c r="E1952" t="s">
        <v>4</v>
      </c>
      <c r="F1952" t="s">
        <v>45</v>
      </c>
      <c r="G1952" t="s">
        <v>7</v>
      </c>
    </row>
    <row r="1953" spans="1:7" x14ac:dyDescent="0.3">
      <c r="A1953" t="s">
        <v>33</v>
      </c>
      <c r="B1953" s="1">
        <v>45869</v>
      </c>
      <c r="C1953">
        <v>257028</v>
      </c>
      <c r="D1953">
        <v>-31545.677</v>
      </c>
      <c r="E1953" t="s">
        <v>4</v>
      </c>
      <c r="F1953" t="s">
        <v>45</v>
      </c>
      <c r="G1953" t="s">
        <v>7</v>
      </c>
    </row>
    <row r="1954" spans="1:7" x14ac:dyDescent="0.3">
      <c r="A1954" t="s">
        <v>33</v>
      </c>
      <c r="B1954" s="1">
        <v>45869</v>
      </c>
      <c r="C1954">
        <v>260004</v>
      </c>
      <c r="D1954">
        <v>9736.4840000000004</v>
      </c>
      <c r="E1954" t="s">
        <v>4</v>
      </c>
      <c r="F1954" t="s">
        <v>45</v>
      </c>
      <c r="G1954" t="s">
        <v>7</v>
      </c>
    </row>
    <row r="1955" spans="1:7" x14ac:dyDescent="0.3">
      <c r="A1955" t="s">
        <v>33</v>
      </c>
      <c r="B1955" s="1">
        <v>45869</v>
      </c>
      <c r="C1955">
        <v>270024</v>
      </c>
      <c r="D1955">
        <v>-107.006</v>
      </c>
      <c r="E1955" t="s">
        <v>4</v>
      </c>
      <c r="F1955" t="s">
        <v>58</v>
      </c>
      <c r="G1955" t="s">
        <v>7</v>
      </c>
    </row>
    <row r="1956" spans="1:7" x14ac:dyDescent="0.3">
      <c r="A1956" t="s">
        <v>33</v>
      </c>
      <c r="B1956" s="1">
        <v>45869</v>
      </c>
      <c r="C1956">
        <v>270025</v>
      </c>
      <c r="D1956">
        <v>-68.793999999999997</v>
      </c>
      <c r="E1956" t="s">
        <v>4</v>
      </c>
      <c r="F1956" t="s">
        <v>58</v>
      </c>
      <c r="G1956" t="s">
        <v>7</v>
      </c>
    </row>
    <row r="1957" spans="1:7" x14ac:dyDescent="0.3">
      <c r="A1957" t="s">
        <v>33</v>
      </c>
      <c r="B1957" s="1">
        <v>45869</v>
      </c>
      <c r="C1957">
        <v>270026</v>
      </c>
      <c r="D1957">
        <v>-76.081999999999994</v>
      </c>
      <c r="E1957" t="s">
        <v>4</v>
      </c>
      <c r="F1957" t="s">
        <v>58</v>
      </c>
      <c r="G1957" t="s">
        <v>7</v>
      </c>
    </row>
    <row r="1958" spans="1:7" x14ac:dyDescent="0.3">
      <c r="A1958" t="s">
        <v>33</v>
      </c>
      <c r="B1958" s="1">
        <v>45869</v>
      </c>
      <c r="C1958">
        <v>270027</v>
      </c>
      <c r="D1958">
        <v>-16.934000000000001</v>
      </c>
      <c r="E1958" t="s">
        <v>4</v>
      </c>
      <c r="F1958" t="s">
        <v>58</v>
      </c>
      <c r="G1958" t="s">
        <v>7</v>
      </c>
    </row>
    <row r="1959" spans="1:7" x14ac:dyDescent="0.3">
      <c r="A1959" t="s">
        <v>33</v>
      </c>
      <c r="B1959" s="1">
        <v>45869</v>
      </c>
      <c r="C1959">
        <v>300004</v>
      </c>
      <c r="D1959">
        <v>92318.436000000002</v>
      </c>
      <c r="E1959" t="s">
        <v>4</v>
      </c>
      <c r="F1959" t="s">
        <v>65</v>
      </c>
      <c r="G1959" t="s">
        <v>7</v>
      </c>
    </row>
    <row r="1960" spans="1:7" x14ac:dyDescent="0.3">
      <c r="A1960" t="s">
        <v>33</v>
      </c>
      <c r="B1960" s="1">
        <v>45869</v>
      </c>
      <c r="C1960">
        <v>300005</v>
      </c>
      <c r="D1960">
        <v>15387.307000000001</v>
      </c>
      <c r="E1960" t="s">
        <v>4</v>
      </c>
      <c r="F1960" t="s">
        <v>65</v>
      </c>
      <c r="G1960" t="s">
        <v>7</v>
      </c>
    </row>
    <row r="1961" spans="1:7" x14ac:dyDescent="0.3">
      <c r="A1961" t="s">
        <v>33</v>
      </c>
      <c r="B1961" s="1">
        <v>45869</v>
      </c>
      <c r="C1961">
        <v>300008</v>
      </c>
      <c r="D1961">
        <v>19595.796999999999</v>
      </c>
      <c r="E1961" t="s">
        <v>4</v>
      </c>
      <c r="F1961" t="s">
        <v>65</v>
      </c>
      <c r="G1961" t="s">
        <v>7</v>
      </c>
    </row>
    <row r="1962" spans="1:7" x14ac:dyDescent="0.3">
      <c r="A1962" t="s">
        <v>33</v>
      </c>
      <c r="B1962" s="1">
        <v>45869</v>
      </c>
      <c r="C1962">
        <v>300009</v>
      </c>
      <c r="D1962">
        <v>1351.8789999999999</v>
      </c>
      <c r="E1962" t="s">
        <v>4</v>
      </c>
      <c r="F1962" t="s">
        <v>65</v>
      </c>
      <c r="G1962" t="s">
        <v>7</v>
      </c>
    </row>
    <row r="1963" spans="1:7" x14ac:dyDescent="0.3">
      <c r="A1963" t="s">
        <v>33</v>
      </c>
      <c r="B1963" s="1">
        <v>45869</v>
      </c>
      <c r="C1963">
        <v>300011</v>
      </c>
      <c r="D1963">
        <v>2370.7280000000001</v>
      </c>
      <c r="E1963" t="s">
        <v>4</v>
      </c>
      <c r="F1963" t="s">
        <v>65</v>
      </c>
      <c r="G1963" t="s">
        <v>7</v>
      </c>
    </row>
    <row r="1964" spans="1:7" x14ac:dyDescent="0.3">
      <c r="A1964" t="s">
        <v>33</v>
      </c>
      <c r="B1964" s="1">
        <v>45869</v>
      </c>
      <c r="C1964">
        <v>300012</v>
      </c>
      <c r="D1964">
        <v>23017.407999999999</v>
      </c>
      <c r="E1964" t="s">
        <v>4</v>
      </c>
      <c r="F1964" t="s">
        <v>65</v>
      </c>
      <c r="G1964" t="s">
        <v>7</v>
      </c>
    </row>
    <row r="1965" spans="1:7" x14ac:dyDescent="0.3">
      <c r="A1965" t="s">
        <v>33</v>
      </c>
      <c r="B1965" s="1">
        <v>45869</v>
      </c>
      <c r="C1965">
        <v>300014</v>
      </c>
      <c r="D1965">
        <v>4005.7939999999999</v>
      </c>
      <c r="E1965" t="s">
        <v>4</v>
      </c>
      <c r="F1965" t="s">
        <v>65</v>
      </c>
      <c r="G1965" t="s">
        <v>7</v>
      </c>
    </row>
    <row r="1966" spans="1:7" x14ac:dyDescent="0.3">
      <c r="A1966" t="s">
        <v>33</v>
      </c>
      <c r="B1966" s="1">
        <v>45869</v>
      </c>
      <c r="C1966">
        <v>300504</v>
      </c>
      <c r="D1966">
        <v>-90389.456999999995</v>
      </c>
      <c r="E1966" t="s">
        <v>4</v>
      </c>
      <c r="F1966" t="s">
        <v>65</v>
      </c>
      <c r="G1966" t="s">
        <v>7</v>
      </c>
    </row>
    <row r="1967" spans="1:7" x14ac:dyDescent="0.3">
      <c r="A1967" t="s">
        <v>33</v>
      </c>
      <c r="B1967" s="1">
        <v>45869</v>
      </c>
      <c r="C1967">
        <v>300505</v>
      </c>
      <c r="D1967">
        <v>-15266.22</v>
      </c>
      <c r="E1967" t="s">
        <v>4</v>
      </c>
      <c r="F1967" t="s">
        <v>65</v>
      </c>
      <c r="G1967" t="s">
        <v>7</v>
      </c>
    </row>
    <row r="1968" spans="1:7" x14ac:dyDescent="0.3">
      <c r="A1968" t="s">
        <v>33</v>
      </c>
      <c r="B1968" s="1">
        <v>45869</v>
      </c>
      <c r="C1968">
        <v>300508</v>
      </c>
      <c r="D1968">
        <v>-19595.796999999999</v>
      </c>
      <c r="E1968" t="s">
        <v>4</v>
      </c>
      <c r="F1968" t="s">
        <v>65</v>
      </c>
      <c r="G1968" t="s">
        <v>7</v>
      </c>
    </row>
    <row r="1969" spans="1:7" x14ac:dyDescent="0.3">
      <c r="A1969" t="s">
        <v>33</v>
      </c>
      <c r="B1969" s="1">
        <v>45869</v>
      </c>
      <c r="C1969">
        <v>300509</v>
      </c>
      <c r="D1969">
        <v>-1351.8789999999999</v>
      </c>
      <c r="E1969" t="s">
        <v>4</v>
      </c>
      <c r="F1969" t="s">
        <v>65</v>
      </c>
      <c r="G1969" t="s">
        <v>7</v>
      </c>
    </row>
    <row r="1970" spans="1:7" x14ac:dyDescent="0.3">
      <c r="A1970" t="s">
        <v>33</v>
      </c>
      <c r="B1970" s="1">
        <v>45869</v>
      </c>
      <c r="C1970">
        <v>300511</v>
      </c>
      <c r="D1970">
        <v>-2370.5250000000001</v>
      </c>
      <c r="E1970" t="s">
        <v>4</v>
      </c>
      <c r="F1970" t="s">
        <v>65</v>
      </c>
      <c r="G1970" t="s">
        <v>7</v>
      </c>
    </row>
    <row r="1971" spans="1:7" x14ac:dyDescent="0.3">
      <c r="A1971" t="s">
        <v>33</v>
      </c>
      <c r="B1971" s="1">
        <v>45869</v>
      </c>
      <c r="C1971">
        <v>300512</v>
      </c>
      <c r="D1971">
        <v>-22988.114000000001</v>
      </c>
      <c r="E1971" t="s">
        <v>4</v>
      </c>
      <c r="F1971" t="s">
        <v>65</v>
      </c>
      <c r="G1971" t="s">
        <v>7</v>
      </c>
    </row>
    <row r="1972" spans="1:7" x14ac:dyDescent="0.3">
      <c r="A1972" t="s">
        <v>33</v>
      </c>
      <c r="B1972" s="1">
        <v>45869</v>
      </c>
      <c r="C1972">
        <v>300514</v>
      </c>
      <c r="D1972">
        <v>-4005.7939999999999</v>
      </c>
      <c r="E1972" t="s">
        <v>4</v>
      </c>
      <c r="F1972" t="s">
        <v>65</v>
      </c>
      <c r="G1972" t="s">
        <v>7</v>
      </c>
    </row>
    <row r="1973" spans="1:7" x14ac:dyDescent="0.3">
      <c r="A1973" t="s">
        <v>33</v>
      </c>
      <c r="B1973" s="1">
        <v>45869</v>
      </c>
      <c r="C1973">
        <v>301002</v>
      </c>
      <c r="D1973">
        <v>379148.18800000002</v>
      </c>
      <c r="E1973" t="s">
        <v>4</v>
      </c>
      <c r="F1973" t="s">
        <v>68</v>
      </c>
      <c r="G1973" t="s">
        <v>7</v>
      </c>
    </row>
    <row r="1974" spans="1:7" x14ac:dyDescent="0.3">
      <c r="A1974" t="s">
        <v>33</v>
      </c>
      <c r="B1974" s="1">
        <v>45869</v>
      </c>
      <c r="C1974">
        <v>301004</v>
      </c>
      <c r="D1974">
        <v>26430.625</v>
      </c>
      <c r="E1974" t="s">
        <v>4</v>
      </c>
      <c r="F1974" t="s">
        <v>65</v>
      </c>
      <c r="G1974" t="s">
        <v>7</v>
      </c>
    </row>
    <row r="1975" spans="1:7" x14ac:dyDescent="0.3">
      <c r="A1975" t="s">
        <v>33</v>
      </c>
      <c r="B1975" s="1">
        <v>45869</v>
      </c>
      <c r="C1975">
        <v>301005</v>
      </c>
      <c r="D1975">
        <v>457691.49</v>
      </c>
      <c r="E1975" t="s">
        <v>4</v>
      </c>
      <c r="F1975" t="s">
        <v>65</v>
      </c>
      <c r="G1975" t="s">
        <v>7</v>
      </c>
    </row>
    <row r="1976" spans="1:7" x14ac:dyDescent="0.3">
      <c r="A1976" t="s">
        <v>33</v>
      </c>
      <c r="B1976" s="1">
        <v>45869</v>
      </c>
      <c r="C1976">
        <v>301502</v>
      </c>
      <c r="D1976">
        <v>-379148.18800000002</v>
      </c>
      <c r="E1976" t="s">
        <v>4</v>
      </c>
      <c r="F1976" t="s">
        <v>68</v>
      </c>
      <c r="G1976" t="s">
        <v>7</v>
      </c>
    </row>
    <row r="1977" spans="1:7" x14ac:dyDescent="0.3">
      <c r="A1977" t="s">
        <v>33</v>
      </c>
      <c r="B1977" s="1">
        <v>45869</v>
      </c>
      <c r="C1977">
        <v>301504</v>
      </c>
      <c r="D1977">
        <v>-26430.625</v>
      </c>
      <c r="E1977" t="s">
        <v>4</v>
      </c>
      <c r="F1977" t="s">
        <v>65</v>
      </c>
      <c r="G1977" t="s">
        <v>7</v>
      </c>
    </row>
    <row r="1978" spans="1:7" x14ac:dyDescent="0.3">
      <c r="A1978" t="s">
        <v>33</v>
      </c>
      <c r="B1978" s="1">
        <v>45869</v>
      </c>
      <c r="C1978">
        <v>301505</v>
      </c>
      <c r="D1978">
        <v>-457691.49</v>
      </c>
      <c r="E1978" t="s">
        <v>4</v>
      </c>
      <c r="F1978" t="s">
        <v>65</v>
      </c>
      <c r="G1978" t="s">
        <v>7</v>
      </c>
    </row>
    <row r="1979" spans="1:7" x14ac:dyDescent="0.3">
      <c r="A1979" t="s">
        <v>33</v>
      </c>
      <c r="B1979" s="1">
        <v>45869</v>
      </c>
      <c r="C1979">
        <v>310032</v>
      </c>
      <c r="D1979">
        <v>6.2009999999999996</v>
      </c>
      <c r="E1979" t="s">
        <v>4</v>
      </c>
      <c r="F1979" t="s">
        <v>42</v>
      </c>
      <c r="G1979" t="s">
        <v>7</v>
      </c>
    </row>
    <row r="1980" spans="1:7" x14ac:dyDescent="0.3">
      <c r="A1980" t="s">
        <v>33</v>
      </c>
      <c r="B1980" s="1">
        <v>45869</v>
      </c>
      <c r="C1980">
        <v>320003</v>
      </c>
      <c r="D1980">
        <v>687435.76500000001</v>
      </c>
      <c r="E1980" t="s">
        <v>4</v>
      </c>
      <c r="F1980" t="s">
        <v>46</v>
      </c>
      <c r="G1980" t="s">
        <v>7</v>
      </c>
    </row>
    <row r="1981" spans="1:7" x14ac:dyDescent="0.3">
      <c r="A1981" t="s">
        <v>33</v>
      </c>
      <c r="B1981" s="1">
        <v>45869</v>
      </c>
      <c r="C1981">
        <v>320010</v>
      </c>
      <c r="D1981">
        <v>83042.705000000002</v>
      </c>
      <c r="E1981" t="s">
        <v>4</v>
      </c>
      <c r="F1981" t="s">
        <v>46</v>
      </c>
      <c r="G1981" t="s">
        <v>7</v>
      </c>
    </row>
    <row r="1982" spans="1:7" x14ac:dyDescent="0.3">
      <c r="A1982" t="s">
        <v>33</v>
      </c>
      <c r="B1982" s="1">
        <v>45869</v>
      </c>
      <c r="C1982">
        <v>320023</v>
      </c>
      <c r="D1982">
        <v>-301941.723</v>
      </c>
      <c r="E1982" t="s">
        <v>4</v>
      </c>
      <c r="F1982" t="s">
        <v>46</v>
      </c>
      <c r="G1982" t="s">
        <v>7</v>
      </c>
    </row>
    <row r="1983" spans="1:7" x14ac:dyDescent="0.3">
      <c r="A1983" t="s">
        <v>33</v>
      </c>
      <c r="B1983" s="1">
        <v>45869</v>
      </c>
      <c r="C1983">
        <v>321002</v>
      </c>
      <c r="D1983">
        <v>240927.19500000001</v>
      </c>
      <c r="E1983" t="s">
        <v>4</v>
      </c>
      <c r="F1983" t="s">
        <v>46</v>
      </c>
      <c r="G1983" t="s">
        <v>7</v>
      </c>
    </row>
    <row r="1984" spans="1:7" x14ac:dyDescent="0.3">
      <c r="A1984" t="s">
        <v>33</v>
      </c>
      <c r="B1984" s="1">
        <v>45869</v>
      </c>
      <c r="C1984">
        <v>321012</v>
      </c>
      <c r="D1984">
        <v>67748.437000000005</v>
      </c>
      <c r="E1984" t="s">
        <v>4</v>
      </c>
      <c r="F1984" t="s">
        <v>46</v>
      </c>
      <c r="G1984" t="s">
        <v>7</v>
      </c>
    </row>
    <row r="1985" spans="1:7" x14ac:dyDescent="0.3">
      <c r="A1985" t="s">
        <v>33</v>
      </c>
      <c r="B1985" s="1">
        <v>45869</v>
      </c>
      <c r="C1985">
        <v>321014</v>
      </c>
      <c r="D1985">
        <v>12060.282999999999</v>
      </c>
      <c r="E1985" t="s">
        <v>4</v>
      </c>
      <c r="F1985" t="s">
        <v>46</v>
      </c>
      <c r="G1985" t="s">
        <v>7</v>
      </c>
    </row>
    <row r="1986" spans="1:7" x14ac:dyDescent="0.3">
      <c r="A1986" t="s">
        <v>33</v>
      </c>
      <c r="B1986" s="1">
        <v>45869</v>
      </c>
      <c r="C1986">
        <v>321021</v>
      </c>
      <c r="D1986">
        <v>11405.574000000001</v>
      </c>
      <c r="E1986" t="s">
        <v>4</v>
      </c>
      <c r="F1986" t="s">
        <v>46</v>
      </c>
      <c r="G1986" t="s">
        <v>7</v>
      </c>
    </row>
    <row r="1987" spans="1:7" x14ac:dyDescent="0.3">
      <c r="A1987" t="s">
        <v>33</v>
      </c>
      <c r="B1987" s="1">
        <v>45869</v>
      </c>
      <c r="C1987">
        <v>321028</v>
      </c>
      <c r="D1987">
        <v>-2228.761</v>
      </c>
      <c r="E1987" t="s">
        <v>4</v>
      </c>
      <c r="F1987" t="s">
        <v>46</v>
      </c>
      <c r="G1987" t="s">
        <v>7</v>
      </c>
    </row>
    <row r="1988" spans="1:7" x14ac:dyDescent="0.3">
      <c r="A1988" t="s">
        <v>33</v>
      </c>
      <c r="B1988" s="1">
        <v>45869</v>
      </c>
      <c r="C1988">
        <v>321029</v>
      </c>
      <c r="D1988">
        <v>10225.677</v>
      </c>
      <c r="E1988" t="s">
        <v>4</v>
      </c>
      <c r="F1988" t="s">
        <v>46</v>
      </c>
      <c r="G1988" t="s">
        <v>7</v>
      </c>
    </row>
    <row r="1989" spans="1:7" x14ac:dyDescent="0.3">
      <c r="A1989" t="s">
        <v>33</v>
      </c>
      <c r="B1989" s="1">
        <v>45869</v>
      </c>
      <c r="C1989">
        <v>321036</v>
      </c>
      <c r="D1989">
        <v>-199.779</v>
      </c>
      <c r="E1989" t="s">
        <v>4</v>
      </c>
      <c r="F1989" t="s">
        <v>46</v>
      </c>
      <c r="G1989" t="s">
        <v>7</v>
      </c>
    </row>
    <row r="1990" spans="1:7" x14ac:dyDescent="0.3">
      <c r="A1990" t="s">
        <v>33</v>
      </c>
      <c r="B1990" s="1">
        <v>45869</v>
      </c>
      <c r="C1990">
        <v>321042</v>
      </c>
      <c r="D1990">
        <v>42.92</v>
      </c>
      <c r="E1990" t="s">
        <v>4</v>
      </c>
      <c r="F1990" t="s">
        <v>46</v>
      </c>
      <c r="G1990" t="s">
        <v>7</v>
      </c>
    </row>
    <row r="1991" spans="1:7" x14ac:dyDescent="0.3">
      <c r="A1991" t="s">
        <v>33</v>
      </c>
      <c r="B1991" s="1">
        <v>45869</v>
      </c>
      <c r="C1991">
        <v>330034</v>
      </c>
      <c r="D1991">
        <v>-819.32899999999995</v>
      </c>
      <c r="E1991" t="s">
        <v>4</v>
      </c>
      <c r="F1991" t="s">
        <v>43</v>
      </c>
      <c r="G1991" t="s">
        <v>7</v>
      </c>
    </row>
    <row r="1992" spans="1:7" x14ac:dyDescent="0.3">
      <c r="A1992" t="s">
        <v>33</v>
      </c>
      <c r="B1992" s="1">
        <v>45869</v>
      </c>
      <c r="C1992">
        <v>330052</v>
      </c>
      <c r="D1992">
        <v>-754.98099999999999</v>
      </c>
      <c r="E1992" t="s">
        <v>4</v>
      </c>
      <c r="F1992" t="s">
        <v>43</v>
      </c>
      <c r="G1992" t="s">
        <v>7</v>
      </c>
    </row>
    <row r="1993" spans="1:7" x14ac:dyDescent="0.3">
      <c r="A1993" t="s">
        <v>33</v>
      </c>
      <c r="B1993" s="1">
        <v>45869</v>
      </c>
      <c r="C1993">
        <v>330065</v>
      </c>
      <c r="D1993">
        <v>-283.98599999999999</v>
      </c>
      <c r="E1993" t="s">
        <v>4</v>
      </c>
      <c r="F1993" t="s">
        <v>43</v>
      </c>
      <c r="G1993" t="s">
        <v>7</v>
      </c>
    </row>
    <row r="1994" spans="1:7" x14ac:dyDescent="0.3">
      <c r="A1994" t="s">
        <v>33</v>
      </c>
      <c r="B1994" s="1">
        <v>45869</v>
      </c>
      <c r="C1994">
        <v>330136</v>
      </c>
      <c r="D1994">
        <v>-8271.5280000000002</v>
      </c>
      <c r="E1994" t="s">
        <v>4</v>
      </c>
      <c r="F1994" t="s">
        <v>43</v>
      </c>
      <c r="G1994" t="s">
        <v>7</v>
      </c>
    </row>
    <row r="1995" spans="1:7" x14ac:dyDescent="0.3">
      <c r="A1995" t="s">
        <v>33</v>
      </c>
      <c r="B1995" s="1">
        <v>45869</v>
      </c>
      <c r="C1995">
        <v>340156</v>
      </c>
      <c r="D1995">
        <v>79552.285999999993</v>
      </c>
      <c r="E1995" t="s">
        <v>4</v>
      </c>
      <c r="F1995" t="s">
        <v>47</v>
      </c>
      <c r="G1995" t="s">
        <v>7</v>
      </c>
    </row>
    <row r="1996" spans="1:7" x14ac:dyDescent="0.3">
      <c r="A1996" t="s">
        <v>33</v>
      </c>
      <c r="B1996" s="1">
        <v>45869</v>
      </c>
      <c r="C1996">
        <v>340157</v>
      </c>
      <c r="D1996">
        <v>18371651.377999999</v>
      </c>
      <c r="E1996" t="s">
        <v>4</v>
      </c>
      <c r="F1996" t="s">
        <v>47</v>
      </c>
      <c r="G1996" t="s">
        <v>7</v>
      </c>
    </row>
    <row r="1997" spans="1:7" x14ac:dyDescent="0.3">
      <c r="A1997" t="s">
        <v>33</v>
      </c>
      <c r="B1997" s="1">
        <v>45869</v>
      </c>
      <c r="C1997">
        <v>340158</v>
      </c>
      <c r="D1997">
        <v>-18192517.978999998</v>
      </c>
      <c r="E1997" t="s">
        <v>4</v>
      </c>
      <c r="F1997" t="s">
        <v>47</v>
      </c>
      <c r="G1997" t="s">
        <v>7</v>
      </c>
    </row>
    <row r="1998" spans="1:7" x14ac:dyDescent="0.3">
      <c r="A1998" t="s">
        <v>33</v>
      </c>
      <c r="B1998" s="1">
        <v>45869</v>
      </c>
      <c r="C1998">
        <v>350002</v>
      </c>
      <c r="D1998">
        <v>1409.671</v>
      </c>
      <c r="E1998" t="s">
        <v>4</v>
      </c>
      <c r="F1998" t="s">
        <v>49</v>
      </c>
      <c r="G1998" t="s">
        <v>7</v>
      </c>
    </row>
    <row r="1999" spans="1:7" x14ac:dyDescent="0.3">
      <c r="A1999" t="s">
        <v>33</v>
      </c>
      <c r="B1999" s="1">
        <v>45869</v>
      </c>
      <c r="C1999">
        <v>350003</v>
      </c>
      <c r="D1999">
        <v>26.785</v>
      </c>
      <c r="E1999" t="s">
        <v>4</v>
      </c>
      <c r="F1999" t="s">
        <v>49</v>
      </c>
      <c r="G1999" t="s">
        <v>7</v>
      </c>
    </row>
    <row r="2000" spans="1:7" x14ac:dyDescent="0.3">
      <c r="A2000" t="s">
        <v>33</v>
      </c>
      <c r="B2000" s="1">
        <v>45869</v>
      </c>
      <c r="C2000">
        <v>350005</v>
      </c>
      <c r="D2000">
        <v>-150.99199999999999</v>
      </c>
      <c r="E2000" t="s">
        <v>4</v>
      </c>
      <c r="F2000" t="s">
        <v>49</v>
      </c>
      <c r="G2000" t="s">
        <v>7</v>
      </c>
    </row>
    <row r="2001" spans="1:7" x14ac:dyDescent="0.3">
      <c r="A2001" t="s">
        <v>33</v>
      </c>
      <c r="B2001" s="1">
        <v>45869</v>
      </c>
      <c r="C2001">
        <v>350031</v>
      </c>
      <c r="D2001">
        <v>156.12200000000001</v>
      </c>
      <c r="E2001" t="s">
        <v>4</v>
      </c>
      <c r="F2001" t="s">
        <v>43</v>
      </c>
      <c r="G2001" t="s">
        <v>7</v>
      </c>
    </row>
    <row r="2002" spans="1:7" x14ac:dyDescent="0.3">
      <c r="A2002" t="s">
        <v>33</v>
      </c>
      <c r="B2002" s="1">
        <v>45869</v>
      </c>
      <c r="C2002">
        <v>350034</v>
      </c>
      <c r="D2002">
        <v>150.99199999999999</v>
      </c>
      <c r="E2002" t="s">
        <v>4</v>
      </c>
      <c r="F2002" t="s">
        <v>49</v>
      </c>
      <c r="G2002" t="s">
        <v>7</v>
      </c>
    </row>
    <row r="2003" spans="1:7" x14ac:dyDescent="0.3">
      <c r="A2003" t="s">
        <v>33</v>
      </c>
      <c r="B2003" s="1">
        <v>45869</v>
      </c>
      <c r="C2003">
        <v>351004</v>
      </c>
      <c r="D2003">
        <v>6897.3549999999996</v>
      </c>
      <c r="E2003" t="s">
        <v>4</v>
      </c>
      <c r="F2003" t="s">
        <v>45</v>
      </c>
      <c r="G2003" t="s">
        <v>7</v>
      </c>
    </row>
    <row r="2004" spans="1:7" x14ac:dyDescent="0.3">
      <c r="A2004" t="s">
        <v>33</v>
      </c>
      <c r="B2004" s="1">
        <v>45869</v>
      </c>
      <c r="C2004">
        <v>352002</v>
      </c>
      <c r="D2004">
        <v>1265.116</v>
      </c>
      <c r="E2004" t="s">
        <v>4</v>
      </c>
      <c r="F2004" t="s">
        <v>48</v>
      </c>
      <c r="G2004" t="s">
        <v>7</v>
      </c>
    </row>
    <row r="2005" spans="1:7" x14ac:dyDescent="0.3">
      <c r="A2005" t="s">
        <v>33</v>
      </c>
      <c r="B2005" s="1">
        <v>45869</v>
      </c>
      <c r="C2005">
        <v>354014</v>
      </c>
      <c r="D2005">
        <v>26493.231</v>
      </c>
      <c r="E2005" t="s">
        <v>4</v>
      </c>
      <c r="F2005" t="s">
        <v>46</v>
      </c>
      <c r="G2005" t="s">
        <v>7</v>
      </c>
    </row>
    <row r="2006" spans="1:7" x14ac:dyDescent="0.3">
      <c r="A2006" t="s">
        <v>33</v>
      </c>
      <c r="B2006" s="1">
        <v>45869</v>
      </c>
      <c r="C2006">
        <v>355002</v>
      </c>
      <c r="D2006">
        <v>2.5000000000000001E-2</v>
      </c>
      <c r="E2006" t="s">
        <v>4</v>
      </c>
      <c r="F2006" t="s">
        <v>49</v>
      </c>
      <c r="G2006" t="s">
        <v>7</v>
      </c>
    </row>
    <row r="2007" spans="1:7" x14ac:dyDescent="0.3">
      <c r="A2007" t="s">
        <v>33</v>
      </c>
      <c r="B2007" s="1">
        <v>45869</v>
      </c>
      <c r="C2007">
        <v>355014</v>
      </c>
      <c r="D2007">
        <v>7.0949999999999998</v>
      </c>
      <c r="E2007" t="s">
        <v>4</v>
      </c>
      <c r="F2007" t="s">
        <v>49</v>
      </c>
      <c r="G2007" t="s">
        <v>7</v>
      </c>
    </row>
    <row r="2008" spans="1:7" x14ac:dyDescent="0.3">
      <c r="A2008" t="s">
        <v>33</v>
      </c>
      <c r="B2008" s="1">
        <v>45869</v>
      </c>
      <c r="C2008">
        <v>360026</v>
      </c>
      <c r="D2008">
        <v>-95919.213000000003</v>
      </c>
      <c r="E2008" t="s">
        <v>4</v>
      </c>
      <c r="F2008" t="s">
        <v>58</v>
      </c>
      <c r="G2008" t="s">
        <v>7</v>
      </c>
    </row>
    <row r="2009" spans="1:7" x14ac:dyDescent="0.3">
      <c r="A2009" t="s">
        <v>33</v>
      </c>
      <c r="B2009" s="1">
        <v>45869</v>
      </c>
      <c r="C2009">
        <v>360028</v>
      </c>
      <c r="D2009">
        <v>-5149.2290000000003</v>
      </c>
      <c r="E2009" t="s">
        <v>4</v>
      </c>
      <c r="F2009" t="s">
        <v>58</v>
      </c>
      <c r="G2009" t="s">
        <v>7</v>
      </c>
    </row>
    <row r="2010" spans="1:7" x14ac:dyDescent="0.3">
      <c r="A2010" t="s">
        <v>33</v>
      </c>
      <c r="B2010" s="1">
        <v>45869</v>
      </c>
      <c r="C2010">
        <v>360030</v>
      </c>
      <c r="D2010">
        <v>36.814</v>
      </c>
      <c r="E2010" t="s">
        <v>4</v>
      </c>
      <c r="F2010" t="s">
        <v>58</v>
      </c>
      <c r="G2010" t="s">
        <v>7</v>
      </c>
    </row>
    <row r="2011" spans="1:7" x14ac:dyDescent="0.3">
      <c r="A2011" t="s">
        <v>33</v>
      </c>
      <c r="B2011" s="1">
        <v>45869</v>
      </c>
      <c r="C2011">
        <v>360032</v>
      </c>
      <c r="D2011">
        <v>36.814</v>
      </c>
      <c r="E2011" t="s">
        <v>4</v>
      </c>
      <c r="F2011" t="s">
        <v>58</v>
      </c>
      <c r="G2011" t="s">
        <v>7</v>
      </c>
    </row>
    <row r="2012" spans="1:7" x14ac:dyDescent="0.3">
      <c r="A2012" t="s">
        <v>33</v>
      </c>
      <c r="B2012" s="1">
        <v>45869</v>
      </c>
      <c r="C2012">
        <v>364502</v>
      </c>
      <c r="D2012">
        <v>80011.934999999998</v>
      </c>
      <c r="E2012" t="s">
        <v>4</v>
      </c>
      <c r="F2012" t="s">
        <v>58</v>
      </c>
      <c r="G2012" t="s">
        <v>7</v>
      </c>
    </row>
    <row r="2013" spans="1:7" x14ac:dyDescent="0.3">
      <c r="A2013" t="s">
        <v>33</v>
      </c>
      <c r="B2013" s="1">
        <v>45869</v>
      </c>
      <c r="C2013">
        <v>410002</v>
      </c>
      <c r="D2013">
        <v>-181404.56099999999</v>
      </c>
      <c r="E2013" t="s">
        <v>6</v>
      </c>
      <c r="F2013" t="s">
        <v>51</v>
      </c>
      <c r="G2013" t="s">
        <v>7</v>
      </c>
    </row>
    <row r="2014" spans="1:7" x14ac:dyDescent="0.3">
      <c r="A2014" t="s">
        <v>33</v>
      </c>
      <c r="B2014" s="1">
        <v>45869</v>
      </c>
      <c r="C2014">
        <v>410006</v>
      </c>
      <c r="D2014">
        <v>-18577.059000000001</v>
      </c>
      <c r="E2014" t="s">
        <v>6</v>
      </c>
      <c r="F2014" t="s">
        <v>51</v>
      </c>
      <c r="G2014" t="s">
        <v>7</v>
      </c>
    </row>
    <row r="2015" spans="1:7" x14ac:dyDescent="0.3">
      <c r="A2015" t="s">
        <v>33</v>
      </c>
      <c r="B2015" s="1">
        <v>45869</v>
      </c>
      <c r="C2015">
        <v>410009</v>
      </c>
      <c r="D2015">
        <v>-1280.5440000000001</v>
      </c>
      <c r="E2015" t="s">
        <v>6</v>
      </c>
      <c r="F2015" t="s">
        <v>51</v>
      </c>
      <c r="G2015" t="s">
        <v>7</v>
      </c>
    </row>
    <row r="2016" spans="1:7" x14ac:dyDescent="0.3">
      <c r="A2016" t="s">
        <v>33</v>
      </c>
      <c r="B2016" s="1">
        <v>45869</v>
      </c>
      <c r="C2016">
        <v>410036</v>
      </c>
      <c r="D2016">
        <v>-88.927000000000007</v>
      </c>
      <c r="E2016" t="s">
        <v>6</v>
      </c>
      <c r="F2016" t="s">
        <v>51</v>
      </c>
      <c r="G2016" t="s">
        <v>7</v>
      </c>
    </row>
    <row r="2017" spans="1:7" x14ac:dyDescent="0.3">
      <c r="A2017" t="s">
        <v>33</v>
      </c>
      <c r="B2017" s="1">
        <v>45869</v>
      </c>
      <c r="C2017">
        <v>410037</v>
      </c>
      <c r="D2017">
        <v>-57029.976000000002</v>
      </c>
      <c r="E2017" t="s">
        <v>6</v>
      </c>
      <c r="F2017" t="s">
        <v>51</v>
      </c>
      <c r="G2017" t="s">
        <v>7</v>
      </c>
    </row>
    <row r="2018" spans="1:7" x14ac:dyDescent="0.3">
      <c r="A2018" t="s">
        <v>33</v>
      </c>
      <c r="B2018" s="1">
        <v>45869</v>
      </c>
      <c r="C2018">
        <v>415002</v>
      </c>
      <c r="D2018">
        <v>-285322.223</v>
      </c>
      <c r="E2018" t="s">
        <v>6</v>
      </c>
      <c r="F2018" t="s">
        <v>50</v>
      </c>
      <c r="G2018" t="s">
        <v>7</v>
      </c>
    </row>
    <row r="2019" spans="1:7" x14ac:dyDescent="0.3">
      <c r="A2019" t="s">
        <v>33</v>
      </c>
      <c r="B2019" s="1">
        <v>45869</v>
      </c>
      <c r="C2019">
        <v>415004</v>
      </c>
      <c r="D2019">
        <v>-277130.39</v>
      </c>
      <c r="E2019" t="s">
        <v>6</v>
      </c>
      <c r="F2019" t="s">
        <v>50</v>
      </c>
      <c r="G2019" t="s">
        <v>7</v>
      </c>
    </row>
    <row r="2020" spans="1:7" x14ac:dyDescent="0.3">
      <c r="A2020" t="s">
        <v>33</v>
      </c>
      <c r="B2020" s="1">
        <v>45869</v>
      </c>
      <c r="C2020">
        <v>421003</v>
      </c>
      <c r="D2020">
        <v>-535.45100000000002</v>
      </c>
      <c r="E2020" t="s">
        <v>6</v>
      </c>
      <c r="F2020" t="s">
        <v>52</v>
      </c>
      <c r="G2020" t="s">
        <v>7</v>
      </c>
    </row>
    <row r="2021" spans="1:7" x14ac:dyDescent="0.3">
      <c r="A2021" t="s">
        <v>33</v>
      </c>
      <c r="B2021" s="1">
        <v>45869</v>
      </c>
      <c r="C2021">
        <v>421007</v>
      </c>
      <c r="D2021">
        <v>-41.814</v>
      </c>
      <c r="E2021" t="s">
        <v>6</v>
      </c>
      <c r="F2021" t="s">
        <v>52</v>
      </c>
      <c r="G2021" t="s">
        <v>7</v>
      </c>
    </row>
    <row r="2022" spans="1:7" x14ac:dyDescent="0.3">
      <c r="A2022" t="s">
        <v>33</v>
      </c>
      <c r="B2022" s="1">
        <v>45869</v>
      </c>
      <c r="C2022">
        <v>510002</v>
      </c>
      <c r="D2022">
        <v>263152.85499999998</v>
      </c>
      <c r="E2022" t="s">
        <v>6</v>
      </c>
      <c r="F2022" t="s">
        <v>53</v>
      </c>
      <c r="G2022" t="s">
        <v>7</v>
      </c>
    </row>
    <row r="2023" spans="1:7" x14ac:dyDescent="0.3">
      <c r="A2023" t="s">
        <v>33</v>
      </c>
      <c r="B2023" s="1">
        <v>45869</v>
      </c>
      <c r="C2023">
        <v>510005</v>
      </c>
      <c r="D2023">
        <v>8596.8459999999995</v>
      </c>
      <c r="E2023" t="s">
        <v>6</v>
      </c>
      <c r="F2023" t="s">
        <v>53</v>
      </c>
      <c r="G2023" t="s">
        <v>7</v>
      </c>
    </row>
    <row r="2024" spans="1:7" x14ac:dyDescent="0.3">
      <c r="A2024" t="s">
        <v>33</v>
      </c>
      <c r="B2024" s="1">
        <v>45869</v>
      </c>
      <c r="C2024">
        <v>510007</v>
      </c>
      <c r="D2024">
        <v>27615.018</v>
      </c>
      <c r="E2024" t="s">
        <v>6</v>
      </c>
      <c r="F2024" t="s">
        <v>53</v>
      </c>
      <c r="G2024" t="s">
        <v>7</v>
      </c>
    </row>
    <row r="2025" spans="1:7" x14ac:dyDescent="0.3">
      <c r="A2025" t="s">
        <v>33</v>
      </c>
      <c r="B2025" s="1">
        <v>45869</v>
      </c>
      <c r="C2025">
        <v>510010</v>
      </c>
      <c r="D2025">
        <v>4161.3459999999995</v>
      </c>
      <c r="E2025" t="s">
        <v>6</v>
      </c>
      <c r="F2025" t="s">
        <v>53</v>
      </c>
      <c r="G2025" t="s">
        <v>7</v>
      </c>
    </row>
    <row r="2026" spans="1:7" x14ac:dyDescent="0.3">
      <c r="A2026" t="s">
        <v>33</v>
      </c>
      <c r="B2026" s="1">
        <v>45869</v>
      </c>
      <c r="C2026">
        <v>510012</v>
      </c>
      <c r="D2026">
        <v>354.25200000000001</v>
      </c>
      <c r="E2026" t="s">
        <v>6</v>
      </c>
      <c r="F2026" t="s">
        <v>53</v>
      </c>
      <c r="G2026" t="s">
        <v>7</v>
      </c>
    </row>
    <row r="2027" spans="1:7" x14ac:dyDescent="0.3">
      <c r="A2027" t="s">
        <v>33</v>
      </c>
      <c r="B2027" s="1">
        <v>45869</v>
      </c>
      <c r="C2027">
        <v>510015</v>
      </c>
      <c r="D2027">
        <v>23371.249</v>
      </c>
      <c r="E2027" t="s">
        <v>6</v>
      </c>
      <c r="F2027" t="s">
        <v>53</v>
      </c>
      <c r="G2027" t="s">
        <v>7</v>
      </c>
    </row>
    <row r="2028" spans="1:7" x14ac:dyDescent="0.3">
      <c r="A2028" t="s">
        <v>33</v>
      </c>
      <c r="B2028" s="1">
        <v>45869</v>
      </c>
      <c r="C2028">
        <v>510018</v>
      </c>
      <c r="D2028">
        <v>26277.828000000001</v>
      </c>
      <c r="E2028" t="s">
        <v>6</v>
      </c>
      <c r="F2028" t="s">
        <v>53</v>
      </c>
      <c r="G2028" t="s">
        <v>7</v>
      </c>
    </row>
    <row r="2029" spans="1:7" x14ac:dyDescent="0.3">
      <c r="A2029" t="s">
        <v>33</v>
      </c>
      <c r="B2029" s="1">
        <v>45869</v>
      </c>
      <c r="C2029">
        <v>510059</v>
      </c>
      <c r="D2029">
        <v>1164.972</v>
      </c>
      <c r="E2029" t="s">
        <v>6</v>
      </c>
      <c r="F2029" t="s">
        <v>53</v>
      </c>
      <c r="G2029" t="s">
        <v>7</v>
      </c>
    </row>
    <row r="2030" spans="1:7" x14ac:dyDescent="0.3">
      <c r="A2030" t="s">
        <v>33</v>
      </c>
      <c r="B2030" s="1">
        <v>45869</v>
      </c>
      <c r="C2030">
        <v>510062</v>
      </c>
      <c r="D2030">
        <v>1076.799</v>
      </c>
      <c r="E2030" t="s">
        <v>6</v>
      </c>
      <c r="F2030" t="s">
        <v>53</v>
      </c>
      <c r="G2030" t="s">
        <v>7</v>
      </c>
    </row>
    <row r="2031" spans="1:7" x14ac:dyDescent="0.3">
      <c r="A2031" t="s">
        <v>33</v>
      </c>
      <c r="B2031" s="1">
        <v>45869</v>
      </c>
      <c r="C2031">
        <v>510065</v>
      </c>
      <c r="D2031">
        <v>2202.8879999999999</v>
      </c>
      <c r="E2031" t="s">
        <v>6</v>
      </c>
      <c r="F2031" t="s">
        <v>53</v>
      </c>
      <c r="G2031" t="s">
        <v>7</v>
      </c>
    </row>
    <row r="2032" spans="1:7" x14ac:dyDescent="0.3">
      <c r="A2032" t="s">
        <v>33</v>
      </c>
      <c r="B2032" s="1">
        <v>45869</v>
      </c>
      <c r="C2032">
        <v>520021</v>
      </c>
      <c r="D2032">
        <v>722.096</v>
      </c>
      <c r="E2032" t="s">
        <v>6</v>
      </c>
      <c r="F2032" t="s">
        <v>60</v>
      </c>
      <c r="G2032" t="s">
        <v>7</v>
      </c>
    </row>
    <row r="2033" spans="1:7" x14ac:dyDescent="0.3">
      <c r="A2033" t="s">
        <v>33</v>
      </c>
      <c r="B2033" s="1">
        <v>45869</v>
      </c>
      <c r="C2033">
        <v>530012</v>
      </c>
      <c r="D2033">
        <v>2146.163</v>
      </c>
      <c r="E2033" t="s">
        <v>6</v>
      </c>
      <c r="F2033" t="s">
        <v>53</v>
      </c>
      <c r="G2033" t="s">
        <v>7</v>
      </c>
    </row>
    <row r="2034" spans="1:7" x14ac:dyDescent="0.3">
      <c r="A2034" t="s">
        <v>33</v>
      </c>
      <c r="B2034" s="1">
        <v>45869</v>
      </c>
      <c r="C2034">
        <v>541004</v>
      </c>
      <c r="D2034">
        <v>669.99900000000002</v>
      </c>
      <c r="E2034" t="s">
        <v>6</v>
      </c>
      <c r="F2034" t="s">
        <v>61</v>
      </c>
      <c r="G2034" t="s">
        <v>7</v>
      </c>
    </row>
    <row r="2035" spans="1:7" x14ac:dyDescent="0.3">
      <c r="A2035" t="s">
        <v>33</v>
      </c>
      <c r="B2035" s="1">
        <v>45869</v>
      </c>
      <c r="C2035">
        <v>541009</v>
      </c>
      <c r="D2035">
        <v>3271.6579999999999</v>
      </c>
      <c r="E2035" t="s">
        <v>6</v>
      </c>
      <c r="F2035" t="s">
        <v>61</v>
      </c>
      <c r="G2035" t="s">
        <v>7</v>
      </c>
    </row>
    <row r="2036" spans="1:7" x14ac:dyDescent="0.3">
      <c r="A2036" t="s">
        <v>33</v>
      </c>
      <c r="B2036" s="1">
        <v>45869</v>
      </c>
      <c r="C2036">
        <v>541010</v>
      </c>
      <c r="D2036">
        <v>3331.6619999999998</v>
      </c>
      <c r="E2036" t="s">
        <v>6</v>
      </c>
      <c r="F2036" t="s">
        <v>61</v>
      </c>
      <c r="G2036" t="s">
        <v>7</v>
      </c>
    </row>
    <row r="2037" spans="1:7" x14ac:dyDescent="0.3">
      <c r="A2037" t="s">
        <v>33</v>
      </c>
      <c r="B2037" s="1">
        <v>45869</v>
      </c>
      <c r="C2037">
        <v>541013</v>
      </c>
      <c r="D2037">
        <v>77.125</v>
      </c>
      <c r="E2037" t="s">
        <v>6</v>
      </c>
      <c r="F2037" t="s">
        <v>61</v>
      </c>
      <c r="G2037" t="s">
        <v>7</v>
      </c>
    </row>
    <row r="2038" spans="1:7" x14ac:dyDescent="0.3">
      <c r="A2038" t="s">
        <v>33</v>
      </c>
      <c r="B2038" s="1">
        <v>45869</v>
      </c>
      <c r="C2038">
        <v>546002</v>
      </c>
      <c r="D2038">
        <v>263273.87699999998</v>
      </c>
      <c r="E2038" t="s">
        <v>6</v>
      </c>
      <c r="F2038" t="s">
        <v>51</v>
      </c>
      <c r="G2038" t="s">
        <v>7</v>
      </c>
    </row>
    <row r="2039" spans="1:7" x14ac:dyDescent="0.3">
      <c r="A2039" t="s">
        <v>33</v>
      </c>
      <c r="B2039" s="1">
        <v>45869</v>
      </c>
      <c r="C2039">
        <v>546008</v>
      </c>
      <c r="D2039">
        <v>8908.7780000000002</v>
      </c>
      <c r="E2039" t="s">
        <v>6</v>
      </c>
      <c r="F2039" t="s">
        <v>51</v>
      </c>
      <c r="G2039" t="s">
        <v>7</v>
      </c>
    </row>
    <row r="2040" spans="1:7" x14ac:dyDescent="0.3">
      <c r="A2040" t="s">
        <v>33</v>
      </c>
      <c r="B2040" s="1">
        <v>45869</v>
      </c>
      <c r="C2040">
        <v>546013</v>
      </c>
      <c r="D2040">
        <v>101062.182</v>
      </c>
      <c r="E2040" t="s">
        <v>6</v>
      </c>
      <c r="F2040" t="s">
        <v>51</v>
      </c>
      <c r="G2040" t="s">
        <v>7</v>
      </c>
    </row>
    <row r="2041" spans="1:7" x14ac:dyDescent="0.3">
      <c r="A2041" t="s">
        <v>33</v>
      </c>
      <c r="B2041" s="1">
        <v>45869</v>
      </c>
      <c r="C2041">
        <v>546015</v>
      </c>
      <c r="D2041">
        <v>534.08000000000004</v>
      </c>
      <c r="E2041" t="s">
        <v>6</v>
      </c>
      <c r="F2041" t="s">
        <v>51</v>
      </c>
      <c r="G2041" t="s">
        <v>7</v>
      </c>
    </row>
    <row r="2042" spans="1:7" x14ac:dyDescent="0.3">
      <c r="A2042" t="s">
        <v>33</v>
      </c>
      <c r="B2042" s="1">
        <v>45869</v>
      </c>
      <c r="C2042">
        <v>546035</v>
      </c>
      <c r="D2042">
        <v>3168.52</v>
      </c>
      <c r="E2042" t="s">
        <v>6</v>
      </c>
      <c r="F2042" t="s">
        <v>51</v>
      </c>
      <c r="G2042" t="s">
        <v>7</v>
      </c>
    </row>
    <row r="2043" spans="1:7" x14ac:dyDescent="0.3">
      <c r="A2043" t="s">
        <v>33</v>
      </c>
      <c r="B2043" s="1">
        <v>45869</v>
      </c>
      <c r="C2043">
        <v>546040</v>
      </c>
      <c r="D2043">
        <v>16777.504000000001</v>
      </c>
      <c r="E2043" t="s">
        <v>6</v>
      </c>
      <c r="F2043" t="s">
        <v>51</v>
      </c>
      <c r="G2043" t="s">
        <v>7</v>
      </c>
    </row>
    <row r="2044" spans="1:7" x14ac:dyDescent="0.3">
      <c r="A2044" t="s">
        <v>33</v>
      </c>
      <c r="B2044" s="1">
        <v>45869</v>
      </c>
      <c r="C2044">
        <v>547002</v>
      </c>
      <c r="D2044">
        <v>13.992000000000001</v>
      </c>
      <c r="E2044" t="s">
        <v>6</v>
      </c>
      <c r="F2044" t="s">
        <v>54</v>
      </c>
      <c r="G2044" t="s">
        <v>7</v>
      </c>
    </row>
    <row r="2045" spans="1:7" x14ac:dyDescent="0.3">
      <c r="A2045" t="s">
        <v>33</v>
      </c>
      <c r="B2045" s="1">
        <v>45869</v>
      </c>
      <c r="C2045">
        <v>550003</v>
      </c>
      <c r="D2045">
        <v>74600.615999999995</v>
      </c>
      <c r="E2045" t="s">
        <v>6</v>
      </c>
      <c r="F2045" t="s">
        <v>62</v>
      </c>
      <c r="G2045" t="s">
        <v>7</v>
      </c>
    </row>
    <row r="2046" spans="1:7" x14ac:dyDescent="0.3">
      <c r="A2046" t="s">
        <v>33</v>
      </c>
      <c r="B2046" s="1">
        <v>45869</v>
      </c>
      <c r="C2046">
        <v>551008</v>
      </c>
      <c r="D2046">
        <v>12.215</v>
      </c>
      <c r="E2046" t="s">
        <v>6</v>
      </c>
      <c r="F2046" t="s">
        <v>63</v>
      </c>
      <c r="G2046" t="s">
        <v>7</v>
      </c>
    </row>
    <row r="2047" spans="1:7" x14ac:dyDescent="0.3">
      <c r="A2047" t="s">
        <v>33</v>
      </c>
      <c r="B2047" s="1">
        <v>45869</v>
      </c>
      <c r="C2047">
        <v>552504</v>
      </c>
      <c r="D2047">
        <v>-532.35</v>
      </c>
      <c r="E2047" t="s">
        <v>6</v>
      </c>
      <c r="F2047" t="s">
        <v>55</v>
      </c>
      <c r="G2047" t="s">
        <v>7</v>
      </c>
    </row>
    <row r="2048" spans="1:7" x14ac:dyDescent="0.3">
      <c r="A2048" t="s">
        <v>33</v>
      </c>
      <c r="B2048" s="1">
        <v>45869</v>
      </c>
      <c r="C2048">
        <v>554005</v>
      </c>
      <c r="D2048">
        <v>54.561999999999998</v>
      </c>
      <c r="E2048" t="s">
        <v>6</v>
      </c>
      <c r="F2048" t="s">
        <v>55</v>
      </c>
      <c r="G2048" t="s">
        <v>7</v>
      </c>
    </row>
    <row r="2049" spans="1:7" x14ac:dyDescent="0.3">
      <c r="A2049" t="s">
        <v>33</v>
      </c>
      <c r="B2049" s="1">
        <v>45869</v>
      </c>
      <c r="C2049">
        <v>555007</v>
      </c>
      <c r="D2049">
        <v>2.42</v>
      </c>
      <c r="E2049" t="s">
        <v>6</v>
      </c>
      <c r="F2049" t="s">
        <v>55</v>
      </c>
      <c r="G2049" t="s">
        <v>7</v>
      </c>
    </row>
    <row r="2050" spans="1:7" x14ac:dyDescent="0.3">
      <c r="A2050" t="s">
        <v>33</v>
      </c>
      <c r="B2050" s="1">
        <v>45869</v>
      </c>
      <c r="C2050">
        <v>555502</v>
      </c>
      <c r="D2050">
        <v>78.87</v>
      </c>
      <c r="E2050" t="s">
        <v>6</v>
      </c>
      <c r="F2050" t="s">
        <v>55</v>
      </c>
      <c r="G2050" t="s">
        <v>7</v>
      </c>
    </row>
    <row r="2051" spans="1:7" x14ac:dyDescent="0.3">
      <c r="A2051" t="s">
        <v>33</v>
      </c>
      <c r="B2051" s="1">
        <v>45869</v>
      </c>
      <c r="C2051">
        <v>555508</v>
      </c>
      <c r="D2051">
        <v>1042.2380000000001</v>
      </c>
      <c r="E2051" t="s">
        <v>6</v>
      </c>
      <c r="F2051" t="s">
        <v>55</v>
      </c>
      <c r="G2051" t="s">
        <v>7</v>
      </c>
    </row>
    <row r="2052" spans="1:7" x14ac:dyDescent="0.3">
      <c r="A2052" t="s">
        <v>33</v>
      </c>
      <c r="B2052" s="1">
        <v>45869</v>
      </c>
      <c r="C2052">
        <v>556002</v>
      </c>
      <c r="D2052">
        <v>1.8149999999999999</v>
      </c>
      <c r="E2052" t="s">
        <v>6</v>
      </c>
      <c r="F2052" t="s">
        <v>60</v>
      </c>
      <c r="G2052" t="s">
        <v>7</v>
      </c>
    </row>
    <row r="2053" spans="1:7" x14ac:dyDescent="0.3">
      <c r="A2053" t="s">
        <v>33</v>
      </c>
      <c r="B2053" s="1">
        <v>45869</v>
      </c>
      <c r="C2053">
        <v>556003</v>
      </c>
      <c r="D2053">
        <v>-1002.081</v>
      </c>
      <c r="E2053" t="s">
        <v>6</v>
      </c>
      <c r="F2053" t="s">
        <v>55</v>
      </c>
      <c r="G2053" t="s">
        <v>7</v>
      </c>
    </row>
    <row r="2054" spans="1:7" x14ac:dyDescent="0.3">
      <c r="A2054" t="s">
        <v>33</v>
      </c>
      <c r="B2054" s="1">
        <v>45869</v>
      </c>
      <c r="C2054">
        <v>557002</v>
      </c>
      <c r="D2054">
        <v>5298.4380000000001</v>
      </c>
      <c r="E2054" t="s">
        <v>6</v>
      </c>
      <c r="F2054" t="s">
        <v>56</v>
      </c>
      <c r="G2054" t="s">
        <v>7</v>
      </c>
    </row>
    <row r="2055" spans="1:7" x14ac:dyDescent="0.3">
      <c r="A2055" t="s">
        <v>33</v>
      </c>
      <c r="B2055" s="1">
        <v>45869</v>
      </c>
      <c r="C2055">
        <v>557003</v>
      </c>
      <c r="D2055">
        <v>2087.0540000000001</v>
      </c>
      <c r="E2055" t="s">
        <v>6</v>
      </c>
      <c r="F2055" t="s">
        <v>56</v>
      </c>
      <c r="G2055" t="s">
        <v>7</v>
      </c>
    </row>
    <row r="2056" spans="1:7" x14ac:dyDescent="0.3">
      <c r="A2056" t="s">
        <v>33</v>
      </c>
      <c r="B2056" s="1">
        <v>45869</v>
      </c>
      <c r="C2056">
        <v>559002</v>
      </c>
      <c r="D2056">
        <v>83.793000000000006</v>
      </c>
      <c r="E2056" t="s">
        <v>6</v>
      </c>
      <c r="F2056" t="s">
        <v>60</v>
      </c>
      <c r="G2056" t="s">
        <v>7</v>
      </c>
    </row>
    <row r="2057" spans="1:7" x14ac:dyDescent="0.3">
      <c r="A2057" t="s">
        <v>33</v>
      </c>
      <c r="B2057" s="1">
        <v>45869</v>
      </c>
      <c r="C2057">
        <v>563002</v>
      </c>
      <c r="D2057">
        <v>611.98900000000003</v>
      </c>
      <c r="E2057" t="s">
        <v>6</v>
      </c>
      <c r="F2057" t="s">
        <v>57</v>
      </c>
      <c r="G2057" t="s">
        <v>7</v>
      </c>
    </row>
    <row r="2058" spans="1:7" x14ac:dyDescent="0.3">
      <c r="A2058" t="s">
        <v>33</v>
      </c>
      <c r="B2058" s="1">
        <v>45869</v>
      </c>
      <c r="C2058">
        <v>564004</v>
      </c>
      <c r="D2058">
        <v>8311.0709999999999</v>
      </c>
      <c r="E2058" t="s">
        <v>6</v>
      </c>
      <c r="F2058" t="s">
        <v>51</v>
      </c>
      <c r="G2058" t="s">
        <v>7</v>
      </c>
    </row>
    <row r="2059" spans="1:7" x14ac:dyDescent="0.3">
      <c r="A2059" t="s">
        <v>33</v>
      </c>
      <c r="B2059" s="1">
        <v>45869</v>
      </c>
      <c r="C2059">
        <v>564020</v>
      </c>
      <c r="D2059">
        <v>101.681</v>
      </c>
      <c r="E2059" t="s">
        <v>6</v>
      </c>
      <c r="F2059" t="s">
        <v>57</v>
      </c>
      <c r="G2059" t="s">
        <v>7</v>
      </c>
    </row>
    <row r="2060" spans="1:7" x14ac:dyDescent="0.3">
      <c r="A2060" t="s">
        <v>33</v>
      </c>
      <c r="B2060" s="1">
        <v>45869</v>
      </c>
      <c r="C2060">
        <v>570002</v>
      </c>
      <c r="D2060">
        <v>609.44799999999998</v>
      </c>
      <c r="E2060" t="s">
        <v>6</v>
      </c>
      <c r="F2060" t="s">
        <v>66</v>
      </c>
      <c r="G2060" t="s">
        <v>7</v>
      </c>
    </row>
    <row r="2061" spans="1:7" x14ac:dyDescent="0.3">
      <c r="A2061" t="s">
        <v>33</v>
      </c>
      <c r="B2061" s="1">
        <v>45869</v>
      </c>
      <c r="C2061">
        <v>580002</v>
      </c>
      <c r="D2061">
        <v>16.696000000000002</v>
      </c>
      <c r="E2061" t="s">
        <v>6</v>
      </c>
      <c r="F2061" t="s">
        <v>64</v>
      </c>
      <c r="G2061" t="s">
        <v>7</v>
      </c>
    </row>
    <row r="2062" spans="1:7" x14ac:dyDescent="0.3">
      <c r="A2062" t="s">
        <v>33</v>
      </c>
      <c r="B2062" s="1">
        <v>45869</v>
      </c>
      <c r="C2062">
        <v>580003</v>
      </c>
      <c r="D2062">
        <v>16112.66</v>
      </c>
      <c r="E2062" t="s">
        <v>6</v>
      </c>
      <c r="F2062" t="s">
        <v>64</v>
      </c>
      <c r="G2062" t="s">
        <v>7</v>
      </c>
    </row>
    <row r="2063" spans="1:7" x14ac:dyDescent="0.3">
      <c r="A2063" t="s">
        <v>33</v>
      </c>
      <c r="B2063" s="1">
        <v>45869</v>
      </c>
      <c r="C2063">
        <v>580005</v>
      </c>
      <c r="D2063">
        <v>1.284</v>
      </c>
      <c r="E2063" t="s">
        <v>6</v>
      </c>
      <c r="F2063" t="s">
        <v>64</v>
      </c>
      <c r="G2063" t="s">
        <v>7</v>
      </c>
    </row>
    <row r="2064" spans="1:7" x14ac:dyDescent="0.3">
      <c r="A2064" t="s">
        <v>34</v>
      </c>
      <c r="B2064" s="1">
        <v>45869</v>
      </c>
      <c r="C2064">
        <v>210002</v>
      </c>
      <c r="D2064">
        <v>-13498.485000000001</v>
      </c>
      <c r="E2064" t="s">
        <v>4</v>
      </c>
      <c r="F2064" t="s">
        <v>42</v>
      </c>
      <c r="G2064" t="s">
        <v>7</v>
      </c>
    </row>
    <row r="2065" spans="1:7" x14ac:dyDescent="0.3">
      <c r="A2065" t="s">
        <v>34</v>
      </c>
      <c r="B2065" s="1">
        <v>45869</v>
      </c>
      <c r="C2065">
        <v>220006</v>
      </c>
      <c r="D2065">
        <v>-1685327.4609999999</v>
      </c>
      <c r="E2065" t="s">
        <v>4</v>
      </c>
      <c r="F2065" t="s">
        <v>42</v>
      </c>
      <c r="G2065" t="s">
        <v>7</v>
      </c>
    </row>
    <row r="2066" spans="1:7" x14ac:dyDescent="0.3">
      <c r="A2066" t="s">
        <v>34</v>
      </c>
      <c r="B2066" s="1">
        <v>45869</v>
      </c>
      <c r="C2066">
        <v>240002</v>
      </c>
      <c r="D2066">
        <v>-3228.5439999999999</v>
      </c>
      <c r="E2066" t="s">
        <v>4</v>
      </c>
      <c r="F2066" t="s">
        <v>43</v>
      </c>
      <c r="G2066" t="s">
        <v>7</v>
      </c>
    </row>
    <row r="2067" spans="1:7" x14ac:dyDescent="0.3">
      <c r="A2067" t="s">
        <v>34</v>
      </c>
      <c r="B2067" s="1">
        <v>45869</v>
      </c>
      <c r="C2067">
        <v>240003</v>
      </c>
      <c r="D2067">
        <v>8.4190000000000005</v>
      </c>
      <c r="E2067" t="s">
        <v>4</v>
      </c>
      <c r="F2067" t="s">
        <v>43</v>
      </c>
      <c r="G2067" t="s">
        <v>7</v>
      </c>
    </row>
    <row r="2068" spans="1:7" x14ac:dyDescent="0.3">
      <c r="A2068" t="s">
        <v>34</v>
      </c>
      <c r="B2068" s="1">
        <v>45869</v>
      </c>
      <c r="C2068">
        <v>240009</v>
      </c>
      <c r="D2068">
        <v>-216.637</v>
      </c>
      <c r="E2068" t="s">
        <v>4</v>
      </c>
      <c r="F2068" t="s">
        <v>43</v>
      </c>
      <c r="G2068" t="s">
        <v>7</v>
      </c>
    </row>
    <row r="2069" spans="1:7" x14ac:dyDescent="0.3">
      <c r="A2069" t="s">
        <v>34</v>
      </c>
      <c r="B2069" s="1">
        <v>45869</v>
      </c>
      <c r="C2069">
        <v>242003</v>
      </c>
      <c r="D2069">
        <v>-138642.23300000001</v>
      </c>
      <c r="E2069" t="s">
        <v>4</v>
      </c>
      <c r="F2069" t="s">
        <v>43</v>
      </c>
      <c r="G2069" t="s">
        <v>7</v>
      </c>
    </row>
    <row r="2070" spans="1:7" x14ac:dyDescent="0.3">
      <c r="A2070" t="s">
        <v>34</v>
      </c>
      <c r="B2070" s="1">
        <v>45869</v>
      </c>
      <c r="C2070">
        <v>242011</v>
      </c>
      <c r="D2070">
        <v>-480941.24900000001</v>
      </c>
      <c r="E2070" t="s">
        <v>4</v>
      </c>
      <c r="F2070" t="s">
        <v>43</v>
      </c>
      <c r="G2070" t="s">
        <v>7</v>
      </c>
    </row>
    <row r="2071" spans="1:7" x14ac:dyDescent="0.3">
      <c r="A2071" t="s">
        <v>34</v>
      </c>
      <c r="B2071" s="1">
        <v>45869</v>
      </c>
      <c r="C2071">
        <v>242013</v>
      </c>
      <c r="D2071">
        <v>-67748.437000000005</v>
      </c>
      <c r="E2071" t="s">
        <v>4</v>
      </c>
      <c r="F2071" t="s">
        <v>43</v>
      </c>
      <c r="G2071" t="s">
        <v>7</v>
      </c>
    </row>
    <row r="2072" spans="1:7" x14ac:dyDescent="0.3">
      <c r="A2072" t="s">
        <v>34</v>
      </c>
      <c r="B2072" s="1">
        <v>45869</v>
      </c>
      <c r="C2072">
        <v>242014</v>
      </c>
      <c r="D2072">
        <v>-21283.023000000001</v>
      </c>
      <c r="E2072" t="s">
        <v>4</v>
      </c>
      <c r="F2072" t="s">
        <v>43</v>
      </c>
      <c r="G2072" t="s">
        <v>7</v>
      </c>
    </row>
    <row r="2073" spans="1:7" x14ac:dyDescent="0.3">
      <c r="A2073" t="s">
        <v>34</v>
      </c>
      <c r="B2073" s="1">
        <v>45869</v>
      </c>
      <c r="C2073">
        <v>242017</v>
      </c>
      <c r="D2073">
        <v>281.65199999999999</v>
      </c>
      <c r="E2073" t="s">
        <v>4</v>
      </c>
      <c r="F2073" t="s">
        <v>43</v>
      </c>
      <c r="G2073" t="s">
        <v>7</v>
      </c>
    </row>
    <row r="2074" spans="1:7" x14ac:dyDescent="0.3">
      <c r="A2074" t="s">
        <v>34</v>
      </c>
      <c r="B2074" s="1">
        <v>45869</v>
      </c>
      <c r="C2074">
        <v>242023</v>
      </c>
      <c r="D2074">
        <v>-6906.15</v>
      </c>
      <c r="E2074" t="s">
        <v>4</v>
      </c>
      <c r="F2074" t="s">
        <v>43</v>
      </c>
      <c r="G2074" t="s">
        <v>7</v>
      </c>
    </row>
    <row r="2075" spans="1:7" x14ac:dyDescent="0.3">
      <c r="A2075" t="s">
        <v>34</v>
      </c>
      <c r="B2075" s="1">
        <v>45869</v>
      </c>
      <c r="C2075">
        <v>242027</v>
      </c>
      <c r="D2075">
        <v>-144283.63800000001</v>
      </c>
      <c r="E2075" t="s">
        <v>4</v>
      </c>
      <c r="F2075" t="s">
        <v>43</v>
      </c>
      <c r="G2075" t="s">
        <v>7</v>
      </c>
    </row>
    <row r="2076" spans="1:7" x14ac:dyDescent="0.3">
      <c r="A2076" t="s">
        <v>34</v>
      </c>
      <c r="B2076" s="1">
        <v>45869</v>
      </c>
      <c r="C2076">
        <v>242030</v>
      </c>
      <c r="D2076">
        <v>-79658.164999999994</v>
      </c>
      <c r="E2076" t="s">
        <v>4</v>
      </c>
      <c r="F2076" t="s">
        <v>43</v>
      </c>
      <c r="G2076" t="s">
        <v>7</v>
      </c>
    </row>
    <row r="2077" spans="1:7" x14ac:dyDescent="0.3">
      <c r="A2077" t="s">
        <v>34</v>
      </c>
      <c r="B2077" s="1">
        <v>45869</v>
      </c>
      <c r="C2077">
        <v>242036</v>
      </c>
      <c r="D2077">
        <v>-22.584</v>
      </c>
      <c r="E2077" t="s">
        <v>4</v>
      </c>
      <c r="F2077" t="s">
        <v>43</v>
      </c>
      <c r="G2077" t="s">
        <v>7</v>
      </c>
    </row>
    <row r="2078" spans="1:7" x14ac:dyDescent="0.3">
      <c r="A2078" t="s">
        <v>34</v>
      </c>
      <c r="B2078" s="1">
        <v>45869</v>
      </c>
      <c r="C2078">
        <v>242038</v>
      </c>
      <c r="D2078">
        <v>-4051.0549999999998</v>
      </c>
      <c r="E2078" t="s">
        <v>4</v>
      </c>
      <c r="F2078" t="s">
        <v>43</v>
      </c>
      <c r="G2078" t="s">
        <v>7</v>
      </c>
    </row>
    <row r="2079" spans="1:7" x14ac:dyDescent="0.3">
      <c r="A2079" t="s">
        <v>34</v>
      </c>
      <c r="B2079" s="1">
        <v>45869</v>
      </c>
      <c r="C2079">
        <v>242039</v>
      </c>
      <c r="D2079">
        <v>-1460.837</v>
      </c>
      <c r="E2079" t="s">
        <v>4</v>
      </c>
      <c r="F2079" t="s">
        <v>43</v>
      </c>
      <c r="G2079" t="s">
        <v>7</v>
      </c>
    </row>
    <row r="2080" spans="1:7" x14ac:dyDescent="0.3">
      <c r="A2080" t="s">
        <v>34</v>
      </c>
      <c r="B2080" s="1">
        <v>45869</v>
      </c>
      <c r="C2080">
        <v>242041</v>
      </c>
      <c r="D2080">
        <v>13192.83</v>
      </c>
      <c r="E2080" t="s">
        <v>4</v>
      </c>
      <c r="F2080" t="s">
        <v>43</v>
      </c>
      <c r="G2080" t="s">
        <v>7</v>
      </c>
    </row>
    <row r="2081" spans="1:7" x14ac:dyDescent="0.3">
      <c r="A2081" t="s">
        <v>34</v>
      </c>
      <c r="B2081" s="1">
        <v>45869</v>
      </c>
      <c r="C2081">
        <v>243002</v>
      </c>
      <c r="D2081">
        <v>-21342.275000000001</v>
      </c>
      <c r="E2081" t="s">
        <v>4</v>
      </c>
      <c r="F2081" t="s">
        <v>43</v>
      </c>
      <c r="G2081" t="s">
        <v>7</v>
      </c>
    </row>
    <row r="2082" spans="1:7" x14ac:dyDescent="0.3">
      <c r="A2082" t="s">
        <v>34</v>
      </c>
      <c r="B2082" s="1">
        <v>45869</v>
      </c>
      <c r="C2082">
        <v>243003</v>
      </c>
      <c r="D2082">
        <v>-12501.07</v>
      </c>
      <c r="E2082" t="s">
        <v>4</v>
      </c>
      <c r="F2082" t="s">
        <v>43</v>
      </c>
      <c r="G2082" t="s">
        <v>7</v>
      </c>
    </row>
    <row r="2083" spans="1:7" x14ac:dyDescent="0.3">
      <c r="A2083" t="s">
        <v>34</v>
      </c>
      <c r="B2083" s="1">
        <v>45869</v>
      </c>
      <c r="C2083">
        <v>243010</v>
      </c>
      <c r="D2083">
        <v>-4960.7309999999998</v>
      </c>
      <c r="E2083" t="s">
        <v>4</v>
      </c>
      <c r="F2083" t="s">
        <v>43</v>
      </c>
      <c r="G2083" t="s">
        <v>7</v>
      </c>
    </row>
    <row r="2084" spans="1:7" x14ac:dyDescent="0.3">
      <c r="A2084" t="s">
        <v>34</v>
      </c>
      <c r="B2084" s="1">
        <v>45869</v>
      </c>
      <c r="C2084">
        <v>245010</v>
      </c>
      <c r="D2084">
        <v>-72925.562000000005</v>
      </c>
      <c r="E2084" t="s">
        <v>4</v>
      </c>
      <c r="F2084" t="s">
        <v>44</v>
      </c>
      <c r="G2084" t="s">
        <v>7</v>
      </c>
    </row>
    <row r="2085" spans="1:7" x14ac:dyDescent="0.3">
      <c r="A2085" t="s">
        <v>34</v>
      </c>
      <c r="B2085" s="1">
        <v>45869</v>
      </c>
      <c r="C2085">
        <v>245018</v>
      </c>
      <c r="D2085">
        <v>-42219.743000000002</v>
      </c>
      <c r="E2085" t="s">
        <v>4</v>
      </c>
      <c r="F2085" t="s">
        <v>43</v>
      </c>
      <c r="G2085" t="s">
        <v>7</v>
      </c>
    </row>
    <row r="2086" spans="1:7" x14ac:dyDescent="0.3">
      <c r="A2086" t="s">
        <v>34</v>
      </c>
      <c r="B2086" s="1">
        <v>45869</v>
      </c>
      <c r="C2086">
        <v>245056</v>
      </c>
      <c r="D2086">
        <v>-36.173000000000002</v>
      </c>
      <c r="E2086" t="s">
        <v>4</v>
      </c>
      <c r="F2086" t="s">
        <v>49</v>
      </c>
      <c r="G2086" t="s">
        <v>7</v>
      </c>
    </row>
    <row r="2087" spans="1:7" x14ac:dyDescent="0.3">
      <c r="A2087" t="s">
        <v>34</v>
      </c>
      <c r="B2087" s="1">
        <v>45869</v>
      </c>
      <c r="C2087">
        <v>245062</v>
      </c>
      <c r="D2087">
        <v>-49778.853999999999</v>
      </c>
      <c r="E2087" t="s">
        <v>4</v>
      </c>
      <c r="F2087" t="s">
        <v>43</v>
      </c>
      <c r="G2087" t="s">
        <v>7</v>
      </c>
    </row>
    <row r="2088" spans="1:7" x14ac:dyDescent="0.3">
      <c r="A2088" t="s">
        <v>34</v>
      </c>
      <c r="B2088" s="1">
        <v>45869</v>
      </c>
      <c r="C2088">
        <v>250003</v>
      </c>
      <c r="D2088">
        <v>-501.88799999999998</v>
      </c>
      <c r="E2088" t="s">
        <v>4</v>
      </c>
      <c r="F2088" t="s">
        <v>45</v>
      </c>
      <c r="G2088" t="s">
        <v>7</v>
      </c>
    </row>
    <row r="2089" spans="1:7" x14ac:dyDescent="0.3">
      <c r="A2089" t="s">
        <v>34</v>
      </c>
      <c r="B2089" s="1">
        <v>45869</v>
      </c>
      <c r="C2089">
        <v>250007</v>
      </c>
      <c r="D2089">
        <v>-18091.343000000001</v>
      </c>
      <c r="E2089" t="s">
        <v>4</v>
      </c>
      <c r="F2089" t="s">
        <v>43</v>
      </c>
      <c r="G2089" t="s">
        <v>7</v>
      </c>
    </row>
    <row r="2090" spans="1:7" x14ac:dyDescent="0.3">
      <c r="A2090" t="s">
        <v>34</v>
      </c>
      <c r="B2090" s="1">
        <v>45869</v>
      </c>
      <c r="C2090">
        <v>251002</v>
      </c>
      <c r="D2090">
        <v>-1211.413</v>
      </c>
      <c r="E2090" t="s">
        <v>4</v>
      </c>
      <c r="F2090" t="s">
        <v>45</v>
      </c>
      <c r="G2090" t="s">
        <v>7</v>
      </c>
    </row>
    <row r="2091" spans="1:7" x14ac:dyDescent="0.3">
      <c r="A2091" t="s">
        <v>34</v>
      </c>
      <c r="B2091" s="1">
        <v>45869</v>
      </c>
      <c r="C2091">
        <v>251003</v>
      </c>
      <c r="D2091">
        <v>-1277.463</v>
      </c>
      <c r="E2091" t="s">
        <v>4</v>
      </c>
      <c r="F2091" t="s">
        <v>45</v>
      </c>
      <c r="G2091" t="s">
        <v>7</v>
      </c>
    </row>
    <row r="2092" spans="1:7" x14ac:dyDescent="0.3">
      <c r="A2092" t="s">
        <v>34</v>
      </c>
      <c r="B2092" s="1">
        <v>45869</v>
      </c>
      <c r="C2092">
        <v>257008</v>
      </c>
      <c r="D2092">
        <v>-1180.489</v>
      </c>
      <c r="E2092" t="s">
        <v>4</v>
      </c>
      <c r="F2092" t="s">
        <v>45</v>
      </c>
      <c r="G2092" t="s">
        <v>7</v>
      </c>
    </row>
    <row r="2093" spans="1:7" x14ac:dyDescent="0.3">
      <c r="A2093" t="s">
        <v>34</v>
      </c>
      <c r="B2093" s="1">
        <v>45869</v>
      </c>
      <c r="C2093">
        <v>257009</v>
      </c>
      <c r="D2093">
        <v>-10493.446</v>
      </c>
      <c r="E2093" t="s">
        <v>4</v>
      </c>
      <c r="F2093" t="s">
        <v>45</v>
      </c>
      <c r="G2093" t="s">
        <v>7</v>
      </c>
    </row>
    <row r="2094" spans="1:7" x14ac:dyDescent="0.3">
      <c r="A2094" t="s">
        <v>34</v>
      </c>
      <c r="B2094" s="1">
        <v>45869</v>
      </c>
      <c r="C2094">
        <v>257011</v>
      </c>
      <c r="D2094">
        <v>-3596.6149999999998</v>
      </c>
      <c r="E2094" t="s">
        <v>4</v>
      </c>
      <c r="F2094" t="s">
        <v>45</v>
      </c>
      <c r="G2094" t="s">
        <v>7</v>
      </c>
    </row>
    <row r="2095" spans="1:7" x14ac:dyDescent="0.3">
      <c r="A2095" t="s">
        <v>34</v>
      </c>
      <c r="B2095" s="1">
        <v>45869</v>
      </c>
      <c r="C2095">
        <v>257028</v>
      </c>
      <c r="D2095">
        <v>-35688.567999999999</v>
      </c>
      <c r="E2095" t="s">
        <v>4</v>
      </c>
      <c r="F2095" t="s">
        <v>45</v>
      </c>
      <c r="G2095" t="s">
        <v>7</v>
      </c>
    </row>
    <row r="2096" spans="1:7" x14ac:dyDescent="0.3">
      <c r="A2096" t="s">
        <v>34</v>
      </c>
      <c r="B2096" s="1">
        <v>45869</v>
      </c>
      <c r="C2096">
        <v>260004</v>
      </c>
      <c r="D2096">
        <v>1885.5740000000001</v>
      </c>
      <c r="E2096" t="s">
        <v>4</v>
      </c>
      <c r="F2096" t="s">
        <v>45</v>
      </c>
      <c r="G2096" t="s">
        <v>7</v>
      </c>
    </row>
    <row r="2097" spans="1:7" x14ac:dyDescent="0.3">
      <c r="A2097" t="s">
        <v>34</v>
      </c>
      <c r="B2097" s="1">
        <v>45869</v>
      </c>
      <c r="C2097">
        <v>270024</v>
      </c>
      <c r="D2097">
        <v>-14084.565000000001</v>
      </c>
      <c r="E2097" t="s">
        <v>4</v>
      </c>
      <c r="F2097" t="s">
        <v>58</v>
      </c>
      <c r="G2097" t="s">
        <v>7</v>
      </c>
    </row>
    <row r="2098" spans="1:7" x14ac:dyDescent="0.3">
      <c r="A2098" t="s">
        <v>34</v>
      </c>
      <c r="B2098" s="1">
        <v>45869</v>
      </c>
      <c r="C2098">
        <v>270025</v>
      </c>
      <c r="D2098">
        <v>-127.499</v>
      </c>
      <c r="E2098" t="s">
        <v>4</v>
      </c>
      <c r="F2098" t="s">
        <v>58</v>
      </c>
      <c r="G2098" t="s">
        <v>7</v>
      </c>
    </row>
    <row r="2099" spans="1:7" x14ac:dyDescent="0.3">
      <c r="A2099" t="s">
        <v>34</v>
      </c>
      <c r="B2099" s="1">
        <v>45869</v>
      </c>
      <c r="C2099">
        <v>270026</v>
      </c>
      <c r="D2099">
        <v>-16823.406999999999</v>
      </c>
      <c r="E2099" t="s">
        <v>4</v>
      </c>
      <c r="F2099" t="s">
        <v>58</v>
      </c>
      <c r="G2099" t="s">
        <v>7</v>
      </c>
    </row>
    <row r="2100" spans="1:7" x14ac:dyDescent="0.3">
      <c r="A2100" t="s">
        <v>34</v>
      </c>
      <c r="B2100" s="1">
        <v>45869</v>
      </c>
      <c r="C2100">
        <v>270027</v>
      </c>
      <c r="D2100">
        <v>-31.905999999999999</v>
      </c>
      <c r="E2100" t="s">
        <v>4</v>
      </c>
      <c r="F2100" t="s">
        <v>58</v>
      </c>
      <c r="G2100" t="s">
        <v>7</v>
      </c>
    </row>
    <row r="2101" spans="1:7" x14ac:dyDescent="0.3">
      <c r="A2101" t="s">
        <v>34</v>
      </c>
      <c r="B2101" s="1">
        <v>45869</v>
      </c>
      <c r="C2101">
        <v>300004</v>
      </c>
      <c r="D2101">
        <v>1696.4739999999999</v>
      </c>
      <c r="E2101" t="s">
        <v>4</v>
      </c>
      <c r="F2101" t="s">
        <v>65</v>
      </c>
      <c r="G2101" t="s">
        <v>7</v>
      </c>
    </row>
    <row r="2102" spans="1:7" x14ac:dyDescent="0.3">
      <c r="A2102" t="s">
        <v>34</v>
      </c>
      <c r="B2102" s="1">
        <v>45869</v>
      </c>
      <c r="C2102">
        <v>300005</v>
      </c>
      <c r="D2102">
        <v>5522.1080000000002</v>
      </c>
      <c r="E2102" t="s">
        <v>4</v>
      </c>
      <c r="F2102" t="s">
        <v>65</v>
      </c>
      <c r="G2102" t="s">
        <v>7</v>
      </c>
    </row>
    <row r="2103" spans="1:7" x14ac:dyDescent="0.3">
      <c r="A2103" t="s">
        <v>34</v>
      </c>
      <c r="B2103" s="1">
        <v>45869</v>
      </c>
      <c r="C2103">
        <v>300008</v>
      </c>
      <c r="D2103">
        <v>15918.427</v>
      </c>
      <c r="E2103" t="s">
        <v>4</v>
      </c>
      <c r="F2103" t="s">
        <v>65</v>
      </c>
      <c r="G2103" t="s">
        <v>7</v>
      </c>
    </row>
    <row r="2104" spans="1:7" x14ac:dyDescent="0.3">
      <c r="A2104" t="s">
        <v>34</v>
      </c>
      <c r="B2104" s="1">
        <v>45869</v>
      </c>
      <c r="C2104">
        <v>300009</v>
      </c>
      <c r="D2104">
        <v>276.33100000000002</v>
      </c>
      <c r="E2104" t="s">
        <v>4</v>
      </c>
      <c r="F2104" t="s">
        <v>65</v>
      </c>
      <c r="G2104" t="s">
        <v>7</v>
      </c>
    </row>
    <row r="2105" spans="1:7" x14ac:dyDescent="0.3">
      <c r="A2105" t="s">
        <v>34</v>
      </c>
      <c r="B2105" s="1">
        <v>45869</v>
      </c>
      <c r="C2105">
        <v>300011</v>
      </c>
      <c r="D2105">
        <v>139.57400000000001</v>
      </c>
      <c r="E2105" t="s">
        <v>4</v>
      </c>
      <c r="F2105" t="s">
        <v>65</v>
      </c>
      <c r="G2105" t="s">
        <v>7</v>
      </c>
    </row>
    <row r="2106" spans="1:7" x14ac:dyDescent="0.3">
      <c r="A2106" t="s">
        <v>34</v>
      </c>
      <c r="B2106" s="1">
        <v>45869</v>
      </c>
      <c r="C2106">
        <v>300012</v>
      </c>
      <c r="D2106">
        <v>4933.4660000000003</v>
      </c>
      <c r="E2106" t="s">
        <v>4</v>
      </c>
      <c r="F2106" t="s">
        <v>65</v>
      </c>
      <c r="G2106" t="s">
        <v>7</v>
      </c>
    </row>
    <row r="2107" spans="1:7" x14ac:dyDescent="0.3">
      <c r="A2107" t="s">
        <v>34</v>
      </c>
      <c r="B2107" s="1">
        <v>45869</v>
      </c>
      <c r="C2107">
        <v>300504</v>
      </c>
      <c r="D2107">
        <v>-1696.4739999999999</v>
      </c>
      <c r="E2107" t="s">
        <v>4</v>
      </c>
      <c r="F2107" t="s">
        <v>65</v>
      </c>
      <c r="G2107" t="s">
        <v>7</v>
      </c>
    </row>
    <row r="2108" spans="1:7" x14ac:dyDescent="0.3">
      <c r="A2108" t="s">
        <v>34</v>
      </c>
      <c r="B2108" s="1">
        <v>45869</v>
      </c>
      <c r="C2108">
        <v>300505</v>
      </c>
      <c r="D2108">
        <v>-5522.1080000000002</v>
      </c>
      <c r="E2108" t="s">
        <v>4</v>
      </c>
      <c r="F2108" t="s">
        <v>65</v>
      </c>
      <c r="G2108" t="s">
        <v>7</v>
      </c>
    </row>
    <row r="2109" spans="1:7" x14ac:dyDescent="0.3">
      <c r="A2109" t="s">
        <v>34</v>
      </c>
      <c r="B2109" s="1">
        <v>45869</v>
      </c>
      <c r="C2109">
        <v>300508</v>
      </c>
      <c r="D2109">
        <v>-15918.427</v>
      </c>
      <c r="E2109" t="s">
        <v>4</v>
      </c>
      <c r="F2109" t="s">
        <v>65</v>
      </c>
      <c r="G2109" t="s">
        <v>7</v>
      </c>
    </row>
    <row r="2110" spans="1:7" x14ac:dyDescent="0.3">
      <c r="A2110" t="s">
        <v>34</v>
      </c>
      <c r="B2110" s="1">
        <v>45869</v>
      </c>
      <c r="C2110">
        <v>300509</v>
      </c>
      <c r="D2110">
        <v>-276.33100000000002</v>
      </c>
      <c r="E2110" t="s">
        <v>4</v>
      </c>
      <c r="F2110" t="s">
        <v>65</v>
      </c>
      <c r="G2110" t="s">
        <v>7</v>
      </c>
    </row>
    <row r="2111" spans="1:7" x14ac:dyDescent="0.3">
      <c r="A2111" t="s">
        <v>34</v>
      </c>
      <c r="B2111" s="1">
        <v>45869</v>
      </c>
      <c r="C2111">
        <v>300511</v>
      </c>
      <c r="D2111">
        <v>-110.434</v>
      </c>
      <c r="E2111" t="s">
        <v>4</v>
      </c>
      <c r="F2111" t="s">
        <v>65</v>
      </c>
      <c r="G2111" t="s">
        <v>7</v>
      </c>
    </row>
    <row r="2112" spans="1:7" x14ac:dyDescent="0.3">
      <c r="A2112" t="s">
        <v>34</v>
      </c>
      <c r="B2112" s="1">
        <v>45869</v>
      </c>
      <c r="C2112">
        <v>300512</v>
      </c>
      <c r="D2112">
        <v>-4933.4660000000003</v>
      </c>
      <c r="E2112" t="s">
        <v>4</v>
      </c>
      <c r="F2112" t="s">
        <v>65</v>
      </c>
      <c r="G2112" t="s">
        <v>7</v>
      </c>
    </row>
    <row r="2113" spans="1:7" x14ac:dyDescent="0.3">
      <c r="A2113" t="s">
        <v>34</v>
      </c>
      <c r="B2113" s="1">
        <v>45869</v>
      </c>
      <c r="C2113">
        <v>301005</v>
      </c>
      <c r="D2113">
        <v>4568.9979999999996</v>
      </c>
      <c r="E2113" t="s">
        <v>4</v>
      </c>
      <c r="F2113" t="s">
        <v>65</v>
      </c>
      <c r="G2113" t="s">
        <v>7</v>
      </c>
    </row>
    <row r="2114" spans="1:7" x14ac:dyDescent="0.3">
      <c r="A2114" t="s">
        <v>34</v>
      </c>
      <c r="B2114" s="1">
        <v>45869</v>
      </c>
      <c r="C2114">
        <v>301505</v>
      </c>
      <c r="D2114">
        <v>-4568.9979999999996</v>
      </c>
      <c r="E2114" t="s">
        <v>4</v>
      </c>
      <c r="F2114" t="s">
        <v>65</v>
      </c>
      <c r="G2114" t="s">
        <v>7</v>
      </c>
    </row>
    <row r="2115" spans="1:7" x14ac:dyDescent="0.3">
      <c r="A2115" t="s">
        <v>34</v>
      </c>
      <c r="B2115" s="1">
        <v>45869</v>
      </c>
      <c r="C2115">
        <v>310019</v>
      </c>
      <c r="D2115">
        <v>0.12</v>
      </c>
      <c r="E2115" t="s">
        <v>4</v>
      </c>
      <c r="F2115" t="s">
        <v>42</v>
      </c>
      <c r="G2115" t="s">
        <v>7</v>
      </c>
    </row>
    <row r="2116" spans="1:7" x14ac:dyDescent="0.3">
      <c r="A2116" t="s">
        <v>34</v>
      </c>
      <c r="B2116" s="1">
        <v>45869</v>
      </c>
      <c r="C2116">
        <v>320002</v>
      </c>
      <c r="D2116">
        <v>1626.8130000000001</v>
      </c>
      <c r="E2116" t="s">
        <v>4</v>
      </c>
      <c r="F2116" t="s">
        <v>46</v>
      </c>
      <c r="G2116" t="s">
        <v>7</v>
      </c>
    </row>
    <row r="2117" spans="1:7" x14ac:dyDescent="0.3">
      <c r="A2117" t="s">
        <v>34</v>
      </c>
      <c r="B2117" s="1">
        <v>45869</v>
      </c>
      <c r="C2117">
        <v>320003</v>
      </c>
      <c r="D2117">
        <v>770842.05700000003</v>
      </c>
      <c r="E2117" t="s">
        <v>4</v>
      </c>
      <c r="F2117" t="s">
        <v>46</v>
      </c>
      <c r="G2117" t="s">
        <v>7</v>
      </c>
    </row>
    <row r="2118" spans="1:7" x14ac:dyDescent="0.3">
      <c r="A2118" t="s">
        <v>34</v>
      </c>
      <c r="B2118" s="1">
        <v>45869</v>
      </c>
      <c r="C2118">
        <v>320016</v>
      </c>
      <c r="D2118">
        <v>25104.530999999999</v>
      </c>
      <c r="E2118" t="s">
        <v>4</v>
      </c>
      <c r="F2118" t="s">
        <v>46</v>
      </c>
      <c r="G2118" t="s">
        <v>7</v>
      </c>
    </row>
    <row r="2119" spans="1:7" x14ac:dyDescent="0.3">
      <c r="A2119" t="s">
        <v>34</v>
      </c>
      <c r="B2119" s="1">
        <v>45869</v>
      </c>
      <c r="C2119">
        <v>320023</v>
      </c>
      <c r="D2119">
        <v>-35071.987000000001</v>
      </c>
      <c r="E2119" t="s">
        <v>4</v>
      </c>
      <c r="F2119" t="s">
        <v>46</v>
      </c>
      <c r="G2119" t="s">
        <v>7</v>
      </c>
    </row>
    <row r="2120" spans="1:7" x14ac:dyDescent="0.3">
      <c r="A2120" t="s">
        <v>34</v>
      </c>
      <c r="B2120" s="1">
        <v>45869</v>
      </c>
      <c r="C2120">
        <v>321002</v>
      </c>
      <c r="D2120">
        <v>1177439.3330000001</v>
      </c>
      <c r="E2120" t="s">
        <v>4</v>
      </c>
      <c r="F2120" t="s">
        <v>46</v>
      </c>
      <c r="G2120" t="s">
        <v>7</v>
      </c>
    </row>
    <row r="2121" spans="1:7" x14ac:dyDescent="0.3">
      <c r="A2121" t="s">
        <v>34</v>
      </c>
      <c r="B2121" s="1">
        <v>45869</v>
      </c>
      <c r="C2121">
        <v>321010</v>
      </c>
      <c r="D2121">
        <v>0.92</v>
      </c>
      <c r="E2121" t="s">
        <v>4</v>
      </c>
      <c r="F2121" t="s">
        <v>46</v>
      </c>
      <c r="G2121" t="s">
        <v>7</v>
      </c>
    </row>
    <row r="2122" spans="1:7" x14ac:dyDescent="0.3">
      <c r="A2122" t="s">
        <v>34</v>
      </c>
      <c r="B2122" s="1">
        <v>45869</v>
      </c>
      <c r="C2122">
        <v>321013</v>
      </c>
      <c r="D2122">
        <v>923.101</v>
      </c>
      <c r="E2122" t="s">
        <v>4</v>
      </c>
      <c r="F2122" t="s">
        <v>46</v>
      </c>
      <c r="G2122" t="s">
        <v>7</v>
      </c>
    </row>
    <row r="2123" spans="1:7" x14ac:dyDescent="0.3">
      <c r="A2123" t="s">
        <v>34</v>
      </c>
      <c r="B2123" s="1">
        <v>45869</v>
      </c>
      <c r="C2123">
        <v>321014</v>
      </c>
      <c r="D2123">
        <v>5345.6109999999999</v>
      </c>
      <c r="E2123" t="s">
        <v>4</v>
      </c>
      <c r="F2123" t="s">
        <v>46</v>
      </c>
      <c r="G2123" t="s">
        <v>7</v>
      </c>
    </row>
    <row r="2124" spans="1:7" x14ac:dyDescent="0.3">
      <c r="A2124" t="s">
        <v>34</v>
      </c>
      <c r="B2124" s="1">
        <v>45869</v>
      </c>
      <c r="C2124">
        <v>321021</v>
      </c>
      <c r="D2124">
        <v>13140.853999999999</v>
      </c>
      <c r="E2124" t="s">
        <v>4</v>
      </c>
      <c r="F2124" t="s">
        <v>46</v>
      </c>
      <c r="G2124" t="s">
        <v>7</v>
      </c>
    </row>
    <row r="2125" spans="1:7" x14ac:dyDescent="0.3">
      <c r="A2125" t="s">
        <v>34</v>
      </c>
      <c r="B2125" s="1">
        <v>45869</v>
      </c>
      <c r="C2125">
        <v>321025</v>
      </c>
      <c r="D2125">
        <v>63022.737000000001</v>
      </c>
      <c r="E2125" t="s">
        <v>4</v>
      </c>
      <c r="F2125" t="s">
        <v>46</v>
      </c>
      <c r="G2125" t="s">
        <v>7</v>
      </c>
    </row>
    <row r="2126" spans="1:7" x14ac:dyDescent="0.3">
      <c r="A2126" t="s">
        <v>34</v>
      </c>
      <c r="B2126" s="1">
        <v>45869</v>
      </c>
      <c r="C2126">
        <v>321029</v>
      </c>
      <c r="D2126">
        <v>71685.766000000003</v>
      </c>
      <c r="E2126" t="s">
        <v>4</v>
      </c>
      <c r="F2126" t="s">
        <v>46</v>
      </c>
      <c r="G2126" t="s">
        <v>7</v>
      </c>
    </row>
    <row r="2127" spans="1:7" x14ac:dyDescent="0.3">
      <c r="A2127" t="s">
        <v>34</v>
      </c>
      <c r="B2127" s="1">
        <v>45869</v>
      </c>
      <c r="C2127">
        <v>321041</v>
      </c>
      <c r="D2127">
        <v>14411.346</v>
      </c>
      <c r="E2127" t="s">
        <v>4</v>
      </c>
      <c r="F2127" t="s">
        <v>46</v>
      </c>
      <c r="G2127" t="s">
        <v>7</v>
      </c>
    </row>
    <row r="2128" spans="1:7" x14ac:dyDescent="0.3">
      <c r="A2128" t="s">
        <v>34</v>
      </c>
      <c r="B2128" s="1">
        <v>45869</v>
      </c>
      <c r="C2128">
        <v>321042</v>
      </c>
      <c r="D2128">
        <v>-16.649000000000001</v>
      </c>
      <c r="E2128" t="s">
        <v>4</v>
      </c>
      <c r="F2128" t="s">
        <v>46</v>
      </c>
      <c r="G2128" t="s">
        <v>7</v>
      </c>
    </row>
    <row r="2129" spans="1:7" x14ac:dyDescent="0.3">
      <c r="A2129" t="s">
        <v>34</v>
      </c>
      <c r="B2129" s="1">
        <v>45869</v>
      </c>
      <c r="C2129">
        <v>330040</v>
      </c>
      <c r="D2129">
        <v>7477.3019999999997</v>
      </c>
      <c r="E2129" t="s">
        <v>4</v>
      </c>
      <c r="F2129" t="s">
        <v>43</v>
      </c>
      <c r="G2129" t="s">
        <v>7</v>
      </c>
    </row>
    <row r="2130" spans="1:7" x14ac:dyDescent="0.3">
      <c r="A2130" t="s">
        <v>34</v>
      </c>
      <c r="B2130" s="1">
        <v>45869</v>
      </c>
      <c r="C2130">
        <v>330051</v>
      </c>
      <c r="D2130">
        <v>-5345.674</v>
      </c>
      <c r="E2130" t="s">
        <v>4</v>
      </c>
      <c r="F2130" t="s">
        <v>43</v>
      </c>
      <c r="G2130" t="s">
        <v>7</v>
      </c>
    </row>
    <row r="2131" spans="1:7" x14ac:dyDescent="0.3">
      <c r="A2131" t="s">
        <v>34</v>
      </c>
      <c r="B2131" s="1">
        <v>45869</v>
      </c>
      <c r="C2131">
        <v>330065</v>
      </c>
      <c r="D2131">
        <v>283.98599999999999</v>
      </c>
      <c r="E2131" t="s">
        <v>4</v>
      </c>
      <c r="F2131" t="s">
        <v>43</v>
      </c>
      <c r="G2131" t="s">
        <v>7</v>
      </c>
    </row>
    <row r="2132" spans="1:7" x14ac:dyDescent="0.3">
      <c r="A2132" t="s">
        <v>34</v>
      </c>
      <c r="B2132" s="1">
        <v>45869</v>
      </c>
      <c r="C2132">
        <v>330138</v>
      </c>
      <c r="D2132">
        <v>-1620.577</v>
      </c>
      <c r="E2132" t="s">
        <v>4</v>
      </c>
      <c r="F2132" t="s">
        <v>43</v>
      </c>
      <c r="G2132" t="s">
        <v>7</v>
      </c>
    </row>
    <row r="2133" spans="1:7" x14ac:dyDescent="0.3">
      <c r="A2133" t="s">
        <v>34</v>
      </c>
      <c r="B2133" s="1">
        <v>45869</v>
      </c>
      <c r="C2133">
        <v>330149</v>
      </c>
      <c r="D2133">
        <v>-1303.2170000000001</v>
      </c>
      <c r="E2133" t="s">
        <v>4</v>
      </c>
      <c r="F2133" t="s">
        <v>43</v>
      </c>
      <c r="G2133" t="s">
        <v>7</v>
      </c>
    </row>
    <row r="2134" spans="1:7" x14ac:dyDescent="0.3">
      <c r="A2134" t="s">
        <v>34</v>
      </c>
      <c r="B2134" s="1">
        <v>45869</v>
      </c>
      <c r="C2134">
        <v>340062</v>
      </c>
      <c r="D2134">
        <v>343125.19</v>
      </c>
      <c r="E2134" t="s">
        <v>4</v>
      </c>
      <c r="F2134" t="s">
        <v>47</v>
      </c>
      <c r="G2134" t="s">
        <v>7</v>
      </c>
    </row>
    <row r="2135" spans="1:7" x14ac:dyDescent="0.3">
      <c r="A2135" t="s">
        <v>34</v>
      </c>
      <c r="B2135" s="1">
        <v>45869</v>
      </c>
      <c r="C2135">
        <v>340063</v>
      </c>
      <c r="D2135">
        <v>13862547.245999999</v>
      </c>
      <c r="E2135" t="s">
        <v>4</v>
      </c>
      <c r="F2135" t="s">
        <v>47</v>
      </c>
      <c r="G2135" t="s">
        <v>7</v>
      </c>
    </row>
    <row r="2136" spans="1:7" x14ac:dyDescent="0.3">
      <c r="A2136" t="s">
        <v>34</v>
      </c>
      <c r="B2136" s="1">
        <v>45869</v>
      </c>
      <c r="C2136">
        <v>340064</v>
      </c>
      <c r="D2136">
        <v>-14107525.75</v>
      </c>
      <c r="E2136" t="s">
        <v>4</v>
      </c>
      <c r="F2136" t="s">
        <v>47</v>
      </c>
      <c r="G2136" t="s">
        <v>7</v>
      </c>
    </row>
    <row r="2137" spans="1:7" x14ac:dyDescent="0.3">
      <c r="A2137" t="s">
        <v>34</v>
      </c>
      <c r="B2137" s="1">
        <v>45869</v>
      </c>
      <c r="C2137">
        <v>340098</v>
      </c>
      <c r="D2137">
        <v>708.98199999999997</v>
      </c>
      <c r="E2137" t="s">
        <v>4</v>
      </c>
      <c r="F2137" t="s">
        <v>47</v>
      </c>
      <c r="G2137" t="s">
        <v>7</v>
      </c>
    </row>
    <row r="2138" spans="1:7" x14ac:dyDescent="0.3">
      <c r="A2138" t="s">
        <v>34</v>
      </c>
      <c r="B2138" s="1">
        <v>45869</v>
      </c>
      <c r="C2138">
        <v>340162</v>
      </c>
      <c r="D2138">
        <v>73119.396999999997</v>
      </c>
      <c r="E2138" t="s">
        <v>4</v>
      </c>
      <c r="F2138" t="s">
        <v>47</v>
      </c>
      <c r="G2138" t="s">
        <v>7</v>
      </c>
    </row>
    <row r="2139" spans="1:7" x14ac:dyDescent="0.3">
      <c r="A2139" t="s">
        <v>34</v>
      </c>
      <c r="B2139" s="1">
        <v>45869</v>
      </c>
      <c r="C2139">
        <v>340163</v>
      </c>
      <c r="D2139">
        <v>6773978.6540000001</v>
      </c>
      <c r="E2139" t="s">
        <v>4</v>
      </c>
      <c r="F2139" t="s">
        <v>47</v>
      </c>
      <c r="G2139" t="s">
        <v>7</v>
      </c>
    </row>
    <row r="2140" spans="1:7" x14ac:dyDescent="0.3">
      <c r="A2140" t="s">
        <v>34</v>
      </c>
      <c r="B2140" s="1">
        <v>45869</v>
      </c>
      <c r="C2140">
        <v>340164</v>
      </c>
      <c r="D2140">
        <v>-6674267.6619999995</v>
      </c>
      <c r="E2140" t="s">
        <v>4</v>
      </c>
      <c r="F2140" t="s">
        <v>47</v>
      </c>
      <c r="G2140" t="s">
        <v>7</v>
      </c>
    </row>
    <row r="2141" spans="1:7" x14ac:dyDescent="0.3">
      <c r="A2141" t="s">
        <v>34</v>
      </c>
      <c r="B2141" s="1">
        <v>45869</v>
      </c>
      <c r="C2141">
        <v>350002</v>
      </c>
      <c r="D2141">
        <v>245.42699999999999</v>
      </c>
      <c r="E2141" t="s">
        <v>4</v>
      </c>
      <c r="F2141" t="s">
        <v>49</v>
      </c>
      <c r="G2141" t="s">
        <v>7</v>
      </c>
    </row>
    <row r="2142" spans="1:7" x14ac:dyDescent="0.3">
      <c r="A2142" t="s">
        <v>34</v>
      </c>
      <c r="B2142" s="1">
        <v>45869</v>
      </c>
      <c r="C2142">
        <v>350003</v>
      </c>
      <c r="D2142">
        <v>-870.82</v>
      </c>
      <c r="E2142" t="s">
        <v>4</v>
      </c>
      <c r="F2142" t="s">
        <v>49</v>
      </c>
      <c r="G2142" t="s">
        <v>7</v>
      </c>
    </row>
    <row r="2143" spans="1:7" x14ac:dyDescent="0.3">
      <c r="A2143" t="s">
        <v>34</v>
      </c>
      <c r="B2143" s="1">
        <v>45869</v>
      </c>
      <c r="C2143">
        <v>350031</v>
      </c>
      <c r="D2143">
        <v>216.637</v>
      </c>
      <c r="E2143" t="s">
        <v>4</v>
      </c>
      <c r="F2143" t="s">
        <v>43</v>
      </c>
      <c r="G2143" t="s">
        <v>7</v>
      </c>
    </row>
    <row r="2144" spans="1:7" x14ac:dyDescent="0.3">
      <c r="A2144" t="s">
        <v>34</v>
      </c>
      <c r="B2144" s="1">
        <v>45869</v>
      </c>
      <c r="C2144">
        <v>350034</v>
      </c>
      <c r="D2144">
        <v>36.173000000000002</v>
      </c>
      <c r="E2144" t="s">
        <v>4</v>
      </c>
      <c r="F2144" t="s">
        <v>49</v>
      </c>
      <c r="G2144" t="s">
        <v>7</v>
      </c>
    </row>
    <row r="2145" spans="1:7" x14ac:dyDescent="0.3">
      <c r="A2145" t="s">
        <v>34</v>
      </c>
      <c r="B2145" s="1">
        <v>45869</v>
      </c>
      <c r="C2145">
        <v>351004</v>
      </c>
      <c r="D2145">
        <v>1565.8879999999999</v>
      </c>
      <c r="E2145" t="s">
        <v>4</v>
      </c>
      <c r="F2145" t="s">
        <v>45</v>
      </c>
      <c r="G2145" t="s">
        <v>7</v>
      </c>
    </row>
    <row r="2146" spans="1:7" x14ac:dyDescent="0.3">
      <c r="A2146" t="s">
        <v>34</v>
      </c>
      <c r="B2146" s="1">
        <v>45869</v>
      </c>
      <c r="C2146">
        <v>354012</v>
      </c>
      <c r="D2146">
        <v>284973.777</v>
      </c>
      <c r="E2146" t="s">
        <v>4</v>
      </c>
      <c r="F2146" t="s">
        <v>46</v>
      </c>
      <c r="G2146" t="s">
        <v>7</v>
      </c>
    </row>
    <row r="2147" spans="1:7" x14ac:dyDescent="0.3">
      <c r="A2147" t="s">
        <v>34</v>
      </c>
      <c r="B2147" s="1">
        <v>45869</v>
      </c>
      <c r="C2147">
        <v>354014</v>
      </c>
      <c r="D2147">
        <v>83639.873999999996</v>
      </c>
      <c r="E2147" t="s">
        <v>4</v>
      </c>
      <c r="F2147" t="s">
        <v>46</v>
      </c>
      <c r="G2147" t="s">
        <v>7</v>
      </c>
    </row>
    <row r="2148" spans="1:7" x14ac:dyDescent="0.3">
      <c r="A2148" t="s">
        <v>34</v>
      </c>
      <c r="B2148" s="1">
        <v>45869</v>
      </c>
      <c r="C2148">
        <v>354015</v>
      </c>
      <c r="D2148">
        <v>8238.6859999999997</v>
      </c>
      <c r="E2148" t="s">
        <v>4</v>
      </c>
      <c r="F2148" t="s">
        <v>46</v>
      </c>
      <c r="G2148" t="s">
        <v>7</v>
      </c>
    </row>
    <row r="2149" spans="1:7" x14ac:dyDescent="0.3">
      <c r="A2149" t="s">
        <v>34</v>
      </c>
      <c r="B2149" s="1">
        <v>45869</v>
      </c>
      <c r="C2149">
        <v>360026</v>
      </c>
      <c r="D2149">
        <v>46456.137000000002</v>
      </c>
      <c r="E2149" t="s">
        <v>4</v>
      </c>
      <c r="F2149" t="s">
        <v>58</v>
      </c>
      <c r="G2149" t="s">
        <v>7</v>
      </c>
    </row>
    <row r="2150" spans="1:7" x14ac:dyDescent="0.3">
      <c r="A2150" t="s">
        <v>34</v>
      </c>
      <c r="B2150" s="1">
        <v>45869</v>
      </c>
      <c r="C2150">
        <v>360027</v>
      </c>
      <c r="D2150">
        <v>13828.83</v>
      </c>
      <c r="E2150" t="s">
        <v>4</v>
      </c>
      <c r="F2150" t="s">
        <v>58</v>
      </c>
      <c r="G2150" t="s">
        <v>7</v>
      </c>
    </row>
    <row r="2151" spans="1:7" x14ac:dyDescent="0.3">
      <c r="A2151" t="s">
        <v>34</v>
      </c>
      <c r="B2151" s="1">
        <v>45869</v>
      </c>
      <c r="C2151">
        <v>360028</v>
      </c>
      <c r="D2151">
        <v>1409.6379999999999</v>
      </c>
      <c r="E2151" t="s">
        <v>4</v>
      </c>
      <c r="F2151" t="s">
        <v>58</v>
      </c>
      <c r="G2151" t="s">
        <v>7</v>
      </c>
    </row>
    <row r="2152" spans="1:7" x14ac:dyDescent="0.3">
      <c r="A2152" t="s">
        <v>34</v>
      </c>
      <c r="B2152" s="1">
        <v>45869</v>
      </c>
      <c r="C2152">
        <v>360030</v>
      </c>
      <c r="D2152">
        <v>28310.004000000001</v>
      </c>
      <c r="E2152" t="s">
        <v>4</v>
      </c>
      <c r="F2152" t="s">
        <v>58</v>
      </c>
      <c r="G2152" t="s">
        <v>7</v>
      </c>
    </row>
    <row r="2153" spans="1:7" x14ac:dyDescent="0.3">
      <c r="A2153" t="s">
        <v>34</v>
      </c>
      <c r="B2153" s="1">
        <v>45869</v>
      </c>
      <c r="C2153">
        <v>360032</v>
      </c>
      <c r="D2153">
        <v>98.171000000000006</v>
      </c>
      <c r="E2153" t="s">
        <v>4</v>
      </c>
      <c r="F2153" t="s">
        <v>58</v>
      </c>
      <c r="G2153" t="s">
        <v>7</v>
      </c>
    </row>
    <row r="2154" spans="1:7" x14ac:dyDescent="0.3">
      <c r="A2154" t="s">
        <v>34</v>
      </c>
      <c r="B2154" s="1">
        <v>45869</v>
      </c>
      <c r="C2154">
        <v>364502</v>
      </c>
      <c r="D2154">
        <v>37954.385000000002</v>
      </c>
      <c r="E2154" t="s">
        <v>4</v>
      </c>
      <c r="F2154" t="s">
        <v>58</v>
      </c>
      <c r="G2154" t="s">
        <v>7</v>
      </c>
    </row>
    <row r="2155" spans="1:7" x14ac:dyDescent="0.3">
      <c r="A2155" t="s">
        <v>34</v>
      </c>
      <c r="B2155" s="1">
        <v>45869</v>
      </c>
      <c r="C2155">
        <v>400002</v>
      </c>
      <c r="D2155">
        <v>-1397.5060000000001</v>
      </c>
      <c r="E2155" t="s">
        <v>6</v>
      </c>
      <c r="F2155" t="s">
        <v>50</v>
      </c>
      <c r="G2155" t="s">
        <v>7</v>
      </c>
    </row>
    <row r="2156" spans="1:7" x14ac:dyDescent="0.3">
      <c r="A2156" t="s">
        <v>34</v>
      </c>
      <c r="B2156" s="1">
        <v>45869</v>
      </c>
      <c r="C2156">
        <v>400004</v>
      </c>
      <c r="D2156">
        <v>8716.3549999999996</v>
      </c>
      <c r="E2156" t="s">
        <v>6</v>
      </c>
      <c r="F2156" t="s">
        <v>50</v>
      </c>
      <c r="G2156" t="s">
        <v>7</v>
      </c>
    </row>
    <row r="2157" spans="1:7" x14ac:dyDescent="0.3">
      <c r="A2157" t="s">
        <v>34</v>
      </c>
      <c r="B2157" s="1">
        <v>45869</v>
      </c>
      <c r="C2157">
        <v>410002</v>
      </c>
      <c r="D2157">
        <v>-314416.91200000001</v>
      </c>
      <c r="E2157" t="s">
        <v>6</v>
      </c>
      <c r="F2157" t="s">
        <v>51</v>
      </c>
      <c r="G2157" t="s">
        <v>7</v>
      </c>
    </row>
    <row r="2158" spans="1:7" x14ac:dyDescent="0.3">
      <c r="A2158" t="s">
        <v>34</v>
      </c>
      <c r="B2158" s="1">
        <v>45869</v>
      </c>
      <c r="C2158">
        <v>410009</v>
      </c>
      <c r="D2158">
        <v>-29858.406999999999</v>
      </c>
      <c r="E2158" t="s">
        <v>6</v>
      </c>
      <c r="F2158" t="s">
        <v>51</v>
      </c>
      <c r="G2158" t="s">
        <v>7</v>
      </c>
    </row>
    <row r="2159" spans="1:7" x14ac:dyDescent="0.3">
      <c r="A2159" t="s">
        <v>34</v>
      </c>
      <c r="B2159" s="1">
        <v>45869</v>
      </c>
      <c r="C2159">
        <v>410015</v>
      </c>
      <c r="D2159">
        <v>-534.08000000000004</v>
      </c>
      <c r="E2159" t="s">
        <v>6</v>
      </c>
      <c r="F2159" t="s">
        <v>51</v>
      </c>
      <c r="G2159" t="s">
        <v>7</v>
      </c>
    </row>
    <row r="2160" spans="1:7" x14ac:dyDescent="0.3">
      <c r="A2160" t="s">
        <v>34</v>
      </c>
      <c r="B2160" s="1">
        <v>45869</v>
      </c>
      <c r="C2160">
        <v>410019</v>
      </c>
      <c r="D2160">
        <v>74.206000000000003</v>
      </c>
      <c r="E2160" t="s">
        <v>6</v>
      </c>
      <c r="F2160" t="s">
        <v>51</v>
      </c>
      <c r="G2160" t="s">
        <v>7</v>
      </c>
    </row>
    <row r="2161" spans="1:7" x14ac:dyDescent="0.3">
      <c r="A2161" t="s">
        <v>34</v>
      </c>
      <c r="B2161" s="1">
        <v>45869</v>
      </c>
      <c r="C2161">
        <v>410032</v>
      </c>
      <c r="D2161">
        <v>-21092.21</v>
      </c>
      <c r="E2161" t="s">
        <v>6</v>
      </c>
      <c r="F2161" t="s">
        <v>51</v>
      </c>
      <c r="G2161" t="s">
        <v>7</v>
      </c>
    </row>
    <row r="2162" spans="1:7" x14ac:dyDescent="0.3">
      <c r="A2162" t="s">
        <v>34</v>
      </c>
      <c r="B2162" s="1">
        <v>45869</v>
      </c>
      <c r="C2162">
        <v>410036</v>
      </c>
      <c r="D2162">
        <v>-280.702</v>
      </c>
      <c r="E2162" t="s">
        <v>6</v>
      </c>
      <c r="F2162" t="s">
        <v>51</v>
      </c>
      <c r="G2162" t="s">
        <v>7</v>
      </c>
    </row>
    <row r="2163" spans="1:7" x14ac:dyDescent="0.3">
      <c r="A2163" t="s">
        <v>34</v>
      </c>
      <c r="B2163" s="1">
        <v>45869</v>
      </c>
      <c r="C2163">
        <v>410037</v>
      </c>
      <c r="D2163">
        <v>-28023.345000000001</v>
      </c>
      <c r="E2163" t="s">
        <v>6</v>
      </c>
      <c r="F2163" t="s">
        <v>51</v>
      </c>
      <c r="G2163" t="s">
        <v>7</v>
      </c>
    </row>
    <row r="2164" spans="1:7" x14ac:dyDescent="0.3">
      <c r="A2164" t="s">
        <v>34</v>
      </c>
      <c r="B2164" s="1">
        <v>45869</v>
      </c>
      <c r="C2164">
        <v>415002</v>
      </c>
      <c r="D2164">
        <v>-455170.16</v>
      </c>
      <c r="E2164" t="s">
        <v>6</v>
      </c>
      <c r="F2164" t="s">
        <v>50</v>
      </c>
      <c r="G2164" t="s">
        <v>7</v>
      </c>
    </row>
    <row r="2165" spans="1:7" x14ac:dyDescent="0.3">
      <c r="A2165" t="s">
        <v>34</v>
      </c>
      <c r="B2165" s="1">
        <v>45869</v>
      </c>
      <c r="C2165">
        <v>415004</v>
      </c>
      <c r="D2165">
        <v>-636645.71400000004</v>
      </c>
      <c r="E2165" t="s">
        <v>6</v>
      </c>
      <c r="F2165" t="s">
        <v>50</v>
      </c>
      <c r="G2165" t="s">
        <v>7</v>
      </c>
    </row>
    <row r="2166" spans="1:7" x14ac:dyDescent="0.3">
      <c r="A2166" t="s">
        <v>34</v>
      </c>
      <c r="B2166" s="1">
        <v>45869</v>
      </c>
      <c r="C2166">
        <v>420004</v>
      </c>
      <c r="D2166">
        <v>-0.17199999999999999</v>
      </c>
      <c r="E2166" t="s">
        <v>6</v>
      </c>
      <c r="F2166" t="s">
        <v>52</v>
      </c>
      <c r="G2166" t="s">
        <v>7</v>
      </c>
    </row>
    <row r="2167" spans="1:7" x14ac:dyDescent="0.3">
      <c r="A2167" t="s">
        <v>34</v>
      </c>
      <c r="B2167" s="1">
        <v>45869</v>
      </c>
      <c r="C2167">
        <v>421002</v>
      </c>
      <c r="D2167">
        <v>1420.2660000000001</v>
      </c>
      <c r="E2167" t="s">
        <v>6</v>
      </c>
      <c r="F2167" t="s">
        <v>52</v>
      </c>
      <c r="G2167" t="s">
        <v>7</v>
      </c>
    </row>
    <row r="2168" spans="1:7" x14ac:dyDescent="0.3">
      <c r="A2168" t="s">
        <v>34</v>
      </c>
      <c r="B2168" s="1">
        <v>45869</v>
      </c>
      <c r="C2168">
        <v>421003</v>
      </c>
      <c r="D2168">
        <v>-10144.043</v>
      </c>
      <c r="E2168" t="s">
        <v>6</v>
      </c>
      <c r="F2168" t="s">
        <v>52</v>
      </c>
      <c r="G2168" t="s">
        <v>7</v>
      </c>
    </row>
    <row r="2169" spans="1:7" x14ac:dyDescent="0.3">
      <c r="A2169" t="s">
        <v>34</v>
      </c>
      <c r="B2169" s="1">
        <v>45869</v>
      </c>
      <c r="C2169">
        <v>421007</v>
      </c>
      <c r="D2169">
        <v>0.88400000000000001</v>
      </c>
      <c r="E2169" t="s">
        <v>6</v>
      </c>
      <c r="F2169" t="s">
        <v>52</v>
      </c>
      <c r="G2169" t="s">
        <v>7</v>
      </c>
    </row>
    <row r="2170" spans="1:7" x14ac:dyDescent="0.3">
      <c r="A2170" t="s">
        <v>34</v>
      </c>
      <c r="B2170" s="1">
        <v>45869</v>
      </c>
      <c r="C2170">
        <v>510002</v>
      </c>
      <c r="D2170">
        <v>412314.728</v>
      </c>
      <c r="E2170" t="s">
        <v>6</v>
      </c>
      <c r="F2170" t="s">
        <v>53</v>
      </c>
      <c r="G2170" t="s">
        <v>7</v>
      </c>
    </row>
    <row r="2171" spans="1:7" x14ac:dyDescent="0.3">
      <c r="A2171" t="s">
        <v>34</v>
      </c>
      <c r="B2171" s="1">
        <v>45869</v>
      </c>
      <c r="C2171">
        <v>510005</v>
      </c>
      <c r="D2171">
        <v>20936.993999999999</v>
      </c>
      <c r="E2171" t="s">
        <v>6</v>
      </c>
      <c r="F2171" t="s">
        <v>53</v>
      </c>
      <c r="G2171" t="s">
        <v>7</v>
      </c>
    </row>
    <row r="2172" spans="1:7" x14ac:dyDescent="0.3">
      <c r="A2172" t="s">
        <v>34</v>
      </c>
      <c r="B2172" s="1">
        <v>45869</v>
      </c>
      <c r="C2172">
        <v>510007</v>
      </c>
      <c r="D2172">
        <v>52360.974000000002</v>
      </c>
      <c r="E2172" t="s">
        <v>6</v>
      </c>
      <c r="F2172" t="s">
        <v>53</v>
      </c>
      <c r="G2172" t="s">
        <v>7</v>
      </c>
    </row>
    <row r="2173" spans="1:7" x14ac:dyDescent="0.3">
      <c r="A2173" t="s">
        <v>34</v>
      </c>
      <c r="B2173" s="1">
        <v>45869</v>
      </c>
      <c r="C2173">
        <v>510010</v>
      </c>
      <c r="D2173">
        <v>9822.9030000000002</v>
      </c>
      <c r="E2173" t="s">
        <v>6</v>
      </c>
      <c r="F2173" t="s">
        <v>53</v>
      </c>
      <c r="G2173" t="s">
        <v>7</v>
      </c>
    </row>
    <row r="2174" spans="1:7" x14ac:dyDescent="0.3">
      <c r="A2174" t="s">
        <v>34</v>
      </c>
      <c r="B2174" s="1">
        <v>45869</v>
      </c>
      <c r="C2174">
        <v>510012</v>
      </c>
      <c r="D2174">
        <v>7335.7089999999998</v>
      </c>
      <c r="E2174" t="s">
        <v>6</v>
      </c>
      <c r="F2174" t="s">
        <v>53</v>
      </c>
      <c r="G2174" t="s">
        <v>7</v>
      </c>
    </row>
    <row r="2175" spans="1:7" x14ac:dyDescent="0.3">
      <c r="A2175" t="s">
        <v>34</v>
      </c>
      <c r="B2175" s="1">
        <v>45869</v>
      </c>
      <c r="C2175">
        <v>510015</v>
      </c>
      <c r="D2175">
        <v>35789.635999999999</v>
      </c>
      <c r="E2175" t="s">
        <v>6</v>
      </c>
      <c r="F2175" t="s">
        <v>53</v>
      </c>
      <c r="G2175" t="s">
        <v>7</v>
      </c>
    </row>
    <row r="2176" spans="1:7" x14ac:dyDescent="0.3">
      <c r="A2176" t="s">
        <v>34</v>
      </c>
      <c r="B2176" s="1">
        <v>45869</v>
      </c>
      <c r="C2176">
        <v>510018</v>
      </c>
      <c r="D2176">
        <v>45904.375</v>
      </c>
      <c r="E2176" t="s">
        <v>6</v>
      </c>
      <c r="F2176" t="s">
        <v>53</v>
      </c>
      <c r="G2176" t="s">
        <v>7</v>
      </c>
    </row>
    <row r="2177" spans="1:7" x14ac:dyDescent="0.3">
      <c r="A2177" t="s">
        <v>34</v>
      </c>
      <c r="B2177" s="1">
        <v>45869</v>
      </c>
      <c r="C2177">
        <v>510059</v>
      </c>
      <c r="D2177">
        <v>2877.9960000000001</v>
      </c>
      <c r="E2177" t="s">
        <v>6</v>
      </c>
      <c r="F2177" t="s">
        <v>53</v>
      </c>
      <c r="G2177" t="s">
        <v>7</v>
      </c>
    </row>
    <row r="2178" spans="1:7" x14ac:dyDescent="0.3">
      <c r="A2178" t="s">
        <v>34</v>
      </c>
      <c r="B2178" s="1">
        <v>45869</v>
      </c>
      <c r="C2178">
        <v>510062</v>
      </c>
      <c r="D2178">
        <v>9688.1640000000007</v>
      </c>
      <c r="E2178" t="s">
        <v>6</v>
      </c>
      <c r="F2178" t="s">
        <v>53</v>
      </c>
      <c r="G2178" t="s">
        <v>7</v>
      </c>
    </row>
    <row r="2179" spans="1:7" x14ac:dyDescent="0.3">
      <c r="A2179" t="s">
        <v>34</v>
      </c>
      <c r="B2179" s="1">
        <v>45869</v>
      </c>
      <c r="C2179">
        <v>510064</v>
      </c>
      <c r="D2179">
        <v>487.03</v>
      </c>
      <c r="E2179" t="s">
        <v>6</v>
      </c>
      <c r="F2179" t="s">
        <v>53</v>
      </c>
      <c r="G2179" t="s">
        <v>7</v>
      </c>
    </row>
    <row r="2180" spans="1:7" x14ac:dyDescent="0.3">
      <c r="A2180" t="s">
        <v>34</v>
      </c>
      <c r="B2180" s="1">
        <v>45869</v>
      </c>
      <c r="C2180">
        <v>510065</v>
      </c>
      <c r="D2180">
        <v>2467.2669999999998</v>
      </c>
      <c r="E2180" t="s">
        <v>6</v>
      </c>
      <c r="F2180" t="s">
        <v>53</v>
      </c>
      <c r="G2180" t="s">
        <v>7</v>
      </c>
    </row>
    <row r="2181" spans="1:7" x14ac:dyDescent="0.3">
      <c r="A2181" t="s">
        <v>34</v>
      </c>
      <c r="B2181" s="1">
        <v>45869</v>
      </c>
      <c r="C2181">
        <v>520021</v>
      </c>
      <c r="D2181">
        <v>1020.523</v>
      </c>
      <c r="E2181" t="s">
        <v>6</v>
      </c>
      <c r="F2181" t="s">
        <v>60</v>
      </c>
      <c r="G2181" t="s">
        <v>7</v>
      </c>
    </row>
    <row r="2182" spans="1:7" x14ac:dyDescent="0.3">
      <c r="A2182" t="s">
        <v>34</v>
      </c>
      <c r="B2182" s="1">
        <v>45869</v>
      </c>
      <c r="C2182">
        <v>530012</v>
      </c>
      <c r="D2182">
        <v>32350.243999999999</v>
      </c>
      <c r="E2182" t="s">
        <v>6</v>
      </c>
      <c r="F2182" t="s">
        <v>53</v>
      </c>
      <c r="G2182" t="s">
        <v>7</v>
      </c>
    </row>
    <row r="2183" spans="1:7" x14ac:dyDescent="0.3">
      <c r="A2183" t="s">
        <v>34</v>
      </c>
      <c r="B2183" s="1">
        <v>45869</v>
      </c>
      <c r="C2183">
        <v>541002</v>
      </c>
      <c r="D2183">
        <v>10771.606</v>
      </c>
      <c r="E2183" t="s">
        <v>6</v>
      </c>
      <c r="F2183" t="s">
        <v>61</v>
      </c>
      <c r="G2183" t="s">
        <v>7</v>
      </c>
    </row>
    <row r="2184" spans="1:7" x14ac:dyDescent="0.3">
      <c r="A2184" t="s">
        <v>34</v>
      </c>
      <c r="B2184" s="1">
        <v>45869</v>
      </c>
      <c r="C2184">
        <v>541004</v>
      </c>
      <c r="D2184">
        <v>2516.2109999999998</v>
      </c>
      <c r="E2184" t="s">
        <v>6</v>
      </c>
      <c r="F2184" t="s">
        <v>61</v>
      </c>
      <c r="G2184" t="s">
        <v>7</v>
      </c>
    </row>
    <row r="2185" spans="1:7" x14ac:dyDescent="0.3">
      <c r="A2185" t="s">
        <v>34</v>
      </c>
      <c r="B2185" s="1">
        <v>45869</v>
      </c>
      <c r="C2185">
        <v>541009</v>
      </c>
      <c r="D2185">
        <v>10030.477000000001</v>
      </c>
      <c r="E2185" t="s">
        <v>6</v>
      </c>
      <c r="F2185" t="s">
        <v>61</v>
      </c>
      <c r="G2185" t="s">
        <v>7</v>
      </c>
    </row>
    <row r="2186" spans="1:7" x14ac:dyDescent="0.3">
      <c r="A2186" t="s">
        <v>34</v>
      </c>
      <c r="B2186" s="1">
        <v>45869</v>
      </c>
      <c r="C2186">
        <v>541010</v>
      </c>
      <c r="D2186">
        <v>5721.7449999999999</v>
      </c>
      <c r="E2186" t="s">
        <v>6</v>
      </c>
      <c r="F2186" t="s">
        <v>61</v>
      </c>
      <c r="G2186" t="s">
        <v>7</v>
      </c>
    </row>
    <row r="2187" spans="1:7" x14ac:dyDescent="0.3">
      <c r="A2187" t="s">
        <v>34</v>
      </c>
      <c r="B2187" s="1">
        <v>45869</v>
      </c>
      <c r="C2187">
        <v>541013</v>
      </c>
      <c r="D2187">
        <v>2074.5410000000002</v>
      </c>
      <c r="E2187" t="s">
        <v>6</v>
      </c>
      <c r="F2187" t="s">
        <v>61</v>
      </c>
      <c r="G2187" t="s">
        <v>7</v>
      </c>
    </row>
    <row r="2188" spans="1:7" x14ac:dyDescent="0.3">
      <c r="A2188" t="s">
        <v>34</v>
      </c>
      <c r="B2188" s="1">
        <v>45869</v>
      </c>
      <c r="C2188">
        <v>544006</v>
      </c>
      <c r="D2188">
        <v>-1110.942</v>
      </c>
      <c r="E2188" t="s">
        <v>6</v>
      </c>
      <c r="F2188" t="s">
        <v>61</v>
      </c>
      <c r="G2188" t="s">
        <v>7</v>
      </c>
    </row>
    <row r="2189" spans="1:7" x14ac:dyDescent="0.3">
      <c r="A2189" t="s">
        <v>34</v>
      </c>
      <c r="B2189" s="1">
        <v>45869</v>
      </c>
      <c r="C2189">
        <v>546002</v>
      </c>
      <c r="D2189">
        <v>596532.92200000002</v>
      </c>
      <c r="E2189" t="s">
        <v>6</v>
      </c>
      <c r="F2189" t="s">
        <v>51</v>
      </c>
      <c r="G2189" t="s">
        <v>7</v>
      </c>
    </row>
    <row r="2190" spans="1:7" x14ac:dyDescent="0.3">
      <c r="A2190" t="s">
        <v>34</v>
      </c>
      <c r="B2190" s="1">
        <v>45869</v>
      </c>
      <c r="C2190">
        <v>546008</v>
      </c>
      <c r="D2190">
        <v>2437.7440000000001</v>
      </c>
      <c r="E2190" t="s">
        <v>6</v>
      </c>
      <c r="F2190" t="s">
        <v>51</v>
      </c>
      <c r="G2190" t="s">
        <v>7</v>
      </c>
    </row>
    <row r="2191" spans="1:7" x14ac:dyDescent="0.3">
      <c r="A2191" t="s">
        <v>34</v>
      </c>
      <c r="B2191" s="1">
        <v>45869</v>
      </c>
      <c r="C2191">
        <v>546013</v>
      </c>
      <c r="D2191">
        <v>120156.863</v>
      </c>
      <c r="E2191" t="s">
        <v>6</v>
      </c>
      <c r="F2191" t="s">
        <v>51</v>
      </c>
      <c r="G2191" t="s">
        <v>7</v>
      </c>
    </row>
    <row r="2192" spans="1:7" x14ac:dyDescent="0.3">
      <c r="A2192" t="s">
        <v>34</v>
      </c>
      <c r="B2192" s="1">
        <v>45869</v>
      </c>
      <c r="C2192">
        <v>546016</v>
      </c>
      <c r="D2192">
        <v>18577.059000000001</v>
      </c>
      <c r="E2192" t="s">
        <v>6</v>
      </c>
      <c r="F2192" t="s">
        <v>51</v>
      </c>
      <c r="G2192" t="s">
        <v>7</v>
      </c>
    </row>
    <row r="2193" spans="1:7" x14ac:dyDescent="0.3">
      <c r="A2193" t="s">
        <v>34</v>
      </c>
      <c r="B2193" s="1">
        <v>45869</v>
      </c>
      <c r="C2193">
        <v>546035</v>
      </c>
      <c r="D2193">
        <v>45286.561999999998</v>
      </c>
      <c r="E2193" t="s">
        <v>6</v>
      </c>
      <c r="F2193" t="s">
        <v>51</v>
      </c>
      <c r="G2193" t="s">
        <v>7</v>
      </c>
    </row>
    <row r="2194" spans="1:7" x14ac:dyDescent="0.3">
      <c r="A2194" t="s">
        <v>34</v>
      </c>
      <c r="B2194" s="1">
        <v>45869</v>
      </c>
      <c r="C2194">
        <v>546040</v>
      </c>
      <c r="D2194">
        <v>13978.68</v>
      </c>
      <c r="E2194" t="s">
        <v>6</v>
      </c>
      <c r="F2194" t="s">
        <v>51</v>
      </c>
      <c r="G2194" t="s">
        <v>7</v>
      </c>
    </row>
    <row r="2195" spans="1:7" x14ac:dyDescent="0.3">
      <c r="A2195" t="s">
        <v>34</v>
      </c>
      <c r="B2195" s="1">
        <v>45869</v>
      </c>
      <c r="C2195">
        <v>546045</v>
      </c>
      <c r="D2195">
        <v>1440.3030000000001</v>
      </c>
      <c r="E2195" t="s">
        <v>6</v>
      </c>
      <c r="F2195" t="s">
        <v>51</v>
      </c>
      <c r="G2195" t="s">
        <v>7</v>
      </c>
    </row>
    <row r="2196" spans="1:7" x14ac:dyDescent="0.3">
      <c r="A2196" t="s">
        <v>34</v>
      </c>
      <c r="B2196" s="1">
        <v>45869</v>
      </c>
      <c r="C2196">
        <v>546047</v>
      </c>
      <c r="D2196">
        <v>43.893000000000001</v>
      </c>
      <c r="E2196" t="s">
        <v>6</v>
      </c>
      <c r="F2196" t="s">
        <v>51</v>
      </c>
      <c r="G2196" t="s">
        <v>7</v>
      </c>
    </row>
    <row r="2197" spans="1:7" x14ac:dyDescent="0.3">
      <c r="A2197" t="s">
        <v>34</v>
      </c>
      <c r="B2197" s="1">
        <v>45869</v>
      </c>
      <c r="C2197">
        <v>547006</v>
      </c>
      <c r="D2197">
        <v>12736.472</v>
      </c>
      <c r="E2197" t="s">
        <v>6</v>
      </c>
      <c r="F2197" t="s">
        <v>54</v>
      </c>
      <c r="G2197" t="s">
        <v>7</v>
      </c>
    </row>
    <row r="2198" spans="1:7" x14ac:dyDescent="0.3">
      <c r="A2198" t="s">
        <v>34</v>
      </c>
      <c r="B2198" s="1">
        <v>45869</v>
      </c>
      <c r="C2198">
        <v>550003</v>
      </c>
      <c r="D2198">
        <v>45028.093000000001</v>
      </c>
      <c r="E2198" t="s">
        <v>6</v>
      </c>
      <c r="F2198" t="s">
        <v>62</v>
      </c>
      <c r="G2198" t="s">
        <v>7</v>
      </c>
    </row>
    <row r="2199" spans="1:7" x14ac:dyDescent="0.3">
      <c r="A2199" t="s">
        <v>34</v>
      </c>
      <c r="B2199" s="1">
        <v>45869</v>
      </c>
      <c r="C2199">
        <v>551008</v>
      </c>
      <c r="D2199">
        <v>110.366</v>
      </c>
      <c r="E2199" t="s">
        <v>6</v>
      </c>
      <c r="F2199" t="s">
        <v>63</v>
      </c>
      <c r="G2199" t="s">
        <v>7</v>
      </c>
    </row>
    <row r="2200" spans="1:7" x14ac:dyDescent="0.3">
      <c r="A2200" t="s">
        <v>34</v>
      </c>
      <c r="B2200" s="1">
        <v>45869</v>
      </c>
      <c r="C2200">
        <v>555508</v>
      </c>
      <c r="D2200">
        <v>8.5299999999999994</v>
      </c>
      <c r="E2200" t="s">
        <v>6</v>
      </c>
      <c r="F2200" t="s">
        <v>55</v>
      </c>
      <c r="G2200" t="s">
        <v>7</v>
      </c>
    </row>
    <row r="2201" spans="1:7" x14ac:dyDescent="0.3">
      <c r="A2201" t="s">
        <v>34</v>
      </c>
      <c r="B2201" s="1">
        <v>45869</v>
      </c>
      <c r="C2201">
        <v>556002</v>
      </c>
      <c r="D2201">
        <v>103.874</v>
      </c>
      <c r="E2201" t="s">
        <v>6</v>
      </c>
      <c r="F2201" t="s">
        <v>60</v>
      </c>
      <c r="G2201" t="s">
        <v>7</v>
      </c>
    </row>
    <row r="2202" spans="1:7" x14ac:dyDescent="0.3">
      <c r="A2202" t="s">
        <v>34</v>
      </c>
      <c r="B2202" s="1">
        <v>45869</v>
      </c>
      <c r="C2202">
        <v>557002</v>
      </c>
      <c r="D2202">
        <v>3583.3560000000002</v>
      </c>
      <c r="E2202" t="s">
        <v>6</v>
      </c>
      <c r="F2202" t="s">
        <v>56</v>
      </c>
      <c r="G2202" t="s">
        <v>7</v>
      </c>
    </row>
    <row r="2203" spans="1:7" x14ac:dyDescent="0.3">
      <c r="A2203" t="s">
        <v>34</v>
      </c>
      <c r="B2203" s="1">
        <v>45869</v>
      </c>
      <c r="C2203">
        <v>557003</v>
      </c>
      <c r="D2203">
        <v>178.821</v>
      </c>
      <c r="E2203" t="s">
        <v>6</v>
      </c>
      <c r="F2203" t="s">
        <v>56</v>
      </c>
      <c r="G2203" t="s">
        <v>7</v>
      </c>
    </row>
    <row r="2204" spans="1:7" x14ac:dyDescent="0.3">
      <c r="A2204" t="s">
        <v>34</v>
      </c>
      <c r="B2204" s="1">
        <v>45869</v>
      </c>
      <c r="C2204">
        <v>558012</v>
      </c>
      <c r="D2204">
        <v>3877.01</v>
      </c>
      <c r="E2204" t="s">
        <v>6</v>
      </c>
      <c r="F2204" t="s">
        <v>60</v>
      </c>
      <c r="G2204" t="s">
        <v>7</v>
      </c>
    </row>
    <row r="2205" spans="1:7" x14ac:dyDescent="0.3">
      <c r="A2205" t="s">
        <v>34</v>
      </c>
      <c r="B2205" s="1">
        <v>45869</v>
      </c>
      <c r="C2205">
        <v>559002</v>
      </c>
      <c r="D2205">
        <v>58.856999999999999</v>
      </c>
      <c r="E2205" t="s">
        <v>6</v>
      </c>
      <c r="F2205" t="s">
        <v>60</v>
      </c>
      <c r="G2205" t="s">
        <v>7</v>
      </c>
    </row>
    <row r="2206" spans="1:7" x14ac:dyDescent="0.3">
      <c r="A2206" t="s">
        <v>34</v>
      </c>
      <c r="B2206" s="1">
        <v>45869</v>
      </c>
      <c r="C2206">
        <v>563002</v>
      </c>
      <c r="D2206">
        <v>5543.6390000000001</v>
      </c>
      <c r="E2206" t="s">
        <v>6</v>
      </c>
      <c r="F2206" t="s">
        <v>57</v>
      </c>
      <c r="G2206" t="s">
        <v>7</v>
      </c>
    </row>
    <row r="2207" spans="1:7" x14ac:dyDescent="0.3">
      <c r="A2207" t="s">
        <v>34</v>
      </c>
      <c r="B2207" s="1">
        <v>45869</v>
      </c>
      <c r="C2207">
        <v>564004</v>
      </c>
      <c r="D2207">
        <v>9862.5079999999998</v>
      </c>
      <c r="E2207" t="s">
        <v>6</v>
      </c>
      <c r="F2207" t="s">
        <v>51</v>
      </c>
      <c r="G2207" t="s">
        <v>7</v>
      </c>
    </row>
    <row r="2208" spans="1:7" x14ac:dyDescent="0.3">
      <c r="A2208" t="s">
        <v>34</v>
      </c>
      <c r="B2208" s="1">
        <v>45869</v>
      </c>
      <c r="C2208">
        <v>564006</v>
      </c>
      <c r="D2208">
        <v>-0.121</v>
      </c>
      <c r="E2208" t="s">
        <v>6</v>
      </c>
      <c r="F2208" t="s">
        <v>57</v>
      </c>
      <c r="G2208" t="s">
        <v>7</v>
      </c>
    </row>
    <row r="2209" spans="1:7" x14ac:dyDescent="0.3">
      <c r="A2209" t="s">
        <v>34</v>
      </c>
      <c r="B2209" s="1">
        <v>45869</v>
      </c>
      <c r="C2209">
        <v>564020</v>
      </c>
      <c r="D2209">
        <v>64.914000000000001</v>
      </c>
      <c r="E2209" t="s">
        <v>6</v>
      </c>
      <c r="F2209" t="s">
        <v>57</v>
      </c>
      <c r="G2209" t="s">
        <v>7</v>
      </c>
    </row>
    <row r="2210" spans="1:7" x14ac:dyDescent="0.3">
      <c r="A2210" t="s">
        <v>34</v>
      </c>
      <c r="B2210" s="1">
        <v>45869</v>
      </c>
      <c r="C2210">
        <v>564021</v>
      </c>
      <c r="D2210">
        <v>2.9039999999999999</v>
      </c>
      <c r="E2210" t="s">
        <v>6</v>
      </c>
      <c r="F2210" t="s">
        <v>57</v>
      </c>
      <c r="G2210" t="s">
        <v>7</v>
      </c>
    </row>
    <row r="2211" spans="1:7" x14ac:dyDescent="0.3">
      <c r="A2211" t="s">
        <v>34</v>
      </c>
      <c r="B2211" s="1">
        <v>45869</v>
      </c>
      <c r="C2211">
        <v>570002</v>
      </c>
      <c r="D2211">
        <v>10.228</v>
      </c>
      <c r="E2211" t="s">
        <v>6</v>
      </c>
      <c r="F2211" t="s">
        <v>66</v>
      </c>
      <c r="G2211" t="s">
        <v>7</v>
      </c>
    </row>
    <row r="2212" spans="1:7" x14ac:dyDescent="0.3">
      <c r="A2212" t="s">
        <v>34</v>
      </c>
      <c r="B2212" s="1">
        <v>45869</v>
      </c>
      <c r="C2212">
        <v>580002</v>
      </c>
      <c r="D2212">
        <v>31.457000000000001</v>
      </c>
      <c r="E2212" t="s">
        <v>6</v>
      </c>
      <c r="F2212" t="s">
        <v>64</v>
      </c>
      <c r="G2212" t="s">
        <v>7</v>
      </c>
    </row>
    <row r="2213" spans="1:7" x14ac:dyDescent="0.3">
      <c r="A2213" t="s">
        <v>34</v>
      </c>
      <c r="B2213" s="1">
        <v>45869</v>
      </c>
      <c r="C2213">
        <v>580003</v>
      </c>
      <c r="D2213">
        <v>-3400.0219999999999</v>
      </c>
      <c r="E2213" t="s">
        <v>6</v>
      </c>
      <c r="F2213" t="s">
        <v>64</v>
      </c>
      <c r="G2213" t="s">
        <v>7</v>
      </c>
    </row>
    <row r="2214" spans="1:7" x14ac:dyDescent="0.3">
      <c r="A2214" t="s">
        <v>35</v>
      </c>
      <c r="B2214" s="1">
        <v>45869</v>
      </c>
      <c r="C2214">
        <v>210002</v>
      </c>
      <c r="D2214">
        <v>-61356.75</v>
      </c>
      <c r="E2214" t="s">
        <v>4</v>
      </c>
      <c r="F2214" t="s">
        <v>42</v>
      </c>
      <c r="G2214" t="s">
        <v>7</v>
      </c>
    </row>
    <row r="2215" spans="1:7" x14ac:dyDescent="0.3">
      <c r="A2215" t="s">
        <v>35</v>
      </c>
      <c r="B2215" s="1">
        <v>45869</v>
      </c>
      <c r="C2215">
        <v>220006</v>
      </c>
      <c r="D2215">
        <v>-7184302.9970000004</v>
      </c>
      <c r="E2215" t="s">
        <v>4</v>
      </c>
      <c r="F2215" t="s">
        <v>42</v>
      </c>
      <c r="G2215" t="s">
        <v>7</v>
      </c>
    </row>
    <row r="2216" spans="1:7" x14ac:dyDescent="0.3">
      <c r="A2216" t="s">
        <v>35</v>
      </c>
      <c r="B2216" s="1">
        <v>45869</v>
      </c>
      <c r="C2216">
        <v>240002</v>
      </c>
      <c r="D2216">
        <v>-93794.357000000004</v>
      </c>
      <c r="E2216" t="s">
        <v>4</v>
      </c>
      <c r="F2216" t="s">
        <v>43</v>
      </c>
      <c r="G2216" t="s">
        <v>7</v>
      </c>
    </row>
    <row r="2217" spans="1:7" x14ac:dyDescent="0.3">
      <c r="A2217" t="s">
        <v>35</v>
      </c>
      <c r="B2217" s="1">
        <v>45869</v>
      </c>
      <c r="C2217">
        <v>240003</v>
      </c>
      <c r="D2217">
        <v>1361.6289999999999</v>
      </c>
      <c r="E2217" t="s">
        <v>4</v>
      </c>
      <c r="F2217" t="s">
        <v>43</v>
      </c>
      <c r="G2217" t="s">
        <v>7</v>
      </c>
    </row>
    <row r="2218" spans="1:7" x14ac:dyDescent="0.3">
      <c r="A2218" t="s">
        <v>35</v>
      </c>
      <c r="B2218" s="1">
        <v>45869</v>
      </c>
      <c r="C2218">
        <v>240009</v>
      </c>
      <c r="D2218">
        <v>-14232.396000000001</v>
      </c>
      <c r="E2218" t="s">
        <v>4</v>
      </c>
      <c r="F2218" t="s">
        <v>43</v>
      </c>
      <c r="G2218" t="s">
        <v>7</v>
      </c>
    </row>
    <row r="2219" spans="1:7" x14ac:dyDescent="0.3">
      <c r="A2219" t="s">
        <v>35</v>
      </c>
      <c r="B2219" s="1">
        <v>45869</v>
      </c>
      <c r="C2219">
        <v>242003</v>
      </c>
      <c r="D2219">
        <v>-47312.446000000004</v>
      </c>
      <c r="E2219" t="s">
        <v>4</v>
      </c>
      <c r="F2219" t="s">
        <v>43</v>
      </c>
      <c r="G2219" t="s">
        <v>7</v>
      </c>
    </row>
    <row r="2220" spans="1:7" x14ac:dyDescent="0.3">
      <c r="A2220" t="s">
        <v>35</v>
      </c>
      <c r="B2220" s="1">
        <v>45869</v>
      </c>
      <c r="C2220">
        <v>242007</v>
      </c>
      <c r="D2220">
        <v>-1650.6669999999999</v>
      </c>
      <c r="E2220" t="s">
        <v>4</v>
      </c>
      <c r="F2220" t="s">
        <v>43</v>
      </c>
      <c r="G2220" t="s">
        <v>7</v>
      </c>
    </row>
    <row r="2221" spans="1:7" x14ac:dyDescent="0.3">
      <c r="A2221" t="s">
        <v>35</v>
      </c>
      <c r="B2221" s="1">
        <v>45869</v>
      </c>
      <c r="C2221">
        <v>242011</v>
      </c>
      <c r="D2221">
        <v>-519762.73599999998</v>
      </c>
      <c r="E2221" t="s">
        <v>4</v>
      </c>
      <c r="F2221" t="s">
        <v>43</v>
      </c>
      <c r="G2221" t="s">
        <v>7</v>
      </c>
    </row>
    <row r="2222" spans="1:7" x14ac:dyDescent="0.3">
      <c r="A2222" t="s">
        <v>35</v>
      </c>
      <c r="B2222" s="1">
        <v>45869</v>
      </c>
      <c r="C2222">
        <v>242012</v>
      </c>
      <c r="D2222">
        <v>-4193.3410000000003</v>
      </c>
      <c r="E2222" t="s">
        <v>4</v>
      </c>
      <c r="F2222" t="s">
        <v>43</v>
      </c>
      <c r="G2222" t="s">
        <v>7</v>
      </c>
    </row>
    <row r="2223" spans="1:7" x14ac:dyDescent="0.3">
      <c r="A2223" t="s">
        <v>35</v>
      </c>
      <c r="B2223" s="1">
        <v>45869</v>
      </c>
      <c r="C2223">
        <v>242013</v>
      </c>
      <c r="D2223">
        <v>-10225.677</v>
      </c>
      <c r="E2223" t="s">
        <v>4</v>
      </c>
      <c r="F2223" t="s">
        <v>43</v>
      </c>
      <c r="G2223" t="s">
        <v>7</v>
      </c>
    </row>
    <row r="2224" spans="1:7" x14ac:dyDescent="0.3">
      <c r="A2224" t="s">
        <v>35</v>
      </c>
      <c r="B2224" s="1">
        <v>45869</v>
      </c>
      <c r="C2224">
        <v>242014</v>
      </c>
      <c r="D2224">
        <v>-13824.37</v>
      </c>
      <c r="E2224" t="s">
        <v>4</v>
      </c>
      <c r="F2224" t="s">
        <v>43</v>
      </c>
      <c r="G2224" t="s">
        <v>7</v>
      </c>
    </row>
    <row r="2225" spans="1:7" x14ac:dyDescent="0.3">
      <c r="A2225" t="s">
        <v>35</v>
      </c>
      <c r="B2225" s="1">
        <v>45869</v>
      </c>
      <c r="C2225">
        <v>242017</v>
      </c>
      <c r="D2225">
        <v>-196.24100000000001</v>
      </c>
      <c r="E2225" t="s">
        <v>4</v>
      </c>
      <c r="F2225" t="s">
        <v>43</v>
      </c>
      <c r="G2225" t="s">
        <v>7</v>
      </c>
    </row>
    <row r="2226" spans="1:7" x14ac:dyDescent="0.3">
      <c r="A2226" t="s">
        <v>35</v>
      </c>
      <c r="B2226" s="1">
        <v>45869</v>
      </c>
      <c r="C2226">
        <v>242023</v>
      </c>
      <c r="D2226">
        <v>-739.49699999999996</v>
      </c>
      <c r="E2226" t="s">
        <v>4</v>
      </c>
      <c r="F2226" t="s">
        <v>43</v>
      </c>
      <c r="G2226" t="s">
        <v>7</v>
      </c>
    </row>
    <row r="2227" spans="1:7" x14ac:dyDescent="0.3">
      <c r="A2227" t="s">
        <v>35</v>
      </c>
      <c r="B2227" s="1">
        <v>45869</v>
      </c>
      <c r="C2227">
        <v>242027</v>
      </c>
      <c r="D2227">
        <v>-22118.195</v>
      </c>
      <c r="E2227" t="s">
        <v>4</v>
      </c>
      <c r="F2227" t="s">
        <v>43</v>
      </c>
      <c r="G2227" t="s">
        <v>7</v>
      </c>
    </row>
    <row r="2228" spans="1:7" x14ac:dyDescent="0.3">
      <c r="A2228" t="s">
        <v>35</v>
      </c>
      <c r="B2228" s="1">
        <v>45869</v>
      </c>
      <c r="C2228">
        <v>242038</v>
      </c>
      <c r="D2228">
        <v>-1201.1980000000001</v>
      </c>
      <c r="E2228" t="s">
        <v>4</v>
      </c>
      <c r="F2228" t="s">
        <v>43</v>
      </c>
      <c r="G2228" t="s">
        <v>7</v>
      </c>
    </row>
    <row r="2229" spans="1:7" x14ac:dyDescent="0.3">
      <c r="A2229" t="s">
        <v>35</v>
      </c>
      <c r="B2229" s="1">
        <v>45869</v>
      </c>
      <c r="C2229">
        <v>242039</v>
      </c>
      <c r="D2229">
        <v>-5477.5129999999999</v>
      </c>
      <c r="E2229" t="s">
        <v>4</v>
      </c>
      <c r="F2229" t="s">
        <v>43</v>
      </c>
      <c r="G2229" t="s">
        <v>7</v>
      </c>
    </row>
    <row r="2230" spans="1:7" x14ac:dyDescent="0.3">
      <c r="A2230" t="s">
        <v>35</v>
      </c>
      <c r="B2230" s="1">
        <v>45869</v>
      </c>
      <c r="C2230">
        <v>242041</v>
      </c>
      <c r="D2230">
        <v>222.65600000000001</v>
      </c>
      <c r="E2230" t="s">
        <v>4</v>
      </c>
      <c r="F2230" t="s">
        <v>43</v>
      </c>
      <c r="G2230" t="s">
        <v>7</v>
      </c>
    </row>
    <row r="2231" spans="1:7" x14ac:dyDescent="0.3">
      <c r="A2231" t="s">
        <v>35</v>
      </c>
      <c r="B2231" s="1">
        <v>45869</v>
      </c>
      <c r="C2231">
        <v>243002</v>
      </c>
      <c r="D2231">
        <v>-48048.19</v>
      </c>
      <c r="E2231" t="s">
        <v>4</v>
      </c>
      <c r="F2231" t="s">
        <v>43</v>
      </c>
      <c r="G2231" t="s">
        <v>7</v>
      </c>
    </row>
    <row r="2232" spans="1:7" x14ac:dyDescent="0.3">
      <c r="A2232" t="s">
        <v>35</v>
      </c>
      <c r="B2232" s="1">
        <v>45869</v>
      </c>
      <c r="C2232">
        <v>243003</v>
      </c>
      <c r="D2232">
        <v>-846351.52</v>
      </c>
      <c r="E2232" t="s">
        <v>4</v>
      </c>
      <c r="F2232" t="s">
        <v>43</v>
      </c>
      <c r="G2232" t="s">
        <v>7</v>
      </c>
    </row>
    <row r="2233" spans="1:7" x14ac:dyDescent="0.3">
      <c r="A2233" t="s">
        <v>35</v>
      </c>
      <c r="B2233" s="1">
        <v>45869</v>
      </c>
      <c r="C2233">
        <v>243009</v>
      </c>
      <c r="D2233">
        <v>-5715.4049999999997</v>
      </c>
      <c r="E2233" t="s">
        <v>4</v>
      </c>
      <c r="F2233" t="s">
        <v>43</v>
      </c>
      <c r="G2233" t="s">
        <v>7</v>
      </c>
    </row>
    <row r="2234" spans="1:7" x14ac:dyDescent="0.3">
      <c r="A2234" t="s">
        <v>35</v>
      </c>
      <c r="B2234" s="1">
        <v>45869</v>
      </c>
      <c r="C2234">
        <v>243010</v>
      </c>
      <c r="D2234">
        <v>-6371.4</v>
      </c>
      <c r="E2234" t="s">
        <v>4</v>
      </c>
      <c r="F2234" t="s">
        <v>43</v>
      </c>
      <c r="G2234" t="s">
        <v>7</v>
      </c>
    </row>
    <row r="2235" spans="1:7" x14ac:dyDescent="0.3">
      <c r="A2235" t="s">
        <v>35</v>
      </c>
      <c r="B2235" s="1">
        <v>45869</v>
      </c>
      <c r="C2235">
        <v>243011</v>
      </c>
      <c r="D2235">
        <v>-33132.644999999997</v>
      </c>
      <c r="E2235" t="s">
        <v>4</v>
      </c>
      <c r="F2235" t="s">
        <v>43</v>
      </c>
      <c r="G2235" t="s">
        <v>7</v>
      </c>
    </row>
    <row r="2236" spans="1:7" x14ac:dyDescent="0.3">
      <c r="A2236" t="s">
        <v>35</v>
      </c>
      <c r="B2236" s="1">
        <v>45869</v>
      </c>
      <c r="C2236">
        <v>245006</v>
      </c>
      <c r="D2236">
        <v>-805.428</v>
      </c>
      <c r="E2236" t="s">
        <v>4</v>
      </c>
      <c r="F2236" t="s">
        <v>43</v>
      </c>
      <c r="G2236" t="s">
        <v>7</v>
      </c>
    </row>
    <row r="2237" spans="1:7" x14ac:dyDescent="0.3">
      <c r="A2237" t="s">
        <v>35</v>
      </c>
      <c r="B2237" s="1">
        <v>45869</v>
      </c>
      <c r="C2237">
        <v>245010</v>
      </c>
      <c r="D2237">
        <v>-210558.622</v>
      </c>
      <c r="E2237" t="s">
        <v>4</v>
      </c>
      <c r="F2237" t="s">
        <v>44</v>
      </c>
      <c r="G2237" t="s">
        <v>7</v>
      </c>
    </row>
    <row r="2238" spans="1:7" x14ac:dyDescent="0.3">
      <c r="A2238" t="s">
        <v>35</v>
      </c>
      <c r="B2238" s="1">
        <v>45869</v>
      </c>
      <c r="C2238">
        <v>245018</v>
      </c>
      <c r="D2238">
        <v>-84388.49</v>
      </c>
      <c r="E2238" t="s">
        <v>4</v>
      </c>
      <c r="F2238" t="s">
        <v>43</v>
      </c>
      <c r="G2238" t="s">
        <v>7</v>
      </c>
    </row>
    <row r="2239" spans="1:7" x14ac:dyDescent="0.3">
      <c r="A2239" t="s">
        <v>35</v>
      </c>
      <c r="B2239" s="1">
        <v>45869</v>
      </c>
      <c r="C2239">
        <v>245055</v>
      </c>
      <c r="D2239">
        <v>-1222.941</v>
      </c>
      <c r="E2239" t="s">
        <v>4</v>
      </c>
      <c r="F2239" t="s">
        <v>43</v>
      </c>
      <c r="G2239" t="s">
        <v>7</v>
      </c>
    </row>
    <row r="2240" spans="1:7" x14ac:dyDescent="0.3">
      <c r="A2240" t="s">
        <v>35</v>
      </c>
      <c r="B2240" s="1">
        <v>45869</v>
      </c>
      <c r="C2240">
        <v>245056</v>
      </c>
      <c r="D2240">
        <v>-5567.9030000000002</v>
      </c>
      <c r="E2240" t="s">
        <v>4</v>
      </c>
      <c r="F2240" t="s">
        <v>49</v>
      </c>
      <c r="G2240" t="s">
        <v>7</v>
      </c>
    </row>
    <row r="2241" spans="1:7" x14ac:dyDescent="0.3">
      <c r="A2241" t="s">
        <v>35</v>
      </c>
      <c r="B2241" s="1">
        <v>45869</v>
      </c>
      <c r="C2241">
        <v>245062</v>
      </c>
      <c r="D2241">
        <v>-130753.56600000001</v>
      </c>
      <c r="E2241" t="s">
        <v>4</v>
      </c>
      <c r="F2241" t="s">
        <v>43</v>
      </c>
      <c r="G2241" t="s">
        <v>7</v>
      </c>
    </row>
    <row r="2242" spans="1:7" x14ac:dyDescent="0.3">
      <c r="A2242" t="s">
        <v>35</v>
      </c>
      <c r="B2242" s="1">
        <v>45869</v>
      </c>
      <c r="C2242">
        <v>250003</v>
      </c>
      <c r="D2242">
        <v>-31859.228999999999</v>
      </c>
      <c r="E2242" t="s">
        <v>4</v>
      </c>
      <c r="F2242" t="s">
        <v>45</v>
      </c>
      <c r="G2242" t="s">
        <v>7</v>
      </c>
    </row>
    <row r="2243" spans="1:7" x14ac:dyDescent="0.3">
      <c r="A2243" t="s">
        <v>35</v>
      </c>
      <c r="B2243" s="1">
        <v>45869</v>
      </c>
      <c r="C2243">
        <v>250007</v>
      </c>
      <c r="D2243">
        <v>-220192.454</v>
      </c>
      <c r="E2243" t="s">
        <v>4</v>
      </c>
      <c r="F2243" t="s">
        <v>43</v>
      </c>
      <c r="G2243" t="s">
        <v>7</v>
      </c>
    </row>
    <row r="2244" spans="1:7" x14ac:dyDescent="0.3">
      <c r="A2244" t="s">
        <v>35</v>
      </c>
      <c r="B2244" s="1">
        <v>45869</v>
      </c>
      <c r="C2244">
        <v>251002</v>
      </c>
      <c r="D2244">
        <v>-299769.783</v>
      </c>
      <c r="E2244" t="s">
        <v>4</v>
      </c>
      <c r="F2244" t="s">
        <v>45</v>
      </c>
      <c r="G2244" t="s">
        <v>7</v>
      </c>
    </row>
    <row r="2245" spans="1:7" x14ac:dyDescent="0.3">
      <c r="A2245" t="s">
        <v>35</v>
      </c>
      <c r="B2245" s="1">
        <v>45869</v>
      </c>
      <c r="C2245">
        <v>251003</v>
      </c>
      <c r="D2245">
        <v>-100881.542</v>
      </c>
      <c r="E2245" t="s">
        <v>4</v>
      </c>
      <c r="F2245" t="s">
        <v>45</v>
      </c>
      <c r="G2245" t="s">
        <v>7</v>
      </c>
    </row>
    <row r="2246" spans="1:7" x14ac:dyDescent="0.3">
      <c r="A2246" t="s">
        <v>35</v>
      </c>
      <c r="B2246" s="1">
        <v>45869</v>
      </c>
      <c r="C2246">
        <v>251005</v>
      </c>
      <c r="D2246">
        <v>6784.6970000000001</v>
      </c>
      <c r="E2246" t="s">
        <v>4</v>
      </c>
      <c r="F2246" t="s">
        <v>46</v>
      </c>
      <c r="G2246" t="s">
        <v>7</v>
      </c>
    </row>
    <row r="2247" spans="1:7" x14ac:dyDescent="0.3">
      <c r="A2247" t="s">
        <v>35</v>
      </c>
      <c r="B2247" s="1">
        <v>45869</v>
      </c>
      <c r="C2247">
        <v>256037</v>
      </c>
      <c r="D2247">
        <v>16141.937</v>
      </c>
      <c r="E2247" t="s">
        <v>4</v>
      </c>
      <c r="F2247" t="s">
        <v>43</v>
      </c>
      <c r="G2247" t="s">
        <v>7</v>
      </c>
    </row>
    <row r="2248" spans="1:7" x14ac:dyDescent="0.3">
      <c r="A2248" t="s">
        <v>35</v>
      </c>
      <c r="B2248" s="1">
        <v>45869</v>
      </c>
      <c r="C2248">
        <v>257008</v>
      </c>
      <c r="D2248">
        <v>-11604.005999999999</v>
      </c>
      <c r="E2248" t="s">
        <v>4</v>
      </c>
      <c r="F2248" t="s">
        <v>45</v>
      </c>
      <c r="G2248" t="s">
        <v>7</v>
      </c>
    </row>
    <row r="2249" spans="1:7" x14ac:dyDescent="0.3">
      <c r="A2249" t="s">
        <v>35</v>
      </c>
      <c r="B2249" s="1">
        <v>45869</v>
      </c>
      <c r="C2249">
        <v>257009</v>
      </c>
      <c r="D2249">
        <v>-13093.148999999999</v>
      </c>
      <c r="E2249" t="s">
        <v>4</v>
      </c>
      <c r="F2249" t="s">
        <v>45</v>
      </c>
      <c r="G2249" t="s">
        <v>7</v>
      </c>
    </row>
    <row r="2250" spans="1:7" x14ac:dyDescent="0.3">
      <c r="A2250" t="s">
        <v>35</v>
      </c>
      <c r="B2250" s="1">
        <v>45869</v>
      </c>
      <c r="C2250">
        <v>257011</v>
      </c>
      <c r="D2250">
        <v>295.01299999999998</v>
      </c>
      <c r="E2250" t="s">
        <v>4</v>
      </c>
      <c r="F2250" t="s">
        <v>45</v>
      </c>
      <c r="G2250" t="s">
        <v>7</v>
      </c>
    </row>
    <row r="2251" spans="1:7" x14ac:dyDescent="0.3">
      <c r="A2251" t="s">
        <v>35</v>
      </c>
      <c r="B2251" s="1">
        <v>45869</v>
      </c>
      <c r="C2251">
        <v>257022</v>
      </c>
      <c r="D2251">
        <v>1613.1759999999999</v>
      </c>
      <c r="E2251" t="s">
        <v>4</v>
      </c>
      <c r="F2251" t="s">
        <v>45</v>
      </c>
      <c r="G2251" t="s">
        <v>7</v>
      </c>
    </row>
    <row r="2252" spans="1:7" x14ac:dyDescent="0.3">
      <c r="A2252" t="s">
        <v>35</v>
      </c>
      <c r="B2252" s="1">
        <v>45869</v>
      </c>
      <c r="C2252">
        <v>257028</v>
      </c>
      <c r="D2252">
        <v>-104187.164</v>
      </c>
      <c r="E2252" t="s">
        <v>4</v>
      </c>
      <c r="F2252" t="s">
        <v>45</v>
      </c>
      <c r="G2252" t="s">
        <v>7</v>
      </c>
    </row>
    <row r="2253" spans="1:7" x14ac:dyDescent="0.3">
      <c r="A2253" t="s">
        <v>35</v>
      </c>
      <c r="B2253" s="1">
        <v>45869</v>
      </c>
      <c r="C2253">
        <v>260004</v>
      </c>
      <c r="D2253">
        <v>-18507.34</v>
      </c>
      <c r="E2253" t="s">
        <v>4</v>
      </c>
      <c r="F2253" t="s">
        <v>45</v>
      </c>
      <c r="G2253" t="s">
        <v>7</v>
      </c>
    </row>
    <row r="2254" spans="1:7" x14ac:dyDescent="0.3">
      <c r="A2254" t="s">
        <v>35</v>
      </c>
      <c r="B2254" s="1">
        <v>45869</v>
      </c>
      <c r="C2254">
        <v>270024</v>
      </c>
      <c r="D2254">
        <v>-347864.196</v>
      </c>
      <c r="E2254" t="s">
        <v>4</v>
      </c>
      <c r="F2254" t="s">
        <v>58</v>
      </c>
      <c r="G2254" t="s">
        <v>7</v>
      </c>
    </row>
    <row r="2255" spans="1:7" x14ac:dyDescent="0.3">
      <c r="A2255" t="s">
        <v>35</v>
      </c>
      <c r="B2255" s="1">
        <v>45869</v>
      </c>
      <c r="C2255">
        <v>270025</v>
      </c>
      <c r="D2255">
        <v>-408011.391</v>
      </c>
      <c r="E2255" t="s">
        <v>4</v>
      </c>
      <c r="F2255" t="s">
        <v>58</v>
      </c>
      <c r="G2255" t="s">
        <v>7</v>
      </c>
    </row>
    <row r="2256" spans="1:7" x14ac:dyDescent="0.3">
      <c r="A2256" t="s">
        <v>35</v>
      </c>
      <c r="B2256" s="1">
        <v>45869</v>
      </c>
      <c r="C2256">
        <v>270026</v>
      </c>
      <c r="D2256">
        <v>-583636.32799999998</v>
      </c>
      <c r="E2256" t="s">
        <v>4</v>
      </c>
      <c r="F2256" t="s">
        <v>58</v>
      </c>
      <c r="G2256" t="s">
        <v>7</v>
      </c>
    </row>
    <row r="2257" spans="1:7" x14ac:dyDescent="0.3">
      <c r="A2257" t="s">
        <v>35</v>
      </c>
      <c r="B2257" s="1">
        <v>45869</v>
      </c>
      <c r="C2257">
        <v>270027</v>
      </c>
      <c r="D2257">
        <v>-176282.606</v>
      </c>
      <c r="E2257" t="s">
        <v>4</v>
      </c>
      <c r="F2257" t="s">
        <v>58</v>
      </c>
      <c r="G2257" t="s">
        <v>7</v>
      </c>
    </row>
    <row r="2258" spans="1:7" x14ac:dyDescent="0.3">
      <c r="A2258" t="s">
        <v>35</v>
      </c>
      <c r="B2258" s="1">
        <v>45869</v>
      </c>
      <c r="C2258">
        <v>300004</v>
      </c>
      <c r="D2258">
        <v>5321.4279999999999</v>
      </c>
      <c r="E2258" t="s">
        <v>4</v>
      </c>
      <c r="F2258" t="s">
        <v>65</v>
      </c>
      <c r="G2258" t="s">
        <v>7</v>
      </c>
    </row>
    <row r="2259" spans="1:7" x14ac:dyDescent="0.3">
      <c r="A2259" t="s">
        <v>35</v>
      </c>
      <c r="B2259" s="1">
        <v>45869</v>
      </c>
      <c r="C2259">
        <v>300005</v>
      </c>
      <c r="D2259">
        <v>31840.244999999999</v>
      </c>
      <c r="E2259" t="s">
        <v>4</v>
      </c>
      <c r="F2259" t="s">
        <v>65</v>
      </c>
      <c r="G2259" t="s">
        <v>7</v>
      </c>
    </row>
    <row r="2260" spans="1:7" x14ac:dyDescent="0.3">
      <c r="A2260" t="s">
        <v>35</v>
      </c>
      <c r="B2260" s="1">
        <v>45869</v>
      </c>
      <c r="C2260">
        <v>300008</v>
      </c>
      <c r="D2260">
        <v>47833.923999999999</v>
      </c>
      <c r="E2260" t="s">
        <v>4</v>
      </c>
      <c r="F2260" t="s">
        <v>65</v>
      </c>
      <c r="G2260" t="s">
        <v>7</v>
      </c>
    </row>
    <row r="2261" spans="1:7" x14ac:dyDescent="0.3">
      <c r="A2261" t="s">
        <v>35</v>
      </c>
      <c r="B2261" s="1">
        <v>45869</v>
      </c>
      <c r="C2261">
        <v>300009</v>
      </c>
      <c r="D2261">
        <v>38.341000000000001</v>
      </c>
      <c r="E2261" t="s">
        <v>4</v>
      </c>
      <c r="F2261" t="s">
        <v>65</v>
      </c>
      <c r="G2261" t="s">
        <v>7</v>
      </c>
    </row>
    <row r="2262" spans="1:7" x14ac:dyDescent="0.3">
      <c r="A2262" t="s">
        <v>35</v>
      </c>
      <c r="B2262" s="1">
        <v>45869</v>
      </c>
      <c r="C2262">
        <v>300012</v>
      </c>
      <c r="D2262">
        <v>85.305999999999997</v>
      </c>
      <c r="E2262" t="s">
        <v>4</v>
      </c>
      <c r="F2262" t="s">
        <v>65</v>
      </c>
      <c r="G2262" t="s">
        <v>7</v>
      </c>
    </row>
    <row r="2263" spans="1:7" x14ac:dyDescent="0.3">
      <c r="A2263" t="s">
        <v>35</v>
      </c>
      <c r="B2263" s="1">
        <v>45869</v>
      </c>
      <c r="C2263">
        <v>300504</v>
      </c>
      <c r="D2263">
        <v>-4745.7479999999996</v>
      </c>
      <c r="E2263" t="s">
        <v>4</v>
      </c>
      <c r="F2263" t="s">
        <v>65</v>
      </c>
      <c r="G2263" t="s">
        <v>7</v>
      </c>
    </row>
    <row r="2264" spans="1:7" x14ac:dyDescent="0.3">
      <c r="A2264" t="s">
        <v>35</v>
      </c>
      <c r="B2264" s="1">
        <v>45869</v>
      </c>
      <c r="C2264">
        <v>300505</v>
      </c>
      <c r="D2264">
        <v>-29934.396000000001</v>
      </c>
      <c r="E2264" t="s">
        <v>4</v>
      </c>
      <c r="F2264" t="s">
        <v>65</v>
      </c>
      <c r="G2264" t="s">
        <v>7</v>
      </c>
    </row>
    <row r="2265" spans="1:7" x14ac:dyDescent="0.3">
      <c r="A2265" t="s">
        <v>35</v>
      </c>
      <c r="B2265" s="1">
        <v>45869</v>
      </c>
      <c r="C2265">
        <v>300508</v>
      </c>
      <c r="D2265">
        <v>-45114.292999999998</v>
      </c>
      <c r="E2265" t="s">
        <v>4</v>
      </c>
      <c r="F2265" t="s">
        <v>65</v>
      </c>
      <c r="G2265" t="s">
        <v>7</v>
      </c>
    </row>
    <row r="2266" spans="1:7" x14ac:dyDescent="0.3">
      <c r="A2266" t="s">
        <v>35</v>
      </c>
      <c r="B2266" s="1">
        <v>45869</v>
      </c>
      <c r="C2266">
        <v>300509</v>
      </c>
      <c r="D2266">
        <v>-10.032</v>
      </c>
      <c r="E2266" t="s">
        <v>4</v>
      </c>
      <c r="F2266" t="s">
        <v>65</v>
      </c>
      <c r="G2266" t="s">
        <v>7</v>
      </c>
    </row>
    <row r="2267" spans="1:7" x14ac:dyDescent="0.3">
      <c r="A2267" t="s">
        <v>35</v>
      </c>
      <c r="B2267" s="1">
        <v>45869</v>
      </c>
      <c r="C2267">
        <v>300512</v>
      </c>
      <c r="D2267">
        <v>-26.553999999999998</v>
      </c>
      <c r="E2267" t="s">
        <v>4</v>
      </c>
      <c r="F2267" t="s">
        <v>65</v>
      </c>
      <c r="G2267" t="s">
        <v>7</v>
      </c>
    </row>
    <row r="2268" spans="1:7" x14ac:dyDescent="0.3">
      <c r="A2268" t="s">
        <v>35</v>
      </c>
      <c r="B2268" s="1">
        <v>45869</v>
      </c>
      <c r="C2268">
        <v>301004</v>
      </c>
      <c r="D2268">
        <v>77293.070999999996</v>
      </c>
      <c r="E2268" t="s">
        <v>4</v>
      </c>
      <c r="F2268" t="s">
        <v>65</v>
      </c>
      <c r="G2268" t="s">
        <v>7</v>
      </c>
    </row>
    <row r="2269" spans="1:7" x14ac:dyDescent="0.3">
      <c r="A2269" t="s">
        <v>35</v>
      </c>
      <c r="B2269" s="1">
        <v>45869</v>
      </c>
      <c r="C2269">
        <v>301504</v>
      </c>
      <c r="D2269">
        <v>-77293.070999999996</v>
      </c>
      <c r="E2269" t="s">
        <v>4</v>
      </c>
      <c r="F2269" t="s">
        <v>65</v>
      </c>
      <c r="G2269" t="s">
        <v>7</v>
      </c>
    </row>
    <row r="2270" spans="1:7" x14ac:dyDescent="0.3">
      <c r="A2270" t="s">
        <v>35</v>
      </c>
      <c r="B2270" s="1">
        <v>45869</v>
      </c>
      <c r="C2270">
        <v>310033</v>
      </c>
      <c r="D2270">
        <v>34210.07</v>
      </c>
      <c r="E2270" t="s">
        <v>4</v>
      </c>
      <c r="F2270" t="s">
        <v>42</v>
      </c>
      <c r="G2270" t="s">
        <v>7</v>
      </c>
    </row>
    <row r="2271" spans="1:7" x14ac:dyDescent="0.3">
      <c r="A2271" t="s">
        <v>35</v>
      </c>
      <c r="B2271" s="1">
        <v>45869</v>
      </c>
      <c r="C2271">
        <v>310035</v>
      </c>
      <c r="D2271">
        <v>989375.63</v>
      </c>
      <c r="E2271" t="s">
        <v>4</v>
      </c>
      <c r="F2271" t="s">
        <v>42</v>
      </c>
      <c r="G2271" t="s">
        <v>7</v>
      </c>
    </row>
    <row r="2272" spans="1:7" x14ac:dyDescent="0.3">
      <c r="A2272" t="s">
        <v>35</v>
      </c>
      <c r="B2272" s="1">
        <v>45869</v>
      </c>
      <c r="C2272">
        <v>315016</v>
      </c>
      <c r="D2272">
        <v>981708</v>
      </c>
      <c r="E2272" t="s">
        <v>4</v>
      </c>
      <c r="F2272" t="s">
        <v>47</v>
      </c>
      <c r="G2272" t="s">
        <v>7</v>
      </c>
    </row>
    <row r="2273" spans="1:7" x14ac:dyDescent="0.3">
      <c r="A2273" t="s">
        <v>35</v>
      </c>
      <c r="B2273" s="1">
        <v>45869</v>
      </c>
      <c r="C2273">
        <v>320002</v>
      </c>
      <c r="D2273">
        <v>17132.768</v>
      </c>
      <c r="E2273" t="s">
        <v>4</v>
      </c>
      <c r="F2273" t="s">
        <v>46</v>
      </c>
      <c r="G2273" t="s">
        <v>7</v>
      </c>
    </row>
    <row r="2274" spans="1:7" x14ac:dyDescent="0.3">
      <c r="A2274" t="s">
        <v>35</v>
      </c>
      <c r="B2274" s="1">
        <v>45869</v>
      </c>
      <c r="C2274">
        <v>320003</v>
      </c>
      <c r="D2274">
        <v>3084800.6519999998</v>
      </c>
      <c r="E2274" t="s">
        <v>4</v>
      </c>
      <c r="F2274" t="s">
        <v>46</v>
      </c>
      <c r="G2274" t="s">
        <v>7</v>
      </c>
    </row>
    <row r="2275" spans="1:7" x14ac:dyDescent="0.3">
      <c r="A2275" t="s">
        <v>35</v>
      </c>
      <c r="B2275" s="1">
        <v>45869</v>
      </c>
      <c r="C2275">
        <v>320020</v>
      </c>
      <c r="D2275">
        <v>2391.4409999999998</v>
      </c>
      <c r="E2275" t="s">
        <v>4</v>
      </c>
      <c r="F2275" t="s">
        <v>46</v>
      </c>
      <c r="G2275" t="s">
        <v>7</v>
      </c>
    </row>
    <row r="2276" spans="1:7" x14ac:dyDescent="0.3">
      <c r="A2276" t="s">
        <v>35</v>
      </c>
      <c r="B2276" s="1">
        <v>45869</v>
      </c>
      <c r="C2276">
        <v>320023</v>
      </c>
      <c r="D2276">
        <v>-2391.4409999999998</v>
      </c>
      <c r="E2276" t="s">
        <v>4</v>
      </c>
      <c r="F2276" t="s">
        <v>46</v>
      </c>
      <c r="G2276" t="s">
        <v>7</v>
      </c>
    </row>
    <row r="2277" spans="1:7" x14ac:dyDescent="0.3">
      <c r="A2277" t="s">
        <v>35</v>
      </c>
      <c r="B2277" s="1">
        <v>45869</v>
      </c>
      <c r="C2277">
        <v>320024</v>
      </c>
      <c r="D2277">
        <v>208818.93</v>
      </c>
      <c r="E2277" t="s">
        <v>4</v>
      </c>
      <c r="F2277" t="s">
        <v>46</v>
      </c>
      <c r="G2277" t="s">
        <v>7</v>
      </c>
    </row>
    <row r="2278" spans="1:7" x14ac:dyDescent="0.3">
      <c r="A2278" t="s">
        <v>35</v>
      </c>
      <c r="B2278" s="1">
        <v>45869</v>
      </c>
      <c r="C2278">
        <v>321002</v>
      </c>
      <c r="D2278">
        <v>510497.152</v>
      </c>
      <c r="E2278" t="s">
        <v>4</v>
      </c>
      <c r="F2278" t="s">
        <v>46</v>
      </c>
      <c r="G2278" t="s">
        <v>7</v>
      </c>
    </row>
    <row r="2279" spans="1:7" x14ac:dyDescent="0.3">
      <c r="A2279" t="s">
        <v>35</v>
      </c>
      <c r="B2279" s="1">
        <v>45869</v>
      </c>
      <c r="C2279">
        <v>321012</v>
      </c>
      <c r="D2279">
        <v>79658.164999999994</v>
      </c>
      <c r="E2279" t="s">
        <v>4</v>
      </c>
      <c r="F2279" t="s">
        <v>46</v>
      </c>
      <c r="G2279" t="s">
        <v>7</v>
      </c>
    </row>
    <row r="2280" spans="1:7" x14ac:dyDescent="0.3">
      <c r="A2280" t="s">
        <v>35</v>
      </c>
      <c r="B2280" s="1">
        <v>45869</v>
      </c>
      <c r="C2280">
        <v>321013</v>
      </c>
      <c r="D2280">
        <v>60057.803999999996</v>
      </c>
      <c r="E2280" t="s">
        <v>4</v>
      </c>
      <c r="F2280" t="s">
        <v>46</v>
      </c>
      <c r="G2280" t="s">
        <v>7</v>
      </c>
    </row>
    <row r="2281" spans="1:7" x14ac:dyDescent="0.3">
      <c r="A2281" t="s">
        <v>35</v>
      </c>
      <c r="B2281" s="1">
        <v>45869</v>
      </c>
      <c r="C2281">
        <v>321014</v>
      </c>
      <c r="D2281">
        <v>20257.005000000001</v>
      </c>
      <c r="E2281" t="s">
        <v>4</v>
      </c>
      <c r="F2281" t="s">
        <v>46</v>
      </c>
      <c r="G2281" t="s">
        <v>7</v>
      </c>
    </row>
    <row r="2282" spans="1:7" x14ac:dyDescent="0.3">
      <c r="A2282" t="s">
        <v>35</v>
      </c>
      <c r="B2282" s="1">
        <v>45869</v>
      </c>
      <c r="C2282">
        <v>321025</v>
      </c>
      <c r="D2282">
        <v>99506.188999999998</v>
      </c>
      <c r="E2282" t="s">
        <v>4</v>
      </c>
      <c r="F2282" t="s">
        <v>46</v>
      </c>
      <c r="G2282" t="s">
        <v>7</v>
      </c>
    </row>
    <row r="2283" spans="1:7" x14ac:dyDescent="0.3">
      <c r="A2283" t="s">
        <v>35</v>
      </c>
      <c r="B2283" s="1">
        <v>45869</v>
      </c>
      <c r="C2283">
        <v>321028</v>
      </c>
      <c r="D2283">
        <v>386.55200000000002</v>
      </c>
      <c r="E2283" t="s">
        <v>4</v>
      </c>
      <c r="F2283" t="s">
        <v>46</v>
      </c>
      <c r="G2283" t="s">
        <v>7</v>
      </c>
    </row>
    <row r="2284" spans="1:7" x14ac:dyDescent="0.3">
      <c r="A2284" t="s">
        <v>35</v>
      </c>
      <c r="B2284" s="1">
        <v>45869</v>
      </c>
      <c r="C2284">
        <v>321030</v>
      </c>
      <c r="D2284">
        <v>113.474</v>
      </c>
      <c r="E2284" t="s">
        <v>4</v>
      </c>
      <c r="F2284" t="s">
        <v>46</v>
      </c>
      <c r="G2284" t="s">
        <v>7</v>
      </c>
    </row>
    <row r="2285" spans="1:7" x14ac:dyDescent="0.3">
      <c r="A2285" t="s">
        <v>35</v>
      </c>
      <c r="B2285" s="1">
        <v>45869</v>
      </c>
      <c r="C2285">
        <v>321031</v>
      </c>
      <c r="D2285">
        <v>16122.69</v>
      </c>
      <c r="E2285" t="s">
        <v>4</v>
      </c>
      <c r="F2285" t="s">
        <v>46</v>
      </c>
      <c r="G2285" t="s">
        <v>7</v>
      </c>
    </row>
    <row r="2286" spans="1:7" x14ac:dyDescent="0.3">
      <c r="A2286" t="s">
        <v>35</v>
      </c>
      <c r="B2286" s="1">
        <v>45869</v>
      </c>
      <c r="C2286">
        <v>321041</v>
      </c>
      <c r="D2286">
        <v>273.37900000000002</v>
      </c>
      <c r="E2286" t="s">
        <v>4</v>
      </c>
      <c r="F2286" t="s">
        <v>46</v>
      </c>
      <c r="G2286" t="s">
        <v>7</v>
      </c>
    </row>
    <row r="2287" spans="1:7" x14ac:dyDescent="0.3">
      <c r="A2287" t="s">
        <v>35</v>
      </c>
      <c r="B2287" s="1">
        <v>45869</v>
      </c>
      <c r="C2287">
        <v>321042</v>
      </c>
      <c r="D2287">
        <v>-19.359000000000002</v>
      </c>
      <c r="E2287" t="s">
        <v>4</v>
      </c>
      <c r="F2287" t="s">
        <v>46</v>
      </c>
      <c r="G2287" t="s">
        <v>7</v>
      </c>
    </row>
    <row r="2288" spans="1:7" x14ac:dyDescent="0.3">
      <c r="A2288" t="s">
        <v>35</v>
      </c>
      <c r="B2288" s="1">
        <v>45869</v>
      </c>
      <c r="C2288">
        <v>330115</v>
      </c>
      <c r="D2288">
        <v>25427.511999999999</v>
      </c>
      <c r="E2288" t="s">
        <v>4</v>
      </c>
      <c r="F2288" t="s">
        <v>43</v>
      </c>
      <c r="G2288" t="s">
        <v>7</v>
      </c>
    </row>
    <row r="2289" spans="1:7" x14ac:dyDescent="0.3">
      <c r="A2289" t="s">
        <v>35</v>
      </c>
      <c r="B2289" s="1">
        <v>45869</v>
      </c>
      <c r="C2289">
        <v>330123</v>
      </c>
      <c r="D2289">
        <v>918687.61199999996</v>
      </c>
      <c r="E2289" t="s">
        <v>4</v>
      </c>
      <c r="F2289" t="s">
        <v>43</v>
      </c>
      <c r="G2289" t="s">
        <v>7</v>
      </c>
    </row>
    <row r="2290" spans="1:7" x14ac:dyDescent="0.3">
      <c r="A2290" t="s">
        <v>35</v>
      </c>
      <c r="B2290" s="1">
        <v>45869</v>
      </c>
      <c r="C2290">
        <v>330129</v>
      </c>
      <c r="D2290">
        <v>-24359.668000000001</v>
      </c>
      <c r="E2290" t="s">
        <v>4</v>
      </c>
      <c r="F2290" t="s">
        <v>43</v>
      </c>
      <c r="G2290" t="s">
        <v>7</v>
      </c>
    </row>
    <row r="2291" spans="1:7" x14ac:dyDescent="0.3">
      <c r="A2291" t="s">
        <v>35</v>
      </c>
      <c r="B2291" s="1">
        <v>45869</v>
      </c>
      <c r="C2291">
        <v>330136</v>
      </c>
      <c r="D2291">
        <v>8271.5280000000002</v>
      </c>
      <c r="E2291" t="s">
        <v>4</v>
      </c>
      <c r="F2291" t="s">
        <v>43</v>
      </c>
      <c r="G2291" t="s">
        <v>7</v>
      </c>
    </row>
    <row r="2292" spans="1:7" x14ac:dyDescent="0.3">
      <c r="A2292" t="s">
        <v>35</v>
      </c>
      <c r="B2292" s="1">
        <v>45869</v>
      </c>
      <c r="C2292">
        <v>330138</v>
      </c>
      <c r="D2292">
        <v>1620.577</v>
      </c>
      <c r="E2292" t="s">
        <v>4</v>
      </c>
      <c r="F2292" t="s">
        <v>43</v>
      </c>
      <c r="G2292" t="s">
        <v>7</v>
      </c>
    </row>
    <row r="2293" spans="1:7" x14ac:dyDescent="0.3">
      <c r="A2293" t="s">
        <v>35</v>
      </c>
      <c r="B2293" s="1">
        <v>45869</v>
      </c>
      <c r="C2293">
        <v>340255</v>
      </c>
      <c r="D2293">
        <v>1597129.237</v>
      </c>
      <c r="E2293" t="s">
        <v>4</v>
      </c>
      <c r="F2293" t="s">
        <v>47</v>
      </c>
      <c r="G2293" t="s">
        <v>7</v>
      </c>
    </row>
    <row r="2294" spans="1:7" x14ac:dyDescent="0.3">
      <c r="A2294" t="s">
        <v>35</v>
      </c>
      <c r="B2294" s="1">
        <v>45869</v>
      </c>
      <c r="C2294">
        <v>340256</v>
      </c>
      <c r="D2294">
        <v>55576589.839000002</v>
      </c>
      <c r="E2294" t="s">
        <v>4</v>
      </c>
      <c r="F2294" t="s">
        <v>47</v>
      </c>
      <c r="G2294" t="s">
        <v>7</v>
      </c>
    </row>
    <row r="2295" spans="1:7" x14ac:dyDescent="0.3">
      <c r="A2295" t="s">
        <v>35</v>
      </c>
      <c r="B2295" s="1">
        <v>45869</v>
      </c>
      <c r="C2295">
        <v>340257</v>
      </c>
      <c r="D2295">
        <v>-56745423.582000002</v>
      </c>
      <c r="E2295" t="s">
        <v>4</v>
      </c>
      <c r="F2295" t="s">
        <v>47</v>
      </c>
      <c r="G2295" t="s">
        <v>7</v>
      </c>
    </row>
    <row r="2296" spans="1:7" x14ac:dyDescent="0.3">
      <c r="A2296" t="s">
        <v>35</v>
      </c>
      <c r="B2296" s="1">
        <v>45869</v>
      </c>
      <c r="C2296">
        <v>350002</v>
      </c>
      <c r="D2296">
        <v>30077.187000000002</v>
      </c>
      <c r="E2296" t="s">
        <v>4</v>
      </c>
      <c r="F2296" t="s">
        <v>49</v>
      </c>
      <c r="G2296" t="s">
        <v>7</v>
      </c>
    </row>
    <row r="2297" spans="1:7" x14ac:dyDescent="0.3">
      <c r="A2297" t="s">
        <v>35</v>
      </c>
      <c r="B2297" s="1">
        <v>45869</v>
      </c>
      <c r="C2297">
        <v>350003</v>
      </c>
      <c r="D2297">
        <v>75750.006999999998</v>
      </c>
      <c r="E2297" t="s">
        <v>4</v>
      </c>
      <c r="F2297" t="s">
        <v>49</v>
      </c>
      <c r="G2297" t="s">
        <v>7</v>
      </c>
    </row>
    <row r="2298" spans="1:7" x14ac:dyDescent="0.3">
      <c r="A2298" t="s">
        <v>35</v>
      </c>
      <c r="B2298" s="1">
        <v>45869</v>
      </c>
      <c r="C2298">
        <v>350031</v>
      </c>
      <c r="D2298">
        <v>14232.396000000001</v>
      </c>
      <c r="E2298" t="s">
        <v>4</v>
      </c>
      <c r="F2298" t="s">
        <v>43</v>
      </c>
      <c r="G2298" t="s">
        <v>7</v>
      </c>
    </row>
    <row r="2299" spans="1:7" x14ac:dyDescent="0.3">
      <c r="A2299" t="s">
        <v>35</v>
      </c>
      <c r="B2299" s="1">
        <v>45869</v>
      </c>
      <c r="C2299">
        <v>350034</v>
      </c>
      <c r="D2299">
        <v>5567.9030000000002</v>
      </c>
      <c r="E2299" t="s">
        <v>4</v>
      </c>
      <c r="F2299" t="s">
        <v>49</v>
      </c>
      <c r="G2299" t="s">
        <v>7</v>
      </c>
    </row>
    <row r="2300" spans="1:7" x14ac:dyDescent="0.3">
      <c r="A2300" t="s">
        <v>35</v>
      </c>
      <c r="B2300" s="1">
        <v>45869</v>
      </c>
      <c r="C2300">
        <v>352002</v>
      </c>
      <c r="D2300">
        <v>8826.7430000000004</v>
      </c>
      <c r="E2300" t="s">
        <v>4</v>
      </c>
      <c r="F2300" t="s">
        <v>48</v>
      </c>
      <c r="G2300" t="s">
        <v>7</v>
      </c>
    </row>
    <row r="2301" spans="1:7" x14ac:dyDescent="0.3">
      <c r="A2301" t="s">
        <v>35</v>
      </c>
      <c r="B2301" s="1">
        <v>45869</v>
      </c>
      <c r="C2301">
        <v>354011</v>
      </c>
      <c r="D2301">
        <v>-208818.93</v>
      </c>
      <c r="E2301" t="s">
        <v>4</v>
      </c>
      <c r="F2301" t="s">
        <v>46</v>
      </c>
      <c r="G2301" t="s">
        <v>7</v>
      </c>
    </row>
    <row r="2302" spans="1:7" x14ac:dyDescent="0.3">
      <c r="A2302" t="s">
        <v>35</v>
      </c>
      <c r="B2302" s="1">
        <v>45869</v>
      </c>
      <c r="C2302">
        <v>354012</v>
      </c>
      <c r="D2302">
        <v>551155.26100000006</v>
      </c>
      <c r="E2302" t="s">
        <v>4</v>
      </c>
      <c r="F2302" t="s">
        <v>46</v>
      </c>
      <c r="G2302" t="s">
        <v>7</v>
      </c>
    </row>
    <row r="2303" spans="1:7" x14ac:dyDescent="0.3">
      <c r="A2303" t="s">
        <v>35</v>
      </c>
      <c r="B2303" s="1">
        <v>45869</v>
      </c>
      <c r="C2303">
        <v>354014</v>
      </c>
      <c r="D2303">
        <v>2014781.4879999999</v>
      </c>
      <c r="E2303" t="s">
        <v>4</v>
      </c>
      <c r="F2303" t="s">
        <v>46</v>
      </c>
      <c r="G2303" t="s">
        <v>7</v>
      </c>
    </row>
    <row r="2304" spans="1:7" x14ac:dyDescent="0.3">
      <c r="A2304" t="s">
        <v>35</v>
      </c>
      <c r="B2304" s="1">
        <v>45869</v>
      </c>
      <c r="C2304">
        <v>354015</v>
      </c>
      <c r="D2304">
        <v>12721.954</v>
      </c>
      <c r="E2304" t="s">
        <v>4</v>
      </c>
      <c r="F2304" t="s">
        <v>46</v>
      </c>
      <c r="G2304" t="s">
        <v>7</v>
      </c>
    </row>
    <row r="2305" spans="1:7" x14ac:dyDescent="0.3">
      <c r="A2305" t="s">
        <v>35</v>
      </c>
      <c r="B2305" s="1">
        <v>45869</v>
      </c>
      <c r="C2305">
        <v>355002</v>
      </c>
      <c r="D2305">
        <v>22595.682000000001</v>
      </c>
      <c r="E2305" t="s">
        <v>4</v>
      </c>
      <c r="F2305" t="s">
        <v>49</v>
      </c>
      <c r="G2305" t="s">
        <v>7</v>
      </c>
    </row>
    <row r="2306" spans="1:7" x14ac:dyDescent="0.3">
      <c r="A2306" t="s">
        <v>35</v>
      </c>
      <c r="B2306" s="1">
        <v>45869</v>
      </c>
      <c r="C2306">
        <v>355014</v>
      </c>
      <c r="D2306">
        <v>120347.92</v>
      </c>
      <c r="E2306" t="s">
        <v>4</v>
      </c>
      <c r="F2306" t="s">
        <v>49</v>
      </c>
      <c r="G2306" t="s">
        <v>7</v>
      </c>
    </row>
    <row r="2307" spans="1:7" x14ac:dyDescent="0.3">
      <c r="A2307" t="s">
        <v>35</v>
      </c>
      <c r="B2307" s="1">
        <v>45869</v>
      </c>
      <c r="C2307">
        <v>360022</v>
      </c>
      <c r="D2307">
        <v>11049.111000000001</v>
      </c>
      <c r="E2307" t="s">
        <v>4</v>
      </c>
      <c r="F2307" t="s">
        <v>58</v>
      </c>
      <c r="G2307" t="s">
        <v>7</v>
      </c>
    </row>
    <row r="2308" spans="1:7" x14ac:dyDescent="0.3">
      <c r="A2308" t="s">
        <v>35</v>
      </c>
      <c r="B2308" s="1">
        <v>45869</v>
      </c>
      <c r="C2308">
        <v>360026</v>
      </c>
      <c r="D2308">
        <v>373911.46799999999</v>
      </c>
      <c r="E2308" t="s">
        <v>4</v>
      </c>
      <c r="F2308" t="s">
        <v>58</v>
      </c>
      <c r="G2308" t="s">
        <v>7</v>
      </c>
    </row>
    <row r="2309" spans="1:7" x14ac:dyDescent="0.3">
      <c r="A2309" t="s">
        <v>35</v>
      </c>
      <c r="B2309" s="1">
        <v>45869</v>
      </c>
      <c r="C2309">
        <v>360028</v>
      </c>
      <c r="D2309">
        <v>426971.70600000001</v>
      </c>
      <c r="E2309" t="s">
        <v>4</v>
      </c>
      <c r="F2309" t="s">
        <v>58</v>
      </c>
      <c r="G2309" t="s">
        <v>7</v>
      </c>
    </row>
    <row r="2310" spans="1:7" x14ac:dyDescent="0.3">
      <c r="A2310" t="s">
        <v>35</v>
      </c>
      <c r="B2310" s="1">
        <v>45869</v>
      </c>
      <c r="C2310">
        <v>360030</v>
      </c>
      <c r="D2310">
        <v>686790.20400000003</v>
      </c>
      <c r="E2310" t="s">
        <v>4</v>
      </c>
      <c r="F2310" t="s">
        <v>58</v>
      </c>
      <c r="G2310" t="s">
        <v>7</v>
      </c>
    </row>
    <row r="2311" spans="1:7" x14ac:dyDescent="0.3">
      <c r="A2311" t="s">
        <v>35</v>
      </c>
      <c r="B2311" s="1">
        <v>45869</v>
      </c>
      <c r="C2311">
        <v>360032</v>
      </c>
      <c r="D2311">
        <v>138879.084</v>
      </c>
      <c r="E2311" t="s">
        <v>4</v>
      </c>
      <c r="F2311" t="s">
        <v>58</v>
      </c>
      <c r="G2311" t="s">
        <v>7</v>
      </c>
    </row>
    <row r="2312" spans="1:7" x14ac:dyDescent="0.3">
      <c r="A2312" t="s">
        <v>35</v>
      </c>
      <c r="B2312" s="1">
        <v>45869</v>
      </c>
      <c r="C2312">
        <v>364502</v>
      </c>
      <c r="D2312">
        <v>428269.42700000003</v>
      </c>
      <c r="E2312" t="s">
        <v>4</v>
      </c>
      <c r="F2312" t="s">
        <v>58</v>
      </c>
      <c r="G2312" t="s">
        <v>7</v>
      </c>
    </row>
    <row r="2313" spans="1:7" x14ac:dyDescent="0.3">
      <c r="A2313" t="s">
        <v>35</v>
      </c>
      <c r="B2313" s="1">
        <v>45869</v>
      </c>
      <c r="C2313">
        <v>400002</v>
      </c>
      <c r="D2313">
        <v>-14805.136</v>
      </c>
      <c r="E2313" t="s">
        <v>6</v>
      </c>
      <c r="F2313" t="s">
        <v>50</v>
      </c>
      <c r="G2313" t="s">
        <v>7</v>
      </c>
    </row>
    <row r="2314" spans="1:7" x14ac:dyDescent="0.3">
      <c r="A2314" t="s">
        <v>35</v>
      </c>
      <c r="B2314" s="1">
        <v>45869</v>
      </c>
      <c r="C2314">
        <v>400004</v>
      </c>
      <c r="D2314">
        <v>-4524.9740000000002</v>
      </c>
      <c r="E2314" t="s">
        <v>6</v>
      </c>
      <c r="F2314" t="s">
        <v>50</v>
      </c>
      <c r="G2314" t="s">
        <v>7</v>
      </c>
    </row>
    <row r="2315" spans="1:7" x14ac:dyDescent="0.3">
      <c r="A2315" t="s">
        <v>35</v>
      </c>
      <c r="B2315" s="1">
        <v>45869</v>
      </c>
      <c r="C2315">
        <v>410002</v>
      </c>
      <c r="D2315">
        <v>-192161.378</v>
      </c>
      <c r="E2315" t="s">
        <v>6</v>
      </c>
      <c r="F2315" t="s">
        <v>51</v>
      </c>
      <c r="G2315" t="s">
        <v>7</v>
      </c>
    </row>
    <row r="2316" spans="1:7" x14ac:dyDescent="0.3">
      <c r="A2316" t="s">
        <v>35</v>
      </c>
      <c r="B2316" s="1">
        <v>45869</v>
      </c>
      <c r="C2316">
        <v>410006</v>
      </c>
      <c r="D2316">
        <v>-13978.68</v>
      </c>
      <c r="E2316" t="s">
        <v>6</v>
      </c>
      <c r="F2316" t="s">
        <v>51</v>
      </c>
      <c r="G2316" t="s">
        <v>7</v>
      </c>
    </row>
    <row r="2317" spans="1:7" x14ac:dyDescent="0.3">
      <c r="A2317" t="s">
        <v>35</v>
      </c>
      <c r="B2317" s="1">
        <v>45869</v>
      </c>
      <c r="C2317">
        <v>410009</v>
      </c>
      <c r="D2317">
        <v>-6365.8940000000002</v>
      </c>
      <c r="E2317" t="s">
        <v>6</v>
      </c>
      <c r="F2317" t="s">
        <v>51</v>
      </c>
      <c r="G2317" t="s">
        <v>7</v>
      </c>
    </row>
    <row r="2318" spans="1:7" x14ac:dyDescent="0.3">
      <c r="A2318" t="s">
        <v>35</v>
      </c>
      <c r="B2318" s="1">
        <v>45869</v>
      </c>
      <c r="C2318">
        <v>410015</v>
      </c>
      <c r="D2318">
        <v>-16777.504000000001</v>
      </c>
      <c r="E2318" t="s">
        <v>6</v>
      </c>
      <c r="F2318" t="s">
        <v>51</v>
      </c>
      <c r="G2318" t="s">
        <v>7</v>
      </c>
    </row>
    <row r="2319" spans="1:7" x14ac:dyDescent="0.3">
      <c r="A2319" t="s">
        <v>35</v>
      </c>
      <c r="B2319" s="1">
        <v>45869</v>
      </c>
      <c r="C2319">
        <v>410032</v>
      </c>
      <c r="D2319">
        <v>-25323.476999999999</v>
      </c>
      <c r="E2319" t="s">
        <v>6</v>
      </c>
      <c r="F2319" t="s">
        <v>51</v>
      </c>
      <c r="G2319" t="s">
        <v>7</v>
      </c>
    </row>
    <row r="2320" spans="1:7" x14ac:dyDescent="0.3">
      <c r="A2320" t="s">
        <v>35</v>
      </c>
      <c r="B2320" s="1">
        <v>45869</v>
      </c>
      <c r="C2320">
        <v>410036</v>
      </c>
      <c r="D2320">
        <v>-381.11900000000003</v>
      </c>
      <c r="E2320" t="s">
        <v>6</v>
      </c>
      <c r="F2320" t="s">
        <v>51</v>
      </c>
      <c r="G2320" t="s">
        <v>7</v>
      </c>
    </row>
    <row r="2321" spans="1:7" x14ac:dyDescent="0.3">
      <c r="A2321" t="s">
        <v>35</v>
      </c>
      <c r="B2321" s="1">
        <v>45869</v>
      </c>
      <c r="C2321">
        <v>410039</v>
      </c>
      <c r="D2321">
        <v>-5171.4120000000003</v>
      </c>
      <c r="E2321" t="s">
        <v>6</v>
      </c>
      <c r="F2321" t="s">
        <v>51</v>
      </c>
      <c r="G2321" t="s">
        <v>7</v>
      </c>
    </row>
    <row r="2322" spans="1:7" x14ac:dyDescent="0.3">
      <c r="A2322" t="s">
        <v>35</v>
      </c>
      <c r="B2322" s="1">
        <v>45869</v>
      </c>
      <c r="C2322">
        <v>410040</v>
      </c>
      <c r="D2322">
        <v>-111.879</v>
      </c>
      <c r="E2322" t="s">
        <v>6</v>
      </c>
      <c r="F2322" t="s">
        <v>51</v>
      </c>
      <c r="G2322" t="s">
        <v>7</v>
      </c>
    </row>
    <row r="2323" spans="1:7" x14ac:dyDescent="0.3">
      <c r="A2323" t="s">
        <v>35</v>
      </c>
      <c r="B2323" s="1">
        <v>45869</v>
      </c>
      <c r="C2323">
        <v>415002</v>
      </c>
      <c r="D2323">
        <v>-5996467.2300000004</v>
      </c>
      <c r="E2323" t="s">
        <v>6</v>
      </c>
      <c r="F2323" t="s">
        <v>50</v>
      </c>
      <c r="G2323" t="s">
        <v>7</v>
      </c>
    </row>
    <row r="2324" spans="1:7" x14ac:dyDescent="0.3">
      <c r="A2324" t="s">
        <v>35</v>
      </c>
      <c r="B2324" s="1">
        <v>45869</v>
      </c>
      <c r="C2324">
        <v>415003</v>
      </c>
      <c r="D2324">
        <v>-9381.7999999999993</v>
      </c>
      <c r="E2324" t="s">
        <v>6</v>
      </c>
      <c r="F2324" t="s">
        <v>50</v>
      </c>
      <c r="G2324" t="s">
        <v>7</v>
      </c>
    </row>
    <row r="2325" spans="1:7" x14ac:dyDescent="0.3">
      <c r="A2325" t="s">
        <v>35</v>
      </c>
      <c r="B2325" s="1">
        <v>45869</v>
      </c>
      <c r="C2325">
        <v>415004</v>
      </c>
      <c r="D2325">
        <v>-3728691.4360000002</v>
      </c>
      <c r="E2325" t="s">
        <v>6</v>
      </c>
      <c r="F2325" t="s">
        <v>50</v>
      </c>
      <c r="G2325" t="s">
        <v>7</v>
      </c>
    </row>
    <row r="2326" spans="1:7" x14ac:dyDescent="0.3">
      <c r="A2326" t="s">
        <v>35</v>
      </c>
      <c r="B2326" s="1">
        <v>45869</v>
      </c>
      <c r="C2326">
        <v>415006</v>
      </c>
      <c r="D2326">
        <v>173.26499999999999</v>
      </c>
      <c r="E2326" t="s">
        <v>6</v>
      </c>
      <c r="F2326" t="s">
        <v>50</v>
      </c>
      <c r="G2326" t="s">
        <v>7</v>
      </c>
    </row>
    <row r="2327" spans="1:7" x14ac:dyDescent="0.3">
      <c r="A2327" t="s">
        <v>35</v>
      </c>
      <c r="B2327" s="1">
        <v>45869</v>
      </c>
      <c r="C2327">
        <v>421003</v>
      </c>
      <c r="D2327">
        <v>8474.1049999999996</v>
      </c>
      <c r="E2327" t="s">
        <v>6</v>
      </c>
      <c r="F2327" t="s">
        <v>52</v>
      </c>
      <c r="G2327" t="s">
        <v>7</v>
      </c>
    </row>
    <row r="2328" spans="1:7" x14ac:dyDescent="0.3">
      <c r="A2328" t="s">
        <v>35</v>
      </c>
      <c r="B2328" s="1">
        <v>45869</v>
      </c>
      <c r="C2328">
        <v>421007</v>
      </c>
      <c r="D2328">
        <v>25.556000000000001</v>
      </c>
      <c r="E2328" t="s">
        <v>6</v>
      </c>
      <c r="F2328" t="s">
        <v>52</v>
      </c>
      <c r="G2328" t="s">
        <v>7</v>
      </c>
    </row>
    <row r="2329" spans="1:7" x14ac:dyDescent="0.3">
      <c r="A2329" t="s">
        <v>35</v>
      </c>
      <c r="B2329" s="1">
        <v>45869</v>
      </c>
      <c r="C2329">
        <v>423012</v>
      </c>
      <c r="D2329">
        <v>-1093.75</v>
      </c>
      <c r="E2329" t="s">
        <v>6</v>
      </c>
      <c r="F2329" t="s">
        <v>52</v>
      </c>
      <c r="G2329" t="s">
        <v>7</v>
      </c>
    </row>
    <row r="2330" spans="1:7" x14ac:dyDescent="0.3">
      <c r="A2330" t="s">
        <v>35</v>
      </c>
      <c r="B2330" s="1">
        <v>45869</v>
      </c>
      <c r="C2330">
        <v>510002</v>
      </c>
      <c r="D2330">
        <v>1749983.6170000001</v>
      </c>
      <c r="E2330" t="s">
        <v>6</v>
      </c>
      <c r="F2330" t="s">
        <v>53</v>
      </c>
      <c r="G2330" t="s">
        <v>7</v>
      </c>
    </row>
    <row r="2331" spans="1:7" x14ac:dyDescent="0.3">
      <c r="A2331" t="s">
        <v>35</v>
      </c>
      <c r="B2331" s="1">
        <v>45869</v>
      </c>
      <c r="C2331">
        <v>510005</v>
      </c>
      <c r="D2331">
        <v>73631.676000000007</v>
      </c>
      <c r="E2331" t="s">
        <v>6</v>
      </c>
      <c r="F2331" t="s">
        <v>53</v>
      </c>
      <c r="G2331" t="s">
        <v>7</v>
      </c>
    </row>
    <row r="2332" spans="1:7" x14ac:dyDescent="0.3">
      <c r="A2332" t="s">
        <v>35</v>
      </c>
      <c r="B2332" s="1">
        <v>45869</v>
      </c>
      <c r="C2332">
        <v>510007</v>
      </c>
      <c r="D2332">
        <v>129656.144</v>
      </c>
      <c r="E2332" t="s">
        <v>6</v>
      </c>
      <c r="F2332" t="s">
        <v>53</v>
      </c>
      <c r="G2332" t="s">
        <v>7</v>
      </c>
    </row>
    <row r="2333" spans="1:7" x14ac:dyDescent="0.3">
      <c r="A2333" t="s">
        <v>35</v>
      </c>
      <c r="B2333" s="1">
        <v>45869</v>
      </c>
      <c r="C2333">
        <v>510008</v>
      </c>
      <c r="D2333">
        <v>2159.067</v>
      </c>
      <c r="E2333" t="s">
        <v>6</v>
      </c>
      <c r="F2333" t="s">
        <v>53</v>
      </c>
      <c r="G2333" t="s">
        <v>7</v>
      </c>
    </row>
    <row r="2334" spans="1:7" x14ac:dyDescent="0.3">
      <c r="A2334" t="s">
        <v>35</v>
      </c>
      <c r="B2334" s="1">
        <v>45869</v>
      </c>
      <c r="C2334">
        <v>510010</v>
      </c>
      <c r="D2334">
        <v>21199.69</v>
      </c>
      <c r="E2334" t="s">
        <v>6</v>
      </c>
      <c r="F2334" t="s">
        <v>53</v>
      </c>
      <c r="G2334" t="s">
        <v>7</v>
      </c>
    </row>
    <row r="2335" spans="1:7" x14ac:dyDescent="0.3">
      <c r="A2335" t="s">
        <v>35</v>
      </c>
      <c r="B2335" s="1">
        <v>45869</v>
      </c>
      <c r="C2335">
        <v>510012</v>
      </c>
      <c r="D2335">
        <v>29667.894</v>
      </c>
      <c r="E2335" t="s">
        <v>6</v>
      </c>
      <c r="F2335" t="s">
        <v>53</v>
      </c>
      <c r="G2335" t="s">
        <v>7</v>
      </c>
    </row>
    <row r="2336" spans="1:7" x14ac:dyDescent="0.3">
      <c r="A2336" t="s">
        <v>35</v>
      </c>
      <c r="B2336" s="1">
        <v>45869</v>
      </c>
      <c r="C2336">
        <v>510015</v>
      </c>
      <c r="D2336">
        <v>153867.728</v>
      </c>
      <c r="E2336" t="s">
        <v>6</v>
      </c>
      <c r="F2336" t="s">
        <v>53</v>
      </c>
      <c r="G2336" t="s">
        <v>7</v>
      </c>
    </row>
    <row r="2337" spans="1:7" x14ac:dyDescent="0.3">
      <c r="A2337" t="s">
        <v>35</v>
      </c>
      <c r="B2337" s="1">
        <v>45869</v>
      </c>
      <c r="C2337">
        <v>510018</v>
      </c>
      <c r="D2337">
        <v>140548.01300000001</v>
      </c>
      <c r="E2337" t="s">
        <v>6</v>
      </c>
      <c r="F2337" t="s">
        <v>53</v>
      </c>
      <c r="G2337" t="s">
        <v>7</v>
      </c>
    </row>
    <row r="2338" spans="1:7" x14ac:dyDescent="0.3">
      <c r="A2338" t="s">
        <v>35</v>
      </c>
      <c r="B2338" s="1">
        <v>45869</v>
      </c>
      <c r="C2338">
        <v>510048</v>
      </c>
      <c r="D2338">
        <v>819.91600000000005</v>
      </c>
      <c r="E2338" t="s">
        <v>6</v>
      </c>
      <c r="F2338" t="s">
        <v>61</v>
      </c>
      <c r="G2338" t="s">
        <v>7</v>
      </c>
    </row>
    <row r="2339" spans="1:7" x14ac:dyDescent="0.3">
      <c r="A2339" t="s">
        <v>35</v>
      </c>
      <c r="B2339" s="1">
        <v>45869</v>
      </c>
      <c r="C2339">
        <v>510059</v>
      </c>
      <c r="D2339">
        <v>15588.79</v>
      </c>
      <c r="E2339" t="s">
        <v>6</v>
      </c>
      <c r="F2339" t="s">
        <v>53</v>
      </c>
      <c r="G2339" t="s">
        <v>7</v>
      </c>
    </row>
    <row r="2340" spans="1:7" x14ac:dyDescent="0.3">
      <c r="A2340" t="s">
        <v>35</v>
      </c>
      <c r="B2340" s="1">
        <v>45869</v>
      </c>
      <c r="C2340">
        <v>510062</v>
      </c>
      <c r="D2340">
        <v>26735.482</v>
      </c>
      <c r="E2340" t="s">
        <v>6</v>
      </c>
      <c r="F2340" t="s">
        <v>53</v>
      </c>
      <c r="G2340" t="s">
        <v>7</v>
      </c>
    </row>
    <row r="2341" spans="1:7" x14ac:dyDescent="0.3">
      <c r="A2341" t="s">
        <v>35</v>
      </c>
      <c r="B2341" s="1">
        <v>45869</v>
      </c>
      <c r="C2341">
        <v>510064</v>
      </c>
      <c r="D2341">
        <v>355.67399999999998</v>
      </c>
      <c r="E2341" t="s">
        <v>6</v>
      </c>
      <c r="F2341" t="s">
        <v>53</v>
      </c>
      <c r="G2341" t="s">
        <v>7</v>
      </c>
    </row>
    <row r="2342" spans="1:7" x14ac:dyDescent="0.3">
      <c r="A2342" t="s">
        <v>35</v>
      </c>
      <c r="B2342" s="1">
        <v>45869</v>
      </c>
      <c r="C2342">
        <v>510065</v>
      </c>
      <c r="D2342">
        <v>40601.707999999999</v>
      </c>
      <c r="E2342" t="s">
        <v>6</v>
      </c>
      <c r="F2342" t="s">
        <v>53</v>
      </c>
      <c r="G2342" t="s">
        <v>7</v>
      </c>
    </row>
    <row r="2343" spans="1:7" x14ac:dyDescent="0.3">
      <c r="A2343" t="s">
        <v>35</v>
      </c>
      <c r="B2343" s="1">
        <v>45869</v>
      </c>
      <c r="C2343">
        <v>520020</v>
      </c>
      <c r="D2343">
        <v>457.315</v>
      </c>
      <c r="E2343" t="s">
        <v>6</v>
      </c>
      <c r="F2343" t="s">
        <v>53</v>
      </c>
      <c r="G2343" t="s">
        <v>7</v>
      </c>
    </row>
    <row r="2344" spans="1:7" x14ac:dyDescent="0.3">
      <c r="A2344" t="s">
        <v>35</v>
      </c>
      <c r="B2344" s="1">
        <v>45869</v>
      </c>
      <c r="C2344">
        <v>520021</v>
      </c>
      <c r="D2344">
        <v>3712.5839999999998</v>
      </c>
      <c r="E2344" t="s">
        <v>6</v>
      </c>
      <c r="F2344" t="s">
        <v>60</v>
      </c>
      <c r="G2344" t="s">
        <v>7</v>
      </c>
    </row>
    <row r="2345" spans="1:7" x14ac:dyDescent="0.3">
      <c r="A2345" t="s">
        <v>35</v>
      </c>
      <c r="B2345" s="1">
        <v>45869</v>
      </c>
      <c r="C2345">
        <v>530012</v>
      </c>
      <c r="D2345">
        <v>23503.942999999999</v>
      </c>
      <c r="E2345" t="s">
        <v>6</v>
      </c>
      <c r="F2345" t="s">
        <v>53</v>
      </c>
      <c r="G2345" t="s">
        <v>7</v>
      </c>
    </row>
    <row r="2346" spans="1:7" x14ac:dyDescent="0.3">
      <c r="A2346" t="s">
        <v>35</v>
      </c>
      <c r="B2346" s="1">
        <v>45869</v>
      </c>
      <c r="C2346">
        <v>540004</v>
      </c>
      <c r="D2346">
        <v>223.49100000000001</v>
      </c>
      <c r="E2346" t="s">
        <v>6</v>
      </c>
      <c r="F2346" t="s">
        <v>67</v>
      </c>
      <c r="G2346" t="s">
        <v>7</v>
      </c>
    </row>
    <row r="2347" spans="1:7" x14ac:dyDescent="0.3">
      <c r="A2347" t="s">
        <v>35</v>
      </c>
      <c r="B2347" s="1">
        <v>45869</v>
      </c>
      <c r="C2347">
        <v>541002</v>
      </c>
      <c r="D2347">
        <v>22123.219000000001</v>
      </c>
      <c r="E2347" t="s">
        <v>6</v>
      </c>
      <c r="F2347" t="s">
        <v>61</v>
      </c>
      <c r="G2347" t="s">
        <v>7</v>
      </c>
    </row>
    <row r="2348" spans="1:7" x14ac:dyDescent="0.3">
      <c r="A2348" t="s">
        <v>35</v>
      </c>
      <c r="B2348" s="1">
        <v>45869</v>
      </c>
      <c r="C2348">
        <v>541004</v>
      </c>
      <c r="D2348">
        <v>4450.8410000000003</v>
      </c>
      <c r="E2348" t="s">
        <v>6</v>
      </c>
      <c r="F2348" t="s">
        <v>61</v>
      </c>
      <c r="G2348" t="s">
        <v>7</v>
      </c>
    </row>
    <row r="2349" spans="1:7" x14ac:dyDescent="0.3">
      <c r="A2349" t="s">
        <v>35</v>
      </c>
      <c r="B2349" s="1">
        <v>45869</v>
      </c>
      <c r="C2349">
        <v>541009</v>
      </c>
      <c r="D2349">
        <v>4600.8739999999998</v>
      </c>
      <c r="E2349" t="s">
        <v>6</v>
      </c>
      <c r="F2349" t="s">
        <v>61</v>
      </c>
      <c r="G2349" t="s">
        <v>7</v>
      </c>
    </row>
    <row r="2350" spans="1:7" x14ac:dyDescent="0.3">
      <c r="A2350" t="s">
        <v>35</v>
      </c>
      <c r="B2350" s="1">
        <v>45869</v>
      </c>
      <c r="C2350">
        <v>541010</v>
      </c>
      <c r="D2350">
        <v>18696.504000000001</v>
      </c>
      <c r="E2350" t="s">
        <v>6</v>
      </c>
      <c r="F2350" t="s">
        <v>61</v>
      </c>
      <c r="G2350" t="s">
        <v>7</v>
      </c>
    </row>
    <row r="2351" spans="1:7" x14ac:dyDescent="0.3">
      <c r="A2351" t="s">
        <v>35</v>
      </c>
      <c r="B2351" s="1">
        <v>45869</v>
      </c>
      <c r="C2351">
        <v>541012</v>
      </c>
      <c r="D2351">
        <v>114.93899999999999</v>
      </c>
      <c r="E2351" t="s">
        <v>6</v>
      </c>
      <c r="F2351" t="s">
        <v>61</v>
      </c>
      <c r="G2351" t="s">
        <v>7</v>
      </c>
    </row>
    <row r="2352" spans="1:7" x14ac:dyDescent="0.3">
      <c r="A2352" t="s">
        <v>35</v>
      </c>
      <c r="B2352" s="1">
        <v>45869</v>
      </c>
      <c r="C2352">
        <v>541013</v>
      </c>
      <c r="D2352">
        <v>1227.3800000000001</v>
      </c>
      <c r="E2352" t="s">
        <v>6</v>
      </c>
      <c r="F2352" t="s">
        <v>61</v>
      </c>
      <c r="G2352" t="s">
        <v>7</v>
      </c>
    </row>
    <row r="2353" spans="1:7" x14ac:dyDescent="0.3">
      <c r="A2353" t="s">
        <v>35</v>
      </c>
      <c r="B2353" s="1">
        <v>45869</v>
      </c>
      <c r="C2353">
        <v>541021</v>
      </c>
      <c r="D2353">
        <v>-246.09100000000001</v>
      </c>
      <c r="E2353" t="s">
        <v>6</v>
      </c>
      <c r="F2353" t="s">
        <v>61</v>
      </c>
      <c r="G2353" t="s">
        <v>7</v>
      </c>
    </row>
    <row r="2354" spans="1:7" x14ac:dyDescent="0.3">
      <c r="A2354" t="s">
        <v>35</v>
      </c>
      <c r="B2354" s="1">
        <v>45869</v>
      </c>
      <c r="C2354">
        <v>544006</v>
      </c>
      <c r="D2354">
        <v>11183.857</v>
      </c>
      <c r="E2354" t="s">
        <v>6</v>
      </c>
      <c r="F2354" t="s">
        <v>61</v>
      </c>
      <c r="G2354" t="s">
        <v>7</v>
      </c>
    </row>
    <row r="2355" spans="1:7" x14ac:dyDescent="0.3">
      <c r="A2355" t="s">
        <v>35</v>
      </c>
      <c r="B2355" s="1">
        <v>45869</v>
      </c>
      <c r="C2355">
        <v>546002</v>
      </c>
      <c r="D2355">
        <v>3546555.65</v>
      </c>
      <c r="E2355" t="s">
        <v>6</v>
      </c>
      <c r="F2355" t="s">
        <v>51</v>
      </c>
      <c r="G2355" t="s">
        <v>7</v>
      </c>
    </row>
    <row r="2356" spans="1:7" x14ac:dyDescent="0.3">
      <c r="A2356" t="s">
        <v>35</v>
      </c>
      <c r="B2356" s="1">
        <v>45869</v>
      </c>
      <c r="C2356">
        <v>546005</v>
      </c>
      <c r="D2356">
        <v>6655.68</v>
      </c>
      <c r="E2356" t="s">
        <v>6</v>
      </c>
      <c r="F2356" t="s">
        <v>51</v>
      </c>
      <c r="G2356" t="s">
        <v>7</v>
      </c>
    </row>
    <row r="2357" spans="1:7" x14ac:dyDescent="0.3">
      <c r="A2357" t="s">
        <v>35</v>
      </c>
      <c r="B2357" s="1">
        <v>45869</v>
      </c>
      <c r="C2357">
        <v>546008</v>
      </c>
      <c r="D2357">
        <v>56804.481</v>
      </c>
      <c r="E2357" t="s">
        <v>6</v>
      </c>
      <c r="F2357" t="s">
        <v>51</v>
      </c>
      <c r="G2357" t="s">
        <v>7</v>
      </c>
    </row>
    <row r="2358" spans="1:7" x14ac:dyDescent="0.3">
      <c r="A2358" t="s">
        <v>35</v>
      </c>
      <c r="B2358" s="1">
        <v>45869</v>
      </c>
      <c r="C2358">
        <v>546012</v>
      </c>
      <c r="D2358">
        <v>4783.1509999999998</v>
      </c>
      <c r="E2358" t="s">
        <v>6</v>
      </c>
      <c r="F2358" t="s">
        <v>51</v>
      </c>
      <c r="G2358" t="s">
        <v>7</v>
      </c>
    </row>
    <row r="2359" spans="1:7" x14ac:dyDescent="0.3">
      <c r="A2359" t="s">
        <v>35</v>
      </c>
      <c r="B2359" s="1">
        <v>45869</v>
      </c>
      <c r="C2359">
        <v>546013</v>
      </c>
      <c r="D2359">
        <v>556098.06499999994</v>
      </c>
      <c r="E2359" t="s">
        <v>6</v>
      </c>
      <c r="F2359" t="s">
        <v>51</v>
      </c>
      <c r="G2359" t="s">
        <v>7</v>
      </c>
    </row>
    <row r="2360" spans="1:7" x14ac:dyDescent="0.3">
      <c r="A2360" t="s">
        <v>35</v>
      </c>
      <c r="B2360" s="1">
        <v>45869</v>
      </c>
      <c r="C2360">
        <v>546015</v>
      </c>
      <c r="D2360">
        <v>28023.345000000001</v>
      </c>
      <c r="E2360" t="s">
        <v>6</v>
      </c>
      <c r="F2360" t="s">
        <v>51</v>
      </c>
      <c r="G2360" t="s">
        <v>7</v>
      </c>
    </row>
    <row r="2361" spans="1:7" x14ac:dyDescent="0.3">
      <c r="A2361" t="s">
        <v>35</v>
      </c>
      <c r="B2361" s="1">
        <v>45869</v>
      </c>
      <c r="C2361">
        <v>546016</v>
      </c>
      <c r="D2361">
        <v>57029.976000000002</v>
      </c>
      <c r="E2361" t="s">
        <v>6</v>
      </c>
      <c r="F2361" t="s">
        <v>51</v>
      </c>
      <c r="G2361" t="s">
        <v>7</v>
      </c>
    </row>
    <row r="2362" spans="1:7" x14ac:dyDescent="0.3">
      <c r="A2362" t="s">
        <v>35</v>
      </c>
      <c r="B2362" s="1">
        <v>45869</v>
      </c>
      <c r="C2362">
        <v>546018</v>
      </c>
      <c r="D2362">
        <v>1483.5940000000001</v>
      </c>
      <c r="E2362" t="s">
        <v>6</v>
      </c>
      <c r="F2362" t="s">
        <v>51</v>
      </c>
      <c r="G2362" t="s">
        <v>7</v>
      </c>
    </row>
    <row r="2363" spans="1:7" x14ac:dyDescent="0.3">
      <c r="A2363" t="s">
        <v>35</v>
      </c>
      <c r="B2363" s="1">
        <v>45869</v>
      </c>
      <c r="C2363">
        <v>546024</v>
      </c>
      <c r="D2363">
        <v>2937.2959999999998</v>
      </c>
      <c r="E2363" t="s">
        <v>6</v>
      </c>
      <c r="F2363" t="s">
        <v>51</v>
      </c>
      <c r="G2363" t="s">
        <v>7</v>
      </c>
    </row>
    <row r="2364" spans="1:7" x14ac:dyDescent="0.3">
      <c r="A2364" t="s">
        <v>35</v>
      </c>
      <c r="B2364" s="1">
        <v>45869</v>
      </c>
      <c r="C2364">
        <v>546035</v>
      </c>
      <c r="D2364">
        <v>71969.907000000007</v>
      </c>
      <c r="E2364" t="s">
        <v>6</v>
      </c>
      <c r="F2364" t="s">
        <v>51</v>
      </c>
      <c r="G2364" t="s">
        <v>7</v>
      </c>
    </row>
    <row r="2365" spans="1:7" x14ac:dyDescent="0.3">
      <c r="A2365" t="s">
        <v>35</v>
      </c>
      <c r="B2365" s="1">
        <v>45869</v>
      </c>
      <c r="C2365">
        <v>546045</v>
      </c>
      <c r="D2365">
        <v>19150.115000000002</v>
      </c>
      <c r="E2365" t="s">
        <v>6</v>
      </c>
      <c r="F2365" t="s">
        <v>51</v>
      </c>
      <c r="G2365" t="s">
        <v>7</v>
      </c>
    </row>
    <row r="2366" spans="1:7" x14ac:dyDescent="0.3">
      <c r="A2366" t="s">
        <v>35</v>
      </c>
      <c r="B2366" s="1">
        <v>45869</v>
      </c>
      <c r="C2366">
        <v>546047</v>
      </c>
      <c r="D2366">
        <v>4180.4179999999997</v>
      </c>
      <c r="E2366" t="s">
        <v>6</v>
      </c>
      <c r="F2366" t="s">
        <v>51</v>
      </c>
      <c r="G2366" t="s">
        <v>7</v>
      </c>
    </row>
    <row r="2367" spans="1:7" x14ac:dyDescent="0.3">
      <c r="A2367" t="s">
        <v>35</v>
      </c>
      <c r="B2367" s="1">
        <v>45869</v>
      </c>
      <c r="C2367">
        <v>547002</v>
      </c>
      <c r="D2367">
        <v>20533.583999999999</v>
      </c>
      <c r="E2367" t="s">
        <v>6</v>
      </c>
      <c r="F2367" t="s">
        <v>54</v>
      </c>
      <c r="G2367" t="s">
        <v>7</v>
      </c>
    </row>
    <row r="2368" spans="1:7" x14ac:dyDescent="0.3">
      <c r="A2368" t="s">
        <v>35</v>
      </c>
      <c r="B2368" s="1">
        <v>45869</v>
      </c>
      <c r="C2368">
        <v>547006</v>
      </c>
      <c r="D2368">
        <v>8890.9369999999999</v>
      </c>
      <c r="E2368" t="s">
        <v>6</v>
      </c>
      <c r="F2368" t="s">
        <v>54</v>
      </c>
      <c r="G2368" t="s">
        <v>7</v>
      </c>
    </row>
    <row r="2369" spans="1:7" x14ac:dyDescent="0.3">
      <c r="A2369" t="s">
        <v>35</v>
      </c>
      <c r="B2369" s="1">
        <v>45869</v>
      </c>
      <c r="C2369">
        <v>550003</v>
      </c>
      <c r="D2369">
        <v>2115597.3590000002</v>
      </c>
      <c r="E2369" t="s">
        <v>6</v>
      </c>
      <c r="F2369" t="s">
        <v>62</v>
      </c>
      <c r="G2369" t="s">
        <v>7</v>
      </c>
    </row>
    <row r="2370" spans="1:7" x14ac:dyDescent="0.3">
      <c r="A2370" t="s">
        <v>35</v>
      </c>
      <c r="B2370" s="1">
        <v>45869</v>
      </c>
      <c r="C2370">
        <v>551002</v>
      </c>
      <c r="D2370">
        <v>1480.4369999999999</v>
      </c>
      <c r="E2370" t="s">
        <v>6</v>
      </c>
      <c r="F2370" t="s">
        <v>63</v>
      </c>
      <c r="G2370" t="s">
        <v>7</v>
      </c>
    </row>
    <row r="2371" spans="1:7" x14ac:dyDescent="0.3">
      <c r="A2371" t="s">
        <v>35</v>
      </c>
      <c r="B2371" s="1">
        <v>45869</v>
      </c>
      <c r="C2371">
        <v>551003</v>
      </c>
      <c r="D2371">
        <v>30948.850999999999</v>
      </c>
      <c r="E2371" t="s">
        <v>6</v>
      </c>
      <c r="F2371" t="s">
        <v>63</v>
      </c>
      <c r="G2371" t="s">
        <v>7</v>
      </c>
    </row>
    <row r="2372" spans="1:7" x14ac:dyDescent="0.3">
      <c r="A2372" t="s">
        <v>35</v>
      </c>
      <c r="B2372" s="1">
        <v>45869</v>
      </c>
      <c r="C2372">
        <v>551008</v>
      </c>
      <c r="D2372">
        <v>68.418999999999997</v>
      </c>
      <c r="E2372" t="s">
        <v>6</v>
      </c>
      <c r="F2372" t="s">
        <v>63</v>
      </c>
      <c r="G2372" t="s">
        <v>7</v>
      </c>
    </row>
    <row r="2373" spans="1:7" x14ac:dyDescent="0.3">
      <c r="A2373" t="s">
        <v>35</v>
      </c>
      <c r="B2373" s="1">
        <v>45869</v>
      </c>
      <c r="C2373">
        <v>551011</v>
      </c>
      <c r="D2373">
        <v>181.53899999999999</v>
      </c>
      <c r="E2373" t="s">
        <v>6</v>
      </c>
      <c r="F2373" t="s">
        <v>61</v>
      </c>
      <c r="G2373" t="s">
        <v>7</v>
      </c>
    </row>
    <row r="2374" spans="1:7" x14ac:dyDescent="0.3">
      <c r="A2374" t="s">
        <v>35</v>
      </c>
      <c r="B2374" s="1">
        <v>45869</v>
      </c>
      <c r="C2374">
        <v>552002</v>
      </c>
      <c r="D2374">
        <v>738.95500000000004</v>
      </c>
      <c r="E2374" t="s">
        <v>6</v>
      </c>
      <c r="F2374" t="s">
        <v>55</v>
      </c>
      <c r="G2374" t="s">
        <v>7</v>
      </c>
    </row>
    <row r="2375" spans="1:7" x14ac:dyDescent="0.3">
      <c r="A2375" t="s">
        <v>35</v>
      </c>
      <c r="B2375" s="1">
        <v>45869</v>
      </c>
      <c r="C2375">
        <v>552502</v>
      </c>
      <c r="D2375">
        <v>10653.271000000001</v>
      </c>
      <c r="E2375" t="s">
        <v>6</v>
      </c>
      <c r="F2375" t="s">
        <v>55</v>
      </c>
      <c r="G2375" t="s">
        <v>7</v>
      </c>
    </row>
    <row r="2376" spans="1:7" x14ac:dyDescent="0.3">
      <c r="A2376" t="s">
        <v>35</v>
      </c>
      <c r="B2376" s="1">
        <v>45869</v>
      </c>
      <c r="C2376">
        <v>552504</v>
      </c>
      <c r="D2376">
        <v>517.13199999999995</v>
      </c>
      <c r="E2376" t="s">
        <v>6</v>
      </c>
      <c r="F2376" t="s">
        <v>55</v>
      </c>
      <c r="G2376" t="s">
        <v>7</v>
      </c>
    </row>
    <row r="2377" spans="1:7" x14ac:dyDescent="0.3">
      <c r="A2377" t="s">
        <v>35</v>
      </c>
      <c r="B2377" s="1">
        <v>45869</v>
      </c>
      <c r="C2377">
        <v>554003</v>
      </c>
      <c r="D2377">
        <v>1039.655</v>
      </c>
      <c r="E2377" t="s">
        <v>6</v>
      </c>
      <c r="F2377" t="s">
        <v>55</v>
      </c>
      <c r="G2377" t="s">
        <v>7</v>
      </c>
    </row>
    <row r="2378" spans="1:7" x14ac:dyDescent="0.3">
      <c r="A2378" t="s">
        <v>35</v>
      </c>
      <c r="B2378" s="1">
        <v>45869</v>
      </c>
      <c r="C2378">
        <v>554006</v>
      </c>
      <c r="D2378">
        <v>243.048</v>
      </c>
      <c r="E2378" t="s">
        <v>6</v>
      </c>
      <c r="F2378" t="s">
        <v>55</v>
      </c>
      <c r="G2378" t="s">
        <v>7</v>
      </c>
    </row>
    <row r="2379" spans="1:7" x14ac:dyDescent="0.3">
      <c r="A2379" t="s">
        <v>35</v>
      </c>
      <c r="B2379" s="1">
        <v>45869</v>
      </c>
      <c r="C2379">
        <v>555502</v>
      </c>
      <c r="D2379">
        <v>15595.282999999999</v>
      </c>
      <c r="E2379" t="s">
        <v>6</v>
      </c>
      <c r="F2379" t="s">
        <v>55</v>
      </c>
      <c r="G2379" t="s">
        <v>7</v>
      </c>
    </row>
    <row r="2380" spans="1:7" x14ac:dyDescent="0.3">
      <c r="A2380" t="s">
        <v>35</v>
      </c>
      <c r="B2380" s="1">
        <v>45869</v>
      </c>
      <c r="C2380">
        <v>555508</v>
      </c>
      <c r="D2380">
        <v>1408.568</v>
      </c>
      <c r="E2380" t="s">
        <v>6</v>
      </c>
      <c r="F2380" t="s">
        <v>55</v>
      </c>
      <c r="G2380" t="s">
        <v>7</v>
      </c>
    </row>
    <row r="2381" spans="1:7" x14ac:dyDescent="0.3">
      <c r="A2381" t="s">
        <v>35</v>
      </c>
      <c r="B2381" s="1">
        <v>45869</v>
      </c>
      <c r="C2381">
        <v>556002</v>
      </c>
      <c r="D2381">
        <v>2309.462</v>
      </c>
      <c r="E2381" t="s">
        <v>6</v>
      </c>
      <c r="F2381" t="s">
        <v>60</v>
      </c>
      <c r="G2381" t="s">
        <v>7</v>
      </c>
    </row>
    <row r="2382" spans="1:7" x14ac:dyDescent="0.3">
      <c r="A2382" t="s">
        <v>35</v>
      </c>
      <c r="B2382" s="1">
        <v>45869</v>
      </c>
      <c r="C2382">
        <v>557002</v>
      </c>
      <c r="D2382">
        <v>24666.238000000001</v>
      </c>
      <c r="E2382" t="s">
        <v>6</v>
      </c>
      <c r="F2382" t="s">
        <v>56</v>
      </c>
      <c r="G2382" t="s">
        <v>7</v>
      </c>
    </row>
    <row r="2383" spans="1:7" x14ac:dyDescent="0.3">
      <c r="A2383" t="s">
        <v>35</v>
      </c>
      <c r="B2383" s="1">
        <v>45869</v>
      </c>
      <c r="C2383">
        <v>557003</v>
      </c>
      <c r="D2383">
        <v>1673.636</v>
      </c>
      <c r="E2383" t="s">
        <v>6</v>
      </c>
      <c r="F2383" t="s">
        <v>56</v>
      </c>
      <c r="G2383" t="s">
        <v>7</v>
      </c>
    </row>
    <row r="2384" spans="1:7" x14ac:dyDescent="0.3">
      <c r="A2384" t="s">
        <v>35</v>
      </c>
      <c r="B2384" s="1">
        <v>45869</v>
      </c>
      <c r="C2384">
        <v>558003</v>
      </c>
      <c r="D2384">
        <v>30333.030999999999</v>
      </c>
      <c r="E2384" t="s">
        <v>6</v>
      </c>
      <c r="F2384" t="s">
        <v>57</v>
      </c>
      <c r="G2384" t="s">
        <v>7</v>
      </c>
    </row>
    <row r="2385" spans="1:7" x14ac:dyDescent="0.3">
      <c r="A2385" t="s">
        <v>35</v>
      </c>
      <c r="B2385" s="1">
        <v>45869</v>
      </c>
      <c r="C2385">
        <v>558006</v>
      </c>
      <c r="D2385">
        <v>20752.561000000002</v>
      </c>
      <c r="E2385" t="s">
        <v>6</v>
      </c>
      <c r="F2385" t="s">
        <v>57</v>
      </c>
      <c r="G2385" t="s">
        <v>7</v>
      </c>
    </row>
    <row r="2386" spans="1:7" x14ac:dyDescent="0.3">
      <c r="A2386" t="s">
        <v>35</v>
      </c>
      <c r="B2386" s="1">
        <v>45869</v>
      </c>
      <c r="C2386">
        <v>558007</v>
      </c>
      <c r="D2386">
        <v>33.877000000000002</v>
      </c>
      <c r="E2386" t="s">
        <v>6</v>
      </c>
      <c r="F2386" t="s">
        <v>60</v>
      </c>
      <c r="G2386" t="s">
        <v>7</v>
      </c>
    </row>
    <row r="2387" spans="1:7" x14ac:dyDescent="0.3">
      <c r="A2387" t="s">
        <v>35</v>
      </c>
      <c r="B2387" s="1">
        <v>45869</v>
      </c>
      <c r="C2387">
        <v>558011</v>
      </c>
      <c r="D2387">
        <v>3474.4690000000001</v>
      </c>
      <c r="E2387" t="s">
        <v>6</v>
      </c>
      <c r="F2387" t="s">
        <v>57</v>
      </c>
      <c r="G2387" t="s">
        <v>7</v>
      </c>
    </row>
    <row r="2388" spans="1:7" x14ac:dyDescent="0.3">
      <c r="A2388" t="s">
        <v>35</v>
      </c>
      <c r="B2388" s="1">
        <v>45869</v>
      </c>
      <c r="C2388">
        <v>558012</v>
      </c>
      <c r="D2388">
        <v>3512.991</v>
      </c>
      <c r="E2388" t="s">
        <v>6</v>
      </c>
      <c r="F2388" t="s">
        <v>60</v>
      </c>
      <c r="G2388" t="s">
        <v>7</v>
      </c>
    </row>
    <row r="2389" spans="1:7" x14ac:dyDescent="0.3">
      <c r="A2389" t="s">
        <v>35</v>
      </c>
      <c r="B2389" s="1">
        <v>45869</v>
      </c>
      <c r="C2389">
        <v>559002</v>
      </c>
      <c r="D2389">
        <v>27.387</v>
      </c>
      <c r="E2389" t="s">
        <v>6</v>
      </c>
      <c r="F2389" t="s">
        <v>60</v>
      </c>
      <c r="G2389" t="s">
        <v>7</v>
      </c>
    </row>
    <row r="2390" spans="1:7" x14ac:dyDescent="0.3">
      <c r="A2390" t="s">
        <v>35</v>
      </c>
      <c r="B2390" s="1">
        <v>45869</v>
      </c>
      <c r="C2390">
        <v>564004</v>
      </c>
      <c r="D2390">
        <v>147551.43100000001</v>
      </c>
      <c r="E2390" t="s">
        <v>6</v>
      </c>
      <c r="F2390" t="s">
        <v>51</v>
      </c>
      <c r="G2390" t="s">
        <v>7</v>
      </c>
    </row>
    <row r="2391" spans="1:7" x14ac:dyDescent="0.3">
      <c r="A2391" t="s">
        <v>35</v>
      </c>
      <c r="B2391" s="1">
        <v>45869</v>
      </c>
      <c r="C2391">
        <v>564006</v>
      </c>
      <c r="D2391">
        <v>-5.7000000000000002E-2</v>
      </c>
      <c r="E2391" t="s">
        <v>6</v>
      </c>
      <c r="F2391" t="s">
        <v>57</v>
      </c>
      <c r="G2391" t="s">
        <v>7</v>
      </c>
    </row>
    <row r="2392" spans="1:7" x14ac:dyDescent="0.3">
      <c r="A2392" t="s">
        <v>35</v>
      </c>
      <c r="B2392" s="1">
        <v>45869</v>
      </c>
      <c r="C2392">
        <v>564008</v>
      </c>
      <c r="D2392">
        <v>585.25099999999998</v>
      </c>
      <c r="E2392" t="s">
        <v>6</v>
      </c>
      <c r="F2392" t="s">
        <v>55</v>
      </c>
      <c r="G2392" t="s">
        <v>7</v>
      </c>
    </row>
    <row r="2393" spans="1:7" x14ac:dyDescent="0.3">
      <c r="A2393" t="s">
        <v>35</v>
      </c>
      <c r="B2393" s="1">
        <v>45869</v>
      </c>
      <c r="C2393">
        <v>564020</v>
      </c>
      <c r="D2393">
        <v>584.73400000000004</v>
      </c>
      <c r="E2393" t="s">
        <v>6</v>
      </c>
      <c r="F2393" t="s">
        <v>57</v>
      </c>
      <c r="G2393" t="s">
        <v>7</v>
      </c>
    </row>
    <row r="2394" spans="1:7" x14ac:dyDescent="0.3">
      <c r="A2394" t="s">
        <v>35</v>
      </c>
      <c r="B2394" s="1">
        <v>45869</v>
      </c>
      <c r="C2394">
        <v>564022</v>
      </c>
      <c r="D2394">
        <v>12233.768</v>
      </c>
      <c r="E2394" t="s">
        <v>6</v>
      </c>
      <c r="F2394" t="s">
        <v>67</v>
      </c>
      <c r="G2394" t="s">
        <v>7</v>
      </c>
    </row>
    <row r="2395" spans="1:7" x14ac:dyDescent="0.3">
      <c r="A2395" t="s">
        <v>35</v>
      </c>
      <c r="B2395" s="1">
        <v>45869</v>
      </c>
      <c r="C2395">
        <v>570002</v>
      </c>
      <c r="D2395">
        <v>1592.13</v>
      </c>
      <c r="E2395" t="s">
        <v>6</v>
      </c>
      <c r="F2395" t="s">
        <v>66</v>
      </c>
      <c r="G2395" t="s">
        <v>7</v>
      </c>
    </row>
    <row r="2396" spans="1:7" x14ac:dyDescent="0.3">
      <c r="A2396" t="s">
        <v>35</v>
      </c>
      <c r="B2396" s="1">
        <v>45869</v>
      </c>
      <c r="C2396">
        <v>580002</v>
      </c>
      <c r="D2396">
        <v>173804.75200000001</v>
      </c>
      <c r="E2396" t="s">
        <v>6</v>
      </c>
      <c r="F2396" t="s">
        <v>64</v>
      </c>
      <c r="G2396" t="s">
        <v>7</v>
      </c>
    </row>
    <row r="2397" spans="1:7" x14ac:dyDescent="0.3">
      <c r="A2397" t="s">
        <v>35</v>
      </c>
      <c r="B2397" s="1">
        <v>45869</v>
      </c>
      <c r="C2397">
        <v>580003</v>
      </c>
      <c r="D2397">
        <v>12393.227000000001</v>
      </c>
      <c r="E2397" t="s">
        <v>6</v>
      </c>
      <c r="F2397" t="s">
        <v>64</v>
      </c>
      <c r="G2397" t="s">
        <v>7</v>
      </c>
    </row>
    <row r="2398" spans="1:7" x14ac:dyDescent="0.3">
      <c r="A2398" t="s">
        <v>35</v>
      </c>
      <c r="B2398" s="1">
        <v>45869</v>
      </c>
      <c r="C2398">
        <v>580005</v>
      </c>
      <c r="D2398">
        <v>3677.0859999999998</v>
      </c>
      <c r="E2398" t="s">
        <v>6</v>
      </c>
      <c r="F2398" t="s">
        <v>64</v>
      </c>
      <c r="G2398" t="s">
        <v>7</v>
      </c>
    </row>
    <row r="2399" spans="1:7" x14ac:dyDescent="0.3">
      <c r="A2399" t="s">
        <v>36</v>
      </c>
      <c r="B2399" s="1">
        <v>45869</v>
      </c>
      <c r="C2399">
        <v>210002</v>
      </c>
      <c r="D2399">
        <v>-989375.63</v>
      </c>
      <c r="E2399" t="s">
        <v>4</v>
      </c>
      <c r="F2399" t="s">
        <v>42</v>
      </c>
      <c r="G2399" t="s">
        <v>7</v>
      </c>
    </row>
    <row r="2400" spans="1:7" x14ac:dyDescent="0.3">
      <c r="A2400" t="s">
        <v>36</v>
      </c>
      <c r="B2400" s="1">
        <v>45869</v>
      </c>
      <c r="C2400">
        <v>220006</v>
      </c>
      <c r="D2400">
        <v>1721212.2960000001</v>
      </c>
      <c r="E2400" t="s">
        <v>4</v>
      </c>
      <c r="F2400" t="s">
        <v>42</v>
      </c>
      <c r="G2400" t="s">
        <v>7</v>
      </c>
    </row>
    <row r="2401" spans="1:7" x14ac:dyDescent="0.3">
      <c r="A2401" t="s">
        <v>36</v>
      </c>
      <c r="B2401" s="1">
        <v>45869</v>
      </c>
      <c r="C2401">
        <v>300005</v>
      </c>
      <c r="D2401">
        <v>5457.9049999999997</v>
      </c>
      <c r="E2401" t="s">
        <v>4</v>
      </c>
      <c r="F2401" t="s">
        <v>65</v>
      </c>
      <c r="G2401" t="s">
        <v>7</v>
      </c>
    </row>
    <row r="2402" spans="1:7" x14ac:dyDescent="0.3">
      <c r="A2402" t="s">
        <v>36</v>
      </c>
      <c r="B2402" s="1">
        <v>45869</v>
      </c>
      <c r="C2402">
        <v>300008</v>
      </c>
      <c r="D2402">
        <v>11658.950999999999</v>
      </c>
      <c r="E2402" t="s">
        <v>4</v>
      </c>
      <c r="F2402" t="s">
        <v>65</v>
      </c>
      <c r="G2402" t="s">
        <v>7</v>
      </c>
    </row>
    <row r="2403" spans="1:7" x14ac:dyDescent="0.3">
      <c r="A2403" t="s">
        <v>36</v>
      </c>
      <c r="B2403" s="1">
        <v>45869</v>
      </c>
      <c r="C2403">
        <v>300505</v>
      </c>
      <c r="D2403">
        <v>-5457.9049999999997</v>
      </c>
      <c r="E2403" t="s">
        <v>4</v>
      </c>
      <c r="F2403" t="s">
        <v>65</v>
      </c>
      <c r="G2403" t="s">
        <v>7</v>
      </c>
    </row>
    <row r="2404" spans="1:7" x14ac:dyDescent="0.3">
      <c r="A2404" t="s">
        <v>36</v>
      </c>
      <c r="B2404" s="1">
        <v>45869</v>
      </c>
      <c r="C2404">
        <v>300508</v>
      </c>
      <c r="D2404">
        <v>-11658.950999999999</v>
      </c>
      <c r="E2404" t="s">
        <v>4</v>
      </c>
      <c r="F2404" t="s">
        <v>65</v>
      </c>
      <c r="G2404" t="s">
        <v>7</v>
      </c>
    </row>
    <row r="2405" spans="1:7" x14ac:dyDescent="0.3">
      <c r="A2405" t="s">
        <v>36</v>
      </c>
      <c r="B2405" s="1">
        <v>45869</v>
      </c>
      <c r="C2405">
        <v>301002</v>
      </c>
      <c r="D2405">
        <v>459065.19099999999</v>
      </c>
      <c r="E2405" t="s">
        <v>4</v>
      </c>
      <c r="F2405" t="s">
        <v>68</v>
      </c>
      <c r="G2405" t="s">
        <v>7</v>
      </c>
    </row>
    <row r="2406" spans="1:7" x14ac:dyDescent="0.3">
      <c r="A2406" t="s">
        <v>36</v>
      </c>
      <c r="B2406" s="1">
        <v>45869</v>
      </c>
      <c r="C2406">
        <v>301502</v>
      </c>
      <c r="D2406">
        <v>-382670.73599999998</v>
      </c>
      <c r="E2406" t="s">
        <v>4</v>
      </c>
      <c r="F2406" t="s">
        <v>68</v>
      </c>
      <c r="G2406" t="s">
        <v>7</v>
      </c>
    </row>
    <row r="2407" spans="1:7" x14ac:dyDescent="0.3">
      <c r="A2407" t="s">
        <v>36</v>
      </c>
      <c r="B2407" s="1">
        <v>45869</v>
      </c>
      <c r="C2407">
        <v>330123</v>
      </c>
      <c r="D2407">
        <v>-918687.61199999996</v>
      </c>
      <c r="E2407" t="s">
        <v>4</v>
      </c>
      <c r="F2407" t="s">
        <v>43</v>
      </c>
      <c r="G2407" t="s">
        <v>7</v>
      </c>
    </row>
    <row r="2408" spans="1:7" x14ac:dyDescent="0.3">
      <c r="A2408" t="s">
        <v>36</v>
      </c>
      <c r="B2408" s="1">
        <v>45869</v>
      </c>
      <c r="C2408">
        <v>340258</v>
      </c>
      <c r="D2408">
        <v>180.20400000000001</v>
      </c>
      <c r="E2408" t="s">
        <v>4</v>
      </c>
      <c r="F2408" t="s">
        <v>47</v>
      </c>
      <c r="G2408" t="s">
        <v>7</v>
      </c>
    </row>
    <row r="2409" spans="1:7" x14ac:dyDescent="0.3">
      <c r="A2409" t="s">
        <v>36</v>
      </c>
      <c r="B2409" s="1">
        <v>45869</v>
      </c>
      <c r="C2409">
        <v>364502</v>
      </c>
      <c r="D2409">
        <v>94921.83</v>
      </c>
      <c r="E2409" t="s">
        <v>4</v>
      </c>
      <c r="F2409" t="s">
        <v>58</v>
      </c>
      <c r="G2409" t="s">
        <v>7</v>
      </c>
    </row>
    <row r="2410" spans="1:7" x14ac:dyDescent="0.3">
      <c r="A2410" t="s">
        <v>36</v>
      </c>
      <c r="B2410" s="1">
        <v>45869</v>
      </c>
      <c r="C2410">
        <v>564006</v>
      </c>
      <c r="D2410">
        <v>5.2999999999999999E-2</v>
      </c>
      <c r="E2410" t="s">
        <v>6</v>
      </c>
      <c r="F2410" t="s">
        <v>57</v>
      </c>
      <c r="G2410" t="s">
        <v>7</v>
      </c>
    </row>
    <row r="2411" spans="1:7" x14ac:dyDescent="0.3">
      <c r="A2411" t="s">
        <v>36</v>
      </c>
      <c r="B2411" s="1">
        <v>45869</v>
      </c>
      <c r="C2411">
        <v>570003</v>
      </c>
      <c r="D2411">
        <v>15138.58</v>
      </c>
      <c r="E2411" t="s">
        <v>6</v>
      </c>
      <c r="F2411" t="s">
        <v>66</v>
      </c>
      <c r="G2411" t="s">
        <v>7</v>
      </c>
    </row>
    <row r="2412" spans="1:7" x14ac:dyDescent="0.3">
      <c r="A2412" t="s">
        <v>37</v>
      </c>
      <c r="B2412" s="1">
        <v>45869</v>
      </c>
      <c r="C2412">
        <v>210002</v>
      </c>
      <c r="D2412">
        <v>-95502.921000000002</v>
      </c>
      <c r="E2412" t="s">
        <v>4</v>
      </c>
      <c r="F2412" t="s">
        <v>42</v>
      </c>
      <c r="G2412" t="s">
        <v>7</v>
      </c>
    </row>
    <row r="2413" spans="1:7" x14ac:dyDescent="0.3">
      <c r="A2413" t="s">
        <v>37</v>
      </c>
      <c r="B2413" s="1">
        <v>45869</v>
      </c>
      <c r="C2413">
        <v>220006</v>
      </c>
      <c r="D2413">
        <v>-95630.606</v>
      </c>
      <c r="E2413" t="s">
        <v>4</v>
      </c>
      <c r="F2413" t="s">
        <v>42</v>
      </c>
      <c r="G2413" t="s">
        <v>7</v>
      </c>
    </row>
    <row r="2414" spans="1:7" x14ac:dyDescent="0.3">
      <c r="A2414" t="s">
        <v>37</v>
      </c>
      <c r="B2414" s="1">
        <v>45869</v>
      </c>
      <c r="C2414">
        <v>234003</v>
      </c>
      <c r="D2414">
        <v>-21388.46</v>
      </c>
      <c r="E2414" t="s">
        <v>4</v>
      </c>
      <c r="F2414" t="s">
        <v>43</v>
      </c>
      <c r="G2414" t="s">
        <v>7</v>
      </c>
    </row>
    <row r="2415" spans="1:7" x14ac:dyDescent="0.3">
      <c r="A2415" t="s">
        <v>37</v>
      </c>
      <c r="B2415" s="1">
        <v>45869</v>
      </c>
      <c r="C2415">
        <v>240002</v>
      </c>
      <c r="D2415">
        <v>-1716.643</v>
      </c>
      <c r="E2415" t="s">
        <v>4</v>
      </c>
      <c r="F2415" t="s">
        <v>43</v>
      </c>
      <c r="G2415" t="s">
        <v>7</v>
      </c>
    </row>
    <row r="2416" spans="1:7" x14ac:dyDescent="0.3">
      <c r="A2416" t="s">
        <v>37</v>
      </c>
      <c r="B2416" s="1">
        <v>45869</v>
      </c>
      <c r="C2416">
        <v>243002</v>
      </c>
      <c r="D2416">
        <v>-612.56700000000001</v>
      </c>
      <c r="E2416" t="s">
        <v>4</v>
      </c>
      <c r="F2416" t="s">
        <v>43</v>
      </c>
      <c r="G2416" t="s">
        <v>7</v>
      </c>
    </row>
    <row r="2417" spans="1:7" x14ac:dyDescent="0.3">
      <c r="A2417" t="s">
        <v>37</v>
      </c>
      <c r="B2417" s="1">
        <v>45869</v>
      </c>
      <c r="C2417">
        <v>243003</v>
      </c>
      <c r="D2417">
        <v>-39581.343000000001</v>
      </c>
      <c r="E2417" t="s">
        <v>4</v>
      </c>
      <c r="F2417" t="s">
        <v>43</v>
      </c>
      <c r="G2417" t="s">
        <v>7</v>
      </c>
    </row>
    <row r="2418" spans="1:7" x14ac:dyDescent="0.3">
      <c r="A2418" t="s">
        <v>37</v>
      </c>
      <c r="B2418" s="1">
        <v>45869</v>
      </c>
      <c r="C2418">
        <v>245010</v>
      </c>
      <c r="D2418">
        <v>-25685.001</v>
      </c>
      <c r="E2418" t="s">
        <v>4</v>
      </c>
      <c r="F2418" t="s">
        <v>44</v>
      </c>
      <c r="G2418" t="s">
        <v>7</v>
      </c>
    </row>
    <row r="2419" spans="1:7" x14ac:dyDescent="0.3">
      <c r="A2419" t="s">
        <v>37</v>
      </c>
      <c r="B2419" s="1">
        <v>45869</v>
      </c>
      <c r="C2419">
        <v>245044</v>
      </c>
      <c r="D2419">
        <v>-11234.298000000001</v>
      </c>
      <c r="E2419" t="s">
        <v>4</v>
      </c>
      <c r="F2419" t="s">
        <v>43</v>
      </c>
      <c r="G2419" t="s">
        <v>7</v>
      </c>
    </row>
    <row r="2420" spans="1:7" x14ac:dyDescent="0.3">
      <c r="A2420" t="s">
        <v>37</v>
      </c>
      <c r="B2420" s="1">
        <v>45869</v>
      </c>
      <c r="C2420">
        <v>251002</v>
      </c>
      <c r="D2420">
        <v>-9313.6329999999998</v>
      </c>
      <c r="E2420" t="s">
        <v>4</v>
      </c>
      <c r="F2420" t="s">
        <v>45</v>
      </c>
      <c r="G2420" t="s">
        <v>7</v>
      </c>
    </row>
    <row r="2421" spans="1:7" x14ac:dyDescent="0.3">
      <c r="A2421" t="s">
        <v>37</v>
      </c>
      <c r="B2421" s="1">
        <v>45869</v>
      </c>
      <c r="C2421">
        <v>257022</v>
      </c>
      <c r="D2421">
        <v>-4055.701</v>
      </c>
      <c r="E2421" t="s">
        <v>4</v>
      </c>
      <c r="F2421" t="s">
        <v>45</v>
      </c>
      <c r="G2421" t="s">
        <v>7</v>
      </c>
    </row>
    <row r="2422" spans="1:7" x14ac:dyDescent="0.3">
      <c r="A2422" t="s">
        <v>37</v>
      </c>
      <c r="B2422" s="1">
        <v>45869</v>
      </c>
      <c r="C2422">
        <v>257030</v>
      </c>
      <c r="D2422">
        <v>-6028.1229999999996</v>
      </c>
      <c r="E2422" t="s">
        <v>4</v>
      </c>
      <c r="F2422" t="s">
        <v>45</v>
      </c>
      <c r="G2422" t="s">
        <v>7</v>
      </c>
    </row>
    <row r="2423" spans="1:7" x14ac:dyDescent="0.3">
      <c r="A2423" t="s">
        <v>37</v>
      </c>
      <c r="B2423" s="1">
        <v>45869</v>
      </c>
      <c r="C2423">
        <v>270024</v>
      </c>
      <c r="D2423">
        <v>-21471.595000000001</v>
      </c>
      <c r="E2423" t="s">
        <v>4</v>
      </c>
      <c r="F2423" t="s">
        <v>58</v>
      </c>
      <c r="G2423" t="s">
        <v>7</v>
      </c>
    </row>
    <row r="2424" spans="1:7" x14ac:dyDescent="0.3">
      <c r="A2424" t="s">
        <v>37</v>
      </c>
      <c r="B2424" s="1">
        <v>45869</v>
      </c>
      <c r="C2424">
        <v>300012</v>
      </c>
      <c r="D2424">
        <v>6369.0460000000003</v>
      </c>
      <c r="E2424" t="s">
        <v>4</v>
      </c>
      <c r="F2424" t="s">
        <v>65</v>
      </c>
      <c r="G2424" t="s">
        <v>7</v>
      </c>
    </row>
    <row r="2425" spans="1:7" x14ac:dyDescent="0.3">
      <c r="A2425" t="s">
        <v>37</v>
      </c>
      <c r="B2425" s="1">
        <v>45869</v>
      </c>
      <c r="C2425">
        <v>300013</v>
      </c>
      <c r="D2425">
        <v>1622.2619999999999</v>
      </c>
      <c r="E2425" t="s">
        <v>4</v>
      </c>
      <c r="F2425" t="s">
        <v>65</v>
      </c>
      <c r="G2425" t="s">
        <v>7</v>
      </c>
    </row>
    <row r="2426" spans="1:7" x14ac:dyDescent="0.3">
      <c r="A2426" t="s">
        <v>37</v>
      </c>
      <c r="B2426" s="1">
        <v>45869</v>
      </c>
      <c r="C2426">
        <v>300512</v>
      </c>
      <c r="D2426">
        <v>-3795.7049999999999</v>
      </c>
      <c r="E2426" t="s">
        <v>4</v>
      </c>
      <c r="F2426" t="s">
        <v>65</v>
      </c>
      <c r="G2426" t="s">
        <v>7</v>
      </c>
    </row>
    <row r="2427" spans="1:7" x14ac:dyDescent="0.3">
      <c r="A2427" t="s">
        <v>37</v>
      </c>
      <c r="B2427" s="1">
        <v>45869</v>
      </c>
      <c r="C2427">
        <v>300513</v>
      </c>
      <c r="D2427">
        <v>-711.34199999999998</v>
      </c>
      <c r="E2427" t="s">
        <v>4</v>
      </c>
      <c r="F2427" t="s">
        <v>65</v>
      </c>
      <c r="G2427" t="s">
        <v>7</v>
      </c>
    </row>
    <row r="2428" spans="1:7" x14ac:dyDescent="0.3">
      <c r="A2428" t="s">
        <v>37</v>
      </c>
      <c r="B2428" s="1">
        <v>45869</v>
      </c>
      <c r="C2428">
        <v>304002</v>
      </c>
      <c r="D2428">
        <v>24838.216</v>
      </c>
      <c r="E2428" t="s">
        <v>4</v>
      </c>
      <c r="F2428" t="s">
        <v>65</v>
      </c>
      <c r="G2428" t="s">
        <v>7</v>
      </c>
    </row>
    <row r="2429" spans="1:7" x14ac:dyDescent="0.3">
      <c r="A2429" t="s">
        <v>37</v>
      </c>
      <c r="B2429" s="1">
        <v>45869</v>
      </c>
      <c r="C2429">
        <v>304502</v>
      </c>
      <c r="D2429">
        <v>-3449.7559999999999</v>
      </c>
      <c r="E2429" t="s">
        <v>4</v>
      </c>
      <c r="F2429" t="s">
        <v>65</v>
      </c>
      <c r="G2429" t="s">
        <v>7</v>
      </c>
    </row>
    <row r="2430" spans="1:7" x14ac:dyDescent="0.3">
      <c r="A2430" t="s">
        <v>37</v>
      </c>
      <c r="B2430" s="1">
        <v>45869</v>
      </c>
      <c r="C2430">
        <v>320002</v>
      </c>
      <c r="D2430">
        <v>10552.281000000001</v>
      </c>
      <c r="E2430" t="s">
        <v>4</v>
      </c>
      <c r="F2430" t="s">
        <v>46</v>
      </c>
      <c r="G2430" t="s">
        <v>7</v>
      </c>
    </row>
    <row r="2431" spans="1:7" x14ac:dyDescent="0.3">
      <c r="A2431" t="s">
        <v>37</v>
      </c>
      <c r="B2431" s="1">
        <v>45869</v>
      </c>
      <c r="C2431">
        <v>320003</v>
      </c>
      <c r="D2431">
        <v>95956.104999999996</v>
      </c>
      <c r="E2431" t="s">
        <v>4</v>
      </c>
      <c r="F2431" t="s">
        <v>46</v>
      </c>
      <c r="G2431" t="s">
        <v>7</v>
      </c>
    </row>
    <row r="2432" spans="1:7" x14ac:dyDescent="0.3">
      <c r="A2432" t="s">
        <v>37</v>
      </c>
      <c r="B2432" s="1">
        <v>45869</v>
      </c>
      <c r="C2432">
        <v>321002</v>
      </c>
      <c r="D2432">
        <v>10185.636</v>
      </c>
      <c r="E2432" t="s">
        <v>4</v>
      </c>
      <c r="F2432" t="s">
        <v>46</v>
      </c>
      <c r="G2432" t="s">
        <v>7</v>
      </c>
    </row>
    <row r="2433" spans="1:7" x14ac:dyDescent="0.3">
      <c r="A2433" t="s">
        <v>37</v>
      </c>
      <c r="B2433" s="1">
        <v>45869</v>
      </c>
      <c r="C2433">
        <v>321025</v>
      </c>
      <c r="D2433">
        <v>10297.632</v>
      </c>
      <c r="E2433" t="s">
        <v>4</v>
      </c>
      <c r="F2433" t="s">
        <v>46</v>
      </c>
      <c r="G2433" t="s">
        <v>7</v>
      </c>
    </row>
    <row r="2434" spans="1:7" x14ac:dyDescent="0.3">
      <c r="A2434" t="s">
        <v>37</v>
      </c>
      <c r="B2434" s="1">
        <v>45869</v>
      </c>
      <c r="C2434">
        <v>340008</v>
      </c>
      <c r="D2434">
        <v>136317.25099999999</v>
      </c>
      <c r="E2434" t="s">
        <v>4</v>
      </c>
      <c r="F2434" t="s">
        <v>47</v>
      </c>
      <c r="G2434" t="s">
        <v>7</v>
      </c>
    </row>
    <row r="2435" spans="1:7" x14ac:dyDescent="0.3">
      <c r="A2435" t="s">
        <v>37</v>
      </c>
      <c r="B2435" s="1">
        <v>45869</v>
      </c>
      <c r="C2435">
        <v>350002</v>
      </c>
      <c r="D2435">
        <v>5056.0940000000001</v>
      </c>
      <c r="E2435" t="s">
        <v>4</v>
      </c>
      <c r="F2435" t="s">
        <v>49</v>
      </c>
      <c r="G2435" t="s">
        <v>7</v>
      </c>
    </row>
    <row r="2436" spans="1:7" x14ac:dyDescent="0.3">
      <c r="A2436" t="s">
        <v>37</v>
      </c>
      <c r="B2436" s="1">
        <v>45869</v>
      </c>
      <c r="C2436">
        <v>350006</v>
      </c>
      <c r="D2436">
        <v>552.91200000000003</v>
      </c>
      <c r="E2436" t="s">
        <v>4</v>
      </c>
      <c r="F2436" t="s">
        <v>43</v>
      </c>
      <c r="G2436" t="s">
        <v>7</v>
      </c>
    </row>
    <row r="2437" spans="1:7" x14ac:dyDescent="0.3">
      <c r="A2437" t="s">
        <v>37</v>
      </c>
      <c r="B2437" s="1">
        <v>45869</v>
      </c>
      <c r="C2437">
        <v>352004</v>
      </c>
      <c r="D2437">
        <v>478.58600000000001</v>
      </c>
      <c r="E2437" t="s">
        <v>4</v>
      </c>
      <c r="F2437" t="s">
        <v>48</v>
      </c>
      <c r="G2437" t="s">
        <v>7</v>
      </c>
    </row>
    <row r="2438" spans="1:7" x14ac:dyDescent="0.3">
      <c r="A2438" t="s">
        <v>37</v>
      </c>
      <c r="B2438" s="1">
        <v>45869</v>
      </c>
      <c r="C2438">
        <v>354014</v>
      </c>
      <c r="D2438">
        <v>37529.915000000001</v>
      </c>
      <c r="E2438" t="s">
        <v>4</v>
      </c>
      <c r="F2438" t="s">
        <v>46</v>
      </c>
      <c r="G2438" t="s">
        <v>7</v>
      </c>
    </row>
    <row r="2439" spans="1:7" x14ac:dyDescent="0.3">
      <c r="A2439" t="s">
        <v>37</v>
      </c>
      <c r="B2439" s="1">
        <v>45869</v>
      </c>
      <c r="C2439">
        <v>355002</v>
      </c>
      <c r="D2439">
        <v>0</v>
      </c>
      <c r="E2439" t="s">
        <v>4</v>
      </c>
      <c r="F2439" t="s">
        <v>49</v>
      </c>
      <c r="G2439" t="s">
        <v>7</v>
      </c>
    </row>
    <row r="2440" spans="1:7" x14ac:dyDescent="0.3">
      <c r="A2440" t="s">
        <v>37</v>
      </c>
      <c r="B2440" s="1">
        <v>45869</v>
      </c>
      <c r="C2440">
        <v>360012</v>
      </c>
      <c r="D2440">
        <v>5522.89</v>
      </c>
      <c r="E2440" t="s">
        <v>4</v>
      </c>
      <c r="F2440" t="s">
        <v>58</v>
      </c>
      <c r="G2440" t="s">
        <v>7</v>
      </c>
    </row>
    <row r="2441" spans="1:7" x14ac:dyDescent="0.3">
      <c r="A2441" t="s">
        <v>37</v>
      </c>
      <c r="B2441" s="1">
        <v>45869</v>
      </c>
      <c r="C2441">
        <v>360019</v>
      </c>
      <c r="D2441">
        <v>3417.373</v>
      </c>
      <c r="E2441" t="s">
        <v>4</v>
      </c>
      <c r="F2441" t="s">
        <v>58</v>
      </c>
      <c r="G2441" t="s">
        <v>7</v>
      </c>
    </row>
    <row r="2442" spans="1:7" x14ac:dyDescent="0.3">
      <c r="A2442" t="s">
        <v>37</v>
      </c>
      <c r="B2442" s="1">
        <v>45869</v>
      </c>
      <c r="C2442">
        <v>360026</v>
      </c>
      <c r="D2442">
        <v>26469.704000000002</v>
      </c>
      <c r="E2442" t="s">
        <v>4</v>
      </c>
      <c r="F2442" t="s">
        <v>58</v>
      </c>
      <c r="G2442" t="s">
        <v>7</v>
      </c>
    </row>
    <row r="2443" spans="1:7" x14ac:dyDescent="0.3">
      <c r="A2443" t="s">
        <v>37</v>
      </c>
      <c r="B2443" s="1">
        <v>45869</v>
      </c>
      <c r="C2443">
        <v>364502</v>
      </c>
      <c r="D2443">
        <v>17311.223000000002</v>
      </c>
      <c r="E2443" t="s">
        <v>4</v>
      </c>
      <c r="F2443" t="s">
        <v>58</v>
      </c>
      <c r="G2443" t="s">
        <v>7</v>
      </c>
    </row>
    <row r="2444" spans="1:7" x14ac:dyDescent="0.3">
      <c r="A2444" t="s">
        <v>37</v>
      </c>
      <c r="B2444" s="1">
        <v>45869</v>
      </c>
      <c r="C2444">
        <v>400002</v>
      </c>
      <c r="D2444">
        <v>-14800.325000000001</v>
      </c>
      <c r="E2444" t="s">
        <v>6</v>
      </c>
      <c r="F2444" t="s">
        <v>50</v>
      </c>
      <c r="G2444" t="s">
        <v>7</v>
      </c>
    </row>
    <row r="2445" spans="1:7" x14ac:dyDescent="0.3">
      <c r="A2445" t="s">
        <v>37</v>
      </c>
      <c r="B2445" s="1">
        <v>45869</v>
      </c>
      <c r="C2445">
        <v>410002</v>
      </c>
      <c r="D2445">
        <v>-45823.203999999998</v>
      </c>
      <c r="E2445" t="s">
        <v>6</v>
      </c>
      <c r="F2445" t="s">
        <v>51</v>
      </c>
      <c r="G2445" t="s">
        <v>7</v>
      </c>
    </row>
    <row r="2446" spans="1:7" x14ac:dyDescent="0.3">
      <c r="A2446" t="s">
        <v>37</v>
      </c>
      <c r="B2446" s="1">
        <v>45869</v>
      </c>
      <c r="C2446">
        <v>410032</v>
      </c>
      <c r="D2446">
        <v>-14513.243</v>
      </c>
      <c r="E2446" t="s">
        <v>6</v>
      </c>
      <c r="F2446" t="s">
        <v>51</v>
      </c>
      <c r="G2446" t="s">
        <v>7</v>
      </c>
    </row>
    <row r="2447" spans="1:7" x14ac:dyDescent="0.3">
      <c r="A2447" t="s">
        <v>37</v>
      </c>
      <c r="B2447" s="1">
        <v>45869</v>
      </c>
      <c r="C2447">
        <v>415002</v>
      </c>
      <c r="D2447">
        <v>-258902.80100000001</v>
      </c>
      <c r="E2447" t="s">
        <v>6</v>
      </c>
      <c r="F2447" t="s">
        <v>50</v>
      </c>
      <c r="G2447" t="s">
        <v>7</v>
      </c>
    </row>
    <row r="2448" spans="1:7" x14ac:dyDescent="0.3">
      <c r="A2448" t="s">
        <v>37</v>
      </c>
      <c r="B2448" s="1">
        <v>45869</v>
      </c>
      <c r="C2448">
        <v>420002</v>
      </c>
      <c r="D2448">
        <v>-716.87900000000002</v>
      </c>
      <c r="E2448" t="s">
        <v>6</v>
      </c>
      <c r="F2448" t="s">
        <v>52</v>
      </c>
      <c r="G2448" t="s">
        <v>7</v>
      </c>
    </row>
    <row r="2449" spans="1:7" x14ac:dyDescent="0.3">
      <c r="A2449" t="s">
        <v>37</v>
      </c>
      <c r="B2449" s="1">
        <v>45869</v>
      </c>
      <c r="C2449">
        <v>421002</v>
      </c>
      <c r="D2449">
        <v>-1773.7349999999999</v>
      </c>
      <c r="E2449" t="s">
        <v>6</v>
      </c>
      <c r="F2449" t="s">
        <v>52</v>
      </c>
      <c r="G2449" t="s">
        <v>7</v>
      </c>
    </row>
    <row r="2450" spans="1:7" x14ac:dyDescent="0.3">
      <c r="A2450" t="s">
        <v>37</v>
      </c>
      <c r="B2450" s="1">
        <v>45869</v>
      </c>
      <c r="C2450">
        <v>510002</v>
      </c>
      <c r="D2450">
        <v>36803.597000000002</v>
      </c>
      <c r="E2450" t="s">
        <v>6</v>
      </c>
      <c r="F2450" t="s">
        <v>53</v>
      </c>
      <c r="G2450" t="s">
        <v>7</v>
      </c>
    </row>
    <row r="2451" spans="1:7" x14ac:dyDescent="0.3">
      <c r="A2451" t="s">
        <v>37</v>
      </c>
      <c r="B2451" s="1">
        <v>45869</v>
      </c>
      <c r="C2451">
        <v>510004</v>
      </c>
      <c r="D2451">
        <v>4221.6859999999997</v>
      </c>
      <c r="E2451" t="s">
        <v>6</v>
      </c>
      <c r="F2451" t="s">
        <v>53</v>
      </c>
      <c r="G2451" t="s">
        <v>7</v>
      </c>
    </row>
    <row r="2452" spans="1:7" x14ac:dyDescent="0.3">
      <c r="A2452" t="s">
        <v>37</v>
      </c>
      <c r="B2452" s="1">
        <v>45869</v>
      </c>
      <c r="C2452">
        <v>510005</v>
      </c>
      <c r="D2452">
        <v>8136.3490000000002</v>
      </c>
      <c r="E2452" t="s">
        <v>6</v>
      </c>
      <c r="F2452" t="s">
        <v>53</v>
      </c>
      <c r="G2452" t="s">
        <v>7</v>
      </c>
    </row>
    <row r="2453" spans="1:7" x14ac:dyDescent="0.3">
      <c r="A2453" t="s">
        <v>37</v>
      </c>
      <c r="B2453" s="1">
        <v>45869</v>
      </c>
      <c r="C2453">
        <v>510007</v>
      </c>
      <c r="D2453">
        <v>1986.7860000000001</v>
      </c>
      <c r="E2453" t="s">
        <v>6</v>
      </c>
      <c r="F2453" t="s">
        <v>53</v>
      </c>
      <c r="G2453" t="s">
        <v>7</v>
      </c>
    </row>
    <row r="2454" spans="1:7" x14ac:dyDescent="0.3">
      <c r="A2454" t="s">
        <v>37</v>
      </c>
      <c r="B2454" s="1">
        <v>45869</v>
      </c>
      <c r="C2454">
        <v>510015</v>
      </c>
      <c r="D2454">
        <v>14983.138000000001</v>
      </c>
      <c r="E2454" t="s">
        <v>6</v>
      </c>
      <c r="F2454" t="s">
        <v>53</v>
      </c>
      <c r="G2454" t="s">
        <v>7</v>
      </c>
    </row>
    <row r="2455" spans="1:7" x14ac:dyDescent="0.3">
      <c r="A2455" t="s">
        <v>37</v>
      </c>
      <c r="B2455" s="1">
        <v>45869</v>
      </c>
      <c r="C2455">
        <v>520021</v>
      </c>
      <c r="D2455">
        <v>50.49</v>
      </c>
      <c r="E2455" t="s">
        <v>6</v>
      </c>
      <c r="F2455" t="s">
        <v>60</v>
      </c>
      <c r="G2455" t="s">
        <v>7</v>
      </c>
    </row>
    <row r="2456" spans="1:7" x14ac:dyDescent="0.3">
      <c r="A2456" t="s">
        <v>37</v>
      </c>
      <c r="B2456" s="1">
        <v>45869</v>
      </c>
      <c r="C2456">
        <v>530012</v>
      </c>
      <c r="D2456">
        <v>10583.393</v>
      </c>
      <c r="E2456" t="s">
        <v>6</v>
      </c>
      <c r="F2456" t="s">
        <v>53</v>
      </c>
      <c r="G2456" t="s">
        <v>7</v>
      </c>
    </row>
    <row r="2457" spans="1:7" x14ac:dyDescent="0.3">
      <c r="A2457" t="s">
        <v>37</v>
      </c>
      <c r="B2457" s="1">
        <v>45869</v>
      </c>
      <c r="C2457">
        <v>540004</v>
      </c>
      <c r="D2457">
        <v>1.4999999999999999E-2</v>
      </c>
      <c r="E2457" t="s">
        <v>6</v>
      </c>
      <c r="F2457" t="s">
        <v>67</v>
      </c>
      <c r="G2457" t="s">
        <v>7</v>
      </c>
    </row>
    <row r="2458" spans="1:7" x14ac:dyDescent="0.3">
      <c r="A2458" t="s">
        <v>37</v>
      </c>
      <c r="B2458" s="1">
        <v>45869</v>
      </c>
      <c r="C2458">
        <v>541022</v>
      </c>
      <c r="D2458">
        <v>884.64800000000002</v>
      </c>
      <c r="E2458" t="s">
        <v>6</v>
      </c>
      <c r="F2458" t="s">
        <v>61</v>
      </c>
      <c r="G2458" t="s">
        <v>7</v>
      </c>
    </row>
    <row r="2459" spans="1:7" x14ac:dyDescent="0.3">
      <c r="A2459" t="s">
        <v>37</v>
      </c>
      <c r="B2459" s="1">
        <v>45869</v>
      </c>
      <c r="C2459">
        <v>544002</v>
      </c>
      <c r="D2459">
        <v>120.28100000000001</v>
      </c>
      <c r="E2459" t="s">
        <v>6</v>
      </c>
      <c r="F2459" t="s">
        <v>61</v>
      </c>
      <c r="G2459" t="s">
        <v>7</v>
      </c>
    </row>
    <row r="2460" spans="1:7" x14ac:dyDescent="0.3">
      <c r="A2460" t="s">
        <v>37</v>
      </c>
      <c r="B2460" s="1">
        <v>45869</v>
      </c>
      <c r="C2460">
        <v>547002</v>
      </c>
      <c r="D2460">
        <v>299.92399999999998</v>
      </c>
      <c r="E2460" t="s">
        <v>6</v>
      </c>
      <c r="F2460" t="s">
        <v>54</v>
      </c>
      <c r="G2460" t="s">
        <v>7</v>
      </c>
    </row>
    <row r="2461" spans="1:7" x14ac:dyDescent="0.3">
      <c r="A2461" t="s">
        <v>37</v>
      </c>
      <c r="B2461" s="1">
        <v>45869</v>
      </c>
      <c r="C2461">
        <v>550002</v>
      </c>
      <c r="D2461">
        <v>176464.815</v>
      </c>
      <c r="E2461" t="s">
        <v>6</v>
      </c>
      <c r="F2461" t="s">
        <v>62</v>
      </c>
      <c r="G2461" t="s">
        <v>7</v>
      </c>
    </row>
    <row r="2462" spans="1:7" x14ac:dyDescent="0.3">
      <c r="A2462" t="s">
        <v>37</v>
      </c>
      <c r="B2462" s="1">
        <v>45869</v>
      </c>
      <c r="C2462">
        <v>552502</v>
      </c>
      <c r="D2462">
        <v>2383.8389999999999</v>
      </c>
      <c r="E2462" t="s">
        <v>6</v>
      </c>
      <c r="F2462" t="s">
        <v>55</v>
      </c>
      <c r="G2462" t="s">
        <v>7</v>
      </c>
    </row>
    <row r="2463" spans="1:7" x14ac:dyDescent="0.3">
      <c r="A2463" t="s">
        <v>37</v>
      </c>
      <c r="B2463" s="1">
        <v>45869</v>
      </c>
      <c r="C2463">
        <v>555508</v>
      </c>
      <c r="D2463">
        <v>45.094000000000001</v>
      </c>
      <c r="E2463" t="s">
        <v>6</v>
      </c>
      <c r="F2463" t="s">
        <v>55</v>
      </c>
      <c r="G2463" t="s">
        <v>7</v>
      </c>
    </row>
    <row r="2464" spans="1:7" x14ac:dyDescent="0.3">
      <c r="A2464" t="s">
        <v>37</v>
      </c>
      <c r="B2464" s="1">
        <v>45869</v>
      </c>
      <c r="C2464">
        <v>556002</v>
      </c>
      <c r="D2464">
        <v>182.458</v>
      </c>
      <c r="E2464" t="s">
        <v>6</v>
      </c>
      <c r="F2464" t="s">
        <v>60</v>
      </c>
      <c r="G2464" t="s">
        <v>7</v>
      </c>
    </row>
    <row r="2465" spans="1:7" x14ac:dyDescent="0.3">
      <c r="A2465" t="s">
        <v>37</v>
      </c>
      <c r="B2465" s="1">
        <v>45869</v>
      </c>
      <c r="C2465">
        <v>557002</v>
      </c>
      <c r="D2465">
        <v>2143.547</v>
      </c>
      <c r="E2465" t="s">
        <v>6</v>
      </c>
      <c r="F2465" t="s">
        <v>56</v>
      </c>
      <c r="G2465" t="s">
        <v>7</v>
      </c>
    </row>
    <row r="2466" spans="1:7" x14ac:dyDescent="0.3">
      <c r="A2466" t="s">
        <v>37</v>
      </c>
      <c r="B2466" s="1">
        <v>45869</v>
      </c>
      <c r="C2466">
        <v>557003</v>
      </c>
      <c r="D2466">
        <v>1506.527</v>
      </c>
      <c r="E2466" t="s">
        <v>6</v>
      </c>
      <c r="F2466" t="s">
        <v>56</v>
      </c>
      <c r="G2466" t="s">
        <v>7</v>
      </c>
    </row>
    <row r="2467" spans="1:7" x14ac:dyDescent="0.3">
      <c r="A2467" t="s">
        <v>37</v>
      </c>
      <c r="B2467" s="1">
        <v>45869</v>
      </c>
      <c r="C2467">
        <v>558003</v>
      </c>
      <c r="D2467">
        <v>167.792</v>
      </c>
      <c r="E2467" t="s">
        <v>6</v>
      </c>
      <c r="F2467" t="s">
        <v>57</v>
      </c>
      <c r="G2467" t="s">
        <v>7</v>
      </c>
    </row>
    <row r="2468" spans="1:7" x14ac:dyDescent="0.3">
      <c r="A2468" t="s">
        <v>37</v>
      </c>
      <c r="B2468" s="1">
        <v>45869</v>
      </c>
      <c r="C2468">
        <v>558007</v>
      </c>
      <c r="D2468">
        <v>905.16099999999994</v>
      </c>
      <c r="E2468" t="s">
        <v>6</v>
      </c>
      <c r="F2468" t="s">
        <v>60</v>
      </c>
      <c r="G2468" t="s">
        <v>7</v>
      </c>
    </row>
    <row r="2469" spans="1:7" x14ac:dyDescent="0.3">
      <c r="A2469" t="s">
        <v>37</v>
      </c>
      <c r="B2469" s="1">
        <v>45869</v>
      </c>
      <c r="C2469">
        <v>564008</v>
      </c>
      <c r="D2469">
        <v>488.65</v>
      </c>
      <c r="E2469" t="s">
        <v>6</v>
      </c>
      <c r="F2469" t="s">
        <v>55</v>
      </c>
      <c r="G2469" t="s">
        <v>7</v>
      </c>
    </row>
    <row r="2470" spans="1:7" x14ac:dyDescent="0.3">
      <c r="A2470" t="s">
        <v>37</v>
      </c>
      <c r="B2470" s="1">
        <v>45869</v>
      </c>
      <c r="C2470">
        <v>564020</v>
      </c>
      <c r="D2470">
        <v>69.483000000000004</v>
      </c>
      <c r="E2470" t="s">
        <v>6</v>
      </c>
      <c r="F2470" t="s">
        <v>57</v>
      </c>
      <c r="G2470" t="s">
        <v>7</v>
      </c>
    </row>
    <row r="2471" spans="1:7" x14ac:dyDescent="0.3">
      <c r="A2471" t="s">
        <v>37</v>
      </c>
      <c r="B2471" s="1">
        <v>45869</v>
      </c>
      <c r="C2471">
        <v>570002</v>
      </c>
      <c r="D2471">
        <v>189.304</v>
      </c>
      <c r="E2471" t="s">
        <v>6</v>
      </c>
      <c r="F2471" t="s">
        <v>66</v>
      </c>
      <c r="G2471" t="s">
        <v>7</v>
      </c>
    </row>
    <row r="2472" spans="1:7" x14ac:dyDescent="0.3">
      <c r="A2472" t="s">
        <v>37</v>
      </c>
      <c r="B2472" s="1">
        <v>45869</v>
      </c>
      <c r="C2472">
        <v>580002</v>
      </c>
      <c r="D2472">
        <v>17404.593000000001</v>
      </c>
      <c r="E2472" t="s">
        <v>6</v>
      </c>
      <c r="F2472" t="s">
        <v>64</v>
      </c>
      <c r="G2472" t="s">
        <v>7</v>
      </c>
    </row>
    <row r="2473" spans="1:7" x14ac:dyDescent="0.3">
      <c r="A2473" t="s">
        <v>37</v>
      </c>
      <c r="B2473" s="1">
        <v>45869</v>
      </c>
      <c r="C2473">
        <v>580003</v>
      </c>
      <c r="D2473">
        <v>-2451.5320000000002</v>
      </c>
      <c r="E2473" t="s">
        <v>6</v>
      </c>
      <c r="F2473" t="s">
        <v>64</v>
      </c>
      <c r="G2473" t="s">
        <v>7</v>
      </c>
    </row>
    <row r="2474" spans="1:7" x14ac:dyDescent="0.3">
      <c r="A2474" t="s">
        <v>37</v>
      </c>
      <c r="B2474" s="1">
        <v>45869</v>
      </c>
      <c r="C2474">
        <v>510006</v>
      </c>
      <c r="D2474">
        <v>5932.6279999999997</v>
      </c>
      <c r="E2474" t="s">
        <v>6</v>
      </c>
      <c r="F2474" t="s">
        <v>53</v>
      </c>
      <c r="G2474" t="s">
        <v>7</v>
      </c>
    </row>
    <row r="2475" spans="1:7" x14ac:dyDescent="0.3">
      <c r="A2475" t="s">
        <v>37</v>
      </c>
      <c r="B2475" s="1">
        <v>45869</v>
      </c>
      <c r="C2475">
        <v>560008</v>
      </c>
      <c r="D2475">
        <v>0</v>
      </c>
      <c r="E2475" t="s">
        <v>6</v>
      </c>
      <c r="F2475" t="s">
        <v>56</v>
      </c>
      <c r="G2475" t="s">
        <v>7</v>
      </c>
    </row>
    <row r="2476" spans="1:7" x14ac:dyDescent="0.3">
      <c r="A2476" t="s">
        <v>32</v>
      </c>
      <c r="B2476" s="1">
        <v>45869</v>
      </c>
      <c r="C2476">
        <v>220007</v>
      </c>
      <c r="D2476">
        <v>-489.327</v>
      </c>
      <c r="E2476" t="s">
        <v>4</v>
      </c>
      <c r="F2476" t="s">
        <v>42</v>
      </c>
      <c r="G2476" t="s">
        <v>7</v>
      </c>
    </row>
    <row r="2477" spans="1:7" x14ac:dyDescent="0.3">
      <c r="A2477" t="s">
        <v>33</v>
      </c>
      <c r="B2477" s="1">
        <v>45869</v>
      </c>
      <c r="C2477">
        <v>220007</v>
      </c>
      <c r="D2477">
        <v>684.50099999999998</v>
      </c>
      <c r="E2477" t="s">
        <v>4</v>
      </c>
      <c r="F2477" t="s">
        <v>42</v>
      </c>
      <c r="G2477" t="s">
        <v>7</v>
      </c>
    </row>
    <row r="2478" spans="1:7" x14ac:dyDescent="0.3">
      <c r="A2478" t="s">
        <v>34</v>
      </c>
      <c r="B2478" s="1">
        <v>45869</v>
      </c>
      <c r="C2478">
        <v>220007</v>
      </c>
      <c r="D2478">
        <v>745.09699999999998</v>
      </c>
      <c r="E2478" t="s">
        <v>4</v>
      </c>
      <c r="F2478" t="s">
        <v>42</v>
      </c>
      <c r="G2478" t="s">
        <v>7</v>
      </c>
    </row>
    <row r="2479" spans="1:7" x14ac:dyDescent="0.3">
      <c r="A2479" t="s">
        <v>35</v>
      </c>
      <c r="B2479" s="1">
        <v>45869</v>
      </c>
      <c r="C2479">
        <v>220007</v>
      </c>
      <c r="D2479">
        <v>-7540.6220000000003</v>
      </c>
      <c r="E2479" t="s">
        <v>4</v>
      </c>
      <c r="F2479" t="s">
        <v>42</v>
      </c>
      <c r="G2479" t="s">
        <v>7</v>
      </c>
    </row>
    <row r="2480" spans="1:7" x14ac:dyDescent="0.3">
      <c r="A2480" t="s">
        <v>36</v>
      </c>
      <c r="B2480" s="1">
        <v>45869</v>
      </c>
      <c r="C2480">
        <v>220007</v>
      </c>
      <c r="D2480">
        <v>215.82400000000001</v>
      </c>
      <c r="E2480" t="s">
        <v>4</v>
      </c>
      <c r="F2480" t="s">
        <v>42</v>
      </c>
      <c r="G2480" t="s">
        <v>7</v>
      </c>
    </row>
    <row r="2481" spans="1:7" x14ac:dyDescent="0.3">
      <c r="A2481" t="s">
        <v>11</v>
      </c>
      <c r="B2481" s="1">
        <v>45869</v>
      </c>
      <c r="C2481">
        <v>220007</v>
      </c>
      <c r="D2481">
        <v>682.15</v>
      </c>
      <c r="E2481" t="s">
        <v>4</v>
      </c>
      <c r="F2481" t="s">
        <v>42</v>
      </c>
      <c r="G2481" t="s">
        <v>7</v>
      </c>
    </row>
    <row r="2482" spans="1:7" x14ac:dyDescent="0.3">
      <c r="A2482" t="s">
        <v>37</v>
      </c>
      <c r="B2482" s="1">
        <v>45869</v>
      </c>
      <c r="C2482">
        <v>220007</v>
      </c>
      <c r="D2482">
        <v>728.08799999999997</v>
      </c>
      <c r="E2482" t="s">
        <v>4</v>
      </c>
      <c r="F2482" t="s">
        <v>42</v>
      </c>
      <c r="G2482" t="s">
        <v>7</v>
      </c>
    </row>
    <row r="2483" spans="1:7" x14ac:dyDescent="0.3">
      <c r="A2483" t="s">
        <v>30</v>
      </c>
      <c r="B2483" s="1">
        <v>45869</v>
      </c>
      <c r="C2483">
        <v>220007</v>
      </c>
      <c r="D2483">
        <v>-15.247999999999999</v>
      </c>
      <c r="E2483" t="s">
        <v>4</v>
      </c>
      <c r="F2483" t="s">
        <v>42</v>
      </c>
      <c r="G2483" t="s">
        <v>8</v>
      </c>
    </row>
    <row r="2484" spans="1:7" x14ac:dyDescent="0.3">
      <c r="A2484" t="s">
        <v>31</v>
      </c>
      <c r="B2484" s="1">
        <v>45869</v>
      </c>
      <c r="C2484">
        <v>220007</v>
      </c>
      <c r="D2484">
        <v>-8.9659999999999993</v>
      </c>
      <c r="E2484" t="s">
        <v>4</v>
      </c>
      <c r="F2484" t="s">
        <v>42</v>
      </c>
      <c r="G2484" t="s">
        <v>8</v>
      </c>
    </row>
    <row r="2485" spans="1:7" x14ac:dyDescent="0.3">
      <c r="A2485" t="s">
        <v>14</v>
      </c>
      <c r="B2485" s="1">
        <v>45869</v>
      </c>
      <c r="C2485">
        <v>220007</v>
      </c>
      <c r="D2485">
        <v>735.00699999999995</v>
      </c>
      <c r="E2485" t="s">
        <v>4</v>
      </c>
      <c r="F2485" t="s">
        <v>42</v>
      </c>
      <c r="G2485" t="s">
        <v>8</v>
      </c>
    </row>
    <row r="2486" spans="1:7" x14ac:dyDescent="0.3">
      <c r="A2486" t="s">
        <v>38</v>
      </c>
      <c r="B2486" s="1">
        <v>45869</v>
      </c>
      <c r="C2486">
        <v>220007</v>
      </c>
      <c r="D2486">
        <v>0</v>
      </c>
      <c r="E2486" t="s">
        <v>4</v>
      </c>
      <c r="F2486" t="s">
        <v>42</v>
      </c>
      <c r="G2486" t="s">
        <v>8</v>
      </c>
    </row>
    <row r="2487" spans="1:7" x14ac:dyDescent="0.3">
      <c r="A2487" t="s">
        <v>22</v>
      </c>
      <c r="B2487" s="1">
        <v>45869</v>
      </c>
      <c r="C2487">
        <v>220007</v>
      </c>
      <c r="D2487">
        <v>-51.356000000000002</v>
      </c>
      <c r="E2487" t="s">
        <v>4</v>
      </c>
      <c r="F2487" t="s">
        <v>42</v>
      </c>
      <c r="G2487" t="s">
        <v>8</v>
      </c>
    </row>
    <row r="2488" spans="1:7" x14ac:dyDescent="0.3">
      <c r="A2488" t="s">
        <v>13</v>
      </c>
      <c r="B2488" s="1">
        <v>45869</v>
      </c>
      <c r="C2488">
        <v>220007</v>
      </c>
      <c r="D2488">
        <v>573.12900000000002</v>
      </c>
      <c r="E2488" t="s">
        <v>4</v>
      </c>
      <c r="F2488" t="s">
        <v>42</v>
      </c>
      <c r="G2488" t="s">
        <v>8</v>
      </c>
    </row>
    <row r="2489" spans="1:7" x14ac:dyDescent="0.3">
      <c r="A2489" t="s">
        <v>28</v>
      </c>
      <c r="B2489" s="1">
        <v>45869</v>
      </c>
      <c r="C2489">
        <v>421005</v>
      </c>
      <c r="D2489">
        <v>-0.36799999999999999</v>
      </c>
      <c r="E2489" t="s">
        <v>6</v>
      </c>
      <c r="F2489" t="s">
        <v>52</v>
      </c>
      <c r="G2489" t="s">
        <v>8</v>
      </c>
    </row>
    <row r="2490" spans="1:7" x14ac:dyDescent="0.3">
      <c r="A2490" t="s">
        <v>29</v>
      </c>
      <c r="B2490" s="1">
        <v>45869</v>
      </c>
      <c r="C2490">
        <v>421005</v>
      </c>
      <c r="D2490">
        <v>-90.48</v>
      </c>
      <c r="E2490" t="s">
        <v>6</v>
      </c>
      <c r="F2490" t="s">
        <v>52</v>
      </c>
      <c r="G2490" t="s">
        <v>8</v>
      </c>
    </row>
    <row r="2491" spans="1:7" x14ac:dyDescent="0.3">
      <c r="A2491" t="s">
        <v>24</v>
      </c>
      <c r="B2491" s="1">
        <v>45869</v>
      </c>
      <c r="C2491">
        <v>421005</v>
      </c>
      <c r="D2491">
        <v>-12.58</v>
      </c>
      <c r="E2491" t="s">
        <v>6</v>
      </c>
      <c r="F2491" t="s">
        <v>52</v>
      </c>
      <c r="G2491" t="s">
        <v>8</v>
      </c>
    </row>
    <row r="2492" spans="1:7" x14ac:dyDescent="0.3">
      <c r="A2492" t="s">
        <v>15</v>
      </c>
      <c r="B2492" s="1">
        <v>45869</v>
      </c>
      <c r="C2492">
        <v>220007</v>
      </c>
      <c r="D2492">
        <v>0</v>
      </c>
      <c r="E2492" t="s">
        <v>4</v>
      </c>
      <c r="F2492" t="s">
        <v>42</v>
      </c>
      <c r="G2492" t="s">
        <v>5</v>
      </c>
    </row>
    <row r="2493" spans="1:7" x14ac:dyDescent="0.3">
      <c r="A2493" t="s">
        <v>19</v>
      </c>
      <c r="B2493" s="1">
        <v>45869</v>
      </c>
      <c r="C2493">
        <v>220007</v>
      </c>
      <c r="D2493">
        <v>131.15299999999999</v>
      </c>
      <c r="E2493" t="s">
        <v>4</v>
      </c>
      <c r="F2493" t="s">
        <v>42</v>
      </c>
      <c r="G2493" t="s">
        <v>5</v>
      </c>
    </row>
    <row r="2494" spans="1:7" x14ac:dyDescent="0.3">
      <c r="A2494" t="s">
        <v>10</v>
      </c>
      <c r="B2494" s="1">
        <v>45869</v>
      </c>
      <c r="C2494">
        <v>220007</v>
      </c>
      <c r="D2494">
        <v>122.514</v>
      </c>
      <c r="E2494" t="s">
        <v>4</v>
      </c>
      <c r="F2494" t="s">
        <v>42</v>
      </c>
      <c r="G2494" t="s">
        <v>5</v>
      </c>
    </row>
    <row r="2495" spans="1:7" x14ac:dyDescent="0.3">
      <c r="A2495" t="s">
        <v>18</v>
      </c>
      <c r="B2495" s="1">
        <v>45869</v>
      </c>
      <c r="C2495">
        <v>220007</v>
      </c>
      <c r="D2495">
        <v>12.760999999999999</v>
      </c>
      <c r="E2495" t="s">
        <v>4</v>
      </c>
      <c r="F2495" t="s">
        <v>42</v>
      </c>
      <c r="G2495" t="s">
        <v>5</v>
      </c>
    </row>
    <row r="2496" spans="1:7" x14ac:dyDescent="0.3">
      <c r="A2496" t="s">
        <v>26</v>
      </c>
      <c r="B2496" s="1">
        <v>45869</v>
      </c>
      <c r="C2496">
        <v>421005</v>
      </c>
      <c r="D2496">
        <v>372.16899999999998</v>
      </c>
      <c r="E2496" t="s">
        <v>6</v>
      </c>
      <c r="F2496" t="s">
        <v>52</v>
      </c>
      <c r="G2496" t="s">
        <v>5</v>
      </c>
    </row>
    <row r="2497" spans="1:7" x14ac:dyDescent="0.3">
      <c r="A2497" t="s">
        <v>20</v>
      </c>
      <c r="B2497" s="1">
        <v>45869</v>
      </c>
      <c r="C2497">
        <v>220007</v>
      </c>
      <c r="D2497">
        <v>-1.657</v>
      </c>
      <c r="E2497" t="s">
        <v>4</v>
      </c>
      <c r="F2497" t="s">
        <v>42</v>
      </c>
      <c r="G2497" t="s">
        <v>5</v>
      </c>
    </row>
    <row r="2498" spans="1:7" x14ac:dyDescent="0.3">
      <c r="A2498" t="s">
        <v>21</v>
      </c>
      <c r="B2498" s="1">
        <v>45869</v>
      </c>
      <c r="C2498">
        <v>220007</v>
      </c>
      <c r="D2498">
        <v>138.20400000000001</v>
      </c>
      <c r="E2498" t="s">
        <v>4</v>
      </c>
      <c r="F2498" t="s">
        <v>42</v>
      </c>
      <c r="G2498" t="s">
        <v>7</v>
      </c>
    </row>
    <row r="2499" spans="1:7" x14ac:dyDescent="0.3">
      <c r="A2499" t="s">
        <v>25</v>
      </c>
      <c r="B2499" s="1">
        <v>45869</v>
      </c>
      <c r="C2499">
        <v>421005</v>
      </c>
      <c r="D2499">
        <v>-1.546</v>
      </c>
      <c r="E2499" t="s">
        <v>6</v>
      </c>
      <c r="F2499" t="s">
        <v>52</v>
      </c>
      <c r="G2499" t="s">
        <v>5</v>
      </c>
    </row>
    <row r="2500" spans="1:7" x14ac:dyDescent="0.3">
      <c r="A2500" t="s">
        <v>17</v>
      </c>
      <c r="B2500" s="1">
        <v>45869</v>
      </c>
      <c r="C2500">
        <v>220007</v>
      </c>
      <c r="D2500">
        <v>0</v>
      </c>
      <c r="E2500" t="s">
        <v>4</v>
      </c>
      <c r="F2500" t="s">
        <v>42</v>
      </c>
      <c r="G2500" t="s">
        <v>5</v>
      </c>
    </row>
    <row r="2501" spans="1:7" x14ac:dyDescent="0.3">
      <c r="A2501" t="s">
        <v>39</v>
      </c>
      <c r="B2501" s="1">
        <v>45869</v>
      </c>
      <c r="C2501">
        <v>421005</v>
      </c>
      <c r="D2501">
        <v>0</v>
      </c>
      <c r="E2501" t="s">
        <v>6</v>
      </c>
      <c r="F2501" t="s">
        <v>52</v>
      </c>
      <c r="G2501" t="s">
        <v>5</v>
      </c>
    </row>
    <row r="2502" spans="1:7" x14ac:dyDescent="0.3">
      <c r="A2502" t="s">
        <v>27</v>
      </c>
      <c r="B2502" s="1">
        <v>45869</v>
      </c>
      <c r="C2502">
        <v>220007</v>
      </c>
      <c r="D2502">
        <v>-2.79</v>
      </c>
      <c r="E2502" t="s">
        <v>4</v>
      </c>
      <c r="F2502" t="s">
        <v>42</v>
      </c>
      <c r="G2502" t="s">
        <v>8</v>
      </c>
    </row>
    <row r="2503" spans="1:7" x14ac:dyDescent="0.3">
      <c r="A2503" t="s">
        <v>12</v>
      </c>
      <c r="B2503" s="1">
        <v>45869</v>
      </c>
      <c r="C2503">
        <v>220007</v>
      </c>
      <c r="D2503">
        <v>15.475</v>
      </c>
      <c r="E2503" t="s">
        <v>4</v>
      </c>
      <c r="F2503" t="s">
        <v>42</v>
      </c>
      <c r="G2503" t="s">
        <v>8</v>
      </c>
    </row>
    <row r="2504" spans="1:7" x14ac:dyDescent="0.3">
      <c r="A2504" t="s">
        <v>23</v>
      </c>
      <c r="B2504" s="1">
        <v>45869</v>
      </c>
      <c r="C2504">
        <v>220007</v>
      </c>
      <c r="D2504">
        <v>31.274999999999999</v>
      </c>
      <c r="E2504" t="s">
        <v>4</v>
      </c>
      <c r="F2504" t="s">
        <v>42</v>
      </c>
      <c r="G2504" t="s">
        <v>5</v>
      </c>
    </row>
  </sheetData>
  <autoFilter ref="B1:G2504" xr:uid="{996383CA-3095-4316-853E-7CCF94EF8E18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3944-0FEF-4751-ADF7-D307D1CBADD5}">
  <dimension ref="A1:G2523"/>
  <sheetViews>
    <sheetView topLeftCell="A2245" workbookViewId="0">
      <selection activeCell="C1" sqref="C1"/>
    </sheetView>
  </sheetViews>
  <sheetFormatPr defaultRowHeight="14.4" x14ac:dyDescent="0.3"/>
  <cols>
    <col min="1" max="1" width="20.77734375" bestFit="1" customWidth="1"/>
    <col min="2" max="2" width="8.33203125" style="1" bestFit="1" customWidth="1"/>
    <col min="3" max="3" width="10.109375" bestFit="1" customWidth="1"/>
    <col min="4" max="4" width="12.6640625" customWidth="1"/>
    <col min="5" max="5" width="10.88671875" bestFit="1" customWidth="1"/>
    <col min="6" max="6" width="52.21875" bestFit="1" customWidth="1"/>
    <col min="7" max="7" width="8.77734375" bestFit="1" customWidth="1"/>
  </cols>
  <sheetData>
    <row r="1" spans="1:7" x14ac:dyDescent="0.3">
      <c r="A1" s="6" t="s">
        <v>9</v>
      </c>
      <c r="B1" s="4" t="s">
        <v>0</v>
      </c>
      <c r="C1" s="5" t="s">
        <v>1</v>
      </c>
      <c r="D1" s="5" t="s">
        <v>40</v>
      </c>
      <c r="E1" s="5" t="s">
        <v>2</v>
      </c>
      <c r="F1" s="5" t="s">
        <v>41</v>
      </c>
      <c r="G1" s="5" t="s">
        <v>3</v>
      </c>
    </row>
    <row r="2" spans="1:7" x14ac:dyDescent="0.3">
      <c r="A2" t="s">
        <v>10</v>
      </c>
      <c r="B2" s="1">
        <v>45900</v>
      </c>
      <c r="C2">
        <v>220006</v>
      </c>
      <c r="D2">
        <v>72714.053</v>
      </c>
      <c r="E2" t="s">
        <v>4</v>
      </c>
      <c r="F2" t="s">
        <v>42</v>
      </c>
      <c r="G2" t="s">
        <v>5</v>
      </c>
    </row>
    <row r="3" spans="1:7" x14ac:dyDescent="0.3">
      <c r="A3" t="s">
        <v>10</v>
      </c>
      <c r="B3" s="1">
        <v>45900</v>
      </c>
      <c r="C3">
        <v>240002</v>
      </c>
      <c r="D3">
        <v>-0.65100000000000002</v>
      </c>
      <c r="E3" t="s">
        <v>4</v>
      </c>
      <c r="F3" t="s">
        <v>43</v>
      </c>
      <c r="G3" t="s">
        <v>5</v>
      </c>
    </row>
    <row r="4" spans="1:7" x14ac:dyDescent="0.3">
      <c r="A4" t="s">
        <v>10</v>
      </c>
      <c r="B4" s="1">
        <v>45900</v>
      </c>
      <c r="C4">
        <v>242003</v>
      </c>
      <c r="D4">
        <v>-11917.295</v>
      </c>
      <c r="E4" t="s">
        <v>4</v>
      </c>
      <c r="F4" t="s">
        <v>43</v>
      </c>
      <c r="G4" t="s">
        <v>5</v>
      </c>
    </row>
    <row r="5" spans="1:7" x14ac:dyDescent="0.3">
      <c r="A5" t="s">
        <v>10</v>
      </c>
      <c r="B5" s="1">
        <v>45900</v>
      </c>
      <c r="C5">
        <v>242041</v>
      </c>
      <c r="D5">
        <v>-101.83</v>
      </c>
      <c r="E5" t="s">
        <v>4</v>
      </c>
      <c r="F5" t="s">
        <v>43</v>
      </c>
      <c r="G5" t="s">
        <v>5</v>
      </c>
    </row>
    <row r="6" spans="1:7" x14ac:dyDescent="0.3">
      <c r="A6" t="s">
        <v>10</v>
      </c>
      <c r="B6" s="1">
        <v>45900</v>
      </c>
      <c r="C6">
        <v>243002</v>
      </c>
      <c r="D6">
        <v>-1815.415</v>
      </c>
      <c r="E6" t="s">
        <v>4</v>
      </c>
      <c r="F6" t="s">
        <v>43</v>
      </c>
      <c r="G6" t="s">
        <v>5</v>
      </c>
    </row>
    <row r="7" spans="1:7" x14ac:dyDescent="0.3">
      <c r="A7" t="s">
        <v>10</v>
      </c>
      <c r="B7" s="1">
        <v>45900</v>
      </c>
      <c r="C7">
        <v>245010</v>
      </c>
      <c r="D7">
        <v>-370.39699999999999</v>
      </c>
      <c r="E7" t="s">
        <v>4</v>
      </c>
      <c r="F7" t="s">
        <v>44</v>
      </c>
      <c r="G7" t="s">
        <v>5</v>
      </c>
    </row>
    <row r="8" spans="1:7" x14ac:dyDescent="0.3">
      <c r="A8" t="s">
        <v>10</v>
      </c>
      <c r="B8" s="1">
        <v>45900</v>
      </c>
      <c r="C8">
        <v>245062</v>
      </c>
      <c r="D8">
        <v>-619.43299999999999</v>
      </c>
      <c r="E8" t="s">
        <v>4</v>
      </c>
      <c r="F8" t="s">
        <v>43</v>
      </c>
      <c r="G8" t="s">
        <v>5</v>
      </c>
    </row>
    <row r="9" spans="1:7" x14ac:dyDescent="0.3">
      <c r="A9" t="s">
        <v>10</v>
      </c>
      <c r="B9" s="1">
        <v>45900</v>
      </c>
      <c r="C9">
        <v>257010</v>
      </c>
      <c r="D9">
        <v>-1314.4349999999999</v>
      </c>
      <c r="E9" t="s">
        <v>4</v>
      </c>
      <c r="F9" t="s">
        <v>45</v>
      </c>
      <c r="G9" t="s">
        <v>5</v>
      </c>
    </row>
    <row r="10" spans="1:7" x14ac:dyDescent="0.3">
      <c r="A10" t="s">
        <v>10</v>
      </c>
      <c r="B10" s="1">
        <v>45900</v>
      </c>
      <c r="C10">
        <v>257030</v>
      </c>
      <c r="D10">
        <v>-1949.6289999999999</v>
      </c>
      <c r="E10" t="s">
        <v>4</v>
      </c>
      <c r="F10" t="s">
        <v>45</v>
      </c>
      <c r="G10" t="s">
        <v>5</v>
      </c>
    </row>
    <row r="11" spans="1:7" x14ac:dyDescent="0.3">
      <c r="A11" t="s">
        <v>10</v>
      </c>
      <c r="B11" s="1">
        <v>45900</v>
      </c>
      <c r="C11">
        <v>260004</v>
      </c>
      <c r="D11">
        <v>-623.97799999999995</v>
      </c>
      <c r="E11" t="s">
        <v>4</v>
      </c>
      <c r="F11" t="s">
        <v>45</v>
      </c>
      <c r="G11" t="s">
        <v>5</v>
      </c>
    </row>
    <row r="12" spans="1:7" x14ac:dyDescent="0.3">
      <c r="A12" t="s">
        <v>10</v>
      </c>
      <c r="B12" s="1">
        <v>45900</v>
      </c>
      <c r="C12">
        <v>320002</v>
      </c>
      <c r="D12">
        <v>388.70499999999998</v>
      </c>
      <c r="E12" t="s">
        <v>4</v>
      </c>
      <c r="F12" t="s">
        <v>46</v>
      </c>
      <c r="G12" t="s">
        <v>5</v>
      </c>
    </row>
    <row r="13" spans="1:7" x14ac:dyDescent="0.3">
      <c r="A13" t="s">
        <v>10</v>
      </c>
      <c r="B13" s="1">
        <v>45900</v>
      </c>
      <c r="C13">
        <v>320003</v>
      </c>
      <c r="D13">
        <v>8382.5020000000004</v>
      </c>
      <c r="E13" t="s">
        <v>4</v>
      </c>
      <c r="F13" t="s">
        <v>46</v>
      </c>
      <c r="G13" t="s">
        <v>5</v>
      </c>
    </row>
    <row r="14" spans="1:7" x14ac:dyDescent="0.3">
      <c r="A14" t="s">
        <v>10</v>
      </c>
      <c r="B14" s="1">
        <v>45900</v>
      </c>
      <c r="C14">
        <v>320004</v>
      </c>
      <c r="D14">
        <v>177.91200000000001</v>
      </c>
      <c r="E14" t="s">
        <v>4</v>
      </c>
      <c r="F14" t="s">
        <v>46</v>
      </c>
      <c r="G14" t="s">
        <v>5</v>
      </c>
    </row>
    <row r="15" spans="1:7" x14ac:dyDescent="0.3">
      <c r="A15" t="s">
        <v>10</v>
      </c>
      <c r="B15" s="1">
        <v>45900</v>
      </c>
      <c r="C15">
        <v>320006</v>
      </c>
      <c r="D15">
        <v>317.91300000000001</v>
      </c>
      <c r="E15" t="s">
        <v>4</v>
      </c>
      <c r="F15" t="s">
        <v>46</v>
      </c>
      <c r="G15" t="s">
        <v>5</v>
      </c>
    </row>
    <row r="16" spans="1:7" x14ac:dyDescent="0.3">
      <c r="A16" t="s">
        <v>10</v>
      </c>
      <c r="B16" s="1">
        <v>45900</v>
      </c>
      <c r="C16">
        <v>320023</v>
      </c>
      <c r="D16">
        <v>-380.113</v>
      </c>
      <c r="E16" t="s">
        <v>4</v>
      </c>
      <c r="F16" t="s">
        <v>46</v>
      </c>
      <c r="G16" t="s">
        <v>5</v>
      </c>
    </row>
    <row r="17" spans="1:7" x14ac:dyDescent="0.3">
      <c r="A17" t="s">
        <v>10</v>
      </c>
      <c r="B17" s="1">
        <v>45900</v>
      </c>
      <c r="C17">
        <v>321002</v>
      </c>
      <c r="D17">
        <v>6131.4570000000003</v>
      </c>
      <c r="E17" t="s">
        <v>4</v>
      </c>
      <c r="F17" t="s">
        <v>46</v>
      </c>
      <c r="G17" t="s">
        <v>5</v>
      </c>
    </row>
    <row r="18" spans="1:7" x14ac:dyDescent="0.3">
      <c r="A18" t="s">
        <v>10</v>
      </c>
      <c r="B18" s="1">
        <v>45900</v>
      </c>
      <c r="C18">
        <v>321010</v>
      </c>
      <c r="D18">
        <v>-5821.7219999999998</v>
      </c>
      <c r="E18" t="s">
        <v>4</v>
      </c>
      <c r="F18" t="s">
        <v>46</v>
      </c>
      <c r="G18" t="s">
        <v>5</v>
      </c>
    </row>
    <row r="19" spans="1:7" x14ac:dyDescent="0.3">
      <c r="A19" t="s">
        <v>10</v>
      </c>
      <c r="B19" s="1">
        <v>45900</v>
      </c>
      <c r="C19">
        <v>321042</v>
      </c>
      <c r="D19">
        <v>-2012.288</v>
      </c>
      <c r="E19" t="s">
        <v>4</v>
      </c>
      <c r="F19" t="s">
        <v>46</v>
      </c>
      <c r="G19" t="s">
        <v>5</v>
      </c>
    </row>
    <row r="20" spans="1:7" x14ac:dyDescent="0.3">
      <c r="A20" t="s">
        <v>10</v>
      </c>
      <c r="B20" s="1">
        <v>45900</v>
      </c>
      <c r="C20">
        <v>321045</v>
      </c>
      <c r="D20">
        <v>33499.139000000003</v>
      </c>
      <c r="E20" t="s">
        <v>4</v>
      </c>
      <c r="F20" t="s">
        <v>46</v>
      </c>
      <c r="G20" t="s">
        <v>5</v>
      </c>
    </row>
    <row r="21" spans="1:7" x14ac:dyDescent="0.3">
      <c r="A21" t="s">
        <v>10</v>
      </c>
      <c r="B21" s="1">
        <v>45900</v>
      </c>
      <c r="C21">
        <v>330049</v>
      </c>
      <c r="D21">
        <v>-167851.67499999999</v>
      </c>
      <c r="E21" t="s">
        <v>4</v>
      </c>
      <c r="F21" t="s">
        <v>43</v>
      </c>
      <c r="G21" t="s">
        <v>5</v>
      </c>
    </row>
    <row r="22" spans="1:7" x14ac:dyDescent="0.3">
      <c r="A22" t="s">
        <v>10</v>
      </c>
      <c r="B22" s="1">
        <v>45900</v>
      </c>
      <c r="C22">
        <v>330055</v>
      </c>
      <c r="D22">
        <v>133.86500000000001</v>
      </c>
      <c r="E22" t="s">
        <v>4</v>
      </c>
      <c r="F22" t="s">
        <v>43</v>
      </c>
      <c r="G22" t="s">
        <v>5</v>
      </c>
    </row>
    <row r="23" spans="1:7" x14ac:dyDescent="0.3">
      <c r="A23" t="s">
        <v>10</v>
      </c>
      <c r="B23" s="1">
        <v>45900</v>
      </c>
      <c r="C23">
        <v>340041</v>
      </c>
      <c r="D23">
        <v>45427.328000000001</v>
      </c>
      <c r="E23" t="s">
        <v>4</v>
      </c>
      <c r="F23" t="s">
        <v>47</v>
      </c>
      <c r="G23" t="s">
        <v>5</v>
      </c>
    </row>
    <row r="24" spans="1:7" x14ac:dyDescent="0.3">
      <c r="A24" t="s">
        <v>10</v>
      </c>
      <c r="B24" s="1">
        <v>45900</v>
      </c>
      <c r="C24">
        <v>352002</v>
      </c>
      <c r="D24">
        <v>17.673999999999999</v>
      </c>
      <c r="E24" t="s">
        <v>4</v>
      </c>
      <c r="F24" t="s">
        <v>48</v>
      </c>
      <c r="G24" t="s">
        <v>5</v>
      </c>
    </row>
    <row r="25" spans="1:7" x14ac:dyDescent="0.3">
      <c r="A25" t="s">
        <v>10</v>
      </c>
      <c r="B25" s="1">
        <v>45900</v>
      </c>
      <c r="C25">
        <v>354015</v>
      </c>
      <c r="D25">
        <v>3142.3449999999998</v>
      </c>
      <c r="E25" t="s">
        <v>4</v>
      </c>
      <c r="F25" t="s">
        <v>46</v>
      </c>
      <c r="G25" t="s">
        <v>5</v>
      </c>
    </row>
    <row r="26" spans="1:7" x14ac:dyDescent="0.3">
      <c r="A26" t="s">
        <v>10</v>
      </c>
      <c r="B26" s="1">
        <v>45900</v>
      </c>
      <c r="C26">
        <v>355002</v>
      </c>
      <c r="D26">
        <v>34.502000000000002</v>
      </c>
      <c r="E26" t="s">
        <v>4</v>
      </c>
      <c r="F26" t="s">
        <v>49</v>
      </c>
      <c r="G26" t="s">
        <v>5</v>
      </c>
    </row>
    <row r="27" spans="1:7" x14ac:dyDescent="0.3">
      <c r="A27" t="s">
        <v>10</v>
      </c>
      <c r="B27" s="1">
        <v>45900</v>
      </c>
      <c r="C27">
        <v>355013</v>
      </c>
      <c r="D27">
        <v>11218.93</v>
      </c>
      <c r="E27" t="s">
        <v>4</v>
      </c>
      <c r="F27" t="s">
        <v>49</v>
      </c>
      <c r="G27" t="s">
        <v>5</v>
      </c>
    </row>
    <row r="28" spans="1:7" x14ac:dyDescent="0.3">
      <c r="A28" t="s">
        <v>10</v>
      </c>
      <c r="B28" s="1">
        <v>45900</v>
      </c>
      <c r="C28">
        <v>372004</v>
      </c>
      <c r="D28">
        <v>7.9740000000000002</v>
      </c>
      <c r="E28" t="s">
        <v>4</v>
      </c>
      <c r="F28" t="s">
        <v>45</v>
      </c>
      <c r="G28" t="s">
        <v>5</v>
      </c>
    </row>
    <row r="29" spans="1:7" x14ac:dyDescent="0.3">
      <c r="A29" t="s">
        <v>10</v>
      </c>
      <c r="B29" s="1">
        <v>45900</v>
      </c>
      <c r="C29">
        <v>400002</v>
      </c>
      <c r="D29">
        <v>556.80899999999997</v>
      </c>
      <c r="E29" t="s">
        <v>6</v>
      </c>
      <c r="F29" t="s">
        <v>50</v>
      </c>
      <c r="G29" t="s">
        <v>5</v>
      </c>
    </row>
    <row r="30" spans="1:7" x14ac:dyDescent="0.3">
      <c r="A30" t="s">
        <v>10</v>
      </c>
      <c r="B30" s="1">
        <v>45900</v>
      </c>
      <c r="C30">
        <v>400004</v>
      </c>
      <c r="D30">
        <v>-15448.539000000001</v>
      </c>
      <c r="E30" t="s">
        <v>6</v>
      </c>
      <c r="F30" t="s">
        <v>50</v>
      </c>
      <c r="G30" t="s">
        <v>5</v>
      </c>
    </row>
    <row r="31" spans="1:7" x14ac:dyDescent="0.3">
      <c r="A31" t="s">
        <v>10</v>
      </c>
      <c r="B31" s="1">
        <v>45900</v>
      </c>
      <c r="C31">
        <v>410002</v>
      </c>
      <c r="D31">
        <v>-7051.5259999999998</v>
      </c>
      <c r="E31" t="s">
        <v>6</v>
      </c>
      <c r="F31" t="s">
        <v>51</v>
      </c>
      <c r="G31" t="s">
        <v>5</v>
      </c>
    </row>
    <row r="32" spans="1:7" x14ac:dyDescent="0.3">
      <c r="A32" t="s">
        <v>10</v>
      </c>
      <c r="B32" s="1">
        <v>45900</v>
      </c>
      <c r="C32">
        <v>410037</v>
      </c>
      <c r="D32">
        <v>-1374.453</v>
      </c>
      <c r="E32" t="s">
        <v>6</v>
      </c>
      <c r="F32" t="s">
        <v>51</v>
      </c>
      <c r="G32" t="s">
        <v>5</v>
      </c>
    </row>
    <row r="33" spans="1:7" x14ac:dyDescent="0.3">
      <c r="A33" t="s">
        <v>10</v>
      </c>
      <c r="B33" s="1">
        <v>45900</v>
      </c>
      <c r="C33">
        <v>410049</v>
      </c>
      <c r="D33">
        <v>-615.23699999999997</v>
      </c>
      <c r="E33" t="s">
        <v>6</v>
      </c>
      <c r="F33" t="s">
        <v>51</v>
      </c>
      <c r="G33" t="s">
        <v>5</v>
      </c>
    </row>
    <row r="34" spans="1:7" x14ac:dyDescent="0.3">
      <c r="A34" t="s">
        <v>10</v>
      </c>
      <c r="B34" s="1">
        <v>45900</v>
      </c>
      <c r="C34">
        <v>415002</v>
      </c>
      <c r="D34">
        <v>0.57299999999999995</v>
      </c>
      <c r="E34" t="s">
        <v>6</v>
      </c>
      <c r="F34" t="s">
        <v>50</v>
      </c>
      <c r="G34" t="s">
        <v>5</v>
      </c>
    </row>
    <row r="35" spans="1:7" x14ac:dyDescent="0.3">
      <c r="A35" t="s">
        <v>10</v>
      </c>
      <c r="B35" s="1">
        <v>45900</v>
      </c>
      <c r="C35">
        <v>415004</v>
      </c>
      <c r="D35">
        <v>-1274.954</v>
      </c>
      <c r="E35" t="s">
        <v>6</v>
      </c>
      <c r="F35" t="s">
        <v>50</v>
      </c>
      <c r="G35" t="s">
        <v>5</v>
      </c>
    </row>
    <row r="36" spans="1:7" x14ac:dyDescent="0.3">
      <c r="A36" t="s">
        <v>10</v>
      </c>
      <c r="B36" s="1">
        <v>45900</v>
      </c>
      <c r="C36">
        <v>421002</v>
      </c>
      <c r="D36">
        <v>-1057.8119999999999</v>
      </c>
      <c r="E36" t="s">
        <v>6</v>
      </c>
      <c r="F36" t="s">
        <v>52</v>
      </c>
      <c r="G36" t="s">
        <v>5</v>
      </c>
    </row>
    <row r="37" spans="1:7" x14ac:dyDescent="0.3">
      <c r="A37" t="s">
        <v>10</v>
      </c>
      <c r="B37" s="1">
        <v>45900</v>
      </c>
      <c r="C37">
        <v>421003</v>
      </c>
      <c r="D37">
        <v>14270.433000000001</v>
      </c>
      <c r="E37" t="s">
        <v>6</v>
      </c>
      <c r="F37" t="s">
        <v>52</v>
      </c>
      <c r="G37" t="s">
        <v>5</v>
      </c>
    </row>
    <row r="38" spans="1:7" x14ac:dyDescent="0.3">
      <c r="A38" t="s">
        <v>10</v>
      </c>
      <c r="B38" s="1">
        <v>45900</v>
      </c>
      <c r="C38">
        <v>421007</v>
      </c>
      <c r="D38">
        <v>679.58699999999999</v>
      </c>
      <c r="E38" t="s">
        <v>6</v>
      </c>
      <c r="F38" t="s">
        <v>52</v>
      </c>
      <c r="G38" t="s">
        <v>5</v>
      </c>
    </row>
    <row r="39" spans="1:7" x14ac:dyDescent="0.3">
      <c r="A39" t="s">
        <v>10</v>
      </c>
      <c r="B39" s="1">
        <v>45900</v>
      </c>
      <c r="C39">
        <v>510002</v>
      </c>
      <c r="D39">
        <v>5265.3739999999998</v>
      </c>
      <c r="E39" t="s">
        <v>6</v>
      </c>
      <c r="F39" t="s">
        <v>53</v>
      </c>
      <c r="G39" t="s">
        <v>5</v>
      </c>
    </row>
    <row r="40" spans="1:7" x14ac:dyDescent="0.3">
      <c r="A40" t="s">
        <v>10</v>
      </c>
      <c r="B40" s="1">
        <v>45900</v>
      </c>
      <c r="C40">
        <v>510005</v>
      </c>
      <c r="D40">
        <v>-67.497</v>
      </c>
      <c r="E40" t="s">
        <v>6</v>
      </c>
      <c r="F40" t="s">
        <v>53</v>
      </c>
      <c r="G40" t="s">
        <v>5</v>
      </c>
    </row>
    <row r="41" spans="1:7" x14ac:dyDescent="0.3">
      <c r="A41" t="s">
        <v>10</v>
      </c>
      <c r="B41" s="1">
        <v>45900</v>
      </c>
      <c r="C41">
        <v>510007</v>
      </c>
      <c r="D41">
        <v>85.468000000000004</v>
      </c>
      <c r="E41" t="s">
        <v>6</v>
      </c>
      <c r="F41" t="s">
        <v>53</v>
      </c>
      <c r="G41" t="s">
        <v>5</v>
      </c>
    </row>
    <row r="42" spans="1:7" x14ac:dyDescent="0.3">
      <c r="A42" t="s">
        <v>10</v>
      </c>
      <c r="B42" s="1">
        <v>45900</v>
      </c>
      <c r="C42">
        <v>510015</v>
      </c>
      <c r="D42">
        <v>655.21400000000006</v>
      </c>
      <c r="E42" t="s">
        <v>6</v>
      </c>
      <c r="F42" t="s">
        <v>53</v>
      </c>
      <c r="G42" t="s">
        <v>5</v>
      </c>
    </row>
    <row r="43" spans="1:7" x14ac:dyDescent="0.3">
      <c r="A43" t="s">
        <v>10</v>
      </c>
      <c r="B43" s="1">
        <v>45900</v>
      </c>
      <c r="C43">
        <v>510065</v>
      </c>
      <c r="D43">
        <v>10.513999999999999</v>
      </c>
      <c r="E43" t="s">
        <v>6</v>
      </c>
      <c r="F43" t="s">
        <v>53</v>
      </c>
      <c r="G43" t="s">
        <v>5</v>
      </c>
    </row>
    <row r="44" spans="1:7" x14ac:dyDescent="0.3">
      <c r="A44" t="s">
        <v>10</v>
      </c>
      <c r="B44" s="1">
        <v>45900</v>
      </c>
      <c r="C44">
        <v>546002</v>
      </c>
      <c r="D44">
        <v>14716.674000000001</v>
      </c>
      <c r="E44" t="s">
        <v>6</v>
      </c>
      <c r="F44" t="s">
        <v>51</v>
      </c>
      <c r="G44" t="s">
        <v>5</v>
      </c>
    </row>
    <row r="45" spans="1:7" x14ac:dyDescent="0.3">
      <c r="A45" t="s">
        <v>10</v>
      </c>
      <c r="B45" s="1">
        <v>45900</v>
      </c>
      <c r="C45">
        <v>547002</v>
      </c>
      <c r="D45">
        <v>2651.7719999999999</v>
      </c>
      <c r="E45" t="s">
        <v>6</v>
      </c>
      <c r="F45" t="s">
        <v>54</v>
      </c>
      <c r="G45" t="s">
        <v>5</v>
      </c>
    </row>
    <row r="46" spans="1:7" x14ac:dyDescent="0.3">
      <c r="A46" t="s">
        <v>10</v>
      </c>
      <c r="B46" s="1">
        <v>45900</v>
      </c>
      <c r="C46">
        <v>547011</v>
      </c>
      <c r="D46">
        <v>185.637</v>
      </c>
      <c r="E46" t="s">
        <v>6</v>
      </c>
      <c r="F46" t="s">
        <v>54</v>
      </c>
      <c r="G46" t="s">
        <v>5</v>
      </c>
    </row>
    <row r="47" spans="1:7" x14ac:dyDescent="0.3">
      <c r="A47" t="s">
        <v>10</v>
      </c>
      <c r="B47" s="1">
        <v>45900</v>
      </c>
      <c r="C47">
        <v>552502</v>
      </c>
      <c r="D47">
        <v>69.325999999999993</v>
      </c>
      <c r="E47" t="s">
        <v>6</v>
      </c>
      <c r="F47" t="s">
        <v>55</v>
      </c>
      <c r="G47" t="s">
        <v>5</v>
      </c>
    </row>
    <row r="48" spans="1:7" x14ac:dyDescent="0.3">
      <c r="A48" t="s">
        <v>10</v>
      </c>
      <c r="B48" s="1">
        <v>45900</v>
      </c>
      <c r="C48">
        <v>556002</v>
      </c>
      <c r="D48">
        <v>8.3260000000000005</v>
      </c>
      <c r="E48" t="s">
        <v>6</v>
      </c>
      <c r="F48" t="s">
        <v>60</v>
      </c>
      <c r="G48" t="s">
        <v>5</v>
      </c>
    </row>
    <row r="49" spans="1:7" x14ac:dyDescent="0.3">
      <c r="A49" t="s">
        <v>10</v>
      </c>
      <c r="B49" s="1">
        <v>45900</v>
      </c>
      <c r="C49">
        <v>557002</v>
      </c>
      <c r="D49">
        <v>915.34500000000003</v>
      </c>
      <c r="E49" t="s">
        <v>6</v>
      </c>
      <c r="F49" t="s">
        <v>56</v>
      </c>
      <c r="G49" t="s">
        <v>5</v>
      </c>
    </row>
    <row r="50" spans="1:7" x14ac:dyDescent="0.3">
      <c r="A50" t="s">
        <v>10</v>
      </c>
      <c r="B50" s="1">
        <v>45900</v>
      </c>
      <c r="C50">
        <v>564004</v>
      </c>
      <c r="D50">
        <v>3.1429999999999998</v>
      </c>
      <c r="E50" t="s">
        <v>6</v>
      </c>
      <c r="F50" t="s">
        <v>51</v>
      </c>
      <c r="G50" t="s">
        <v>5</v>
      </c>
    </row>
    <row r="51" spans="1:7" x14ac:dyDescent="0.3">
      <c r="A51" t="s">
        <v>10</v>
      </c>
      <c r="B51" s="1">
        <v>45900</v>
      </c>
      <c r="C51">
        <v>564006</v>
      </c>
      <c r="D51">
        <v>1.2E-2</v>
      </c>
      <c r="E51" t="s">
        <v>6</v>
      </c>
      <c r="F51" t="s">
        <v>57</v>
      </c>
      <c r="G51" t="s">
        <v>5</v>
      </c>
    </row>
    <row r="52" spans="1:7" x14ac:dyDescent="0.3">
      <c r="A52" t="s">
        <v>10</v>
      </c>
      <c r="B52" s="1">
        <v>45900</v>
      </c>
      <c r="C52">
        <v>564021</v>
      </c>
      <c r="D52">
        <v>61.875999999999998</v>
      </c>
      <c r="E52" t="s">
        <v>6</v>
      </c>
      <c r="F52" t="s">
        <v>57</v>
      </c>
      <c r="G52" t="s">
        <v>5</v>
      </c>
    </row>
    <row r="53" spans="1:7" x14ac:dyDescent="0.3">
      <c r="A53" t="s">
        <v>11</v>
      </c>
      <c r="B53" s="1">
        <v>45900</v>
      </c>
      <c r="C53">
        <v>210002</v>
      </c>
      <c r="D53">
        <v>-9.4E-2</v>
      </c>
      <c r="E53" t="s">
        <v>4</v>
      </c>
      <c r="F53" t="s">
        <v>42</v>
      </c>
      <c r="G53" t="s">
        <v>7</v>
      </c>
    </row>
    <row r="54" spans="1:7" x14ac:dyDescent="0.3">
      <c r="A54" t="s">
        <v>11</v>
      </c>
      <c r="B54" s="1">
        <v>45900</v>
      </c>
      <c r="C54">
        <v>220006</v>
      </c>
      <c r="D54">
        <v>-1746227.26</v>
      </c>
      <c r="E54" t="s">
        <v>4</v>
      </c>
      <c r="F54" t="s">
        <v>42</v>
      </c>
      <c r="G54" t="s">
        <v>7</v>
      </c>
    </row>
    <row r="55" spans="1:7" x14ac:dyDescent="0.3">
      <c r="A55" t="s">
        <v>11</v>
      </c>
      <c r="B55" s="1">
        <v>45900</v>
      </c>
      <c r="C55">
        <v>240002</v>
      </c>
      <c r="D55">
        <v>-782.13699999999994</v>
      </c>
      <c r="E55" t="s">
        <v>4</v>
      </c>
      <c r="F55" t="s">
        <v>43</v>
      </c>
      <c r="G55" t="s">
        <v>7</v>
      </c>
    </row>
    <row r="56" spans="1:7" x14ac:dyDescent="0.3">
      <c r="A56" t="s">
        <v>11</v>
      </c>
      <c r="B56" s="1">
        <v>45900</v>
      </c>
      <c r="C56">
        <v>240003</v>
      </c>
      <c r="D56">
        <v>-72.471000000000004</v>
      </c>
      <c r="E56" t="s">
        <v>4</v>
      </c>
      <c r="F56" t="s">
        <v>43</v>
      </c>
      <c r="G56" t="s">
        <v>7</v>
      </c>
    </row>
    <row r="57" spans="1:7" x14ac:dyDescent="0.3">
      <c r="A57" t="s">
        <v>11</v>
      </c>
      <c r="B57" s="1">
        <v>45900</v>
      </c>
      <c r="C57">
        <v>240009</v>
      </c>
      <c r="D57">
        <v>-943.96</v>
      </c>
      <c r="E57" t="s">
        <v>4</v>
      </c>
      <c r="F57" t="s">
        <v>43</v>
      </c>
      <c r="G57" t="s">
        <v>7</v>
      </c>
    </row>
    <row r="58" spans="1:7" x14ac:dyDescent="0.3">
      <c r="A58" t="s">
        <v>11</v>
      </c>
      <c r="B58" s="1">
        <v>45900</v>
      </c>
      <c r="C58">
        <v>242003</v>
      </c>
      <c r="D58">
        <v>-81790.986999999994</v>
      </c>
      <c r="E58" t="s">
        <v>4</v>
      </c>
      <c r="F58" t="s">
        <v>43</v>
      </c>
      <c r="G58" t="s">
        <v>7</v>
      </c>
    </row>
    <row r="59" spans="1:7" x14ac:dyDescent="0.3">
      <c r="A59" t="s">
        <v>11</v>
      </c>
      <c r="B59" s="1">
        <v>45900</v>
      </c>
      <c r="C59">
        <v>242011</v>
      </c>
      <c r="D59">
        <v>-43083.319000000003</v>
      </c>
      <c r="E59" t="s">
        <v>4</v>
      </c>
      <c r="F59" t="s">
        <v>43</v>
      </c>
      <c r="G59" t="s">
        <v>7</v>
      </c>
    </row>
    <row r="60" spans="1:7" x14ac:dyDescent="0.3">
      <c r="A60" t="s">
        <v>11</v>
      </c>
      <c r="B60" s="1">
        <v>45900</v>
      </c>
      <c r="C60">
        <v>242012</v>
      </c>
      <c r="D60">
        <v>-9178.9719999999998</v>
      </c>
      <c r="E60" t="s">
        <v>4</v>
      </c>
      <c r="F60" t="s">
        <v>43</v>
      </c>
      <c r="G60" t="s">
        <v>7</v>
      </c>
    </row>
    <row r="61" spans="1:7" x14ac:dyDescent="0.3">
      <c r="A61" t="s">
        <v>11</v>
      </c>
      <c r="B61" s="1">
        <v>45900</v>
      </c>
      <c r="C61">
        <v>242013</v>
      </c>
      <c r="D61">
        <v>-11652.012000000001</v>
      </c>
      <c r="E61" t="s">
        <v>4</v>
      </c>
      <c r="F61" t="s">
        <v>43</v>
      </c>
      <c r="G61" t="s">
        <v>7</v>
      </c>
    </row>
    <row r="62" spans="1:7" x14ac:dyDescent="0.3">
      <c r="A62" t="s">
        <v>11</v>
      </c>
      <c r="B62" s="1">
        <v>45900</v>
      </c>
      <c r="C62">
        <v>242018</v>
      </c>
      <c r="D62">
        <v>-10182.107</v>
      </c>
      <c r="E62" t="s">
        <v>4</v>
      </c>
      <c r="F62" t="s">
        <v>43</v>
      </c>
      <c r="G62" t="s">
        <v>7</v>
      </c>
    </row>
    <row r="63" spans="1:7" x14ac:dyDescent="0.3">
      <c r="A63" t="s">
        <v>11</v>
      </c>
      <c r="B63" s="1">
        <v>45900</v>
      </c>
      <c r="C63">
        <v>242023</v>
      </c>
      <c r="D63">
        <v>-3772.3539999999998</v>
      </c>
      <c r="E63" t="s">
        <v>4</v>
      </c>
      <c r="F63" t="s">
        <v>43</v>
      </c>
      <c r="G63" t="s">
        <v>7</v>
      </c>
    </row>
    <row r="64" spans="1:7" x14ac:dyDescent="0.3">
      <c r="A64" t="s">
        <v>11</v>
      </c>
      <c r="B64" s="1">
        <v>45900</v>
      </c>
      <c r="C64">
        <v>242027</v>
      </c>
      <c r="D64">
        <v>-6203.4579999999996</v>
      </c>
      <c r="E64" t="s">
        <v>4</v>
      </c>
      <c r="F64" t="s">
        <v>43</v>
      </c>
      <c r="G64" t="s">
        <v>7</v>
      </c>
    </row>
    <row r="65" spans="1:7" x14ac:dyDescent="0.3">
      <c r="A65" t="s">
        <v>11</v>
      </c>
      <c r="B65" s="1">
        <v>45900</v>
      </c>
      <c r="C65">
        <v>242030</v>
      </c>
      <c r="D65">
        <v>-19641.955000000002</v>
      </c>
      <c r="E65" t="s">
        <v>4</v>
      </c>
      <c r="F65" t="s">
        <v>43</v>
      </c>
      <c r="G65" t="s">
        <v>7</v>
      </c>
    </row>
    <row r="66" spans="1:7" x14ac:dyDescent="0.3">
      <c r="A66" t="s">
        <v>11</v>
      </c>
      <c r="B66" s="1">
        <v>45900</v>
      </c>
      <c r="C66">
        <v>242038</v>
      </c>
      <c r="D66">
        <v>-2.6059999999999999</v>
      </c>
      <c r="E66" t="s">
        <v>4</v>
      </c>
      <c r="F66" t="s">
        <v>43</v>
      </c>
      <c r="G66" t="s">
        <v>7</v>
      </c>
    </row>
    <row r="67" spans="1:7" x14ac:dyDescent="0.3">
      <c r="A67" t="s">
        <v>11</v>
      </c>
      <c r="B67" s="1">
        <v>45900</v>
      </c>
      <c r="C67">
        <v>242039</v>
      </c>
      <c r="D67">
        <v>-260.548</v>
      </c>
      <c r="E67" t="s">
        <v>4</v>
      </c>
      <c r="F67" t="s">
        <v>43</v>
      </c>
      <c r="G67" t="s">
        <v>7</v>
      </c>
    </row>
    <row r="68" spans="1:7" x14ac:dyDescent="0.3">
      <c r="A68" t="s">
        <v>11</v>
      </c>
      <c r="B68" s="1">
        <v>45900</v>
      </c>
      <c r="C68">
        <v>242041</v>
      </c>
      <c r="D68">
        <v>-2130.5149999999999</v>
      </c>
      <c r="E68" t="s">
        <v>4</v>
      </c>
      <c r="F68" t="s">
        <v>43</v>
      </c>
      <c r="G68" t="s">
        <v>7</v>
      </c>
    </row>
    <row r="69" spans="1:7" x14ac:dyDescent="0.3">
      <c r="A69" t="s">
        <v>11</v>
      </c>
      <c r="B69" s="1">
        <v>45900</v>
      </c>
      <c r="C69">
        <v>243002</v>
      </c>
      <c r="D69">
        <v>-11809.723</v>
      </c>
      <c r="E69" t="s">
        <v>4</v>
      </c>
      <c r="F69" t="s">
        <v>43</v>
      </c>
      <c r="G69" t="s">
        <v>7</v>
      </c>
    </row>
    <row r="70" spans="1:7" x14ac:dyDescent="0.3">
      <c r="A70" t="s">
        <v>11</v>
      </c>
      <c r="B70" s="1">
        <v>45900</v>
      </c>
      <c r="C70">
        <v>243003</v>
      </c>
      <c r="D70">
        <v>-4616.8869999999997</v>
      </c>
      <c r="E70" t="s">
        <v>4</v>
      </c>
      <c r="F70" t="s">
        <v>43</v>
      </c>
      <c r="G70" t="s">
        <v>7</v>
      </c>
    </row>
    <row r="71" spans="1:7" x14ac:dyDescent="0.3">
      <c r="A71" t="s">
        <v>11</v>
      </c>
      <c r="B71" s="1">
        <v>45900</v>
      </c>
      <c r="C71">
        <v>243010</v>
      </c>
      <c r="D71">
        <v>-2377.8939999999998</v>
      </c>
      <c r="E71" t="s">
        <v>4</v>
      </c>
      <c r="F71" t="s">
        <v>43</v>
      </c>
      <c r="G71" t="s">
        <v>7</v>
      </c>
    </row>
    <row r="72" spans="1:7" x14ac:dyDescent="0.3">
      <c r="A72" t="s">
        <v>11</v>
      </c>
      <c r="B72" s="1">
        <v>45900</v>
      </c>
      <c r="C72">
        <v>245010</v>
      </c>
      <c r="D72">
        <v>-23225.097000000002</v>
      </c>
      <c r="E72" t="s">
        <v>4</v>
      </c>
      <c r="F72" t="s">
        <v>44</v>
      </c>
      <c r="G72" t="s">
        <v>7</v>
      </c>
    </row>
    <row r="73" spans="1:7" x14ac:dyDescent="0.3">
      <c r="A73" t="s">
        <v>11</v>
      </c>
      <c r="B73" s="1">
        <v>45900</v>
      </c>
      <c r="C73">
        <v>245018</v>
      </c>
      <c r="D73">
        <v>-2980.5030000000002</v>
      </c>
      <c r="E73" t="s">
        <v>4</v>
      </c>
      <c r="F73" t="s">
        <v>43</v>
      </c>
      <c r="G73" t="s">
        <v>7</v>
      </c>
    </row>
    <row r="74" spans="1:7" x14ac:dyDescent="0.3">
      <c r="A74" t="s">
        <v>11</v>
      </c>
      <c r="B74" s="1">
        <v>45900</v>
      </c>
      <c r="C74">
        <v>245055</v>
      </c>
      <c r="D74">
        <v>-2029.9179999999999</v>
      </c>
      <c r="E74" t="s">
        <v>4</v>
      </c>
      <c r="F74" t="s">
        <v>43</v>
      </c>
      <c r="G74" t="s">
        <v>7</v>
      </c>
    </row>
    <row r="75" spans="1:7" x14ac:dyDescent="0.3">
      <c r="A75" t="s">
        <v>11</v>
      </c>
      <c r="B75" s="1">
        <v>45900</v>
      </c>
      <c r="C75">
        <v>245056</v>
      </c>
      <c r="D75">
        <v>-466.34800000000001</v>
      </c>
      <c r="E75" t="s">
        <v>4</v>
      </c>
      <c r="F75" t="s">
        <v>49</v>
      </c>
      <c r="G75" t="s">
        <v>7</v>
      </c>
    </row>
    <row r="76" spans="1:7" x14ac:dyDescent="0.3">
      <c r="A76" t="s">
        <v>11</v>
      </c>
      <c r="B76" s="1">
        <v>45900</v>
      </c>
      <c r="C76">
        <v>245062</v>
      </c>
      <c r="D76">
        <v>-24056.572</v>
      </c>
      <c r="E76" t="s">
        <v>4</v>
      </c>
      <c r="F76" t="s">
        <v>43</v>
      </c>
      <c r="G76" t="s">
        <v>7</v>
      </c>
    </row>
    <row r="77" spans="1:7" x14ac:dyDescent="0.3">
      <c r="A77" t="s">
        <v>11</v>
      </c>
      <c r="B77" s="1">
        <v>45900</v>
      </c>
      <c r="C77">
        <v>250003</v>
      </c>
      <c r="D77">
        <v>-1570.0450000000001</v>
      </c>
      <c r="E77" t="s">
        <v>4</v>
      </c>
      <c r="F77" t="s">
        <v>45</v>
      </c>
      <c r="G77" t="s">
        <v>7</v>
      </c>
    </row>
    <row r="78" spans="1:7" x14ac:dyDescent="0.3">
      <c r="A78" t="s">
        <v>11</v>
      </c>
      <c r="B78" s="1">
        <v>45900</v>
      </c>
      <c r="C78">
        <v>251002</v>
      </c>
      <c r="D78">
        <v>-999.00599999999997</v>
      </c>
      <c r="E78" t="s">
        <v>4</v>
      </c>
      <c r="F78" t="s">
        <v>45</v>
      </c>
      <c r="G78" t="s">
        <v>7</v>
      </c>
    </row>
    <row r="79" spans="1:7" x14ac:dyDescent="0.3">
      <c r="A79" t="s">
        <v>11</v>
      </c>
      <c r="B79" s="1">
        <v>45900</v>
      </c>
      <c r="C79">
        <v>251003</v>
      </c>
      <c r="D79">
        <v>18400.598999999998</v>
      </c>
      <c r="E79" t="s">
        <v>4</v>
      </c>
      <c r="F79" t="s">
        <v>45</v>
      </c>
      <c r="G79" t="s">
        <v>7</v>
      </c>
    </row>
    <row r="80" spans="1:7" x14ac:dyDescent="0.3">
      <c r="A80" t="s">
        <v>11</v>
      </c>
      <c r="B80" s="1">
        <v>45900</v>
      </c>
      <c r="C80">
        <v>256040</v>
      </c>
      <c r="D80">
        <v>1006160.452</v>
      </c>
      <c r="E80" t="s">
        <v>4</v>
      </c>
      <c r="F80" t="s">
        <v>43</v>
      </c>
      <c r="G80" t="s">
        <v>7</v>
      </c>
    </row>
    <row r="81" spans="1:7" x14ac:dyDescent="0.3">
      <c r="A81" t="s">
        <v>11</v>
      </c>
      <c r="B81" s="1">
        <v>45900</v>
      </c>
      <c r="C81">
        <v>256041</v>
      </c>
      <c r="D81">
        <v>11738.538</v>
      </c>
      <c r="E81" t="s">
        <v>4</v>
      </c>
      <c r="F81" t="s">
        <v>43</v>
      </c>
      <c r="G81" t="s">
        <v>7</v>
      </c>
    </row>
    <row r="82" spans="1:7" x14ac:dyDescent="0.3">
      <c r="A82" t="s">
        <v>11</v>
      </c>
      <c r="B82" s="1">
        <v>45900</v>
      </c>
      <c r="C82">
        <v>263002</v>
      </c>
      <c r="D82">
        <v>-38111.998</v>
      </c>
      <c r="E82" t="s">
        <v>4</v>
      </c>
      <c r="F82" t="s">
        <v>45</v>
      </c>
      <c r="G82" t="s">
        <v>7</v>
      </c>
    </row>
    <row r="83" spans="1:7" x14ac:dyDescent="0.3">
      <c r="A83" t="s">
        <v>11</v>
      </c>
      <c r="B83" s="1">
        <v>45900</v>
      </c>
      <c r="C83">
        <v>263003</v>
      </c>
      <c r="D83">
        <v>-196.209</v>
      </c>
      <c r="E83" t="s">
        <v>4</v>
      </c>
      <c r="F83" t="s">
        <v>45</v>
      </c>
      <c r="G83" t="s">
        <v>7</v>
      </c>
    </row>
    <row r="84" spans="1:7" x14ac:dyDescent="0.3">
      <c r="A84" t="s">
        <v>11</v>
      </c>
      <c r="B84" s="1">
        <v>45900</v>
      </c>
      <c r="C84">
        <v>263005</v>
      </c>
      <c r="D84">
        <v>397.55900000000003</v>
      </c>
      <c r="E84" t="s">
        <v>4</v>
      </c>
      <c r="F84" t="s">
        <v>45</v>
      </c>
      <c r="G84" t="s">
        <v>7</v>
      </c>
    </row>
    <row r="85" spans="1:7" x14ac:dyDescent="0.3">
      <c r="A85" t="s">
        <v>11</v>
      </c>
      <c r="B85" s="1">
        <v>45900</v>
      </c>
      <c r="C85">
        <v>270026</v>
      </c>
      <c r="D85">
        <v>-66556.187000000005</v>
      </c>
      <c r="E85" t="s">
        <v>4</v>
      </c>
      <c r="F85" t="s">
        <v>58</v>
      </c>
      <c r="G85" t="s">
        <v>7</v>
      </c>
    </row>
    <row r="86" spans="1:7" x14ac:dyDescent="0.3">
      <c r="A86" t="s">
        <v>11</v>
      </c>
      <c r="B86" s="1">
        <v>45900</v>
      </c>
      <c r="C86">
        <v>320003</v>
      </c>
      <c r="D86">
        <v>215651.337</v>
      </c>
      <c r="E86" t="s">
        <v>4</v>
      </c>
      <c r="F86" t="s">
        <v>46</v>
      </c>
      <c r="G86" t="s">
        <v>7</v>
      </c>
    </row>
    <row r="87" spans="1:7" x14ac:dyDescent="0.3">
      <c r="A87" t="s">
        <v>11</v>
      </c>
      <c r="B87" s="1">
        <v>45900</v>
      </c>
      <c r="C87">
        <v>320004</v>
      </c>
      <c r="D87">
        <v>1385.3430000000001</v>
      </c>
      <c r="E87" t="s">
        <v>4</v>
      </c>
      <c r="F87" t="s">
        <v>46</v>
      </c>
      <c r="G87" t="s">
        <v>7</v>
      </c>
    </row>
    <row r="88" spans="1:7" x14ac:dyDescent="0.3">
      <c r="A88" t="s">
        <v>11</v>
      </c>
      <c r="B88" s="1">
        <v>45900</v>
      </c>
      <c r="C88">
        <v>320023</v>
      </c>
      <c r="D88">
        <v>-3831.7159999999999</v>
      </c>
      <c r="E88" t="s">
        <v>4</v>
      </c>
      <c r="F88" t="s">
        <v>46</v>
      </c>
      <c r="G88" t="s">
        <v>7</v>
      </c>
    </row>
    <row r="89" spans="1:7" x14ac:dyDescent="0.3">
      <c r="A89" t="s">
        <v>11</v>
      </c>
      <c r="B89" s="1">
        <v>45900</v>
      </c>
      <c r="C89">
        <v>321002</v>
      </c>
      <c r="D89">
        <v>285901.90399999998</v>
      </c>
      <c r="E89" t="s">
        <v>4</v>
      </c>
      <c r="F89" t="s">
        <v>46</v>
      </c>
      <c r="G89" t="s">
        <v>7</v>
      </c>
    </row>
    <row r="90" spans="1:7" x14ac:dyDescent="0.3">
      <c r="A90" t="s">
        <v>11</v>
      </c>
      <c r="B90" s="1">
        <v>45900</v>
      </c>
      <c r="C90">
        <v>321010</v>
      </c>
      <c r="D90">
        <v>11.311999999999999</v>
      </c>
      <c r="E90" t="s">
        <v>4</v>
      </c>
      <c r="F90" t="s">
        <v>46</v>
      </c>
      <c r="G90" t="s">
        <v>7</v>
      </c>
    </row>
    <row r="91" spans="1:7" x14ac:dyDescent="0.3">
      <c r="A91" t="s">
        <v>11</v>
      </c>
      <c r="B91" s="1">
        <v>45900</v>
      </c>
      <c r="C91">
        <v>321012</v>
      </c>
      <c r="D91">
        <v>21104.411</v>
      </c>
      <c r="E91" t="s">
        <v>4</v>
      </c>
      <c r="F91" t="s">
        <v>46</v>
      </c>
      <c r="G91" t="s">
        <v>7</v>
      </c>
    </row>
    <row r="92" spans="1:7" x14ac:dyDescent="0.3">
      <c r="A92" t="s">
        <v>11</v>
      </c>
      <c r="B92" s="1">
        <v>45900</v>
      </c>
      <c r="C92">
        <v>321013</v>
      </c>
      <c r="D92">
        <v>26705.365000000002</v>
      </c>
      <c r="E92" t="s">
        <v>4</v>
      </c>
      <c r="F92" t="s">
        <v>46</v>
      </c>
      <c r="G92" t="s">
        <v>7</v>
      </c>
    </row>
    <row r="93" spans="1:7" x14ac:dyDescent="0.3">
      <c r="A93" t="s">
        <v>11</v>
      </c>
      <c r="B93" s="1">
        <v>45900</v>
      </c>
      <c r="C93">
        <v>321021</v>
      </c>
      <c r="D93">
        <v>28082.937000000002</v>
      </c>
      <c r="E93" t="s">
        <v>4</v>
      </c>
      <c r="F93" t="s">
        <v>46</v>
      </c>
      <c r="G93" t="s">
        <v>7</v>
      </c>
    </row>
    <row r="94" spans="1:7" x14ac:dyDescent="0.3">
      <c r="A94" t="s">
        <v>11</v>
      </c>
      <c r="B94" s="1">
        <v>45900</v>
      </c>
      <c r="C94">
        <v>321025</v>
      </c>
      <c r="D94">
        <v>23379.121999999999</v>
      </c>
      <c r="E94" t="s">
        <v>4</v>
      </c>
      <c r="F94" t="s">
        <v>46</v>
      </c>
      <c r="G94" t="s">
        <v>7</v>
      </c>
    </row>
    <row r="95" spans="1:7" x14ac:dyDescent="0.3">
      <c r="A95" t="s">
        <v>11</v>
      </c>
      <c r="B95" s="1">
        <v>45900</v>
      </c>
      <c r="C95">
        <v>321029</v>
      </c>
      <c r="D95">
        <v>27862.516</v>
      </c>
      <c r="E95" t="s">
        <v>4</v>
      </c>
      <c r="F95" t="s">
        <v>46</v>
      </c>
      <c r="G95" t="s">
        <v>7</v>
      </c>
    </row>
    <row r="96" spans="1:7" x14ac:dyDescent="0.3">
      <c r="A96" t="s">
        <v>11</v>
      </c>
      <c r="B96" s="1">
        <v>45900</v>
      </c>
      <c r="C96">
        <v>321031</v>
      </c>
      <c r="D96">
        <v>11.311999999999999</v>
      </c>
      <c r="E96" t="s">
        <v>4</v>
      </c>
      <c r="F96" t="s">
        <v>46</v>
      </c>
      <c r="G96" t="s">
        <v>7</v>
      </c>
    </row>
    <row r="97" spans="1:7" x14ac:dyDescent="0.3">
      <c r="A97" t="s">
        <v>11</v>
      </c>
      <c r="B97" s="1">
        <v>45900</v>
      </c>
      <c r="C97">
        <v>321041</v>
      </c>
      <c r="D97">
        <v>5615.924</v>
      </c>
      <c r="E97" t="s">
        <v>4</v>
      </c>
      <c r="F97" t="s">
        <v>46</v>
      </c>
      <c r="G97" t="s">
        <v>7</v>
      </c>
    </row>
    <row r="98" spans="1:7" x14ac:dyDescent="0.3">
      <c r="A98" t="s">
        <v>11</v>
      </c>
      <c r="B98" s="1">
        <v>45900</v>
      </c>
      <c r="C98">
        <v>321042</v>
      </c>
      <c r="D98">
        <v>396.29399999999998</v>
      </c>
      <c r="E98" t="s">
        <v>4</v>
      </c>
      <c r="F98" t="s">
        <v>46</v>
      </c>
      <c r="G98" t="s">
        <v>7</v>
      </c>
    </row>
    <row r="99" spans="1:7" x14ac:dyDescent="0.3">
      <c r="A99" t="s">
        <v>11</v>
      </c>
      <c r="B99" s="1">
        <v>45900</v>
      </c>
      <c r="C99">
        <v>330033</v>
      </c>
      <c r="D99">
        <v>-32.433999999999997</v>
      </c>
      <c r="E99" t="s">
        <v>4</v>
      </c>
      <c r="F99" t="s">
        <v>43</v>
      </c>
      <c r="G99" t="s">
        <v>7</v>
      </c>
    </row>
    <row r="100" spans="1:7" x14ac:dyDescent="0.3">
      <c r="A100" t="s">
        <v>11</v>
      </c>
      <c r="B100" s="1">
        <v>45900</v>
      </c>
      <c r="C100">
        <v>330054</v>
      </c>
      <c r="D100">
        <v>-1737.838</v>
      </c>
      <c r="E100" t="s">
        <v>4</v>
      </c>
      <c r="F100" t="s">
        <v>43</v>
      </c>
      <c r="G100" t="s">
        <v>7</v>
      </c>
    </row>
    <row r="101" spans="1:7" x14ac:dyDescent="0.3">
      <c r="A101" t="s">
        <v>11</v>
      </c>
      <c r="B101" s="1">
        <v>45900</v>
      </c>
      <c r="C101">
        <v>330106</v>
      </c>
      <c r="D101">
        <v>3972.777</v>
      </c>
      <c r="E101" t="s">
        <v>4</v>
      </c>
      <c r="F101" t="s">
        <v>43</v>
      </c>
      <c r="G101" t="s">
        <v>7</v>
      </c>
    </row>
    <row r="102" spans="1:7" x14ac:dyDescent="0.3">
      <c r="A102" t="s">
        <v>11</v>
      </c>
      <c r="B102" s="1">
        <v>45900</v>
      </c>
      <c r="C102">
        <v>340096</v>
      </c>
      <c r="D102">
        <v>486326.59700000001</v>
      </c>
      <c r="E102" t="s">
        <v>4</v>
      </c>
      <c r="F102" t="s">
        <v>47</v>
      </c>
      <c r="G102" t="s">
        <v>7</v>
      </c>
    </row>
    <row r="103" spans="1:7" x14ac:dyDescent="0.3">
      <c r="A103" t="s">
        <v>11</v>
      </c>
      <c r="B103" s="1">
        <v>45900</v>
      </c>
      <c r="C103">
        <v>340111</v>
      </c>
      <c r="D103">
        <v>154800.44099999999</v>
      </c>
      <c r="E103" t="s">
        <v>4</v>
      </c>
      <c r="F103" t="s">
        <v>47</v>
      </c>
      <c r="G103" t="s">
        <v>7</v>
      </c>
    </row>
    <row r="104" spans="1:7" x14ac:dyDescent="0.3">
      <c r="A104" t="s">
        <v>11</v>
      </c>
      <c r="B104" s="1">
        <v>45900</v>
      </c>
      <c r="C104">
        <v>340133</v>
      </c>
      <c r="D104">
        <v>7568053.2300000004</v>
      </c>
      <c r="E104" t="s">
        <v>4</v>
      </c>
      <c r="F104" t="s">
        <v>47</v>
      </c>
      <c r="G104" t="s">
        <v>7</v>
      </c>
    </row>
    <row r="105" spans="1:7" x14ac:dyDescent="0.3">
      <c r="A105" t="s">
        <v>11</v>
      </c>
      <c r="B105" s="1">
        <v>45900</v>
      </c>
      <c r="C105">
        <v>340134</v>
      </c>
      <c r="D105">
        <v>-7984936.6140000001</v>
      </c>
      <c r="E105" t="s">
        <v>4</v>
      </c>
      <c r="F105" t="s">
        <v>47</v>
      </c>
      <c r="G105" t="s">
        <v>7</v>
      </c>
    </row>
    <row r="106" spans="1:7" x14ac:dyDescent="0.3">
      <c r="A106" t="s">
        <v>11</v>
      </c>
      <c r="B106" s="1">
        <v>45900</v>
      </c>
      <c r="C106">
        <v>340143</v>
      </c>
      <c r="D106">
        <v>1287578.281</v>
      </c>
      <c r="E106" t="s">
        <v>4</v>
      </c>
      <c r="F106" t="s">
        <v>47</v>
      </c>
      <c r="G106" t="s">
        <v>7</v>
      </c>
    </row>
    <row r="107" spans="1:7" x14ac:dyDescent="0.3">
      <c r="A107" t="s">
        <v>11</v>
      </c>
      <c r="B107" s="1">
        <v>45900</v>
      </c>
      <c r="C107">
        <v>340144</v>
      </c>
      <c r="D107">
        <v>-1441413.7520000001</v>
      </c>
      <c r="E107" t="s">
        <v>4</v>
      </c>
      <c r="F107" t="s">
        <v>47</v>
      </c>
      <c r="G107" t="s">
        <v>7</v>
      </c>
    </row>
    <row r="108" spans="1:7" x14ac:dyDescent="0.3">
      <c r="A108" t="s">
        <v>11</v>
      </c>
      <c r="B108" s="1">
        <v>45900</v>
      </c>
      <c r="C108">
        <v>340317</v>
      </c>
      <c r="D108">
        <v>1354973.048</v>
      </c>
      <c r="E108" t="s">
        <v>4</v>
      </c>
      <c r="F108" t="s">
        <v>47</v>
      </c>
      <c r="G108" t="s">
        <v>7</v>
      </c>
    </row>
    <row r="109" spans="1:7" x14ac:dyDescent="0.3">
      <c r="A109" t="s">
        <v>11</v>
      </c>
      <c r="B109" s="1">
        <v>45900</v>
      </c>
      <c r="C109">
        <v>340318</v>
      </c>
      <c r="D109">
        <v>-1218120.9950000001</v>
      </c>
      <c r="E109" t="s">
        <v>4</v>
      </c>
      <c r="F109" t="s">
        <v>47</v>
      </c>
      <c r="G109" t="s">
        <v>7</v>
      </c>
    </row>
    <row r="110" spans="1:7" x14ac:dyDescent="0.3">
      <c r="A110" t="s">
        <v>11</v>
      </c>
      <c r="B110" s="1">
        <v>45900</v>
      </c>
      <c r="C110">
        <v>340319</v>
      </c>
      <c r="D110">
        <v>1425207.314</v>
      </c>
      <c r="E110" t="s">
        <v>4</v>
      </c>
      <c r="F110" t="s">
        <v>47</v>
      </c>
      <c r="G110" t="s">
        <v>7</v>
      </c>
    </row>
    <row r="111" spans="1:7" x14ac:dyDescent="0.3">
      <c r="A111" t="s">
        <v>11</v>
      </c>
      <c r="B111" s="1">
        <v>45900</v>
      </c>
      <c r="C111">
        <v>340320</v>
      </c>
      <c r="D111">
        <v>-1368095.2649999999</v>
      </c>
      <c r="E111" t="s">
        <v>4</v>
      </c>
      <c r="F111" t="s">
        <v>47</v>
      </c>
      <c r="G111" t="s">
        <v>7</v>
      </c>
    </row>
    <row r="112" spans="1:7" x14ac:dyDescent="0.3">
      <c r="A112" t="s">
        <v>11</v>
      </c>
      <c r="B112" s="1">
        <v>45900</v>
      </c>
      <c r="C112">
        <v>345023</v>
      </c>
      <c r="D112">
        <v>26.440999999999999</v>
      </c>
      <c r="E112" t="s">
        <v>4</v>
      </c>
      <c r="F112" t="s">
        <v>47</v>
      </c>
      <c r="G112" t="s">
        <v>7</v>
      </c>
    </row>
    <row r="113" spans="1:7" x14ac:dyDescent="0.3">
      <c r="A113" t="s">
        <v>11</v>
      </c>
      <c r="B113" s="1">
        <v>45900</v>
      </c>
      <c r="C113">
        <v>350002</v>
      </c>
      <c r="D113">
        <v>3232.6120000000001</v>
      </c>
      <c r="E113" t="s">
        <v>4</v>
      </c>
      <c r="F113" t="s">
        <v>49</v>
      </c>
      <c r="G113" t="s">
        <v>7</v>
      </c>
    </row>
    <row r="114" spans="1:7" x14ac:dyDescent="0.3">
      <c r="A114" t="s">
        <v>11</v>
      </c>
      <c r="B114" s="1">
        <v>45900</v>
      </c>
      <c r="C114">
        <v>350003</v>
      </c>
      <c r="D114">
        <v>-1599.761</v>
      </c>
      <c r="E114" t="s">
        <v>4</v>
      </c>
      <c r="F114" t="s">
        <v>49</v>
      </c>
      <c r="G114" t="s">
        <v>7</v>
      </c>
    </row>
    <row r="115" spans="1:7" x14ac:dyDescent="0.3">
      <c r="A115" t="s">
        <v>11</v>
      </c>
      <c r="B115" s="1">
        <v>45900</v>
      </c>
      <c r="C115">
        <v>350031</v>
      </c>
      <c r="D115">
        <v>943.96</v>
      </c>
      <c r="E115" t="s">
        <v>4</v>
      </c>
      <c r="F115" t="s">
        <v>43</v>
      </c>
      <c r="G115" t="s">
        <v>7</v>
      </c>
    </row>
    <row r="116" spans="1:7" x14ac:dyDescent="0.3">
      <c r="A116" t="s">
        <v>11</v>
      </c>
      <c r="B116" s="1">
        <v>45900</v>
      </c>
      <c r="C116">
        <v>350034</v>
      </c>
      <c r="D116">
        <v>466.34800000000001</v>
      </c>
      <c r="E116" t="s">
        <v>4</v>
      </c>
      <c r="F116" t="s">
        <v>49</v>
      </c>
      <c r="G116" t="s">
        <v>7</v>
      </c>
    </row>
    <row r="117" spans="1:7" x14ac:dyDescent="0.3">
      <c r="A117" t="s">
        <v>11</v>
      </c>
      <c r="B117" s="1">
        <v>45900</v>
      </c>
      <c r="C117">
        <v>352002</v>
      </c>
      <c r="D117">
        <v>115.375</v>
      </c>
      <c r="E117" t="s">
        <v>4</v>
      </c>
      <c r="F117" t="s">
        <v>48</v>
      </c>
      <c r="G117" t="s">
        <v>7</v>
      </c>
    </row>
    <row r="118" spans="1:7" x14ac:dyDescent="0.3">
      <c r="A118" t="s">
        <v>11</v>
      </c>
      <c r="B118" s="1">
        <v>45900</v>
      </c>
      <c r="C118">
        <v>354012</v>
      </c>
      <c r="D118">
        <v>-35031.74</v>
      </c>
      <c r="E118" t="s">
        <v>4</v>
      </c>
      <c r="F118" t="s">
        <v>46</v>
      </c>
      <c r="G118" t="s">
        <v>7</v>
      </c>
    </row>
    <row r="119" spans="1:7" x14ac:dyDescent="0.3">
      <c r="A119" t="s">
        <v>11</v>
      </c>
      <c r="B119" s="1">
        <v>45900</v>
      </c>
      <c r="C119">
        <v>354014</v>
      </c>
      <c r="D119">
        <v>88448.307000000001</v>
      </c>
      <c r="E119" t="s">
        <v>4</v>
      </c>
      <c r="F119" t="s">
        <v>46</v>
      </c>
      <c r="G119" t="s">
        <v>7</v>
      </c>
    </row>
    <row r="120" spans="1:7" x14ac:dyDescent="0.3">
      <c r="A120" t="s">
        <v>11</v>
      </c>
      <c r="B120" s="1">
        <v>45900</v>
      </c>
      <c r="C120">
        <v>355002</v>
      </c>
      <c r="D120">
        <v>148.06100000000001</v>
      </c>
      <c r="E120" t="s">
        <v>4</v>
      </c>
      <c r="F120" t="s">
        <v>49</v>
      </c>
      <c r="G120" t="s">
        <v>7</v>
      </c>
    </row>
    <row r="121" spans="1:7" x14ac:dyDescent="0.3">
      <c r="A121" t="s">
        <v>11</v>
      </c>
      <c r="B121" s="1">
        <v>45900</v>
      </c>
      <c r="C121">
        <v>355013</v>
      </c>
      <c r="D121">
        <v>1106.9860000000001</v>
      </c>
      <c r="E121" t="s">
        <v>4</v>
      </c>
      <c r="F121" t="s">
        <v>49</v>
      </c>
      <c r="G121" t="s">
        <v>7</v>
      </c>
    </row>
    <row r="122" spans="1:7" x14ac:dyDescent="0.3">
      <c r="A122" t="s">
        <v>11</v>
      </c>
      <c r="B122" s="1">
        <v>45900</v>
      </c>
      <c r="C122">
        <v>355014</v>
      </c>
      <c r="D122">
        <v>256.49799999999999</v>
      </c>
      <c r="E122" t="s">
        <v>4</v>
      </c>
      <c r="F122" t="s">
        <v>49</v>
      </c>
      <c r="G122" t="s">
        <v>7</v>
      </c>
    </row>
    <row r="123" spans="1:7" x14ac:dyDescent="0.3">
      <c r="A123" t="s">
        <v>11</v>
      </c>
      <c r="B123" s="1">
        <v>45900</v>
      </c>
      <c r="C123">
        <v>360022</v>
      </c>
      <c r="D123">
        <v>1.7000000000000001E-2</v>
      </c>
      <c r="E123" t="s">
        <v>4</v>
      </c>
      <c r="F123" t="s">
        <v>58</v>
      </c>
      <c r="G123" t="s">
        <v>7</v>
      </c>
    </row>
    <row r="124" spans="1:7" x14ac:dyDescent="0.3">
      <c r="A124" t="s">
        <v>11</v>
      </c>
      <c r="B124" s="1">
        <v>45900</v>
      </c>
      <c r="C124">
        <v>360026</v>
      </c>
      <c r="D124">
        <v>-105.178</v>
      </c>
      <c r="E124" t="s">
        <v>4</v>
      </c>
      <c r="F124" t="s">
        <v>58</v>
      </c>
      <c r="G124" t="s">
        <v>7</v>
      </c>
    </row>
    <row r="125" spans="1:7" x14ac:dyDescent="0.3">
      <c r="A125" t="s">
        <v>11</v>
      </c>
      <c r="B125" s="1">
        <v>45900</v>
      </c>
      <c r="C125">
        <v>360028</v>
      </c>
      <c r="D125">
        <v>8550.2090000000007</v>
      </c>
      <c r="E125" t="s">
        <v>4</v>
      </c>
      <c r="F125" t="s">
        <v>58</v>
      </c>
      <c r="G125" t="s">
        <v>7</v>
      </c>
    </row>
    <row r="126" spans="1:7" x14ac:dyDescent="0.3">
      <c r="A126" t="s">
        <v>11</v>
      </c>
      <c r="B126" s="1">
        <v>45900</v>
      </c>
      <c r="C126">
        <v>360030</v>
      </c>
      <c r="D126">
        <v>64760.123</v>
      </c>
      <c r="E126" t="s">
        <v>4</v>
      </c>
      <c r="F126" t="s">
        <v>58</v>
      </c>
      <c r="G126" t="s">
        <v>7</v>
      </c>
    </row>
    <row r="127" spans="1:7" x14ac:dyDescent="0.3">
      <c r="A127" t="s">
        <v>11</v>
      </c>
      <c r="B127" s="1">
        <v>45900</v>
      </c>
      <c r="C127">
        <v>360032</v>
      </c>
      <c r="D127">
        <v>16639</v>
      </c>
      <c r="E127" t="s">
        <v>4</v>
      </c>
      <c r="F127" t="s">
        <v>58</v>
      </c>
      <c r="G127" t="s">
        <v>7</v>
      </c>
    </row>
    <row r="128" spans="1:7" x14ac:dyDescent="0.3">
      <c r="A128" t="s">
        <v>11</v>
      </c>
      <c r="B128" s="1">
        <v>45900</v>
      </c>
      <c r="C128">
        <v>364502</v>
      </c>
      <c r="D128">
        <v>1282.5840000000001</v>
      </c>
      <c r="E128" t="s">
        <v>4</v>
      </c>
      <c r="F128" t="s">
        <v>58</v>
      </c>
      <c r="G128" t="s">
        <v>7</v>
      </c>
    </row>
    <row r="129" spans="1:7" x14ac:dyDescent="0.3">
      <c r="A129" t="s">
        <v>11</v>
      </c>
      <c r="B129" s="1">
        <v>45900</v>
      </c>
      <c r="C129">
        <v>372004</v>
      </c>
      <c r="D129">
        <v>3467.3380000000002</v>
      </c>
      <c r="E129" t="s">
        <v>4</v>
      </c>
      <c r="F129" t="s">
        <v>45</v>
      </c>
      <c r="G129" t="s">
        <v>7</v>
      </c>
    </row>
    <row r="130" spans="1:7" x14ac:dyDescent="0.3">
      <c r="A130" t="s">
        <v>11</v>
      </c>
      <c r="B130" s="1">
        <v>45900</v>
      </c>
      <c r="C130">
        <v>410002</v>
      </c>
      <c r="D130">
        <v>-106695.93799999999</v>
      </c>
      <c r="E130" t="s">
        <v>6</v>
      </c>
      <c r="F130" t="s">
        <v>51</v>
      </c>
      <c r="G130" t="s">
        <v>7</v>
      </c>
    </row>
    <row r="131" spans="1:7" x14ac:dyDescent="0.3">
      <c r="A131" t="s">
        <v>11</v>
      </c>
      <c r="B131" s="1">
        <v>45900</v>
      </c>
      <c r="C131">
        <v>410006</v>
      </c>
      <c r="D131">
        <v>-3048.991</v>
      </c>
      <c r="E131" t="s">
        <v>6</v>
      </c>
      <c r="F131" t="s">
        <v>51</v>
      </c>
      <c r="G131" t="s">
        <v>7</v>
      </c>
    </row>
    <row r="132" spans="1:7" x14ac:dyDescent="0.3">
      <c r="A132" t="s">
        <v>11</v>
      </c>
      <c r="B132" s="1">
        <v>45900</v>
      </c>
      <c r="C132">
        <v>410015</v>
      </c>
      <c r="D132">
        <v>-11083.947</v>
      </c>
      <c r="E132" t="s">
        <v>6</v>
      </c>
      <c r="F132" t="s">
        <v>51</v>
      </c>
      <c r="G132" t="s">
        <v>7</v>
      </c>
    </row>
    <row r="133" spans="1:7" x14ac:dyDescent="0.3">
      <c r="A133" t="s">
        <v>11</v>
      </c>
      <c r="B133" s="1">
        <v>45900</v>
      </c>
      <c r="C133">
        <v>410018</v>
      </c>
      <c r="D133">
        <v>-4632.93</v>
      </c>
      <c r="E133" t="s">
        <v>6</v>
      </c>
      <c r="F133" t="s">
        <v>51</v>
      </c>
      <c r="G133" t="s">
        <v>7</v>
      </c>
    </row>
    <row r="134" spans="1:7" x14ac:dyDescent="0.3">
      <c r="A134" t="s">
        <v>11</v>
      </c>
      <c r="B134" s="1">
        <v>45900</v>
      </c>
      <c r="C134">
        <v>410019</v>
      </c>
      <c r="D134">
        <v>-11.340999999999999</v>
      </c>
      <c r="E134" t="s">
        <v>6</v>
      </c>
      <c r="F134" t="s">
        <v>51</v>
      </c>
      <c r="G134" t="s">
        <v>7</v>
      </c>
    </row>
    <row r="135" spans="1:7" x14ac:dyDescent="0.3">
      <c r="A135" t="s">
        <v>11</v>
      </c>
      <c r="B135" s="1">
        <v>45900</v>
      </c>
      <c r="C135">
        <v>410032</v>
      </c>
      <c r="D135">
        <v>-9006.5280000000002</v>
      </c>
      <c r="E135" t="s">
        <v>6</v>
      </c>
      <c r="F135" t="s">
        <v>51</v>
      </c>
      <c r="G135" t="s">
        <v>7</v>
      </c>
    </row>
    <row r="136" spans="1:7" x14ac:dyDescent="0.3">
      <c r="A136" t="s">
        <v>11</v>
      </c>
      <c r="B136" s="1">
        <v>45900</v>
      </c>
      <c r="C136">
        <v>410037</v>
      </c>
      <c r="D136">
        <v>-70720.479000000007</v>
      </c>
      <c r="E136" t="s">
        <v>6</v>
      </c>
      <c r="F136" t="s">
        <v>51</v>
      </c>
      <c r="G136" t="s">
        <v>7</v>
      </c>
    </row>
    <row r="137" spans="1:7" x14ac:dyDescent="0.3">
      <c r="A137" t="s">
        <v>11</v>
      </c>
      <c r="B137" s="1">
        <v>45900</v>
      </c>
      <c r="C137">
        <v>410039</v>
      </c>
      <c r="D137">
        <v>-11.340999999999999</v>
      </c>
      <c r="E137" t="s">
        <v>6</v>
      </c>
      <c r="F137" t="s">
        <v>51</v>
      </c>
      <c r="G137" t="s">
        <v>7</v>
      </c>
    </row>
    <row r="138" spans="1:7" x14ac:dyDescent="0.3">
      <c r="A138" t="s">
        <v>11</v>
      </c>
      <c r="B138" s="1">
        <v>45900</v>
      </c>
      <c r="C138">
        <v>410046</v>
      </c>
      <c r="D138">
        <v>-2948.569</v>
      </c>
      <c r="E138" t="s">
        <v>6</v>
      </c>
      <c r="F138" t="s">
        <v>51</v>
      </c>
      <c r="G138" t="s">
        <v>7</v>
      </c>
    </row>
    <row r="139" spans="1:7" x14ac:dyDescent="0.3">
      <c r="A139" t="s">
        <v>11</v>
      </c>
      <c r="B139" s="1">
        <v>45900</v>
      </c>
      <c r="C139">
        <v>415002</v>
      </c>
      <c r="D139">
        <v>-256360.14199999999</v>
      </c>
      <c r="E139" t="s">
        <v>6</v>
      </c>
      <c r="F139" t="s">
        <v>50</v>
      </c>
      <c r="G139" t="s">
        <v>7</v>
      </c>
    </row>
    <row r="140" spans="1:7" x14ac:dyDescent="0.3">
      <c r="A140" t="s">
        <v>11</v>
      </c>
      <c r="B140" s="1">
        <v>45900</v>
      </c>
      <c r="C140">
        <v>415004</v>
      </c>
      <c r="D140">
        <v>-424464.23300000001</v>
      </c>
      <c r="E140" t="s">
        <v>6</v>
      </c>
      <c r="F140" t="s">
        <v>50</v>
      </c>
      <c r="G140" t="s">
        <v>7</v>
      </c>
    </row>
    <row r="141" spans="1:7" x14ac:dyDescent="0.3">
      <c r="A141" t="s">
        <v>11</v>
      </c>
      <c r="B141" s="1">
        <v>45900</v>
      </c>
      <c r="C141">
        <v>418002</v>
      </c>
      <c r="D141">
        <v>-1E-3</v>
      </c>
      <c r="E141" t="s">
        <v>6</v>
      </c>
      <c r="F141" t="s">
        <v>50</v>
      </c>
      <c r="G141" t="s">
        <v>7</v>
      </c>
    </row>
    <row r="142" spans="1:7" x14ac:dyDescent="0.3">
      <c r="A142" t="s">
        <v>11</v>
      </c>
      <c r="B142" s="1">
        <v>45900</v>
      </c>
      <c r="C142">
        <v>420004</v>
      </c>
      <c r="D142">
        <v>-26.507000000000001</v>
      </c>
      <c r="E142" t="s">
        <v>6</v>
      </c>
      <c r="F142" t="s">
        <v>52</v>
      </c>
      <c r="G142" t="s">
        <v>7</v>
      </c>
    </row>
    <row r="143" spans="1:7" x14ac:dyDescent="0.3">
      <c r="A143" t="s">
        <v>11</v>
      </c>
      <c r="B143" s="1">
        <v>45900</v>
      </c>
      <c r="C143">
        <v>420005</v>
      </c>
      <c r="D143">
        <v>-12267.462</v>
      </c>
      <c r="E143" t="s">
        <v>6</v>
      </c>
      <c r="F143" t="s">
        <v>59</v>
      </c>
      <c r="G143" t="s">
        <v>7</v>
      </c>
    </row>
    <row r="144" spans="1:7" x14ac:dyDescent="0.3">
      <c r="A144" t="s">
        <v>11</v>
      </c>
      <c r="B144" s="1">
        <v>45900</v>
      </c>
      <c r="C144">
        <v>421002</v>
      </c>
      <c r="D144">
        <v>-2008.87</v>
      </c>
      <c r="E144" t="s">
        <v>6</v>
      </c>
      <c r="F144" t="s">
        <v>52</v>
      </c>
      <c r="G144" t="s">
        <v>7</v>
      </c>
    </row>
    <row r="145" spans="1:7" x14ac:dyDescent="0.3">
      <c r="A145" t="s">
        <v>11</v>
      </c>
      <c r="B145" s="1">
        <v>45900</v>
      </c>
      <c r="C145">
        <v>421003</v>
      </c>
      <c r="D145">
        <v>6333.6620000000003</v>
      </c>
      <c r="E145" t="s">
        <v>6</v>
      </c>
      <c r="F145" t="s">
        <v>52</v>
      </c>
      <c r="G145" t="s">
        <v>7</v>
      </c>
    </row>
    <row r="146" spans="1:7" x14ac:dyDescent="0.3">
      <c r="A146" t="s">
        <v>11</v>
      </c>
      <c r="B146" s="1">
        <v>45900</v>
      </c>
      <c r="C146">
        <v>421004</v>
      </c>
      <c r="D146">
        <v>86684.543999999994</v>
      </c>
      <c r="E146" t="s">
        <v>6</v>
      </c>
      <c r="F146" t="s">
        <v>52</v>
      </c>
      <c r="G146" t="s">
        <v>7</v>
      </c>
    </row>
    <row r="147" spans="1:7" x14ac:dyDescent="0.3">
      <c r="A147" t="s">
        <v>11</v>
      </c>
      <c r="B147" s="1">
        <v>45900</v>
      </c>
      <c r="C147">
        <v>421007</v>
      </c>
      <c r="D147">
        <v>-2205.114</v>
      </c>
      <c r="E147" t="s">
        <v>6</v>
      </c>
      <c r="F147" t="s">
        <v>52</v>
      </c>
      <c r="G147" t="s">
        <v>7</v>
      </c>
    </row>
    <row r="148" spans="1:7" x14ac:dyDescent="0.3">
      <c r="A148" t="s">
        <v>11</v>
      </c>
      <c r="B148" s="1">
        <v>45900</v>
      </c>
      <c r="C148">
        <v>510002</v>
      </c>
      <c r="D148">
        <v>239704.41899999999</v>
      </c>
      <c r="E148" t="s">
        <v>6</v>
      </c>
      <c r="F148" t="s">
        <v>53</v>
      </c>
      <c r="G148" t="s">
        <v>7</v>
      </c>
    </row>
    <row r="149" spans="1:7" x14ac:dyDescent="0.3">
      <c r="A149" t="s">
        <v>11</v>
      </c>
      <c r="B149" s="1">
        <v>45900</v>
      </c>
      <c r="C149">
        <v>510005</v>
      </c>
      <c r="D149">
        <v>13141.932000000001</v>
      </c>
      <c r="E149" t="s">
        <v>6</v>
      </c>
      <c r="F149" t="s">
        <v>53</v>
      </c>
      <c r="G149" t="s">
        <v>7</v>
      </c>
    </row>
    <row r="150" spans="1:7" x14ac:dyDescent="0.3">
      <c r="A150" t="s">
        <v>11</v>
      </c>
      <c r="B150" s="1">
        <v>45900</v>
      </c>
      <c r="C150">
        <v>510007</v>
      </c>
      <c r="D150">
        <v>23677.982</v>
      </c>
      <c r="E150" t="s">
        <v>6</v>
      </c>
      <c r="F150" t="s">
        <v>53</v>
      </c>
      <c r="G150" t="s">
        <v>7</v>
      </c>
    </row>
    <row r="151" spans="1:7" x14ac:dyDescent="0.3">
      <c r="A151" t="s">
        <v>11</v>
      </c>
      <c r="B151" s="1">
        <v>45900</v>
      </c>
      <c r="C151">
        <v>510012</v>
      </c>
      <c r="D151">
        <v>174.869</v>
      </c>
      <c r="E151" t="s">
        <v>6</v>
      </c>
      <c r="F151" t="s">
        <v>53</v>
      </c>
      <c r="G151" t="s">
        <v>7</v>
      </c>
    </row>
    <row r="152" spans="1:7" x14ac:dyDescent="0.3">
      <c r="A152" t="s">
        <v>11</v>
      </c>
      <c r="B152" s="1">
        <v>45900</v>
      </c>
      <c r="C152">
        <v>510015</v>
      </c>
      <c r="D152">
        <v>11658.03</v>
      </c>
      <c r="E152" t="s">
        <v>6</v>
      </c>
      <c r="F152" t="s">
        <v>53</v>
      </c>
      <c r="G152" t="s">
        <v>7</v>
      </c>
    </row>
    <row r="153" spans="1:7" x14ac:dyDescent="0.3">
      <c r="A153" t="s">
        <v>11</v>
      </c>
      <c r="B153" s="1">
        <v>45900</v>
      </c>
      <c r="C153">
        <v>510018</v>
      </c>
      <c r="D153">
        <v>9559.518</v>
      </c>
      <c r="E153" t="s">
        <v>6</v>
      </c>
      <c r="F153" t="s">
        <v>53</v>
      </c>
      <c r="G153" t="s">
        <v>7</v>
      </c>
    </row>
    <row r="154" spans="1:7" x14ac:dyDescent="0.3">
      <c r="A154" t="s">
        <v>11</v>
      </c>
      <c r="B154" s="1">
        <v>45900</v>
      </c>
      <c r="C154">
        <v>510059</v>
      </c>
      <c r="D154">
        <v>447.46800000000002</v>
      </c>
      <c r="E154" t="s">
        <v>6</v>
      </c>
      <c r="F154" t="s">
        <v>53</v>
      </c>
      <c r="G154" t="s">
        <v>7</v>
      </c>
    </row>
    <row r="155" spans="1:7" x14ac:dyDescent="0.3">
      <c r="A155" t="s">
        <v>11</v>
      </c>
      <c r="B155" s="1">
        <v>45900</v>
      </c>
      <c r="C155">
        <v>510062</v>
      </c>
      <c r="D155">
        <v>285.173</v>
      </c>
      <c r="E155" t="s">
        <v>6</v>
      </c>
      <c r="F155" t="s">
        <v>53</v>
      </c>
      <c r="G155" t="s">
        <v>7</v>
      </c>
    </row>
    <row r="156" spans="1:7" x14ac:dyDescent="0.3">
      <c r="A156" t="s">
        <v>11</v>
      </c>
      <c r="B156" s="1">
        <v>45900</v>
      </c>
      <c r="C156">
        <v>510064</v>
      </c>
      <c r="D156">
        <v>491.875</v>
      </c>
      <c r="E156" t="s">
        <v>6</v>
      </c>
      <c r="F156" t="s">
        <v>53</v>
      </c>
      <c r="G156" t="s">
        <v>7</v>
      </c>
    </row>
    <row r="157" spans="1:7" x14ac:dyDescent="0.3">
      <c r="A157" t="s">
        <v>11</v>
      </c>
      <c r="B157" s="1">
        <v>45900</v>
      </c>
      <c r="C157">
        <v>510065</v>
      </c>
      <c r="D157">
        <v>262.53199999999998</v>
      </c>
      <c r="E157" t="s">
        <v>6</v>
      </c>
      <c r="F157" t="s">
        <v>53</v>
      </c>
      <c r="G157" t="s">
        <v>7</v>
      </c>
    </row>
    <row r="158" spans="1:7" x14ac:dyDescent="0.3">
      <c r="A158" t="s">
        <v>11</v>
      </c>
      <c r="B158" s="1">
        <v>45900</v>
      </c>
      <c r="C158">
        <v>520021</v>
      </c>
      <c r="D158">
        <v>457.50700000000001</v>
      </c>
      <c r="E158" t="s">
        <v>6</v>
      </c>
      <c r="F158" t="s">
        <v>60</v>
      </c>
      <c r="G158" t="s">
        <v>7</v>
      </c>
    </row>
    <row r="159" spans="1:7" x14ac:dyDescent="0.3">
      <c r="A159" t="s">
        <v>11</v>
      </c>
      <c r="B159" s="1">
        <v>45900</v>
      </c>
      <c r="C159">
        <v>541002</v>
      </c>
      <c r="D159">
        <v>1330.8209999999999</v>
      </c>
      <c r="E159" t="s">
        <v>6</v>
      </c>
      <c r="F159" t="s">
        <v>61</v>
      </c>
      <c r="G159" t="s">
        <v>7</v>
      </c>
    </row>
    <row r="160" spans="1:7" x14ac:dyDescent="0.3">
      <c r="A160" t="s">
        <v>11</v>
      </c>
      <c r="B160" s="1">
        <v>45900</v>
      </c>
      <c r="C160">
        <v>541008</v>
      </c>
      <c r="D160">
        <v>863.38199999999995</v>
      </c>
      <c r="E160" t="s">
        <v>6</v>
      </c>
      <c r="F160" t="s">
        <v>61</v>
      </c>
      <c r="G160" t="s">
        <v>7</v>
      </c>
    </row>
    <row r="161" spans="1:7" x14ac:dyDescent="0.3">
      <c r="A161" t="s">
        <v>11</v>
      </c>
      <c r="B161" s="1">
        <v>45900</v>
      </c>
      <c r="C161">
        <v>541009</v>
      </c>
      <c r="D161">
        <v>3471.0949999999998</v>
      </c>
      <c r="E161" t="s">
        <v>6</v>
      </c>
      <c r="F161" t="s">
        <v>61</v>
      </c>
      <c r="G161" t="s">
        <v>7</v>
      </c>
    </row>
    <row r="162" spans="1:7" x14ac:dyDescent="0.3">
      <c r="A162" t="s">
        <v>11</v>
      </c>
      <c r="B162" s="1">
        <v>45900</v>
      </c>
      <c r="C162">
        <v>541010</v>
      </c>
      <c r="D162">
        <v>1825.9490000000001</v>
      </c>
      <c r="E162" t="s">
        <v>6</v>
      </c>
      <c r="F162" t="s">
        <v>61</v>
      </c>
      <c r="G162" t="s">
        <v>7</v>
      </c>
    </row>
    <row r="163" spans="1:7" x14ac:dyDescent="0.3">
      <c r="A163" t="s">
        <v>11</v>
      </c>
      <c r="B163" s="1">
        <v>45900</v>
      </c>
      <c r="C163">
        <v>541013</v>
      </c>
      <c r="D163">
        <v>508.46600000000001</v>
      </c>
      <c r="E163" t="s">
        <v>6</v>
      </c>
      <c r="F163" t="s">
        <v>61</v>
      </c>
      <c r="G163" t="s">
        <v>7</v>
      </c>
    </row>
    <row r="164" spans="1:7" x14ac:dyDescent="0.3">
      <c r="A164" t="s">
        <v>11</v>
      </c>
      <c r="B164" s="1">
        <v>45900</v>
      </c>
      <c r="C164">
        <v>544006</v>
      </c>
      <c r="D164">
        <v>873.29700000000003</v>
      </c>
      <c r="E164" t="s">
        <v>6</v>
      </c>
      <c r="F164" t="s">
        <v>61</v>
      </c>
      <c r="G164" t="s">
        <v>7</v>
      </c>
    </row>
    <row r="165" spans="1:7" x14ac:dyDescent="0.3">
      <c r="A165" t="s">
        <v>11</v>
      </c>
      <c r="B165" s="1">
        <v>45900</v>
      </c>
      <c r="C165">
        <v>546002</v>
      </c>
      <c r="D165">
        <v>403241.05</v>
      </c>
      <c r="E165" t="s">
        <v>6</v>
      </c>
      <c r="F165" t="s">
        <v>51</v>
      </c>
      <c r="G165" t="s">
        <v>7</v>
      </c>
    </row>
    <row r="166" spans="1:7" x14ac:dyDescent="0.3">
      <c r="A166" t="s">
        <v>11</v>
      </c>
      <c r="B166" s="1">
        <v>45900</v>
      </c>
      <c r="C166">
        <v>546013</v>
      </c>
      <c r="D166">
        <v>16845.448</v>
      </c>
      <c r="E166" t="s">
        <v>6</v>
      </c>
      <c r="F166" t="s">
        <v>51</v>
      </c>
      <c r="G166" t="s">
        <v>7</v>
      </c>
    </row>
    <row r="167" spans="1:7" x14ac:dyDescent="0.3">
      <c r="A167" t="s">
        <v>11</v>
      </c>
      <c r="B167" s="1">
        <v>45900</v>
      </c>
      <c r="C167">
        <v>546015</v>
      </c>
      <c r="D167">
        <v>33660.116000000002</v>
      </c>
      <c r="E167" t="s">
        <v>6</v>
      </c>
      <c r="F167" t="s">
        <v>51</v>
      </c>
      <c r="G167" t="s">
        <v>7</v>
      </c>
    </row>
    <row r="168" spans="1:7" x14ac:dyDescent="0.3">
      <c r="A168" t="s">
        <v>11</v>
      </c>
      <c r="B168" s="1">
        <v>45900</v>
      </c>
      <c r="C168">
        <v>546016</v>
      </c>
      <c r="D168">
        <v>1248.4100000000001</v>
      </c>
      <c r="E168" t="s">
        <v>6</v>
      </c>
      <c r="F168" t="s">
        <v>51</v>
      </c>
      <c r="G168" t="s">
        <v>7</v>
      </c>
    </row>
    <row r="169" spans="1:7" x14ac:dyDescent="0.3">
      <c r="A169" t="s">
        <v>11</v>
      </c>
      <c r="B169" s="1">
        <v>45900</v>
      </c>
      <c r="C169">
        <v>546019</v>
      </c>
      <c r="D169">
        <v>3831.3310000000001</v>
      </c>
      <c r="E169" t="s">
        <v>6</v>
      </c>
      <c r="F169" t="s">
        <v>51</v>
      </c>
      <c r="G169" t="s">
        <v>7</v>
      </c>
    </row>
    <row r="170" spans="1:7" x14ac:dyDescent="0.3">
      <c r="A170" t="s">
        <v>11</v>
      </c>
      <c r="B170" s="1">
        <v>45900</v>
      </c>
      <c r="C170">
        <v>546024</v>
      </c>
      <c r="D170">
        <v>4842.223</v>
      </c>
      <c r="E170" t="s">
        <v>6</v>
      </c>
      <c r="F170" t="s">
        <v>51</v>
      </c>
      <c r="G170" t="s">
        <v>7</v>
      </c>
    </row>
    <row r="171" spans="1:7" x14ac:dyDescent="0.3">
      <c r="A171" t="s">
        <v>11</v>
      </c>
      <c r="B171" s="1">
        <v>45900</v>
      </c>
      <c r="C171">
        <v>546035</v>
      </c>
      <c r="D171">
        <v>28956.949000000001</v>
      </c>
      <c r="E171" t="s">
        <v>6</v>
      </c>
      <c r="F171" t="s">
        <v>51</v>
      </c>
      <c r="G171" t="s">
        <v>7</v>
      </c>
    </row>
    <row r="172" spans="1:7" x14ac:dyDescent="0.3">
      <c r="A172" t="s">
        <v>11</v>
      </c>
      <c r="B172" s="1">
        <v>45900</v>
      </c>
      <c r="C172">
        <v>546040</v>
      </c>
      <c r="D172">
        <v>6316.5159999999996</v>
      </c>
      <c r="E172" t="s">
        <v>6</v>
      </c>
      <c r="F172" t="s">
        <v>51</v>
      </c>
      <c r="G172" t="s">
        <v>7</v>
      </c>
    </row>
    <row r="173" spans="1:7" x14ac:dyDescent="0.3">
      <c r="A173" t="s">
        <v>11</v>
      </c>
      <c r="B173" s="1">
        <v>45900</v>
      </c>
      <c r="C173">
        <v>546045</v>
      </c>
      <c r="D173">
        <v>261.20499999999998</v>
      </c>
      <c r="E173" t="s">
        <v>6</v>
      </c>
      <c r="F173" t="s">
        <v>51</v>
      </c>
      <c r="G173" t="s">
        <v>7</v>
      </c>
    </row>
    <row r="174" spans="1:7" x14ac:dyDescent="0.3">
      <c r="A174" t="s">
        <v>11</v>
      </c>
      <c r="B174" s="1">
        <v>45900</v>
      </c>
      <c r="C174">
        <v>547002</v>
      </c>
      <c r="D174">
        <v>4224.1180000000004</v>
      </c>
      <c r="E174" t="s">
        <v>6</v>
      </c>
      <c r="F174" t="s">
        <v>54</v>
      </c>
      <c r="G174" t="s">
        <v>7</v>
      </c>
    </row>
    <row r="175" spans="1:7" x14ac:dyDescent="0.3">
      <c r="A175" t="s">
        <v>11</v>
      </c>
      <c r="B175" s="1">
        <v>45900</v>
      </c>
      <c r="C175">
        <v>550003</v>
      </c>
      <c r="D175">
        <v>19884.129000000001</v>
      </c>
      <c r="E175" t="s">
        <v>6</v>
      </c>
      <c r="F175" t="s">
        <v>62</v>
      </c>
      <c r="G175" t="s">
        <v>7</v>
      </c>
    </row>
    <row r="176" spans="1:7" x14ac:dyDescent="0.3">
      <c r="A176" t="s">
        <v>11</v>
      </c>
      <c r="B176" s="1">
        <v>45900</v>
      </c>
      <c r="C176">
        <v>551003</v>
      </c>
      <c r="D176">
        <v>1521.1759999999999</v>
      </c>
      <c r="E176" t="s">
        <v>6</v>
      </c>
      <c r="F176" t="s">
        <v>63</v>
      </c>
      <c r="G176" t="s">
        <v>7</v>
      </c>
    </row>
    <row r="177" spans="1:7" x14ac:dyDescent="0.3">
      <c r="A177" t="s">
        <v>11</v>
      </c>
      <c r="B177" s="1">
        <v>45900</v>
      </c>
      <c r="C177">
        <v>552502</v>
      </c>
      <c r="D177">
        <v>538.553</v>
      </c>
      <c r="E177" t="s">
        <v>6</v>
      </c>
      <c r="F177" t="s">
        <v>55</v>
      </c>
      <c r="G177" t="s">
        <v>7</v>
      </c>
    </row>
    <row r="178" spans="1:7" x14ac:dyDescent="0.3">
      <c r="A178" t="s">
        <v>11</v>
      </c>
      <c r="B178" s="1">
        <v>45900</v>
      </c>
      <c r="C178">
        <v>555007</v>
      </c>
      <c r="D178">
        <v>626.64</v>
      </c>
      <c r="E178" t="s">
        <v>6</v>
      </c>
      <c r="F178" t="s">
        <v>55</v>
      </c>
      <c r="G178" t="s">
        <v>7</v>
      </c>
    </row>
    <row r="179" spans="1:7" x14ac:dyDescent="0.3">
      <c r="A179" t="s">
        <v>11</v>
      </c>
      <c r="B179" s="1">
        <v>45900</v>
      </c>
      <c r="C179">
        <v>556002</v>
      </c>
      <c r="D179">
        <v>268.214</v>
      </c>
      <c r="E179" t="s">
        <v>6</v>
      </c>
      <c r="F179" t="s">
        <v>60</v>
      </c>
      <c r="G179" t="s">
        <v>7</v>
      </c>
    </row>
    <row r="180" spans="1:7" x14ac:dyDescent="0.3">
      <c r="A180" t="s">
        <v>11</v>
      </c>
      <c r="B180" s="1">
        <v>45900</v>
      </c>
      <c r="C180">
        <v>556004</v>
      </c>
      <c r="D180">
        <v>11.347</v>
      </c>
      <c r="E180" t="s">
        <v>6</v>
      </c>
      <c r="F180" t="s">
        <v>55</v>
      </c>
      <c r="G180" t="s">
        <v>7</v>
      </c>
    </row>
    <row r="181" spans="1:7" x14ac:dyDescent="0.3">
      <c r="A181" t="s">
        <v>11</v>
      </c>
      <c r="B181" s="1">
        <v>45900</v>
      </c>
      <c r="C181">
        <v>557002</v>
      </c>
      <c r="D181">
        <v>5463.8029999999999</v>
      </c>
      <c r="E181" t="s">
        <v>6</v>
      </c>
      <c r="F181" t="s">
        <v>56</v>
      </c>
      <c r="G181" t="s">
        <v>7</v>
      </c>
    </row>
    <row r="182" spans="1:7" x14ac:dyDescent="0.3">
      <c r="A182" t="s">
        <v>11</v>
      </c>
      <c r="B182" s="1">
        <v>45900</v>
      </c>
      <c r="C182">
        <v>563002</v>
      </c>
      <c r="D182">
        <v>-9073.8520000000008</v>
      </c>
      <c r="E182" t="s">
        <v>6</v>
      </c>
      <c r="F182" t="s">
        <v>57</v>
      </c>
      <c r="G182" t="s">
        <v>7</v>
      </c>
    </row>
    <row r="183" spans="1:7" x14ac:dyDescent="0.3">
      <c r="A183" t="s">
        <v>11</v>
      </c>
      <c r="B183" s="1">
        <v>45900</v>
      </c>
      <c r="C183">
        <v>564004</v>
      </c>
      <c r="D183">
        <v>7502.2309999999998</v>
      </c>
      <c r="E183" t="s">
        <v>6</v>
      </c>
      <c r="F183" t="s">
        <v>51</v>
      </c>
      <c r="G183" t="s">
        <v>7</v>
      </c>
    </row>
    <row r="184" spans="1:7" x14ac:dyDescent="0.3">
      <c r="A184" t="s">
        <v>11</v>
      </c>
      <c r="B184" s="1">
        <v>45900</v>
      </c>
      <c r="C184">
        <v>564006</v>
      </c>
      <c r="D184">
        <v>6.0000000000000001E-3</v>
      </c>
      <c r="E184" t="s">
        <v>6</v>
      </c>
      <c r="F184" t="s">
        <v>57</v>
      </c>
      <c r="G184" t="s">
        <v>7</v>
      </c>
    </row>
    <row r="185" spans="1:7" x14ac:dyDescent="0.3">
      <c r="A185" t="s">
        <v>11</v>
      </c>
      <c r="B185" s="1">
        <v>45900</v>
      </c>
      <c r="C185">
        <v>564007</v>
      </c>
      <c r="D185">
        <v>1E-3</v>
      </c>
      <c r="E185" t="s">
        <v>6</v>
      </c>
      <c r="F185" t="s">
        <v>57</v>
      </c>
      <c r="G185" t="s">
        <v>7</v>
      </c>
    </row>
    <row r="186" spans="1:7" x14ac:dyDescent="0.3">
      <c r="A186" t="s">
        <v>11</v>
      </c>
      <c r="B186" s="1">
        <v>45900</v>
      </c>
      <c r="C186">
        <v>564020</v>
      </c>
      <c r="D186">
        <v>282.22399999999999</v>
      </c>
      <c r="E186" t="s">
        <v>6</v>
      </c>
      <c r="F186" t="s">
        <v>57</v>
      </c>
      <c r="G186" t="s">
        <v>7</v>
      </c>
    </row>
    <row r="187" spans="1:7" x14ac:dyDescent="0.3">
      <c r="A187" t="s">
        <v>11</v>
      </c>
      <c r="B187" s="1">
        <v>45900</v>
      </c>
      <c r="C187">
        <v>564021</v>
      </c>
      <c r="D187">
        <v>21.253</v>
      </c>
      <c r="E187" t="s">
        <v>6</v>
      </c>
      <c r="F187" t="s">
        <v>57</v>
      </c>
      <c r="G187" t="s">
        <v>7</v>
      </c>
    </row>
    <row r="188" spans="1:7" x14ac:dyDescent="0.3">
      <c r="A188" t="s">
        <v>12</v>
      </c>
      <c r="B188" s="1">
        <v>45900</v>
      </c>
      <c r="C188">
        <v>220006</v>
      </c>
      <c r="D188">
        <v>4040.5859999999998</v>
      </c>
      <c r="E188" t="s">
        <v>4</v>
      </c>
      <c r="F188" t="s">
        <v>42</v>
      </c>
      <c r="G188" t="s">
        <v>8</v>
      </c>
    </row>
    <row r="189" spans="1:7" x14ac:dyDescent="0.3">
      <c r="A189" t="s">
        <v>12</v>
      </c>
      <c r="B189" s="1">
        <v>45900</v>
      </c>
      <c r="C189">
        <v>243002</v>
      </c>
      <c r="D189">
        <v>-11655.493</v>
      </c>
      <c r="E189" t="s">
        <v>4</v>
      </c>
      <c r="F189" t="s">
        <v>43</v>
      </c>
      <c r="G189" t="s">
        <v>8</v>
      </c>
    </row>
    <row r="190" spans="1:7" x14ac:dyDescent="0.3">
      <c r="A190" t="s">
        <v>12</v>
      </c>
      <c r="B190" s="1">
        <v>45900</v>
      </c>
      <c r="C190">
        <v>330143</v>
      </c>
      <c r="D190">
        <v>-2143.3440000000001</v>
      </c>
      <c r="E190" t="s">
        <v>4</v>
      </c>
      <c r="F190" t="s">
        <v>43</v>
      </c>
      <c r="G190" t="s">
        <v>8</v>
      </c>
    </row>
    <row r="191" spans="1:7" x14ac:dyDescent="0.3">
      <c r="A191" t="s">
        <v>12</v>
      </c>
      <c r="B191" s="1">
        <v>45900</v>
      </c>
      <c r="C191">
        <v>372004</v>
      </c>
      <c r="D191">
        <v>361.96899999999999</v>
      </c>
      <c r="E191" t="s">
        <v>4</v>
      </c>
      <c r="F191" t="s">
        <v>45</v>
      </c>
      <c r="G191" t="s">
        <v>8</v>
      </c>
    </row>
    <row r="192" spans="1:7" x14ac:dyDescent="0.3">
      <c r="A192" t="s">
        <v>12</v>
      </c>
      <c r="B192" s="1">
        <v>45900</v>
      </c>
      <c r="C192">
        <v>557002</v>
      </c>
      <c r="D192">
        <v>9600.2459999999992</v>
      </c>
      <c r="E192" t="s">
        <v>6</v>
      </c>
      <c r="F192" t="s">
        <v>56</v>
      </c>
      <c r="G192" t="s">
        <v>8</v>
      </c>
    </row>
    <row r="193" spans="1:7" x14ac:dyDescent="0.3">
      <c r="A193" t="s">
        <v>13</v>
      </c>
      <c r="B193" s="1">
        <v>45900</v>
      </c>
      <c r="C193">
        <v>210002</v>
      </c>
      <c r="D193">
        <v>-12358.924999999999</v>
      </c>
      <c r="E193" t="s">
        <v>4</v>
      </c>
      <c r="F193" t="s">
        <v>42</v>
      </c>
      <c r="G193" t="s">
        <v>8</v>
      </c>
    </row>
    <row r="194" spans="1:7" x14ac:dyDescent="0.3">
      <c r="A194" t="s">
        <v>13</v>
      </c>
      <c r="B194" s="1">
        <v>45900</v>
      </c>
      <c r="C194">
        <v>220004</v>
      </c>
      <c r="D194">
        <v>-1852.2719999999999</v>
      </c>
      <c r="E194" t="s">
        <v>4</v>
      </c>
      <c r="F194" t="s">
        <v>42</v>
      </c>
      <c r="G194" t="s">
        <v>8</v>
      </c>
    </row>
    <row r="195" spans="1:7" x14ac:dyDescent="0.3">
      <c r="A195" t="s">
        <v>13</v>
      </c>
      <c r="B195" s="1">
        <v>45900</v>
      </c>
      <c r="C195">
        <v>220006</v>
      </c>
      <c r="D195">
        <v>-651014.66500000004</v>
      </c>
      <c r="E195" t="s">
        <v>4</v>
      </c>
      <c r="F195" t="s">
        <v>42</v>
      </c>
      <c r="G195" t="s">
        <v>8</v>
      </c>
    </row>
    <row r="196" spans="1:7" x14ac:dyDescent="0.3">
      <c r="A196" t="s">
        <v>13</v>
      </c>
      <c r="B196" s="1">
        <v>45900</v>
      </c>
      <c r="C196">
        <v>220011</v>
      </c>
      <c r="D196">
        <v>-6.5739999999999998</v>
      </c>
      <c r="E196" t="s">
        <v>4</v>
      </c>
      <c r="F196" t="s">
        <v>42</v>
      </c>
      <c r="G196" t="s">
        <v>8</v>
      </c>
    </row>
    <row r="197" spans="1:7" x14ac:dyDescent="0.3">
      <c r="A197" t="s">
        <v>13</v>
      </c>
      <c r="B197" s="1">
        <v>45900</v>
      </c>
      <c r="C197">
        <v>234003</v>
      </c>
      <c r="D197">
        <v>372.47300000000001</v>
      </c>
      <c r="E197" t="s">
        <v>4</v>
      </c>
      <c r="F197" t="s">
        <v>43</v>
      </c>
      <c r="G197" t="s">
        <v>8</v>
      </c>
    </row>
    <row r="198" spans="1:7" x14ac:dyDescent="0.3">
      <c r="A198" t="s">
        <v>13</v>
      </c>
      <c r="B198" s="1">
        <v>45900</v>
      </c>
      <c r="C198">
        <v>240002</v>
      </c>
      <c r="D198">
        <v>-16534.356</v>
      </c>
      <c r="E198" t="s">
        <v>4</v>
      </c>
      <c r="F198" t="s">
        <v>43</v>
      </c>
      <c r="G198" t="s">
        <v>8</v>
      </c>
    </row>
    <row r="199" spans="1:7" x14ac:dyDescent="0.3">
      <c r="A199" t="s">
        <v>13</v>
      </c>
      <c r="B199" s="1">
        <v>45900</v>
      </c>
      <c r="C199">
        <v>240009</v>
      </c>
      <c r="D199">
        <v>-370.76499999999999</v>
      </c>
      <c r="E199" t="s">
        <v>4</v>
      </c>
      <c r="F199" t="s">
        <v>43</v>
      </c>
      <c r="G199" t="s">
        <v>8</v>
      </c>
    </row>
    <row r="200" spans="1:7" x14ac:dyDescent="0.3">
      <c r="A200" t="s">
        <v>13</v>
      </c>
      <c r="B200" s="1">
        <v>45900</v>
      </c>
      <c r="C200">
        <v>242003</v>
      </c>
      <c r="D200">
        <v>-24567.062000000002</v>
      </c>
      <c r="E200" t="s">
        <v>4</v>
      </c>
      <c r="F200" t="s">
        <v>43</v>
      </c>
      <c r="G200" t="s">
        <v>8</v>
      </c>
    </row>
    <row r="201" spans="1:7" x14ac:dyDescent="0.3">
      <c r="A201" t="s">
        <v>13</v>
      </c>
      <c r="B201" s="1">
        <v>45900</v>
      </c>
      <c r="C201">
        <v>242011</v>
      </c>
      <c r="D201">
        <v>-811.73299999999995</v>
      </c>
      <c r="E201" t="s">
        <v>4</v>
      </c>
      <c r="F201" t="s">
        <v>43</v>
      </c>
      <c r="G201" t="s">
        <v>8</v>
      </c>
    </row>
    <row r="202" spans="1:7" x14ac:dyDescent="0.3">
      <c r="A202" t="s">
        <v>13</v>
      </c>
      <c r="B202" s="1">
        <v>45900</v>
      </c>
      <c r="C202">
        <v>242023</v>
      </c>
      <c r="D202">
        <v>-847.41300000000001</v>
      </c>
      <c r="E202" t="s">
        <v>4</v>
      </c>
      <c r="F202" t="s">
        <v>43</v>
      </c>
      <c r="G202" t="s">
        <v>8</v>
      </c>
    </row>
    <row r="203" spans="1:7" x14ac:dyDescent="0.3">
      <c r="A203" t="s">
        <v>13</v>
      </c>
      <c r="B203" s="1">
        <v>45900</v>
      </c>
      <c r="C203">
        <v>242027</v>
      </c>
      <c r="D203">
        <v>-4028.4810000000002</v>
      </c>
      <c r="E203" t="s">
        <v>4</v>
      </c>
      <c r="F203" t="s">
        <v>43</v>
      </c>
      <c r="G203" t="s">
        <v>8</v>
      </c>
    </row>
    <row r="204" spans="1:7" x14ac:dyDescent="0.3">
      <c r="A204" t="s">
        <v>13</v>
      </c>
      <c r="B204" s="1">
        <v>45900</v>
      </c>
      <c r="C204">
        <v>242036</v>
      </c>
      <c r="D204">
        <v>-6053.7120000000004</v>
      </c>
      <c r="E204" t="s">
        <v>4</v>
      </c>
      <c r="F204" t="s">
        <v>43</v>
      </c>
      <c r="G204" t="s">
        <v>8</v>
      </c>
    </row>
    <row r="205" spans="1:7" x14ac:dyDescent="0.3">
      <c r="A205" t="s">
        <v>13</v>
      </c>
      <c r="B205" s="1">
        <v>45900</v>
      </c>
      <c r="C205">
        <v>242039</v>
      </c>
      <c r="D205">
        <v>-1966.3309999999999</v>
      </c>
      <c r="E205" t="s">
        <v>4</v>
      </c>
      <c r="F205" t="s">
        <v>43</v>
      </c>
      <c r="G205" t="s">
        <v>8</v>
      </c>
    </row>
    <row r="206" spans="1:7" x14ac:dyDescent="0.3">
      <c r="A206" t="s">
        <v>13</v>
      </c>
      <c r="B206" s="1">
        <v>45900</v>
      </c>
      <c r="C206">
        <v>242041</v>
      </c>
      <c r="D206">
        <v>-256.286</v>
      </c>
      <c r="E206" t="s">
        <v>4</v>
      </c>
      <c r="F206" t="s">
        <v>43</v>
      </c>
      <c r="G206" t="s">
        <v>8</v>
      </c>
    </row>
    <row r="207" spans="1:7" x14ac:dyDescent="0.3">
      <c r="A207" t="s">
        <v>13</v>
      </c>
      <c r="B207" s="1">
        <v>45900</v>
      </c>
      <c r="C207">
        <v>243002</v>
      </c>
      <c r="D207">
        <v>-23515.675999999999</v>
      </c>
      <c r="E207" t="s">
        <v>4</v>
      </c>
      <c r="F207" t="s">
        <v>43</v>
      </c>
      <c r="G207" t="s">
        <v>8</v>
      </c>
    </row>
    <row r="208" spans="1:7" x14ac:dyDescent="0.3">
      <c r="A208" t="s">
        <v>13</v>
      </c>
      <c r="B208" s="1">
        <v>45900</v>
      </c>
      <c r="C208">
        <v>243011</v>
      </c>
      <c r="D208">
        <v>-36607.506999999998</v>
      </c>
      <c r="E208" t="s">
        <v>4</v>
      </c>
      <c r="F208" t="s">
        <v>43</v>
      </c>
      <c r="G208" t="s">
        <v>8</v>
      </c>
    </row>
    <row r="209" spans="1:7" x14ac:dyDescent="0.3">
      <c r="A209" t="s">
        <v>13</v>
      </c>
      <c r="B209" s="1">
        <v>45900</v>
      </c>
      <c r="C209">
        <v>245010</v>
      </c>
      <c r="D209">
        <v>-7933.607</v>
      </c>
      <c r="E209" t="s">
        <v>4</v>
      </c>
      <c r="F209" t="s">
        <v>44</v>
      </c>
      <c r="G209" t="s">
        <v>8</v>
      </c>
    </row>
    <row r="210" spans="1:7" x14ac:dyDescent="0.3">
      <c r="A210" t="s">
        <v>13</v>
      </c>
      <c r="B210" s="1">
        <v>45900</v>
      </c>
      <c r="C210">
        <v>245049</v>
      </c>
      <c r="D210">
        <v>-218.75399999999999</v>
      </c>
      <c r="E210" t="s">
        <v>4</v>
      </c>
      <c r="F210" t="s">
        <v>43</v>
      </c>
      <c r="G210" t="s">
        <v>8</v>
      </c>
    </row>
    <row r="211" spans="1:7" x14ac:dyDescent="0.3">
      <c r="A211" t="s">
        <v>13</v>
      </c>
      <c r="B211" s="1">
        <v>45900</v>
      </c>
      <c r="C211">
        <v>245056</v>
      </c>
      <c r="D211">
        <v>-345.92399999999998</v>
      </c>
      <c r="E211" t="s">
        <v>4</v>
      </c>
      <c r="F211" t="s">
        <v>49</v>
      </c>
      <c r="G211" t="s">
        <v>8</v>
      </c>
    </row>
    <row r="212" spans="1:7" x14ac:dyDescent="0.3">
      <c r="A212" t="s">
        <v>13</v>
      </c>
      <c r="B212" s="1">
        <v>45900</v>
      </c>
      <c r="C212">
        <v>245062</v>
      </c>
      <c r="D212">
        <v>-684.06600000000003</v>
      </c>
      <c r="E212" t="s">
        <v>4</v>
      </c>
      <c r="F212" t="s">
        <v>43</v>
      </c>
      <c r="G212" t="s">
        <v>8</v>
      </c>
    </row>
    <row r="213" spans="1:7" x14ac:dyDescent="0.3">
      <c r="A213" t="s">
        <v>13</v>
      </c>
      <c r="B213" s="1">
        <v>45900</v>
      </c>
      <c r="C213">
        <v>250003</v>
      </c>
      <c r="D213">
        <v>-9495.5609999999997</v>
      </c>
      <c r="E213" t="s">
        <v>4</v>
      </c>
      <c r="F213" t="s">
        <v>45</v>
      </c>
      <c r="G213" t="s">
        <v>8</v>
      </c>
    </row>
    <row r="214" spans="1:7" x14ac:dyDescent="0.3">
      <c r="A214" t="s">
        <v>13</v>
      </c>
      <c r="B214" s="1">
        <v>45900</v>
      </c>
      <c r="C214">
        <v>251002</v>
      </c>
      <c r="D214">
        <v>-1921.595</v>
      </c>
      <c r="E214" t="s">
        <v>4</v>
      </c>
      <c r="F214" t="s">
        <v>45</v>
      </c>
      <c r="G214" t="s">
        <v>8</v>
      </c>
    </row>
    <row r="215" spans="1:7" x14ac:dyDescent="0.3">
      <c r="A215" t="s">
        <v>13</v>
      </c>
      <c r="B215" s="1">
        <v>45900</v>
      </c>
      <c r="C215">
        <v>251003</v>
      </c>
      <c r="D215">
        <v>652915.86199999996</v>
      </c>
      <c r="E215" t="s">
        <v>4</v>
      </c>
      <c r="F215" t="s">
        <v>45</v>
      </c>
      <c r="G215" t="s">
        <v>8</v>
      </c>
    </row>
    <row r="216" spans="1:7" x14ac:dyDescent="0.3">
      <c r="A216" t="s">
        <v>13</v>
      </c>
      <c r="B216" s="1">
        <v>45900</v>
      </c>
      <c r="C216">
        <v>251005</v>
      </c>
      <c r="D216">
        <v>3187.875</v>
      </c>
      <c r="E216" t="s">
        <v>4</v>
      </c>
      <c r="F216" t="s">
        <v>46</v>
      </c>
      <c r="G216" t="s">
        <v>8</v>
      </c>
    </row>
    <row r="217" spans="1:7" x14ac:dyDescent="0.3">
      <c r="A217" t="s">
        <v>13</v>
      </c>
      <c r="B217" s="1">
        <v>45900</v>
      </c>
      <c r="C217">
        <v>257014</v>
      </c>
      <c r="D217">
        <v>2083.7150000000001</v>
      </c>
      <c r="E217" t="s">
        <v>4</v>
      </c>
      <c r="F217" t="s">
        <v>45</v>
      </c>
      <c r="G217" t="s">
        <v>8</v>
      </c>
    </row>
    <row r="218" spans="1:7" x14ac:dyDescent="0.3">
      <c r="A218" t="s">
        <v>13</v>
      </c>
      <c r="B218" s="1">
        <v>45900</v>
      </c>
      <c r="C218">
        <v>257022</v>
      </c>
      <c r="D218">
        <v>22218.218000000001</v>
      </c>
      <c r="E218" t="s">
        <v>4</v>
      </c>
      <c r="F218" t="s">
        <v>45</v>
      </c>
      <c r="G218" t="s">
        <v>8</v>
      </c>
    </row>
    <row r="219" spans="1:7" x14ac:dyDescent="0.3">
      <c r="A219" t="s">
        <v>13</v>
      </c>
      <c r="B219" s="1">
        <v>45900</v>
      </c>
      <c r="C219">
        <v>257027</v>
      </c>
      <c r="D219">
        <v>17015.659</v>
      </c>
      <c r="E219" t="s">
        <v>4</v>
      </c>
      <c r="F219" t="s">
        <v>45</v>
      </c>
      <c r="G219" t="s">
        <v>8</v>
      </c>
    </row>
    <row r="220" spans="1:7" x14ac:dyDescent="0.3">
      <c r="A220" t="s">
        <v>13</v>
      </c>
      <c r="B220" s="1">
        <v>45900</v>
      </c>
      <c r="C220">
        <v>257030</v>
      </c>
      <c r="D220">
        <v>-49154.161</v>
      </c>
      <c r="E220" t="s">
        <v>4</v>
      </c>
      <c r="F220" t="s">
        <v>45</v>
      </c>
      <c r="G220" t="s">
        <v>8</v>
      </c>
    </row>
    <row r="221" spans="1:7" x14ac:dyDescent="0.3">
      <c r="A221" t="s">
        <v>13</v>
      </c>
      <c r="B221" s="1">
        <v>45900</v>
      </c>
      <c r="C221">
        <v>260004</v>
      </c>
      <c r="D221">
        <v>-433498.39899999998</v>
      </c>
      <c r="E221" t="s">
        <v>4</v>
      </c>
      <c r="F221" t="s">
        <v>45</v>
      </c>
      <c r="G221" t="s">
        <v>8</v>
      </c>
    </row>
    <row r="222" spans="1:7" x14ac:dyDescent="0.3">
      <c r="A222" t="s">
        <v>13</v>
      </c>
      <c r="B222" s="1">
        <v>45900</v>
      </c>
      <c r="C222">
        <v>260051</v>
      </c>
      <c r="D222">
        <v>-119893.508</v>
      </c>
      <c r="E222" t="s">
        <v>4</v>
      </c>
      <c r="F222" t="s">
        <v>45</v>
      </c>
      <c r="G222" t="s">
        <v>8</v>
      </c>
    </row>
    <row r="223" spans="1:7" x14ac:dyDescent="0.3">
      <c r="A223" t="s">
        <v>13</v>
      </c>
      <c r="B223" s="1">
        <v>45900</v>
      </c>
      <c r="C223">
        <v>270027</v>
      </c>
      <c r="D223">
        <v>-2465.6060000000002</v>
      </c>
      <c r="E223" t="s">
        <v>4</v>
      </c>
      <c r="F223" t="s">
        <v>58</v>
      </c>
      <c r="G223" t="s">
        <v>8</v>
      </c>
    </row>
    <row r="224" spans="1:7" x14ac:dyDescent="0.3">
      <c r="A224" t="s">
        <v>13</v>
      </c>
      <c r="B224" s="1">
        <v>45900</v>
      </c>
      <c r="C224">
        <v>300004</v>
      </c>
      <c r="D224">
        <v>2743.8620000000001</v>
      </c>
      <c r="E224" t="s">
        <v>4</v>
      </c>
      <c r="F224" t="s">
        <v>65</v>
      </c>
      <c r="G224" t="s">
        <v>8</v>
      </c>
    </row>
    <row r="225" spans="1:7" x14ac:dyDescent="0.3">
      <c r="A225" t="s">
        <v>13</v>
      </c>
      <c r="B225" s="1">
        <v>45900</v>
      </c>
      <c r="C225">
        <v>300005</v>
      </c>
      <c r="D225">
        <v>1467.3579999999999</v>
      </c>
      <c r="E225" t="s">
        <v>4</v>
      </c>
      <c r="F225" t="s">
        <v>65</v>
      </c>
      <c r="G225" t="s">
        <v>8</v>
      </c>
    </row>
    <row r="226" spans="1:7" x14ac:dyDescent="0.3">
      <c r="A226" t="s">
        <v>13</v>
      </c>
      <c r="B226" s="1">
        <v>45900</v>
      </c>
      <c r="C226">
        <v>300008</v>
      </c>
      <c r="D226">
        <v>1821.23</v>
      </c>
      <c r="E226" t="s">
        <v>4</v>
      </c>
      <c r="F226" t="s">
        <v>65</v>
      </c>
      <c r="G226" t="s">
        <v>8</v>
      </c>
    </row>
    <row r="227" spans="1:7" x14ac:dyDescent="0.3">
      <c r="A227" t="s">
        <v>13</v>
      </c>
      <c r="B227" s="1">
        <v>45900</v>
      </c>
      <c r="C227">
        <v>300011</v>
      </c>
      <c r="D227">
        <v>147.81299999999999</v>
      </c>
      <c r="E227" t="s">
        <v>4</v>
      </c>
      <c r="F227" t="s">
        <v>65</v>
      </c>
      <c r="G227" t="s">
        <v>8</v>
      </c>
    </row>
    <row r="228" spans="1:7" x14ac:dyDescent="0.3">
      <c r="A228" t="s">
        <v>13</v>
      </c>
      <c r="B228" s="1">
        <v>45900</v>
      </c>
      <c r="C228">
        <v>300012</v>
      </c>
      <c r="D228">
        <v>948.09400000000005</v>
      </c>
      <c r="E228" t="s">
        <v>4</v>
      </c>
      <c r="F228" t="s">
        <v>65</v>
      </c>
      <c r="G228" t="s">
        <v>8</v>
      </c>
    </row>
    <row r="229" spans="1:7" x14ac:dyDescent="0.3">
      <c r="A229" t="s">
        <v>13</v>
      </c>
      <c r="B229" s="1">
        <v>45900</v>
      </c>
      <c r="C229">
        <v>300504</v>
      </c>
      <c r="D229">
        <v>-2526.2739999999999</v>
      </c>
      <c r="E229" t="s">
        <v>4</v>
      </c>
      <c r="F229" t="s">
        <v>65</v>
      </c>
      <c r="G229" t="s">
        <v>8</v>
      </c>
    </row>
    <row r="230" spans="1:7" x14ac:dyDescent="0.3">
      <c r="A230" t="s">
        <v>13</v>
      </c>
      <c r="B230" s="1">
        <v>45900</v>
      </c>
      <c r="C230">
        <v>300505</v>
      </c>
      <c r="D230">
        <v>-1298.921</v>
      </c>
      <c r="E230" t="s">
        <v>4</v>
      </c>
      <c r="F230" t="s">
        <v>65</v>
      </c>
      <c r="G230" t="s">
        <v>8</v>
      </c>
    </row>
    <row r="231" spans="1:7" x14ac:dyDescent="0.3">
      <c r="A231" t="s">
        <v>13</v>
      </c>
      <c r="B231" s="1">
        <v>45900</v>
      </c>
      <c r="C231">
        <v>300508</v>
      </c>
      <c r="D231">
        <v>-1765.365</v>
      </c>
      <c r="E231" t="s">
        <v>4</v>
      </c>
      <c r="F231" t="s">
        <v>65</v>
      </c>
      <c r="G231" t="s">
        <v>8</v>
      </c>
    </row>
    <row r="232" spans="1:7" x14ac:dyDescent="0.3">
      <c r="A232" t="s">
        <v>13</v>
      </c>
      <c r="B232" s="1">
        <v>45900</v>
      </c>
      <c r="C232">
        <v>300511</v>
      </c>
      <c r="D232">
        <v>-147.81299999999999</v>
      </c>
      <c r="E232" t="s">
        <v>4</v>
      </c>
      <c r="F232" t="s">
        <v>65</v>
      </c>
      <c r="G232" t="s">
        <v>8</v>
      </c>
    </row>
    <row r="233" spans="1:7" x14ac:dyDescent="0.3">
      <c r="A233" t="s">
        <v>13</v>
      </c>
      <c r="B233" s="1">
        <v>45900</v>
      </c>
      <c r="C233">
        <v>300512</v>
      </c>
      <c r="D233">
        <v>-948.09400000000005</v>
      </c>
      <c r="E233" t="s">
        <v>4</v>
      </c>
      <c r="F233" t="s">
        <v>65</v>
      </c>
      <c r="G233" t="s">
        <v>8</v>
      </c>
    </row>
    <row r="234" spans="1:7" x14ac:dyDescent="0.3">
      <c r="A234" t="s">
        <v>13</v>
      </c>
      <c r="B234" s="1">
        <v>45900</v>
      </c>
      <c r="C234">
        <v>301004</v>
      </c>
      <c r="D234">
        <v>2842.5529999999999</v>
      </c>
      <c r="E234" t="s">
        <v>4</v>
      </c>
      <c r="F234" t="s">
        <v>65</v>
      </c>
      <c r="G234" t="s">
        <v>8</v>
      </c>
    </row>
    <row r="235" spans="1:7" x14ac:dyDescent="0.3">
      <c r="A235" t="s">
        <v>13</v>
      </c>
      <c r="B235" s="1">
        <v>45900</v>
      </c>
      <c r="C235">
        <v>301504</v>
      </c>
      <c r="D235">
        <v>-2842.5529999999999</v>
      </c>
      <c r="E235" t="s">
        <v>4</v>
      </c>
      <c r="F235" t="s">
        <v>65</v>
      </c>
      <c r="G235" t="s">
        <v>8</v>
      </c>
    </row>
    <row r="236" spans="1:7" x14ac:dyDescent="0.3">
      <c r="A236" t="s">
        <v>13</v>
      </c>
      <c r="B236" s="1">
        <v>45900</v>
      </c>
      <c r="C236">
        <v>320002</v>
      </c>
      <c r="D236">
        <v>33589.760000000002</v>
      </c>
      <c r="E236" t="s">
        <v>4</v>
      </c>
      <c r="F236" t="s">
        <v>46</v>
      </c>
      <c r="G236" t="s">
        <v>8</v>
      </c>
    </row>
    <row r="237" spans="1:7" x14ac:dyDescent="0.3">
      <c r="A237" t="s">
        <v>13</v>
      </c>
      <c r="B237" s="1">
        <v>45900</v>
      </c>
      <c r="C237">
        <v>320003</v>
      </c>
      <c r="D237">
        <v>242188.15100000001</v>
      </c>
      <c r="E237" t="s">
        <v>4</v>
      </c>
      <c r="F237" t="s">
        <v>46</v>
      </c>
      <c r="G237" t="s">
        <v>8</v>
      </c>
    </row>
    <row r="238" spans="1:7" x14ac:dyDescent="0.3">
      <c r="A238" t="s">
        <v>13</v>
      </c>
      <c r="B238" s="1">
        <v>45900</v>
      </c>
      <c r="C238">
        <v>320004</v>
      </c>
      <c r="D238">
        <v>678.37199999999996</v>
      </c>
      <c r="E238" t="s">
        <v>4</v>
      </c>
      <c r="F238" t="s">
        <v>46</v>
      </c>
      <c r="G238" t="s">
        <v>8</v>
      </c>
    </row>
    <row r="239" spans="1:7" x14ac:dyDescent="0.3">
      <c r="A239" t="s">
        <v>13</v>
      </c>
      <c r="B239" s="1">
        <v>45900</v>
      </c>
      <c r="C239">
        <v>320019</v>
      </c>
      <c r="D239">
        <v>21.411999999999999</v>
      </c>
      <c r="E239" t="s">
        <v>4</v>
      </c>
      <c r="F239" t="s">
        <v>46</v>
      </c>
      <c r="G239" t="s">
        <v>8</v>
      </c>
    </row>
    <row r="240" spans="1:7" x14ac:dyDescent="0.3">
      <c r="A240" t="s">
        <v>13</v>
      </c>
      <c r="B240" s="1">
        <v>45900</v>
      </c>
      <c r="C240">
        <v>320023</v>
      </c>
      <c r="D240">
        <v>-25.693999999999999</v>
      </c>
      <c r="E240" t="s">
        <v>4</v>
      </c>
      <c r="F240" t="s">
        <v>46</v>
      </c>
      <c r="G240" t="s">
        <v>8</v>
      </c>
    </row>
    <row r="241" spans="1:7" x14ac:dyDescent="0.3">
      <c r="A241" t="s">
        <v>13</v>
      </c>
      <c r="B241" s="1">
        <v>45900</v>
      </c>
      <c r="C241">
        <v>321002</v>
      </c>
      <c r="D241">
        <v>93192.411999999997</v>
      </c>
      <c r="E241" t="s">
        <v>4</v>
      </c>
      <c r="F241" t="s">
        <v>46</v>
      </c>
      <c r="G241" t="s">
        <v>8</v>
      </c>
    </row>
    <row r="242" spans="1:7" x14ac:dyDescent="0.3">
      <c r="A242" t="s">
        <v>13</v>
      </c>
      <c r="B242" s="1">
        <v>45900</v>
      </c>
      <c r="C242">
        <v>321012</v>
      </c>
      <c r="D242">
        <v>-250.607</v>
      </c>
      <c r="E242" t="s">
        <v>4</v>
      </c>
      <c r="F242" t="s">
        <v>46</v>
      </c>
      <c r="G242" t="s">
        <v>8</v>
      </c>
    </row>
    <row r="243" spans="1:7" x14ac:dyDescent="0.3">
      <c r="A243" t="s">
        <v>13</v>
      </c>
      <c r="B243" s="1">
        <v>45900</v>
      </c>
      <c r="C243">
        <v>321029</v>
      </c>
      <c r="D243">
        <v>2947.3380000000002</v>
      </c>
      <c r="E243" t="s">
        <v>4</v>
      </c>
      <c r="F243" t="s">
        <v>46</v>
      </c>
      <c r="G243" t="s">
        <v>8</v>
      </c>
    </row>
    <row r="244" spans="1:7" x14ac:dyDescent="0.3">
      <c r="A244" t="s">
        <v>13</v>
      </c>
      <c r="B244" s="1">
        <v>45900</v>
      </c>
      <c r="C244">
        <v>331017</v>
      </c>
      <c r="D244">
        <v>-22218.218000000001</v>
      </c>
      <c r="E244" t="s">
        <v>4</v>
      </c>
      <c r="F244" t="s">
        <v>43</v>
      </c>
      <c r="G244" t="s">
        <v>8</v>
      </c>
    </row>
    <row r="245" spans="1:7" x14ac:dyDescent="0.3">
      <c r="A245" t="s">
        <v>13</v>
      </c>
      <c r="B245" s="1">
        <v>45900</v>
      </c>
      <c r="C245">
        <v>340112</v>
      </c>
      <c r="D245">
        <v>239320.36300000001</v>
      </c>
      <c r="E245" t="s">
        <v>4</v>
      </c>
      <c r="F245" t="s">
        <v>47</v>
      </c>
      <c r="G245" t="s">
        <v>8</v>
      </c>
    </row>
    <row r="246" spans="1:7" x14ac:dyDescent="0.3">
      <c r="A246" t="s">
        <v>13</v>
      </c>
      <c r="B246" s="1">
        <v>45900</v>
      </c>
      <c r="C246">
        <v>340113</v>
      </c>
      <c r="D246">
        <v>11893126.765000001</v>
      </c>
      <c r="E246" t="s">
        <v>4</v>
      </c>
      <c r="F246" t="s">
        <v>47</v>
      </c>
      <c r="G246" t="s">
        <v>8</v>
      </c>
    </row>
    <row r="247" spans="1:7" x14ac:dyDescent="0.3">
      <c r="A247" t="s">
        <v>13</v>
      </c>
      <c r="B247" s="1">
        <v>45900</v>
      </c>
      <c r="C247">
        <v>340114</v>
      </c>
      <c r="D247">
        <v>-11636990.834000001</v>
      </c>
      <c r="E247" t="s">
        <v>4</v>
      </c>
      <c r="F247" t="s">
        <v>47</v>
      </c>
      <c r="G247" t="s">
        <v>8</v>
      </c>
    </row>
    <row r="248" spans="1:7" x14ac:dyDescent="0.3">
      <c r="A248" t="s">
        <v>13</v>
      </c>
      <c r="B248" s="1">
        <v>45900</v>
      </c>
      <c r="C248">
        <v>340122</v>
      </c>
      <c r="D248">
        <v>1768.0409999999999</v>
      </c>
      <c r="E248" t="s">
        <v>4</v>
      </c>
      <c r="F248" t="s">
        <v>47</v>
      </c>
      <c r="G248" t="s">
        <v>8</v>
      </c>
    </row>
    <row r="249" spans="1:7" x14ac:dyDescent="0.3">
      <c r="A249" t="s">
        <v>13</v>
      </c>
      <c r="B249" s="1">
        <v>45900</v>
      </c>
      <c r="C249">
        <v>340123</v>
      </c>
      <c r="D249">
        <v>8165.3559999999998</v>
      </c>
      <c r="E249" t="s">
        <v>4</v>
      </c>
      <c r="F249" t="s">
        <v>47</v>
      </c>
      <c r="G249" t="s">
        <v>8</v>
      </c>
    </row>
    <row r="250" spans="1:7" x14ac:dyDescent="0.3">
      <c r="A250" t="s">
        <v>13</v>
      </c>
      <c r="B250" s="1">
        <v>45900</v>
      </c>
      <c r="C250">
        <v>340124</v>
      </c>
      <c r="D250">
        <v>-9933.3970000000008</v>
      </c>
      <c r="E250" t="s">
        <v>4</v>
      </c>
      <c r="F250" t="s">
        <v>47</v>
      </c>
      <c r="G250" t="s">
        <v>8</v>
      </c>
    </row>
    <row r="251" spans="1:7" x14ac:dyDescent="0.3">
      <c r="A251" t="s">
        <v>13</v>
      </c>
      <c r="B251" s="1">
        <v>45900</v>
      </c>
      <c r="C251">
        <v>350002</v>
      </c>
      <c r="D251">
        <v>535.51199999999994</v>
      </c>
      <c r="E251" t="s">
        <v>4</v>
      </c>
      <c r="F251" t="s">
        <v>49</v>
      </c>
      <c r="G251" t="s">
        <v>8</v>
      </c>
    </row>
    <row r="252" spans="1:7" x14ac:dyDescent="0.3">
      <c r="A252" t="s">
        <v>13</v>
      </c>
      <c r="B252" s="1">
        <v>45900</v>
      </c>
      <c r="C252">
        <v>350003</v>
      </c>
      <c r="D252">
        <v>-282.60399999999998</v>
      </c>
      <c r="E252" t="s">
        <v>4</v>
      </c>
      <c r="F252" t="s">
        <v>49</v>
      </c>
      <c r="G252" t="s">
        <v>8</v>
      </c>
    </row>
    <row r="253" spans="1:7" x14ac:dyDescent="0.3">
      <c r="A253" t="s">
        <v>13</v>
      </c>
      <c r="B253" s="1">
        <v>45900</v>
      </c>
      <c r="C253">
        <v>350031</v>
      </c>
      <c r="D253">
        <v>370.76499999999999</v>
      </c>
      <c r="E253" t="s">
        <v>4</v>
      </c>
      <c r="F253" t="s">
        <v>43</v>
      </c>
      <c r="G253" t="s">
        <v>8</v>
      </c>
    </row>
    <row r="254" spans="1:7" x14ac:dyDescent="0.3">
      <c r="A254" t="s">
        <v>13</v>
      </c>
      <c r="B254" s="1">
        <v>45900</v>
      </c>
      <c r="C254">
        <v>350034</v>
      </c>
      <c r="D254">
        <v>345.92399999999998</v>
      </c>
      <c r="E254" t="s">
        <v>4</v>
      </c>
      <c r="F254" t="s">
        <v>49</v>
      </c>
      <c r="G254" t="s">
        <v>8</v>
      </c>
    </row>
    <row r="255" spans="1:7" x14ac:dyDescent="0.3">
      <c r="A255" t="s">
        <v>13</v>
      </c>
      <c r="B255" s="1">
        <v>45900</v>
      </c>
      <c r="C255">
        <v>352002</v>
      </c>
      <c r="D255">
        <v>177.82</v>
      </c>
      <c r="E255" t="s">
        <v>4</v>
      </c>
      <c r="F255" t="s">
        <v>48</v>
      </c>
      <c r="G255" t="s">
        <v>8</v>
      </c>
    </row>
    <row r="256" spans="1:7" x14ac:dyDescent="0.3">
      <c r="A256" t="s">
        <v>13</v>
      </c>
      <c r="B256" s="1">
        <v>45900</v>
      </c>
      <c r="C256">
        <v>354012</v>
      </c>
      <c r="D256">
        <v>-644035.81299999997</v>
      </c>
      <c r="E256" t="s">
        <v>4</v>
      </c>
      <c r="F256" t="s">
        <v>46</v>
      </c>
      <c r="G256" t="s">
        <v>8</v>
      </c>
    </row>
    <row r="257" spans="1:7" x14ac:dyDescent="0.3">
      <c r="A257" t="s">
        <v>13</v>
      </c>
      <c r="B257" s="1">
        <v>45900</v>
      </c>
      <c r="C257">
        <v>354014</v>
      </c>
      <c r="D257">
        <v>3908.26</v>
      </c>
      <c r="E257" t="s">
        <v>4</v>
      </c>
      <c r="F257" t="s">
        <v>46</v>
      </c>
      <c r="G257" t="s">
        <v>8</v>
      </c>
    </row>
    <row r="258" spans="1:7" x14ac:dyDescent="0.3">
      <c r="A258" t="s">
        <v>13</v>
      </c>
      <c r="B258" s="1">
        <v>45900</v>
      </c>
      <c r="C258">
        <v>355002</v>
      </c>
      <c r="D258">
        <v>-3.2000000000000001E-2</v>
      </c>
      <c r="E258" t="s">
        <v>4</v>
      </c>
      <c r="F258" t="s">
        <v>49</v>
      </c>
      <c r="G258" t="s">
        <v>8</v>
      </c>
    </row>
    <row r="259" spans="1:7" x14ac:dyDescent="0.3">
      <c r="A259" t="s">
        <v>13</v>
      </c>
      <c r="B259" s="1">
        <v>45900</v>
      </c>
      <c r="C259">
        <v>355013</v>
      </c>
      <c r="D259">
        <v>110860.95299999999</v>
      </c>
      <c r="E259" t="s">
        <v>4</v>
      </c>
      <c r="F259" t="s">
        <v>49</v>
      </c>
      <c r="G259" t="s">
        <v>8</v>
      </c>
    </row>
    <row r="260" spans="1:7" x14ac:dyDescent="0.3">
      <c r="A260" t="s">
        <v>13</v>
      </c>
      <c r="B260" s="1">
        <v>45900</v>
      </c>
      <c r="C260">
        <v>372004</v>
      </c>
      <c r="D260">
        <v>478075.47200000001</v>
      </c>
      <c r="E260" t="s">
        <v>4</v>
      </c>
      <c r="F260" t="s">
        <v>45</v>
      </c>
      <c r="G260" t="s">
        <v>8</v>
      </c>
    </row>
    <row r="261" spans="1:7" x14ac:dyDescent="0.3">
      <c r="A261" t="s">
        <v>13</v>
      </c>
      <c r="B261" s="1">
        <v>45900</v>
      </c>
      <c r="C261">
        <v>400002</v>
      </c>
      <c r="D261">
        <v>-494.02100000000002</v>
      </c>
      <c r="E261" t="s">
        <v>6</v>
      </c>
      <c r="F261" t="s">
        <v>50</v>
      </c>
      <c r="G261" t="s">
        <v>8</v>
      </c>
    </row>
    <row r="262" spans="1:7" x14ac:dyDescent="0.3">
      <c r="A262" t="s">
        <v>13</v>
      </c>
      <c r="B262" s="1">
        <v>45900</v>
      </c>
      <c r="C262">
        <v>400004</v>
      </c>
      <c r="D262">
        <v>-74902.301999999996</v>
      </c>
      <c r="E262" t="s">
        <v>6</v>
      </c>
      <c r="F262" t="s">
        <v>50</v>
      </c>
      <c r="G262" t="s">
        <v>8</v>
      </c>
    </row>
    <row r="263" spans="1:7" x14ac:dyDescent="0.3">
      <c r="A263" t="s">
        <v>13</v>
      </c>
      <c r="B263" s="1">
        <v>45900</v>
      </c>
      <c r="C263">
        <v>410002</v>
      </c>
      <c r="D263">
        <v>-266527.75699999998</v>
      </c>
      <c r="E263" t="s">
        <v>6</v>
      </c>
      <c r="F263" t="s">
        <v>51</v>
      </c>
      <c r="G263" t="s">
        <v>8</v>
      </c>
    </row>
    <row r="264" spans="1:7" x14ac:dyDescent="0.3">
      <c r="A264" t="s">
        <v>13</v>
      </c>
      <c r="B264" s="1">
        <v>45900</v>
      </c>
      <c r="C264">
        <v>410037</v>
      </c>
      <c r="D264">
        <v>-7514.8890000000001</v>
      </c>
      <c r="E264" t="s">
        <v>6</v>
      </c>
      <c r="F264" t="s">
        <v>51</v>
      </c>
      <c r="G264" t="s">
        <v>8</v>
      </c>
    </row>
    <row r="265" spans="1:7" x14ac:dyDescent="0.3">
      <c r="A265" t="s">
        <v>13</v>
      </c>
      <c r="B265" s="1">
        <v>45900</v>
      </c>
      <c r="C265">
        <v>415002</v>
      </c>
      <c r="D265">
        <v>-16260.754999999999</v>
      </c>
      <c r="E265" t="s">
        <v>6</v>
      </c>
      <c r="F265" t="s">
        <v>50</v>
      </c>
      <c r="G265" t="s">
        <v>8</v>
      </c>
    </row>
    <row r="266" spans="1:7" x14ac:dyDescent="0.3">
      <c r="A266" t="s">
        <v>13</v>
      </c>
      <c r="B266" s="1">
        <v>45900</v>
      </c>
      <c r="C266">
        <v>415003</v>
      </c>
      <c r="D266">
        <v>-1346.077</v>
      </c>
      <c r="E266" t="s">
        <v>6</v>
      </c>
      <c r="F266" t="s">
        <v>50</v>
      </c>
      <c r="G266" t="s">
        <v>8</v>
      </c>
    </row>
    <row r="267" spans="1:7" x14ac:dyDescent="0.3">
      <c r="A267" t="s">
        <v>13</v>
      </c>
      <c r="B267" s="1">
        <v>45900</v>
      </c>
      <c r="C267">
        <v>415004</v>
      </c>
      <c r="D267">
        <v>-390483.04499999998</v>
      </c>
      <c r="E267" t="s">
        <v>6</v>
      </c>
      <c r="F267" t="s">
        <v>50</v>
      </c>
      <c r="G267" t="s">
        <v>8</v>
      </c>
    </row>
    <row r="268" spans="1:7" x14ac:dyDescent="0.3">
      <c r="A268" t="s">
        <v>13</v>
      </c>
      <c r="B268" s="1">
        <v>45900</v>
      </c>
      <c r="C268">
        <v>421002</v>
      </c>
      <c r="D268">
        <v>-5982.3119999999999</v>
      </c>
      <c r="E268" t="s">
        <v>6</v>
      </c>
      <c r="F268" t="s">
        <v>52</v>
      </c>
      <c r="G268" t="s">
        <v>8</v>
      </c>
    </row>
    <row r="269" spans="1:7" x14ac:dyDescent="0.3">
      <c r="A269" t="s">
        <v>13</v>
      </c>
      <c r="B269" s="1">
        <v>45900</v>
      </c>
      <c r="C269">
        <v>421003</v>
      </c>
      <c r="D269">
        <v>5881.3249999999998</v>
      </c>
      <c r="E269" t="s">
        <v>6</v>
      </c>
      <c r="F269" t="s">
        <v>52</v>
      </c>
      <c r="G269" t="s">
        <v>8</v>
      </c>
    </row>
    <row r="270" spans="1:7" x14ac:dyDescent="0.3">
      <c r="A270" t="s">
        <v>13</v>
      </c>
      <c r="B270" s="1">
        <v>45900</v>
      </c>
      <c r="C270">
        <v>421007</v>
      </c>
      <c r="D270">
        <v>-23.556999999999999</v>
      </c>
      <c r="E270" t="s">
        <v>6</v>
      </c>
      <c r="F270" t="s">
        <v>52</v>
      </c>
      <c r="G270" t="s">
        <v>8</v>
      </c>
    </row>
    <row r="271" spans="1:7" x14ac:dyDescent="0.3">
      <c r="A271" t="s">
        <v>13</v>
      </c>
      <c r="B271" s="1">
        <v>45900</v>
      </c>
      <c r="C271">
        <v>510002</v>
      </c>
      <c r="D271">
        <v>48185.66</v>
      </c>
      <c r="E271" t="s">
        <v>6</v>
      </c>
      <c r="F271" t="s">
        <v>53</v>
      </c>
      <c r="G271" t="s">
        <v>8</v>
      </c>
    </row>
    <row r="272" spans="1:7" x14ac:dyDescent="0.3">
      <c r="A272" t="s">
        <v>13</v>
      </c>
      <c r="B272" s="1">
        <v>45900</v>
      </c>
      <c r="C272">
        <v>510005</v>
      </c>
      <c r="D272">
        <v>-716.38599999999997</v>
      </c>
      <c r="E272" t="s">
        <v>6</v>
      </c>
      <c r="F272" t="s">
        <v>53</v>
      </c>
      <c r="G272" t="s">
        <v>8</v>
      </c>
    </row>
    <row r="273" spans="1:7" x14ac:dyDescent="0.3">
      <c r="A273" t="s">
        <v>13</v>
      </c>
      <c r="B273" s="1">
        <v>45900</v>
      </c>
      <c r="C273">
        <v>510007</v>
      </c>
      <c r="D273">
        <v>754.673</v>
      </c>
      <c r="E273" t="s">
        <v>6</v>
      </c>
      <c r="F273" t="s">
        <v>53</v>
      </c>
      <c r="G273" t="s">
        <v>8</v>
      </c>
    </row>
    <row r="274" spans="1:7" x14ac:dyDescent="0.3">
      <c r="A274" t="s">
        <v>13</v>
      </c>
      <c r="B274" s="1">
        <v>45900</v>
      </c>
      <c r="C274">
        <v>510015</v>
      </c>
      <c r="D274">
        <v>23433.581999999999</v>
      </c>
      <c r="E274" t="s">
        <v>6</v>
      </c>
      <c r="F274" t="s">
        <v>53</v>
      </c>
      <c r="G274" t="s">
        <v>8</v>
      </c>
    </row>
    <row r="275" spans="1:7" x14ac:dyDescent="0.3">
      <c r="A275" t="s">
        <v>13</v>
      </c>
      <c r="B275" s="1">
        <v>45900</v>
      </c>
      <c r="C275">
        <v>510048</v>
      </c>
      <c r="D275">
        <v>477.87099999999998</v>
      </c>
      <c r="E275" t="s">
        <v>6</v>
      </c>
      <c r="F275" t="s">
        <v>61</v>
      </c>
      <c r="G275" t="s">
        <v>8</v>
      </c>
    </row>
    <row r="276" spans="1:7" x14ac:dyDescent="0.3">
      <c r="A276" t="s">
        <v>13</v>
      </c>
      <c r="B276" s="1">
        <v>45900</v>
      </c>
      <c r="C276">
        <v>510062</v>
      </c>
      <c r="D276">
        <v>1114.17</v>
      </c>
      <c r="E276" t="s">
        <v>6</v>
      </c>
      <c r="F276" t="s">
        <v>53</v>
      </c>
      <c r="G276" t="s">
        <v>8</v>
      </c>
    </row>
    <row r="277" spans="1:7" x14ac:dyDescent="0.3">
      <c r="A277" t="s">
        <v>13</v>
      </c>
      <c r="B277" s="1">
        <v>45900</v>
      </c>
      <c r="C277">
        <v>510064</v>
      </c>
      <c r="D277">
        <v>2190.0749999999998</v>
      </c>
      <c r="E277" t="s">
        <v>6</v>
      </c>
      <c r="F277" t="s">
        <v>53</v>
      </c>
      <c r="G277" t="s">
        <v>8</v>
      </c>
    </row>
    <row r="278" spans="1:7" x14ac:dyDescent="0.3">
      <c r="A278" t="s">
        <v>13</v>
      </c>
      <c r="B278" s="1">
        <v>45900</v>
      </c>
      <c r="C278">
        <v>510065</v>
      </c>
      <c r="D278">
        <v>960.46</v>
      </c>
      <c r="E278" t="s">
        <v>6</v>
      </c>
      <c r="F278" t="s">
        <v>53</v>
      </c>
      <c r="G278" t="s">
        <v>8</v>
      </c>
    </row>
    <row r="279" spans="1:7" x14ac:dyDescent="0.3">
      <c r="A279" t="s">
        <v>13</v>
      </c>
      <c r="B279" s="1">
        <v>45900</v>
      </c>
      <c r="C279">
        <v>520020</v>
      </c>
      <c r="D279">
        <v>155.321</v>
      </c>
      <c r="E279" t="s">
        <v>6</v>
      </c>
      <c r="F279" t="s">
        <v>53</v>
      </c>
      <c r="G279" t="s">
        <v>8</v>
      </c>
    </row>
    <row r="280" spans="1:7" x14ac:dyDescent="0.3">
      <c r="A280" t="s">
        <v>13</v>
      </c>
      <c r="B280" s="1">
        <v>45900</v>
      </c>
      <c r="C280">
        <v>541003</v>
      </c>
      <c r="D280">
        <v>2898.3679999999999</v>
      </c>
      <c r="E280" t="s">
        <v>6</v>
      </c>
      <c r="F280" t="s">
        <v>61</v>
      </c>
      <c r="G280" t="s">
        <v>8</v>
      </c>
    </row>
    <row r="281" spans="1:7" x14ac:dyDescent="0.3">
      <c r="A281" t="s">
        <v>13</v>
      </c>
      <c r="B281" s="1">
        <v>45900</v>
      </c>
      <c r="C281">
        <v>541004</v>
      </c>
      <c r="D281">
        <v>171.07300000000001</v>
      </c>
      <c r="E281" t="s">
        <v>6</v>
      </c>
      <c r="F281" t="s">
        <v>61</v>
      </c>
      <c r="G281" t="s">
        <v>8</v>
      </c>
    </row>
    <row r="282" spans="1:7" x14ac:dyDescent="0.3">
      <c r="A282" t="s">
        <v>13</v>
      </c>
      <c r="B282" s="1">
        <v>45900</v>
      </c>
      <c r="C282">
        <v>541010</v>
      </c>
      <c r="D282">
        <v>591.26400000000001</v>
      </c>
      <c r="E282" t="s">
        <v>6</v>
      </c>
      <c r="F282" t="s">
        <v>61</v>
      </c>
      <c r="G282" t="s">
        <v>8</v>
      </c>
    </row>
    <row r="283" spans="1:7" x14ac:dyDescent="0.3">
      <c r="A283" t="s">
        <v>13</v>
      </c>
      <c r="B283" s="1">
        <v>45900</v>
      </c>
      <c r="C283">
        <v>544006</v>
      </c>
      <c r="D283">
        <v>537.54100000000005</v>
      </c>
      <c r="E283" t="s">
        <v>6</v>
      </c>
      <c r="F283" t="s">
        <v>61</v>
      </c>
      <c r="G283" t="s">
        <v>8</v>
      </c>
    </row>
    <row r="284" spans="1:7" x14ac:dyDescent="0.3">
      <c r="A284" t="s">
        <v>13</v>
      </c>
      <c r="B284" s="1">
        <v>45900</v>
      </c>
      <c r="C284">
        <v>546002</v>
      </c>
      <c r="D284">
        <v>302500.47899999999</v>
      </c>
      <c r="E284" t="s">
        <v>6</v>
      </c>
      <c r="F284" t="s">
        <v>51</v>
      </c>
      <c r="G284" t="s">
        <v>8</v>
      </c>
    </row>
    <row r="285" spans="1:7" x14ac:dyDescent="0.3">
      <c r="A285" t="s">
        <v>13</v>
      </c>
      <c r="B285" s="1">
        <v>45900</v>
      </c>
      <c r="C285">
        <v>546013</v>
      </c>
      <c r="D285">
        <v>829.35299999999995</v>
      </c>
      <c r="E285" t="s">
        <v>6</v>
      </c>
      <c r="F285" t="s">
        <v>51</v>
      </c>
      <c r="G285" t="s">
        <v>8</v>
      </c>
    </row>
    <row r="286" spans="1:7" x14ac:dyDescent="0.3">
      <c r="A286" t="s">
        <v>13</v>
      </c>
      <c r="B286" s="1">
        <v>45900</v>
      </c>
      <c r="C286">
        <v>546024</v>
      </c>
      <c r="D286">
        <v>5169.732</v>
      </c>
      <c r="E286" t="s">
        <v>6</v>
      </c>
      <c r="F286" t="s">
        <v>51</v>
      </c>
      <c r="G286" t="s">
        <v>8</v>
      </c>
    </row>
    <row r="287" spans="1:7" x14ac:dyDescent="0.3">
      <c r="A287" t="s">
        <v>13</v>
      </c>
      <c r="B287" s="1">
        <v>45900</v>
      </c>
      <c r="C287">
        <v>546035</v>
      </c>
      <c r="D287">
        <v>7942.4369999999999</v>
      </c>
      <c r="E287" t="s">
        <v>6</v>
      </c>
      <c r="F287" t="s">
        <v>51</v>
      </c>
      <c r="G287" t="s">
        <v>8</v>
      </c>
    </row>
    <row r="288" spans="1:7" x14ac:dyDescent="0.3">
      <c r="A288" t="s">
        <v>13</v>
      </c>
      <c r="B288" s="1">
        <v>45900</v>
      </c>
      <c r="C288">
        <v>546045</v>
      </c>
      <c r="D288">
        <v>1259.915</v>
      </c>
      <c r="E288" t="s">
        <v>6</v>
      </c>
      <c r="F288" t="s">
        <v>51</v>
      </c>
      <c r="G288" t="s">
        <v>8</v>
      </c>
    </row>
    <row r="289" spans="1:7" x14ac:dyDescent="0.3">
      <c r="A289" t="s">
        <v>13</v>
      </c>
      <c r="B289" s="1">
        <v>45900</v>
      </c>
      <c r="C289">
        <v>546046</v>
      </c>
      <c r="D289">
        <v>11662.241</v>
      </c>
      <c r="E289" t="s">
        <v>6</v>
      </c>
      <c r="F289" t="s">
        <v>51</v>
      </c>
      <c r="G289" t="s">
        <v>8</v>
      </c>
    </row>
    <row r="290" spans="1:7" x14ac:dyDescent="0.3">
      <c r="A290" t="s">
        <v>13</v>
      </c>
      <c r="B290" s="1">
        <v>45900</v>
      </c>
      <c r="C290">
        <v>547002</v>
      </c>
      <c r="D290">
        <v>235504.32</v>
      </c>
      <c r="E290" t="s">
        <v>6</v>
      </c>
      <c r="F290" t="s">
        <v>54</v>
      </c>
      <c r="G290" t="s">
        <v>8</v>
      </c>
    </row>
    <row r="291" spans="1:7" x14ac:dyDescent="0.3">
      <c r="A291" t="s">
        <v>13</v>
      </c>
      <c r="B291" s="1">
        <v>45900</v>
      </c>
      <c r="C291">
        <v>547011</v>
      </c>
      <c r="D291">
        <v>5506.4870000000001</v>
      </c>
      <c r="E291" t="s">
        <v>6</v>
      </c>
      <c r="F291" t="s">
        <v>54</v>
      </c>
      <c r="G291" t="s">
        <v>8</v>
      </c>
    </row>
    <row r="292" spans="1:7" x14ac:dyDescent="0.3">
      <c r="A292" t="s">
        <v>13</v>
      </c>
      <c r="B292" s="1">
        <v>45900</v>
      </c>
      <c r="C292">
        <v>552502</v>
      </c>
      <c r="D292">
        <v>715.71</v>
      </c>
      <c r="E292" t="s">
        <v>6</v>
      </c>
      <c r="F292" t="s">
        <v>55</v>
      </c>
      <c r="G292" t="s">
        <v>8</v>
      </c>
    </row>
    <row r="293" spans="1:7" x14ac:dyDescent="0.3">
      <c r="A293" t="s">
        <v>13</v>
      </c>
      <c r="B293" s="1">
        <v>45900</v>
      </c>
      <c r="C293">
        <v>555508</v>
      </c>
      <c r="D293">
        <v>545.62099999999998</v>
      </c>
      <c r="E293" t="s">
        <v>6</v>
      </c>
      <c r="F293" t="s">
        <v>55</v>
      </c>
      <c r="G293" t="s">
        <v>8</v>
      </c>
    </row>
    <row r="294" spans="1:7" x14ac:dyDescent="0.3">
      <c r="A294" t="s">
        <v>13</v>
      </c>
      <c r="B294" s="1">
        <v>45900</v>
      </c>
      <c r="C294">
        <v>556002</v>
      </c>
      <c r="D294">
        <v>125.178</v>
      </c>
      <c r="E294" t="s">
        <v>6</v>
      </c>
      <c r="F294" t="s">
        <v>60</v>
      </c>
      <c r="G294" t="s">
        <v>8</v>
      </c>
    </row>
    <row r="295" spans="1:7" x14ac:dyDescent="0.3">
      <c r="A295" t="s">
        <v>13</v>
      </c>
      <c r="B295" s="1">
        <v>45900</v>
      </c>
      <c r="C295">
        <v>557002</v>
      </c>
      <c r="D295">
        <v>8957.6139999999996</v>
      </c>
      <c r="E295" t="s">
        <v>6</v>
      </c>
      <c r="F295" t="s">
        <v>56</v>
      </c>
      <c r="G295" t="s">
        <v>8</v>
      </c>
    </row>
    <row r="296" spans="1:7" x14ac:dyDescent="0.3">
      <c r="A296" t="s">
        <v>13</v>
      </c>
      <c r="B296" s="1">
        <v>45900</v>
      </c>
      <c r="C296">
        <v>559002</v>
      </c>
      <c r="D296">
        <v>28.187999999999999</v>
      </c>
      <c r="E296" t="s">
        <v>6</v>
      </c>
      <c r="F296" t="s">
        <v>60</v>
      </c>
      <c r="G296" t="s">
        <v>8</v>
      </c>
    </row>
    <row r="297" spans="1:7" x14ac:dyDescent="0.3">
      <c r="A297" t="s">
        <v>13</v>
      </c>
      <c r="B297" s="1">
        <v>45900</v>
      </c>
      <c r="C297">
        <v>560008</v>
      </c>
      <c r="D297">
        <v>638.87199999999996</v>
      </c>
      <c r="E297" t="s">
        <v>6</v>
      </c>
      <c r="F297" t="s">
        <v>56</v>
      </c>
      <c r="G297" t="s">
        <v>8</v>
      </c>
    </row>
    <row r="298" spans="1:7" x14ac:dyDescent="0.3">
      <c r="A298" t="s">
        <v>13</v>
      </c>
      <c r="B298" s="1">
        <v>45900</v>
      </c>
      <c r="C298">
        <v>564004</v>
      </c>
      <c r="D298">
        <v>1689.519</v>
      </c>
      <c r="E298" t="s">
        <v>6</v>
      </c>
      <c r="F298" t="s">
        <v>51</v>
      </c>
      <c r="G298" t="s">
        <v>8</v>
      </c>
    </row>
    <row r="299" spans="1:7" x14ac:dyDescent="0.3">
      <c r="A299" t="s">
        <v>13</v>
      </c>
      <c r="B299" s="1">
        <v>45900</v>
      </c>
      <c r="C299">
        <v>564008</v>
      </c>
      <c r="D299">
        <v>29.812000000000001</v>
      </c>
      <c r="E299" t="s">
        <v>6</v>
      </c>
      <c r="F299" t="s">
        <v>55</v>
      </c>
      <c r="G299" t="s">
        <v>8</v>
      </c>
    </row>
    <row r="300" spans="1:7" x14ac:dyDescent="0.3">
      <c r="A300" t="s">
        <v>13</v>
      </c>
      <c r="B300" s="1">
        <v>45900</v>
      </c>
      <c r="C300">
        <v>564020</v>
      </c>
      <c r="D300">
        <v>1786.5129999999999</v>
      </c>
      <c r="E300" t="s">
        <v>6</v>
      </c>
      <c r="F300" t="s">
        <v>57</v>
      </c>
      <c r="G300" t="s">
        <v>8</v>
      </c>
    </row>
    <row r="301" spans="1:7" x14ac:dyDescent="0.3">
      <c r="A301" t="s">
        <v>13</v>
      </c>
      <c r="B301" s="1">
        <v>45900</v>
      </c>
      <c r="C301">
        <v>564021</v>
      </c>
      <c r="D301">
        <v>93.441000000000003</v>
      </c>
      <c r="E301" t="s">
        <v>6</v>
      </c>
      <c r="F301" t="s">
        <v>57</v>
      </c>
      <c r="G301" t="s">
        <v>8</v>
      </c>
    </row>
    <row r="302" spans="1:7" x14ac:dyDescent="0.3">
      <c r="A302" t="s">
        <v>13</v>
      </c>
      <c r="B302" s="1">
        <v>45900</v>
      </c>
      <c r="C302">
        <v>570002</v>
      </c>
      <c r="D302">
        <v>130.43600000000001</v>
      </c>
      <c r="E302" t="s">
        <v>6</v>
      </c>
      <c r="F302" t="s">
        <v>66</v>
      </c>
      <c r="G302" t="s">
        <v>8</v>
      </c>
    </row>
    <row r="303" spans="1:7" x14ac:dyDescent="0.3">
      <c r="A303" t="s">
        <v>13</v>
      </c>
      <c r="B303" s="1">
        <v>45900</v>
      </c>
      <c r="C303">
        <v>580002</v>
      </c>
      <c r="D303">
        <v>2519.1260000000002</v>
      </c>
      <c r="E303" t="s">
        <v>6</v>
      </c>
      <c r="F303" t="s">
        <v>64</v>
      </c>
      <c r="G303" t="s">
        <v>8</v>
      </c>
    </row>
    <row r="304" spans="1:7" x14ac:dyDescent="0.3">
      <c r="A304" t="s">
        <v>14</v>
      </c>
      <c r="B304" s="1">
        <v>45900</v>
      </c>
      <c r="C304">
        <v>210002</v>
      </c>
      <c r="D304">
        <v>-3089.7310000000002</v>
      </c>
      <c r="E304" t="s">
        <v>4</v>
      </c>
      <c r="F304" t="s">
        <v>42</v>
      </c>
      <c r="G304" t="s">
        <v>8</v>
      </c>
    </row>
    <row r="305" spans="1:7" x14ac:dyDescent="0.3">
      <c r="A305" t="s">
        <v>14</v>
      </c>
      <c r="B305" s="1">
        <v>45900</v>
      </c>
      <c r="C305">
        <v>220006</v>
      </c>
      <c r="D305">
        <v>66170.534</v>
      </c>
      <c r="E305" t="s">
        <v>4</v>
      </c>
      <c r="F305" t="s">
        <v>42</v>
      </c>
      <c r="G305" t="s">
        <v>8</v>
      </c>
    </row>
    <row r="306" spans="1:7" x14ac:dyDescent="0.3">
      <c r="A306" t="s">
        <v>14</v>
      </c>
      <c r="B306" s="1">
        <v>45900</v>
      </c>
      <c r="C306">
        <v>220011</v>
      </c>
      <c r="D306">
        <v>-27004.375</v>
      </c>
      <c r="E306" t="s">
        <v>4</v>
      </c>
      <c r="F306" t="s">
        <v>42</v>
      </c>
      <c r="G306" t="s">
        <v>8</v>
      </c>
    </row>
    <row r="307" spans="1:7" x14ac:dyDescent="0.3">
      <c r="A307" t="s">
        <v>14</v>
      </c>
      <c r="B307" s="1">
        <v>45900</v>
      </c>
      <c r="C307">
        <v>240002</v>
      </c>
      <c r="D307">
        <v>4384.9709999999995</v>
      </c>
      <c r="E307" t="s">
        <v>4</v>
      </c>
      <c r="F307" t="s">
        <v>43</v>
      </c>
      <c r="G307" t="s">
        <v>8</v>
      </c>
    </row>
    <row r="308" spans="1:7" x14ac:dyDescent="0.3">
      <c r="A308" t="s">
        <v>14</v>
      </c>
      <c r="B308" s="1">
        <v>45900</v>
      </c>
      <c r="C308">
        <v>240003</v>
      </c>
      <c r="D308">
        <v>-41.124000000000002</v>
      </c>
      <c r="E308" t="s">
        <v>4</v>
      </c>
      <c r="F308" t="s">
        <v>43</v>
      </c>
      <c r="G308" t="s">
        <v>8</v>
      </c>
    </row>
    <row r="309" spans="1:7" x14ac:dyDescent="0.3">
      <c r="A309" t="s">
        <v>14</v>
      </c>
      <c r="B309" s="1">
        <v>45900</v>
      </c>
      <c r="C309">
        <v>240009</v>
      </c>
      <c r="D309">
        <v>-6736.7139999999999</v>
      </c>
      <c r="E309" t="s">
        <v>4</v>
      </c>
      <c r="F309" t="s">
        <v>43</v>
      </c>
      <c r="G309" t="s">
        <v>8</v>
      </c>
    </row>
    <row r="310" spans="1:7" x14ac:dyDescent="0.3">
      <c r="A310" t="s">
        <v>14</v>
      </c>
      <c r="B310" s="1">
        <v>45900</v>
      </c>
      <c r="C310">
        <v>242003</v>
      </c>
      <c r="D310">
        <v>-329569.26699999999</v>
      </c>
      <c r="E310" t="s">
        <v>4</v>
      </c>
      <c r="F310" t="s">
        <v>43</v>
      </c>
      <c r="G310" t="s">
        <v>8</v>
      </c>
    </row>
    <row r="311" spans="1:7" x14ac:dyDescent="0.3">
      <c r="A311" t="s">
        <v>14</v>
      </c>
      <c r="B311" s="1">
        <v>45900</v>
      </c>
      <c r="C311">
        <v>242011</v>
      </c>
      <c r="D311">
        <v>-3496.991</v>
      </c>
      <c r="E311" t="s">
        <v>4</v>
      </c>
      <c r="F311" t="s">
        <v>43</v>
      </c>
      <c r="G311" t="s">
        <v>8</v>
      </c>
    </row>
    <row r="312" spans="1:7" x14ac:dyDescent="0.3">
      <c r="A312" t="s">
        <v>14</v>
      </c>
      <c r="B312" s="1">
        <v>45900</v>
      </c>
      <c r="C312">
        <v>242012</v>
      </c>
      <c r="D312">
        <v>-11872.724</v>
      </c>
      <c r="E312" t="s">
        <v>4</v>
      </c>
      <c r="F312" t="s">
        <v>43</v>
      </c>
      <c r="G312" t="s">
        <v>8</v>
      </c>
    </row>
    <row r="313" spans="1:7" x14ac:dyDescent="0.3">
      <c r="A313" t="s">
        <v>14</v>
      </c>
      <c r="B313" s="1">
        <v>45900</v>
      </c>
      <c r="C313">
        <v>242013</v>
      </c>
      <c r="D313">
        <v>-9446.1830000000009</v>
      </c>
      <c r="E313" t="s">
        <v>4</v>
      </c>
      <c r="F313" t="s">
        <v>43</v>
      </c>
      <c r="G313" t="s">
        <v>8</v>
      </c>
    </row>
    <row r="314" spans="1:7" x14ac:dyDescent="0.3">
      <c r="A314" t="s">
        <v>14</v>
      </c>
      <c r="B314" s="1">
        <v>45900</v>
      </c>
      <c r="C314">
        <v>242014</v>
      </c>
      <c r="D314">
        <v>-25867.186000000002</v>
      </c>
      <c r="E314" t="s">
        <v>4</v>
      </c>
      <c r="F314" t="s">
        <v>43</v>
      </c>
      <c r="G314" t="s">
        <v>8</v>
      </c>
    </row>
    <row r="315" spans="1:7" x14ac:dyDescent="0.3">
      <c r="A315" t="s">
        <v>14</v>
      </c>
      <c r="B315" s="1">
        <v>45900</v>
      </c>
      <c r="C315">
        <v>242027</v>
      </c>
      <c r="D315">
        <v>-13272.949000000001</v>
      </c>
      <c r="E315" t="s">
        <v>4</v>
      </c>
      <c r="F315" t="s">
        <v>43</v>
      </c>
      <c r="G315" t="s">
        <v>8</v>
      </c>
    </row>
    <row r="316" spans="1:7" x14ac:dyDescent="0.3">
      <c r="A316" t="s">
        <v>14</v>
      </c>
      <c r="B316" s="1">
        <v>45900</v>
      </c>
      <c r="C316">
        <v>242041</v>
      </c>
      <c r="D316">
        <v>-5617.3919999999998</v>
      </c>
      <c r="E316" t="s">
        <v>4</v>
      </c>
      <c r="F316" t="s">
        <v>43</v>
      </c>
      <c r="G316" t="s">
        <v>8</v>
      </c>
    </row>
    <row r="317" spans="1:7" x14ac:dyDescent="0.3">
      <c r="A317" t="s">
        <v>14</v>
      </c>
      <c r="B317" s="1">
        <v>45900</v>
      </c>
      <c r="C317">
        <v>243002</v>
      </c>
      <c r="D317">
        <v>-9877.1080000000002</v>
      </c>
      <c r="E317" t="s">
        <v>4</v>
      </c>
      <c r="F317" t="s">
        <v>43</v>
      </c>
      <c r="G317" t="s">
        <v>8</v>
      </c>
    </row>
    <row r="318" spans="1:7" x14ac:dyDescent="0.3">
      <c r="A318" t="s">
        <v>14</v>
      </c>
      <c r="B318" s="1">
        <v>45900</v>
      </c>
      <c r="C318">
        <v>243010</v>
      </c>
      <c r="D318">
        <v>-830.52</v>
      </c>
      <c r="E318" t="s">
        <v>4</v>
      </c>
      <c r="F318" t="s">
        <v>43</v>
      </c>
      <c r="G318" t="s">
        <v>8</v>
      </c>
    </row>
    <row r="319" spans="1:7" x14ac:dyDescent="0.3">
      <c r="A319" t="s">
        <v>14</v>
      </c>
      <c r="B319" s="1">
        <v>45900</v>
      </c>
      <c r="C319">
        <v>245010</v>
      </c>
      <c r="D319">
        <v>-4028.6350000000002</v>
      </c>
      <c r="E319" t="s">
        <v>4</v>
      </c>
      <c r="F319" t="s">
        <v>44</v>
      </c>
      <c r="G319" t="s">
        <v>8</v>
      </c>
    </row>
    <row r="320" spans="1:7" x14ac:dyDescent="0.3">
      <c r="A320" t="s">
        <v>14</v>
      </c>
      <c r="B320" s="1">
        <v>45900</v>
      </c>
      <c r="C320">
        <v>245056</v>
      </c>
      <c r="D320">
        <v>-288.399</v>
      </c>
      <c r="E320" t="s">
        <v>4</v>
      </c>
      <c r="F320" t="s">
        <v>49</v>
      </c>
      <c r="G320" t="s">
        <v>8</v>
      </c>
    </row>
    <row r="321" spans="1:7" x14ac:dyDescent="0.3">
      <c r="A321" t="s">
        <v>14</v>
      </c>
      <c r="B321" s="1">
        <v>45900</v>
      </c>
      <c r="C321">
        <v>245062</v>
      </c>
      <c r="D321">
        <v>-1068.3050000000001</v>
      </c>
      <c r="E321" t="s">
        <v>4</v>
      </c>
      <c r="F321" t="s">
        <v>43</v>
      </c>
      <c r="G321" t="s">
        <v>8</v>
      </c>
    </row>
    <row r="322" spans="1:7" x14ac:dyDescent="0.3">
      <c r="A322" t="s">
        <v>14</v>
      </c>
      <c r="B322" s="1">
        <v>45900</v>
      </c>
      <c r="C322">
        <v>250003</v>
      </c>
      <c r="D322">
        <v>-17055.056</v>
      </c>
      <c r="E322" t="s">
        <v>4</v>
      </c>
      <c r="F322" t="s">
        <v>45</v>
      </c>
      <c r="G322" t="s">
        <v>8</v>
      </c>
    </row>
    <row r="323" spans="1:7" x14ac:dyDescent="0.3">
      <c r="A323" t="s">
        <v>14</v>
      </c>
      <c r="B323" s="1">
        <v>45900</v>
      </c>
      <c r="C323">
        <v>251002</v>
      </c>
      <c r="D323">
        <v>-2420.1979999999999</v>
      </c>
      <c r="E323" t="s">
        <v>4</v>
      </c>
      <c r="F323" t="s">
        <v>45</v>
      </c>
      <c r="G323" t="s">
        <v>8</v>
      </c>
    </row>
    <row r="324" spans="1:7" x14ac:dyDescent="0.3">
      <c r="A324" t="s">
        <v>14</v>
      </c>
      <c r="B324" s="1">
        <v>45900</v>
      </c>
      <c r="C324">
        <v>257005</v>
      </c>
      <c r="D324">
        <v>5417.2579999999998</v>
      </c>
      <c r="E324" t="s">
        <v>4</v>
      </c>
      <c r="F324" t="s">
        <v>45</v>
      </c>
      <c r="G324" t="s">
        <v>8</v>
      </c>
    </row>
    <row r="325" spans="1:7" x14ac:dyDescent="0.3">
      <c r="A325" t="s">
        <v>14</v>
      </c>
      <c r="B325" s="1">
        <v>45900</v>
      </c>
      <c r="C325">
        <v>257008</v>
      </c>
      <c r="D325">
        <v>-1029.43</v>
      </c>
      <c r="E325" t="s">
        <v>4</v>
      </c>
      <c r="F325" t="s">
        <v>45</v>
      </c>
      <c r="G325" t="s">
        <v>8</v>
      </c>
    </row>
    <row r="326" spans="1:7" x14ac:dyDescent="0.3">
      <c r="A326" t="s">
        <v>14</v>
      </c>
      <c r="B326" s="1">
        <v>45900</v>
      </c>
      <c r="C326">
        <v>257014</v>
      </c>
      <c r="D326">
        <v>-835.89599999999996</v>
      </c>
      <c r="E326" t="s">
        <v>4</v>
      </c>
      <c r="F326" t="s">
        <v>45</v>
      </c>
      <c r="G326" t="s">
        <v>8</v>
      </c>
    </row>
    <row r="327" spans="1:7" x14ac:dyDescent="0.3">
      <c r="A327" t="s">
        <v>14</v>
      </c>
      <c r="B327" s="1">
        <v>45900</v>
      </c>
      <c r="C327">
        <v>257030</v>
      </c>
      <c r="D327">
        <v>-8285.2960000000003</v>
      </c>
      <c r="E327" t="s">
        <v>4</v>
      </c>
      <c r="F327" t="s">
        <v>45</v>
      </c>
      <c r="G327" t="s">
        <v>8</v>
      </c>
    </row>
    <row r="328" spans="1:7" x14ac:dyDescent="0.3">
      <c r="A328" t="s">
        <v>14</v>
      </c>
      <c r="B328" s="1">
        <v>45900</v>
      </c>
      <c r="C328">
        <v>260004</v>
      </c>
      <c r="D328">
        <v>-7679.8149999999996</v>
      </c>
      <c r="E328" t="s">
        <v>4</v>
      </c>
      <c r="F328" t="s">
        <v>45</v>
      </c>
      <c r="G328" t="s">
        <v>8</v>
      </c>
    </row>
    <row r="329" spans="1:7" x14ac:dyDescent="0.3">
      <c r="A329" t="s">
        <v>14</v>
      </c>
      <c r="B329" s="1">
        <v>45900</v>
      </c>
      <c r="C329">
        <v>300004</v>
      </c>
      <c r="D329">
        <v>2009.6980000000001</v>
      </c>
      <c r="E329" t="s">
        <v>4</v>
      </c>
      <c r="F329" t="s">
        <v>65</v>
      </c>
      <c r="G329" t="s">
        <v>8</v>
      </c>
    </row>
    <row r="330" spans="1:7" x14ac:dyDescent="0.3">
      <c r="A330" t="s">
        <v>14</v>
      </c>
      <c r="B330" s="1">
        <v>45900</v>
      </c>
      <c r="C330">
        <v>300013</v>
      </c>
      <c r="D330">
        <v>8046.5870000000004</v>
      </c>
      <c r="E330" t="s">
        <v>4</v>
      </c>
      <c r="F330" t="s">
        <v>65</v>
      </c>
      <c r="G330" t="s">
        <v>8</v>
      </c>
    </row>
    <row r="331" spans="1:7" x14ac:dyDescent="0.3">
      <c r="A331" t="s">
        <v>14</v>
      </c>
      <c r="B331" s="1">
        <v>45900</v>
      </c>
      <c r="C331">
        <v>300014</v>
      </c>
      <c r="D331">
        <v>911.58199999999999</v>
      </c>
      <c r="E331" t="s">
        <v>4</v>
      </c>
      <c r="F331" t="s">
        <v>65</v>
      </c>
      <c r="G331" t="s">
        <v>8</v>
      </c>
    </row>
    <row r="332" spans="1:7" x14ac:dyDescent="0.3">
      <c r="A332" t="s">
        <v>14</v>
      </c>
      <c r="B332" s="1">
        <v>45900</v>
      </c>
      <c r="C332">
        <v>300504</v>
      </c>
      <c r="D332">
        <v>-2009.6980000000001</v>
      </c>
      <c r="E332" t="s">
        <v>4</v>
      </c>
      <c r="F332" t="s">
        <v>65</v>
      </c>
      <c r="G332" t="s">
        <v>8</v>
      </c>
    </row>
    <row r="333" spans="1:7" x14ac:dyDescent="0.3">
      <c r="A333" t="s">
        <v>14</v>
      </c>
      <c r="B333" s="1">
        <v>45900</v>
      </c>
      <c r="C333">
        <v>300513</v>
      </c>
      <c r="D333">
        <v>-7935.3850000000002</v>
      </c>
      <c r="E333" t="s">
        <v>4</v>
      </c>
      <c r="F333" t="s">
        <v>65</v>
      </c>
      <c r="G333" t="s">
        <v>8</v>
      </c>
    </row>
    <row r="334" spans="1:7" x14ac:dyDescent="0.3">
      <c r="A334" t="s">
        <v>14</v>
      </c>
      <c r="B334" s="1">
        <v>45900</v>
      </c>
      <c r="C334">
        <v>300514</v>
      </c>
      <c r="D334">
        <v>-788.47799999999995</v>
      </c>
      <c r="E334" t="s">
        <v>4</v>
      </c>
      <c r="F334" t="s">
        <v>65</v>
      </c>
      <c r="G334" t="s">
        <v>8</v>
      </c>
    </row>
    <row r="335" spans="1:7" x14ac:dyDescent="0.3">
      <c r="A335" t="s">
        <v>14</v>
      </c>
      <c r="B335" s="1">
        <v>45900</v>
      </c>
      <c r="C335">
        <v>301004</v>
      </c>
      <c r="D335">
        <v>4026.8009999999999</v>
      </c>
      <c r="E335" t="s">
        <v>4</v>
      </c>
      <c r="F335" t="s">
        <v>65</v>
      </c>
      <c r="G335" t="s">
        <v>8</v>
      </c>
    </row>
    <row r="336" spans="1:7" x14ac:dyDescent="0.3">
      <c r="A336" t="s">
        <v>14</v>
      </c>
      <c r="B336" s="1">
        <v>45900</v>
      </c>
      <c r="C336">
        <v>301504</v>
      </c>
      <c r="D336">
        <v>-3949.3910000000001</v>
      </c>
      <c r="E336" t="s">
        <v>4</v>
      </c>
      <c r="F336" t="s">
        <v>65</v>
      </c>
      <c r="G336" t="s">
        <v>8</v>
      </c>
    </row>
    <row r="337" spans="1:7" x14ac:dyDescent="0.3">
      <c r="A337" t="s">
        <v>14</v>
      </c>
      <c r="B337" s="1">
        <v>45900</v>
      </c>
      <c r="C337">
        <v>320002</v>
      </c>
      <c r="D337">
        <v>97479.864000000001</v>
      </c>
      <c r="E337" t="s">
        <v>4</v>
      </c>
      <c r="F337" t="s">
        <v>46</v>
      </c>
      <c r="G337" t="s">
        <v>8</v>
      </c>
    </row>
    <row r="338" spans="1:7" x14ac:dyDescent="0.3">
      <c r="A338" t="s">
        <v>14</v>
      </c>
      <c r="B338" s="1">
        <v>45900</v>
      </c>
      <c r="C338">
        <v>320003</v>
      </c>
      <c r="D338">
        <v>152171.90100000001</v>
      </c>
      <c r="E338" t="s">
        <v>4</v>
      </c>
      <c r="F338" t="s">
        <v>46</v>
      </c>
      <c r="G338" t="s">
        <v>8</v>
      </c>
    </row>
    <row r="339" spans="1:7" x14ac:dyDescent="0.3">
      <c r="A339" t="s">
        <v>14</v>
      </c>
      <c r="B339" s="1">
        <v>45900</v>
      </c>
      <c r="C339">
        <v>320004</v>
      </c>
      <c r="D339">
        <v>1501.1849999999999</v>
      </c>
      <c r="E339" t="s">
        <v>4</v>
      </c>
      <c r="F339" t="s">
        <v>46</v>
      </c>
      <c r="G339" t="s">
        <v>8</v>
      </c>
    </row>
    <row r="340" spans="1:7" x14ac:dyDescent="0.3">
      <c r="A340" t="s">
        <v>14</v>
      </c>
      <c r="B340" s="1">
        <v>45900</v>
      </c>
      <c r="C340">
        <v>320023</v>
      </c>
      <c r="D340">
        <v>-57369.262000000002</v>
      </c>
      <c r="E340" t="s">
        <v>4</v>
      </c>
      <c r="F340" t="s">
        <v>46</v>
      </c>
      <c r="G340" t="s">
        <v>8</v>
      </c>
    </row>
    <row r="341" spans="1:7" x14ac:dyDescent="0.3">
      <c r="A341" t="s">
        <v>14</v>
      </c>
      <c r="B341" s="1">
        <v>45900</v>
      </c>
      <c r="C341">
        <v>320025</v>
      </c>
      <c r="D341">
        <v>18593.039000000001</v>
      </c>
      <c r="E341" t="s">
        <v>4</v>
      </c>
      <c r="F341" t="s">
        <v>46</v>
      </c>
      <c r="G341" t="s">
        <v>8</v>
      </c>
    </row>
    <row r="342" spans="1:7" x14ac:dyDescent="0.3">
      <c r="A342" t="s">
        <v>14</v>
      </c>
      <c r="B342" s="1">
        <v>45900</v>
      </c>
      <c r="C342">
        <v>321002</v>
      </c>
      <c r="D342">
        <v>4819.9120000000003</v>
      </c>
      <c r="E342" t="s">
        <v>4</v>
      </c>
      <c r="F342" t="s">
        <v>46</v>
      </c>
      <c r="G342" t="s">
        <v>8</v>
      </c>
    </row>
    <row r="343" spans="1:7" x14ac:dyDescent="0.3">
      <c r="A343" t="s">
        <v>14</v>
      </c>
      <c r="B343" s="1">
        <v>45900</v>
      </c>
      <c r="C343">
        <v>321004</v>
      </c>
      <c r="D343">
        <v>847.41300000000001</v>
      </c>
      <c r="E343" t="s">
        <v>4</v>
      </c>
      <c r="F343" t="s">
        <v>46</v>
      </c>
      <c r="G343" t="s">
        <v>8</v>
      </c>
    </row>
    <row r="344" spans="1:7" x14ac:dyDescent="0.3">
      <c r="A344" t="s">
        <v>14</v>
      </c>
      <c r="B344" s="1">
        <v>45900</v>
      </c>
      <c r="C344">
        <v>321012</v>
      </c>
      <c r="D344">
        <v>6009.5780000000004</v>
      </c>
      <c r="E344" t="s">
        <v>4</v>
      </c>
      <c r="F344" t="s">
        <v>46</v>
      </c>
      <c r="G344" t="s">
        <v>8</v>
      </c>
    </row>
    <row r="345" spans="1:7" x14ac:dyDescent="0.3">
      <c r="A345" t="s">
        <v>14</v>
      </c>
      <c r="B345" s="1">
        <v>45900</v>
      </c>
      <c r="C345">
        <v>321014</v>
      </c>
      <c r="D345">
        <v>7204.2730000000001</v>
      </c>
      <c r="E345" t="s">
        <v>4</v>
      </c>
      <c r="F345" t="s">
        <v>46</v>
      </c>
      <c r="G345" t="s">
        <v>8</v>
      </c>
    </row>
    <row r="346" spans="1:7" x14ac:dyDescent="0.3">
      <c r="A346" t="s">
        <v>14</v>
      </c>
      <c r="B346" s="1">
        <v>45900</v>
      </c>
      <c r="C346">
        <v>321025</v>
      </c>
      <c r="D346">
        <v>3370.0909999999999</v>
      </c>
      <c r="E346" t="s">
        <v>4</v>
      </c>
      <c r="F346" t="s">
        <v>46</v>
      </c>
      <c r="G346" t="s">
        <v>8</v>
      </c>
    </row>
    <row r="347" spans="1:7" x14ac:dyDescent="0.3">
      <c r="A347" t="s">
        <v>14</v>
      </c>
      <c r="B347" s="1">
        <v>45900</v>
      </c>
      <c r="C347">
        <v>321028</v>
      </c>
      <c r="D347">
        <v>1436.7059999999999</v>
      </c>
      <c r="E347" t="s">
        <v>4</v>
      </c>
      <c r="F347" t="s">
        <v>46</v>
      </c>
      <c r="G347" t="s">
        <v>8</v>
      </c>
    </row>
    <row r="348" spans="1:7" x14ac:dyDescent="0.3">
      <c r="A348" t="s">
        <v>14</v>
      </c>
      <c r="B348" s="1">
        <v>45900</v>
      </c>
      <c r="C348">
        <v>321029</v>
      </c>
      <c r="D348">
        <v>1437.8620000000001</v>
      </c>
      <c r="E348" t="s">
        <v>4</v>
      </c>
      <c r="F348" t="s">
        <v>46</v>
      </c>
      <c r="G348" t="s">
        <v>8</v>
      </c>
    </row>
    <row r="349" spans="1:7" x14ac:dyDescent="0.3">
      <c r="A349" t="s">
        <v>14</v>
      </c>
      <c r="B349" s="1">
        <v>45900</v>
      </c>
      <c r="C349">
        <v>330097</v>
      </c>
      <c r="D349">
        <v>-463.46</v>
      </c>
      <c r="E349" t="s">
        <v>4</v>
      </c>
      <c r="F349" t="s">
        <v>43</v>
      </c>
      <c r="G349" t="s">
        <v>8</v>
      </c>
    </row>
    <row r="350" spans="1:7" x14ac:dyDescent="0.3">
      <c r="A350" t="s">
        <v>14</v>
      </c>
      <c r="B350" s="1">
        <v>45900</v>
      </c>
      <c r="C350">
        <v>330149</v>
      </c>
      <c r="D350">
        <v>1310.155</v>
      </c>
      <c r="E350" t="s">
        <v>4</v>
      </c>
      <c r="F350" t="s">
        <v>43</v>
      </c>
      <c r="G350" t="s">
        <v>8</v>
      </c>
    </row>
    <row r="351" spans="1:7" x14ac:dyDescent="0.3">
      <c r="A351" t="s">
        <v>14</v>
      </c>
      <c r="B351" s="1">
        <v>45900</v>
      </c>
      <c r="C351">
        <v>330150</v>
      </c>
      <c r="D351">
        <v>-13417.157999999999</v>
      </c>
      <c r="E351" t="s">
        <v>4</v>
      </c>
      <c r="F351" t="s">
        <v>43</v>
      </c>
      <c r="G351" t="s">
        <v>8</v>
      </c>
    </row>
    <row r="352" spans="1:7" x14ac:dyDescent="0.3">
      <c r="A352" t="s">
        <v>14</v>
      </c>
      <c r="B352" s="1">
        <v>45900</v>
      </c>
      <c r="C352">
        <v>340057</v>
      </c>
      <c r="D352">
        <v>225327.734</v>
      </c>
      <c r="E352" t="s">
        <v>4</v>
      </c>
      <c r="F352" t="s">
        <v>47</v>
      </c>
      <c r="G352" t="s">
        <v>8</v>
      </c>
    </row>
    <row r="353" spans="1:7" x14ac:dyDescent="0.3">
      <c r="A353" t="s">
        <v>14</v>
      </c>
      <c r="B353" s="1">
        <v>45900</v>
      </c>
      <c r="C353">
        <v>350002</v>
      </c>
      <c r="D353">
        <v>463.46</v>
      </c>
      <c r="E353" t="s">
        <v>4</v>
      </c>
      <c r="F353" t="s">
        <v>49</v>
      </c>
      <c r="G353" t="s">
        <v>8</v>
      </c>
    </row>
    <row r="354" spans="1:7" x14ac:dyDescent="0.3">
      <c r="A354" t="s">
        <v>14</v>
      </c>
      <c r="B354" s="1">
        <v>45900</v>
      </c>
      <c r="C354">
        <v>350003</v>
      </c>
      <c r="D354">
        <v>792.78300000000002</v>
      </c>
      <c r="E354" t="s">
        <v>4</v>
      </c>
      <c r="F354" t="s">
        <v>49</v>
      </c>
      <c r="G354" t="s">
        <v>8</v>
      </c>
    </row>
    <row r="355" spans="1:7" x14ac:dyDescent="0.3">
      <c r="A355" t="s">
        <v>14</v>
      </c>
      <c r="B355" s="1">
        <v>45900</v>
      </c>
      <c r="C355">
        <v>350031</v>
      </c>
      <c r="D355">
        <v>6736.7139999999999</v>
      </c>
      <c r="E355" t="s">
        <v>4</v>
      </c>
      <c r="F355" t="s">
        <v>43</v>
      </c>
      <c r="G355" t="s">
        <v>8</v>
      </c>
    </row>
    <row r="356" spans="1:7" x14ac:dyDescent="0.3">
      <c r="A356" t="s">
        <v>14</v>
      </c>
      <c r="B356" s="1">
        <v>45900</v>
      </c>
      <c r="C356">
        <v>350034</v>
      </c>
      <c r="D356">
        <v>288.399</v>
      </c>
      <c r="E356" t="s">
        <v>4</v>
      </c>
      <c r="F356" t="s">
        <v>49</v>
      </c>
      <c r="G356" t="s">
        <v>8</v>
      </c>
    </row>
    <row r="357" spans="1:7" x14ac:dyDescent="0.3">
      <c r="A357" t="s">
        <v>14</v>
      </c>
      <c r="B357" s="1">
        <v>45900</v>
      </c>
      <c r="C357">
        <v>352002</v>
      </c>
      <c r="D357">
        <v>1300.1890000000001</v>
      </c>
      <c r="E357" t="s">
        <v>4</v>
      </c>
      <c r="F357" t="s">
        <v>48</v>
      </c>
      <c r="G357" t="s">
        <v>8</v>
      </c>
    </row>
    <row r="358" spans="1:7" x14ac:dyDescent="0.3">
      <c r="A358" t="s">
        <v>14</v>
      </c>
      <c r="B358" s="1">
        <v>45900</v>
      </c>
      <c r="C358">
        <v>354014</v>
      </c>
      <c r="D358">
        <v>15896.198</v>
      </c>
      <c r="E358" t="s">
        <v>4</v>
      </c>
      <c r="F358" t="s">
        <v>46</v>
      </c>
      <c r="G358" t="s">
        <v>8</v>
      </c>
    </row>
    <row r="359" spans="1:7" x14ac:dyDescent="0.3">
      <c r="A359" t="s">
        <v>14</v>
      </c>
      <c r="B359" s="1">
        <v>45900</v>
      </c>
      <c r="C359">
        <v>354015</v>
      </c>
      <c r="D359">
        <v>8048.1170000000002</v>
      </c>
      <c r="E359" t="s">
        <v>4</v>
      </c>
      <c r="F359" t="s">
        <v>46</v>
      </c>
      <c r="G359" t="s">
        <v>8</v>
      </c>
    </row>
    <row r="360" spans="1:7" x14ac:dyDescent="0.3">
      <c r="A360" t="s">
        <v>14</v>
      </c>
      <c r="B360" s="1">
        <v>45900</v>
      </c>
      <c r="C360">
        <v>355002</v>
      </c>
      <c r="D360">
        <v>14.465999999999999</v>
      </c>
      <c r="E360" t="s">
        <v>4</v>
      </c>
      <c r="F360" t="s">
        <v>49</v>
      </c>
      <c r="G360" t="s">
        <v>8</v>
      </c>
    </row>
    <row r="361" spans="1:7" x14ac:dyDescent="0.3">
      <c r="A361" t="s">
        <v>14</v>
      </c>
      <c r="B361" s="1">
        <v>45900</v>
      </c>
      <c r="C361">
        <v>355014</v>
      </c>
      <c r="D361">
        <v>2080.0070000000001</v>
      </c>
      <c r="E361" t="s">
        <v>4</v>
      </c>
      <c r="F361" t="s">
        <v>49</v>
      </c>
      <c r="G361" t="s">
        <v>8</v>
      </c>
    </row>
    <row r="362" spans="1:7" x14ac:dyDescent="0.3">
      <c r="A362" t="s">
        <v>14</v>
      </c>
      <c r="B362" s="1">
        <v>45900</v>
      </c>
      <c r="C362">
        <v>360022</v>
      </c>
      <c r="D362">
        <v>3606.8290000000002</v>
      </c>
      <c r="E362" t="s">
        <v>4</v>
      </c>
      <c r="F362" t="s">
        <v>58</v>
      </c>
      <c r="G362" t="s">
        <v>8</v>
      </c>
    </row>
    <row r="363" spans="1:7" x14ac:dyDescent="0.3">
      <c r="A363" t="s">
        <v>14</v>
      </c>
      <c r="B363" s="1">
        <v>45900</v>
      </c>
      <c r="C363">
        <v>360026</v>
      </c>
      <c r="D363">
        <v>3606.8290000000002</v>
      </c>
      <c r="E363" t="s">
        <v>4</v>
      </c>
      <c r="F363" t="s">
        <v>58</v>
      </c>
      <c r="G363" t="s">
        <v>8</v>
      </c>
    </row>
    <row r="364" spans="1:7" x14ac:dyDescent="0.3">
      <c r="A364" t="s">
        <v>14</v>
      </c>
      <c r="B364" s="1">
        <v>45900</v>
      </c>
      <c r="C364">
        <v>360028</v>
      </c>
      <c r="D364">
        <v>2704.942</v>
      </c>
      <c r="E364" t="s">
        <v>4</v>
      </c>
      <c r="F364" t="s">
        <v>58</v>
      </c>
      <c r="G364" t="s">
        <v>8</v>
      </c>
    </row>
    <row r="365" spans="1:7" x14ac:dyDescent="0.3">
      <c r="A365" t="s">
        <v>14</v>
      </c>
      <c r="B365" s="1">
        <v>45900</v>
      </c>
      <c r="C365">
        <v>360032</v>
      </c>
      <c r="D365">
        <v>1349.471</v>
      </c>
      <c r="E365" t="s">
        <v>4</v>
      </c>
      <c r="F365" t="s">
        <v>58</v>
      </c>
      <c r="G365" t="s">
        <v>8</v>
      </c>
    </row>
    <row r="366" spans="1:7" x14ac:dyDescent="0.3">
      <c r="A366" t="s">
        <v>14</v>
      </c>
      <c r="B366" s="1">
        <v>45900</v>
      </c>
      <c r="C366">
        <v>372004</v>
      </c>
      <c r="D366">
        <v>782.90599999999995</v>
      </c>
      <c r="E366" t="s">
        <v>4</v>
      </c>
      <c r="F366" t="s">
        <v>45</v>
      </c>
      <c r="G366" t="s">
        <v>8</v>
      </c>
    </row>
    <row r="367" spans="1:7" x14ac:dyDescent="0.3">
      <c r="A367" t="s">
        <v>14</v>
      </c>
      <c r="B367" s="1">
        <v>45900</v>
      </c>
      <c r="C367">
        <v>400002</v>
      </c>
      <c r="D367">
        <v>-8747.634</v>
      </c>
      <c r="E367" t="s">
        <v>6</v>
      </c>
      <c r="F367" t="s">
        <v>50</v>
      </c>
      <c r="G367" t="s">
        <v>8</v>
      </c>
    </row>
    <row r="368" spans="1:7" x14ac:dyDescent="0.3">
      <c r="A368" t="s">
        <v>14</v>
      </c>
      <c r="B368" s="1">
        <v>45900</v>
      </c>
      <c r="C368">
        <v>400004</v>
      </c>
      <c r="D368">
        <v>-114141.012</v>
      </c>
      <c r="E368" t="s">
        <v>6</v>
      </c>
      <c r="F368" t="s">
        <v>50</v>
      </c>
      <c r="G368" t="s">
        <v>8</v>
      </c>
    </row>
    <row r="369" spans="1:7" x14ac:dyDescent="0.3">
      <c r="A369" t="s">
        <v>14</v>
      </c>
      <c r="B369" s="1">
        <v>45900</v>
      </c>
      <c r="C369">
        <v>400008</v>
      </c>
      <c r="D369">
        <v>-722.27599999999995</v>
      </c>
      <c r="E369" t="s">
        <v>6</v>
      </c>
      <c r="F369" t="s">
        <v>50</v>
      </c>
      <c r="G369" t="s">
        <v>8</v>
      </c>
    </row>
    <row r="370" spans="1:7" x14ac:dyDescent="0.3">
      <c r="A370" t="s">
        <v>14</v>
      </c>
      <c r="B370" s="1">
        <v>45900</v>
      </c>
      <c r="C370">
        <v>410002</v>
      </c>
      <c r="D370">
        <v>-4913.1660000000002</v>
      </c>
      <c r="E370" t="s">
        <v>6</v>
      </c>
      <c r="F370" t="s">
        <v>51</v>
      </c>
      <c r="G370" t="s">
        <v>8</v>
      </c>
    </row>
    <row r="371" spans="1:7" x14ac:dyDescent="0.3">
      <c r="A371" t="s">
        <v>14</v>
      </c>
      <c r="B371" s="1">
        <v>45900</v>
      </c>
      <c r="C371">
        <v>410005</v>
      </c>
      <c r="D371">
        <v>-5169.732</v>
      </c>
      <c r="E371" t="s">
        <v>6</v>
      </c>
      <c r="F371" t="s">
        <v>51</v>
      </c>
      <c r="G371" t="s">
        <v>8</v>
      </c>
    </row>
    <row r="372" spans="1:7" x14ac:dyDescent="0.3">
      <c r="A372" t="s">
        <v>14</v>
      </c>
      <c r="B372" s="1">
        <v>45900</v>
      </c>
      <c r="C372">
        <v>410009</v>
      </c>
      <c r="D372">
        <v>-4797.884</v>
      </c>
      <c r="E372" t="s">
        <v>6</v>
      </c>
      <c r="F372" t="s">
        <v>51</v>
      </c>
      <c r="G372" t="s">
        <v>8</v>
      </c>
    </row>
    <row r="373" spans="1:7" x14ac:dyDescent="0.3">
      <c r="A373" t="s">
        <v>14</v>
      </c>
      <c r="B373" s="1">
        <v>45900</v>
      </c>
      <c r="C373">
        <v>410032</v>
      </c>
      <c r="D373">
        <v>-2030.9929999999999</v>
      </c>
      <c r="E373" t="s">
        <v>6</v>
      </c>
      <c r="F373" t="s">
        <v>51</v>
      </c>
      <c r="G373" t="s">
        <v>8</v>
      </c>
    </row>
    <row r="374" spans="1:7" x14ac:dyDescent="0.3">
      <c r="A374" t="s">
        <v>14</v>
      </c>
      <c r="B374" s="1">
        <v>45900</v>
      </c>
      <c r="C374">
        <v>410036</v>
      </c>
      <c r="D374">
        <v>-4641.5739999999996</v>
      </c>
      <c r="E374" t="s">
        <v>6</v>
      </c>
      <c r="F374" t="s">
        <v>51</v>
      </c>
      <c r="G374" t="s">
        <v>8</v>
      </c>
    </row>
    <row r="375" spans="1:7" x14ac:dyDescent="0.3">
      <c r="A375" t="s">
        <v>14</v>
      </c>
      <c r="B375" s="1">
        <v>45900</v>
      </c>
      <c r="C375">
        <v>410037</v>
      </c>
      <c r="D375">
        <v>-3619.0970000000002</v>
      </c>
      <c r="E375" t="s">
        <v>6</v>
      </c>
      <c r="F375" t="s">
        <v>51</v>
      </c>
      <c r="G375" t="s">
        <v>8</v>
      </c>
    </row>
    <row r="376" spans="1:7" x14ac:dyDescent="0.3">
      <c r="A376" t="s">
        <v>14</v>
      </c>
      <c r="B376" s="1">
        <v>45900</v>
      </c>
      <c r="C376">
        <v>415002</v>
      </c>
      <c r="D376">
        <v>-44270.466</v>
      </c>
      <c r="E376" t="s">
        <v>6</v>
      </c>
      <c r="F376" t="s">
        <v>50</v>
      </c>
      <c r="G376" t="s">
        <v>8</v>
      </c>
    </row>
    <row r="377" spans="1:7" x14ac:dyDescent="0.3">
      <c r="A377" t="s">
        <v>14</v>
      </c>
      <c r="B377" s="1">
        <v>45900</v>
      </c>
      <c r="C377">
        <v>415004</v>
      </c>
      <c r="D377">
        <v>-130929.967</v>
      </c>
      <c r="E377" t="s">
        <v>6</v>
      </c>
      <c r="F377" t="s">
        <v>50</v>
      </c>
      <c r="G377" t="s">
        <v>8</v>
      </c>
    </row>
    <row r="378" spans="1:7" x14ac:dyDescent="0.3">
      <c r="A378" t="s">
        <v>14</v>
      </c>
      <c r="B378" s="1">
        <v>45900</v>
      </c>
      <c r="C378">
        <v>421002</v>
      </c>
      <c r="D378">
        <v>-2069.5369999999998</v>
      </c>
      <c r="E378" t="s">
        <v>6</v>
      </c>
      <c r="F378" t="s">
        <v>52</v>
      </c>
      <c r="G378" t="s">
        <v>8</v>
      </c>
    </row>
    <row r="379" spans="1:7" x14ac:dyDescent="0.3">
      <c r="A379" t="s">
        <v>14</v>
      </c>
      <c r="B379" s="1">
        <v>45900</v>
      </c>
      <c r="C379">
        <v>421003</v>
      </c>
      <c r="D379">
        <v>-9141.6910000000007</v>
      </c>
      <c r="E379" t="s">
        <v>6</v>
      </c>
      <c r="F379" t="s">
        <v>52</v>
      </c>
      <c r="G379" t="s">
        <v>8</v>
      </c>
    </row>
    <row r="380" spans="1:7" x14ac:dyDescent="0.3">
      <c r="A380" t="s">
        <v>14</v>
      </c>
      <c r="B380" s="1">
        <v>45900</v>
      </c>
      <c r="C380">
        <v>421007</v>
      </c>
      <c r="D380">
        <v>-2508.0909999999999</v>
      </c>
      <c r="E380" t="s">
        <v>6</v>
      </c>
      <c r="F380" t="s">
        <v>52</v>
      </c>
      <c r="G380" t="s">
        <v>8</v>
      </c>
    </row>
    <row r="381" spans="1:7" x14ac:dyDescent="0.3">
      <c r="A381" t="s">
        <v>14</v>
      </c>
      <c r="B381" s="1">
        <v>45900</v>
      </c>
      <c r="C381">
        <v>510002</v>
      </c>
      <c r="D381">
        <v>36984.627999999997</v>
      </c>
      <c r="E381" t="s">
        <v>6</v>
      </c>
      <c r="F381" t="s">
        <v>53</v>
      </c>
      <c r="G381" t="s">
        <v>8</v>
      </c>
    </row>
    <row r="382" spans="1:7" x14ac:dyDescent="0.3">
      <c r="A382" t="s">
        <v>14</v>
      </c>
      <c r="B382" s="1">
        <v>45900</v>
      </c>
      <c r="C382">
        <v>510005</v>
      </c>
      <c r="D382">
        <v>646.78200000000004</v>
      </c>
      <c r="E382" t="s">
        <v>6</v>
      </c>
      <c r="F382" t="s">
        <v>53</v>
      </c>
      <c r="G382" t="s">
        <v>8</v>
      </c>
    </row>
    <row r="383" spans="1:7" x14ac:dyDescent="0.3">
      <c r="A383" t="s">
        <v>14</v>
      </c>
      <c r="B383" s="1">
        <v>45900</v>
      </c>
      <c r="C383">
        <v>510007</v>
      </c>
      <c r="D383">
        <v>-903.202</v>
      </c>
      <c r="E383" t="s">
        <v>6</v>
      </c>
      <c r="F383" t="s">
        <v>53</v>
      </c>
      <c r="G383" t="s">
        <v>8</v>
      </c>
    </row>
    <row r="384" spans="1:7" x14ac:dyDescent="0.3">
      <c r="A384" t="s">
        <v>14</v>
      </c>
      <c r="B384" s="1">
        <v>45900</v>
      </c>
      <c r="C384">
        <v>510015</v>
      </c>
      <c r="D384">
        <v>7226.2150000000001</v>
      </c>
      <c r="E384" t="s">
        <v>6</v>
      </c>
      <c r="F384" t="s">
        <v>53</v>
      </c>
      <c r="G384" t="s">
        <v>8</v>
      </c>
    </row>
    <row r="385" spans="1:7" x14ac:dyDescent="0.3">
      <c r="A385" t="s">
        <v>14</v>
      </c>
      <c r="B385" s="1">
        <v>45900</v>
      </c>
      <c r="C385">
        <v>510062</v>
      </c>
      <c r="D385">
        <v>873.62</v>
      </c>
      <c r="E385" t="s">
        <v>6</v>
      </c>
      <c r="F385" t="s">
        <v>53</v>
      </c>
      <c r="G385" t="s">
        <v>8</v>
      </c>
    </row>
    <row r="386" spans="1:7" x14ac:dyDescent="0.3">
      <c r="A386" t="s">
        <v>14</v>
      </c>
      <c r="B386" s="1">
        <v>45900</v>
      </c>
      <c r="C386">
        <v>520020</v>
      </c>
      <c r="D386">
        <v>18.672999999999998</v>
      </c>
      <c r="E386" t="s">
        <v>6</v>
      </c>
      <c r="F386" t="s">
        <v>53</v>
      </c>
      <c r="G386" t="s">
        <v>8</v>
      </c>
    </row>
    <row r="387" spans="1:7" x14ac:dyDescent="0.3">
      <c r="A387" t="s">
        <v>14</v>
      </c>
      <c r="B387" s="1">
        <v>45900</v>
      </c>
      <c r="C387">
        <v>530012</v>
      </c>
      <c r="D387">
        <v>-9964.9249999999993</v>
      </c>
      <c r="E387" t="s">
        <v>6</v>
      </c>
      <c r="F387" t="s">
        <v>53</v>
      </c>
      <c r="G387" t="s">
        <v>8</v>
      </c>
    </row>
    <row r="388" spans="1:7" x14ac:dyDescent="0.3">
      <c r="A388" t="s">
        <v>14</v>
      </c>
      <c r="B388" s="1">
        <v>45900</v>
      </c>
      <c r="C388">
        <v>541009</v>
      </c>
      <c r="D388">
        <v>234.87899999999999</v>
      </c>
      <c r="E388" t="s">
        <v>6</v>
      </c>
      <c r="F388" t="s">
        <v>61</v>
      </c>
      <c r="G388" t="s">
        <v>8</v>
      </c>
    </row>
    <row r="389" spans="1:7" x14ac:dyDescent="0.3">
      <c r="A389" t="s">
        <v>14</v>
      </c>
      <c r="B389" s="1">
        <v>45900</v>
      </c>
      <c r="C389">
        <v>541010</v>
      </c>
      <c r="D389">
        <v>545.41200000000003</v>
      </c>
      <c r="E389" t="s">
        <v>6</v>
      </c>
      <c r="F389" t="s">
        <v>61</v>
      </c>
      <c r="G389" t="s">
        <v>8</v>
      </c>
    </row>
    <row r="390" spans="1:7" x14ac:dyDescent="0.3">
      <c r="A390" t="s">
        <v>14</v>
      </c>
      <c r="B390" s="1">
        <v>45900</v>
      </c>
      <c r="C390">
        <v>544006</v>
      </c>
      <c r="D390">
        <v>-5198.6940000000004</v>
      </c>
      <c r="E390" t="s">
        <v>6</v>
      </c>
      <c r="F390" t="s">
        <v>61</v>
      </c>
      <c r="G390" t="s">
        <v>8</v>
      </c>
    </row>
    <row r="391" spans="1:7" x14ac:dyDescent="0.3">
      <c r="A391" t="s">
        <v>14</v>
      </c>
      <c r="B391" s="1">
        <v>45900</v>
      </c>
      <c r="C391">
        <v>546002</v>
      </c>
      <c r="D391">
        <v>215662.45600000001</v>
      </c>
      <c r="E391" t="s">
        <v>6</v>
      </c>
      <c r="F391" t="s">
        <v>51</v>
      </c>
      <c r="G391" t="s">
        <v>8</v>
      </c>
    </row>
    <row r="392" spans="1:7" x14ac:dyDescent="0.3">
      <c r="A392" t="s">
        <v>14</v>
      </c>
      <c r="B392" s="1">
        <v>45900</v>
      </c>
      <c r="C392">
        <v>546008</v>
      </c>
      <c r="D392">
        <v>4602.2380000000003</v>
      </c>
      <c r="E392" t="s">
        <v>6</v>
      </c>
      <c r="F392" t="s">
        <v>51</v>
      </c>
      <c r="G392" t="s">
        <v>8</v>
      </c>
    </row>
    <row r="393" spans="1:7" x14ac:dyDescent="0.3">
      <c r="A393" t="s">
        <v>14</v>
      </c>
      <c r="B393" s="1">
        <v>45900</v>
      </c>
      <c r="C393">
        <v>546013</v>
      </c>
      <c r="D393">
        <v>3765.9670000000001</v>
      </c>
      <c r="E393" t="s">
        <v>6</v>
      </c>
      <c r="F393" t="s">
        <v>51</v>
      </c>
      <c r="G393" t="s">
        <v>8</v>
      </c>
    </row>
    <row r="394" spans="1:7" x14ac:dyDescent="0.3">
      <c r="A394" t="s">
        <v>14</v>
      </c>
      <c r="B394" s="1">
        <v>45900</v>
      </c>
      <c r="C394">
        <v>546035</v>
      </c>
      <c r="D394">
        <v>1628.2280000000001</v>
      </c>
      <c r="E394" t="s">
        <v>6</v>
      </c>
      <c r="F394" t="s">
        <v>51</v>
      </c>
      <c r="G394" t="s">
        <v>8</v>
      </c>
    </row>
    <row r="395" spans="1:7" x14ac:dyDescent="0.3">
      <c r="A395" t="s">
        <v>14</v>
      </c>
      <c r="B395" s="1">
        <v>45900</v>
      </c>
      <c r="C395">
        <v>547002</v>
      </c>
      <c r="D395">
        <v>-2021.703</v>
      </c>
      <c r="E395" t="s">
        <v>6</v>
      </c>
      <c r="F395" t="s">
        <v>54</v>
      </c>
      <c r="G395" t="s">
        <v>8</v>
      </c>
    </row>
    <row r="396" spans="1:7" x14ac:dyDescent="0.3">
      <c r="A396" t="s">
        <v>14</v>
      </c>
      <c r="B396" s="1">
        <v>45900</v>
      </c>
      <c r="C396">
        <v>550003</v>
      </c>
      <c r="D396">
        <v>-2367.0439999999999</v>
      </c>
      <c r="E396" t="s">
        <v>6</v>
      </c>
      <c r="F396" t="s">
        <v>62</v>
      </c>
      <c r="G396" t="s">
        <v>8</v>
      </c>
    </row>
    <row r="397" spans="1:7" x14ac:dyDescent="0.3">
      <c r="A397" t="s">
        <v>14</v>
      </c>
      <c r="B397" s="1">
        <v>45900</v>
      </c>
      <c r="C397">
        <v>551003</v>
      </c>
      <c r="D397">
        <v>2613.83</v>
      </c>
      <c r="E397" t="s">
        <v>6</v>
      </c>
      <c r="F397" t="s">
        <v>63</v>
      </c>
      <c r="G397" t="s">
        <v>8</v>
      </c>
    </row>
    <row r="398" spans="1:7" x14ac:dyDescent="0.3">
      <c r="A398" t="s">
        <v>14</v>
      </c>
      <c r="B398" s="1">
        <v>45900</v>
      </c>
      <c r="C398">
        <v>552502</v>
      </c>
      <c r="D398">
        <v>284.35199999999998</v>
      </c>
      <c r="E398" t="s">
        <v>6</v>
      </c>
      <c r="F398" t="s">
        <v>55</v>
      </c>
      <c r="G398" t="s">
        <v>8</v>
      </c>
    </row>
    <row r="399" spans="1:7" x14ac:dyDescent="0.3">
      <c r="A399" t="s">
        <v>14</v>
      </c>
      <c r="B399" s="1">
        <v>45900</v>
      </c>
      <c r="C399">
        <v>554005</v>
      </c>
      <c r="D399">
        <v>602.83100000000002</v>
      </c>
      <c r="E399" t="s">
        <v>6</v>
      </c>
      <c r="F399" t="s">
        <v>55</v>
      </c>
      <c r="G399" t="s">
        <v>8</v>
      </c>
    </row>
    <row r="400" spans="1:7" x14ac:dyDescent="0.3">
      <c r="A400" t="s">
        <v>14</v>
      </c>
      <c r="B400" s="1">
        <v>45900</v>
      </c>
      <c r="C400">
        <v>554008</v>
      </c>
      <c r="D400">
        <v>68.893000000000001</v>
      </c>
      <c r="E400" t="s">
        <v>6</v>
      </c>
      <c r="F400" t="s">
        <v>55</v>
      </c>
      <c r="G400" t="s">
        <v>8</v>
      </c>
    </row>
    <row r="401" spans="1:7" x14ac:dyDescent="0.3">
      <c r="A401" t="s">
        <v>14</v>
      </c>
      <c r="B401" s="1">
        <v>45900</v>
      </c>
      <c r="C401">
        <v>555004</v>
      </c>
      <c r="D401">
        <v>93.05</v>
      </c>
      <c r="E401" t="s">
        <v>6</v>
      </c>
      <c r="F401" t="s">
        <v>55</v>
      </c>
      <c r="G401" t="s">
        <v>8</v>
      </c>
    </row>
    <row r="402" spans="1:7" x14ac:dyDescent="0.3">
      <c r="A402" t="s">
        <v>14</v>
      </c>
      <c r="B402" s="1">
        <v>45900</v>
      </c>
      <c r="C402">
        <v>555007</v>
      </c>
      <c r="D402">
        <v>241.345</v>
      </c>
      <c r="E402" t="s">
        <v>6</v>
      </c>
      <c r="F402" t="s">
        <v>55</v>
      </c>
      <c r="G402" t="s">
        <v>8</v>
      </c>
    </row>
    <row r="403" spans="1:7" x14ac:dyDescent="0.3">
      <c r="A403" t="s">
        <v>14</v>
      </c>
      <c r="B403" s="1">
        <v>45900</v>
      </c>
      <c r="C403">
        <v>555508</v>
      </c>
      <c r="D403">
        <v>14.92</v>
      </c>
      <c r="E403" t="s">
        <v>6</v>
      </c>
      <c r="F403" t="s">
        <v>55</v>
      </c>
      <c r="G403" t="s">
        <v>8</v>
      </c>
    </row>
    <row r="404" spans="1:7" x14ac:dyDescent="0.3">
      <c r="A404" t="s">
        <v>14</v>
      </c>
      <c r="B404" s="1">
        <v>45900</v>
      </c>
      <c r="C404">
        <v>556002</v>
      </c>
      <c r="D404">
        <v>516.31500000000005</v>
      </c>
      <c r="E404" t="s">
        <v>6</v>
      </c>
      <c r="F404" t="s">
        <v>60</v>
      </c>
      <c r="G404" t="s">
        <v>8</v>
      </c>
    </row>
    <row r="405" spans="1:7" x14ac:dyDescent="0.3">
      <c r="A405" t="s">
        <v>14</v>
      </c>
      <c r="B405" s="1">
        <v>45900</v>
      </c>
      <c r="C405">
        <v>556004</v>
      </c>
      <c r="D405">
        <v>11.238</v>
      </c>
      <c r="E405" t="s">
        <v>6</v>
      </c>
      <c r="F405" t="s">
        <v>55</v>
      </c>
      <c r="G405" t="s">
        <v>8</v>
      </c>
    </row>
    <row r="406" spans="1:7" x14ac:dyDescent="0.3">
      <c r="A406" t="s">
        <v>14</v>
      </c>
      <c r="B406" s="1">
        <v>45900</v>
      </c>
      <c r="C406">
        <v>557002</v>
      </c>
      <c r="D406">
        <v>3171.2449999999999</v>
      </c>
      <c r="E406" t="s">
        <v>6</v>
      </c>
      <c r="F406" t="s">
        <v>56</v>
      </c>
      <c r="G406" t="s">
        <v>8</v>
      </c>
    </row>
    <row r="407" spans="1:7" x14ac:dyDescent="0.3">
      <c r="A407" t="s">
        <v>14</v>
      </c>
      <c r="B407" s="1">
        <v>45900</v>
      </c>
      <c r="C407">
        <v>557003</v>
      </c>
      <c r="D407">
        <v>529.61599999999999</v>
      </c>
      <c r="E407" t="s">
        <v>6</v>
      </c>
      <c r="F407" t="s">
        <v>56</v>
      </c>
      <c r="G407" t="s">
        <v>8</v>
      </c>
    </row>
    <row r="408" spans="1:7" x14ac:dyDescent="0.3">
      <c r="A408" t="s">
        <v>14</v>
      </c>
      <c r="B408" s="1">
        <v>45900</v>
      </c>
      <c r="C408">
        <v>558012</v>
      </c>
      <c r="D408">
        <v>7.0709999999999997</v>
      </c>
      <c r="E408" t="s">
        <v>6</v>
      </c>
      <c r="F408" t="s">
        <v>60</v>
      </c>
      <c r="G408" t="s">
        <v>8</v>
      </c>
    </row>
    <row r="409" spans="1:7" x14ac:dyDescent="0.3">
      <c r="A409" t="s">
        <v>14</v>
      </c>
      <c r="B409" s="1">
        <v>45900</v>
      </c>
      <c r="C409">
        <v>563002</v>
      </c>
      <c r="D409">
        <v>-248.35900000000001</v>
      </c>
      <c r="E409" t="s">
        <v>6</v>
      </c>
      <c r="F409" t="s">
        <v>57</v>
      </c>
      <c r="G409" t="s">
        <v>8</v>
      </c>
    </row>
    <row r="410" spans="1:7" x14ac:dyDescent="0.3">
      <c r="A410" t="s">
        <v>14</v>
      </c>
      <c r="B410" s="1">
        <v>45900</v>
      </c>
      <c r="C410">
        <v>564004</v>
      </c>
      <c r="D410">
        <v>1844.202</v>
      </c>
      <c r="E410" t="s">
        <v>6</v>
      </c>
      <c r="F410" t="s">
        <v>51</v>
      </c>
      <c r="G410" t="s">
        <v>8</v>
      </c>
    </row>
    <row r="411" spans="1:7" x14ac:dyDescent="0.3">
      <c r="A411" t="s">
        <v>14</v>
      </c>
      <c r="B411" s="1">
        <v>45900</v>
      </c>
      <c r="C411">
        <v>564006</v>
      </c>
      <c r="D411">
        <v>5.7000000000000002E-2</v>
      </c>
      <c r="E411" t="s">
        <v>6</v>
      </c>
      <c r="F411" t="s">
        <v>57</v>
      </c>
      <c r="G411" t="s">
        <v>8</v>
      </c>
    </row>
    <row r="412" spans="1:7" x14ac:dyDescent="0.3">
      <c r="A412" t="s">
        <v>14</v>
      </c>
      <c r="B412" s="1">
        <v>45900</v>
      </c>
      <c r="C412">
        <v>564008</v>
      </c>
      <c r="D412">
        <v>211.70400000000001</v>
      </c>
      <c r="E412" t="s">
        <v>6</v>
      </c>
      <c r="F412" t="s">
        <v>55</v>
      </c>
      <c r="G412" t="s">
        <v>8</v>
      </c>
    </row>
    <row r="413" spans="1:7" x14ac:dyDescent="0.3">
      <c r="A413" t="s">
        <v>14</v>
      </c>
      <c r="B413" s="1">
        <v>45900</v>
      </c>
      <c r="C413">
        <v>564020</v>
      </c>
      <c r="D413">
        <v>555.04200000000003</v>
      </c>
      <c r="E413" t="s">
        <v>6</v>
      </c>
      <c r="F413" t="s">
        <v>57</v>
      </c>
      <c r="G413" t="s">
        <v>8</v>
      </c>
    </row>
    <row r="414" spans="1:7" x14ac:dyDescent="0.3">
      <c r="A414" t="s">
        <v>14</v>
      </c>
      <c r="B414" s="1">
        <v>45900</v>
      </c>
      <c r="C414">
        <v>564023</v>
      </c>
      <c r="D414">
        <v>114.377</v>
      </c>
      <c r="E414" t="s">
        <v>6</v>
      </c>
      <c r="F414" t="s">
        <v>67</v>
      </c>
      <c r="G414" t="s">
        <v>8</v>
      </c>
    </row>
    <row r="415" spans="1:7" x14ac:dyDescent="0.3">
      <c r="A415" t="s">
        <v>14</v>
      </c>
      <c r="B415" s="1">
        <v>45900</v>
      </c>
      <c r="C415">
        <v>570002</v>
      </c>
      <c r="D415">
        <v>146.595</v>
      </c>
      <c r="E415" t="s">
        <v>6</v>
      </c>
      <c r="F415" t="s">
        <v>66</v>
      </c>
      <c r="G415" t="s">
        <v>8</v>
      </c>
    </row>
    <row r="416" spans="1:7" x14ac:dyDescent="0.3">
      <c r="A416" t="s">
        <v>14</v>
      </c>
      <c r="B416" s="1">
        <v>45900</v>
      </c>
      <c r="C416">
        <v>580005</v>
      </c>
      <c r="D416">
        <v>-11451.859</v>
      </c>
      <c r="E416" t="s">
        <v>6</v>
      </c>
      <c r="F416" t="s">
        <v>64</v>
      </c>
      <c r="G416" t="s">
        <v>8</v>
      </c>
    </row>
    <row r="417" spans="1:7" x14ac:dyDescent="0.3">
      <c r="A417" t="s">
        <v>15</v>
      </c>
      <c r="B417" s="1">
        <v>45900</v>
      </c>
      <c r="C417">
        <v>210002</v>
      </c>
      <c r="D417">
        <v>-868016.80799999996</v>
      </c>
      <c r="E417" t="s">
        <v>4</v>
      </c>
      <c r="F417" t="s">
        <v>42</v>
      </c>
      <c r="G417" t="s">
        <v>5</v>
      </c>
    </row>
    <row r="418" spans="1:7" x14ac:dyDescent="0.3">
      <c r="A418" t="s">
        <v>15</v>
      </c>
      <c r="B418" s="1">
        <v>45900</v>
      </c>
      <c r="C418">
        <v>220005</v>
      </c>
      <c r="D418">
        <v>-6971447.5930000003</v>
      </c>
      <c r="E418" t="s">
        <v>4</v>
      </c>
      <c r="F418" t="s">
        <v>42</v>
      </c>
      <c r="G418" t="s">
        <v>5</v>
      </c>
    </row>
    <row r="419" spans="1:7" x14ac:dyDescent="0.3">
      <c r="A419" t="s">
        <v>15</v>
      </c>
      <c r="B419" s="1">
        <v>45900</v>
      </c>
      <c r="C419">
        <v>220006</v>
      </c>
      <c r="D419">
        <v>-15323196.128</v>
      </c>
      <c r="E419" t="s">
        <v>4</v>
      </c>
      <c r="F419" t="s">
        <v>42</v>
      </c>
      <c r="G419" t="s">
        <v>5</v>
      </c>
    </row>
    <row r="420" spans="1:7" x14ac:dyDescent="0.3">
      <c r="A420" t="s">
        <v>15</v>
      </c>
      <c r="B420" s="1">
        <v>45900</v>
      </c>
      <c r="C420">
        <v>220008</v>
      </c>
      <c r="D420">
        <v>-79666.899999999994</v>
      </c>
      <c r="E420" t="s">
        <v>4</v>
      </c>
      <c r="F420" t="s">
        <v>42</v>
      </c>
      <c r="G420" t="s">
        <v>5</v>
      </c>
    </row>
    <row r="421" spans="1:7" x14ac:dyDescent="0.3">
      <c r="A421" t="s">
        <v>15</v>
      </c>
      <c r="B421" s="1">
        <v>45900</v>
      </c>
      <c r="C421">
        <v>220010</v>
      </c>
      <c r="D421">
        <v>66396.849000000002</v>
      </c>
      <c r="E421" t="s">
        <v>4</v>
      </c>
      <c r="F421" t="s">
        <v>42</v>
      </c>
      <c r="G421" t="s">
        <v>5</v>
      </c>
    </row>
    <row r="422" spans="1:7" x14ac:dyDescent="0.3">
      <c r="A422" t="s">
        <v>15</v>
      </c>
      <c r="B422" s="1">
        <v>45900</v>
      </c>
      <c r="C422">
        <v>220012</v>
      </c>
      <c r="D422">
        <v>-62000</v>
      </c>
      <c r="E422" t="s">
        <v>4</v>
      </c>
      <c r="F422" t="s">
        <v>42</v>
      </c>
      <c r="G422" t="s">
        <v>5</v>
      </c>
    </row>
    <row r="423" spans="1:7" x14ac:dyDescent="0.3">
      <c r="A423" t="s">
        <v>15</v>
      </c>
      <c r="B423" s="1">
        <v>45900</v>
      </c>
      <c r="C423">
        <v>220013</v>
      </c>
      <c r="D423">
        <v>-460559.52100000001</v>
      </c>
      <c r="E423" t="s">
        <v>4</v>
      </c>
      <c r="F423" t="s">
        <v>42</v>
      </c>
      <c r="G423" t="s">
        <v>5</v>
      </c>
    </row>
    <row r="424" spans="1:7" x14ac:dyDescent="0.3">
      <c r="A424" t="s">
        <v>15</v>
      </c>
      <c r="B424" s="1">
        <v>45900</v>
      </c>
      <c r="C424">
        <v>220014</v>
      </c>
      <c r="D424">
        <v>231659.84</v>
      </c>
      <c r="E424" t="s">
        <v>4</v>
      </c>
      <c r="F424" t="s">
        <v>42</v>
      </c>
      <c r="G424" t="s">
        <v>5</v>
      </c>
    </row>
    <row r="425" spans="1:7" x14ac:dyDescent="0.3">
      <c r="A425" t="s">
        <v>15</v>
      </c>
      <c r="B425" s="1">
        <v>45900</v>
      </c>
      <c r="C425">
        <v>220015</v>
      </c>
      <c r="D425">
        <v>-67819.441999999995</v>
      </c>
      <c r="E425" t="s">
        <v>4</v>
      </c>
      <c r="F425" t="s">
        <v>42</v>
      </c>
      <c r="G425" t="s">
        <v>5</v>
      </c>
    </row>
    <row r="426" spans="1:7" x14ac:dyDescent="0.3">
      <c r="A426" t="s">
        <v>15</v>
      </c>
      <c r="B426" s="1">
        <v>45900</v>
      </c>
      <c r="C426">
        <v>234003</v>
      </c>
      <c r="D426">
        <v>-1637792.537</v>
      </c>
      <c r="E426" t="s">
        <v>4</v>
      </c>
      <c r="F426" t="s">
        <v>43</v>
      </c>
      <c r="G426" t="s">
        <v>5</v>
      </c>
    </row>
    <row r="427" spans="1:7" x14ac:dyDescent="0.3">
      <c r="A427" t="s">
        <v>15</v>
      </c>
      <c r="B427" s="1">
        <v>45900</v>
      </c>
      <c r="C427">
        <v>234004</v>
      </c>
      <c r="D427">
        <v>-6186.0609999999997</v>
      </c>
      <c r="E427" t="s">
        <v>4</v>
      </c>
      <c r="F427" t="s">
        <v>43</v>
      </c>
      <c r="G427" t="s">
        <v>5</v>
      </c>
    </row>
    <row r="428" spans="1:7" x14ac:dyDescent="0.3">
      <c r="A428" t="s">
        <v>15</v>
      </c>
      <c r="B428" s="1">
        <v>45900</v>
      </c>
      <c r="C428">
        <v>240002</v>
      </c>
      <c r="D428">
        <v>-65398.703000000001</v>
      </c>
      <c r="E428" t="s">
        <v>4</v>
      </c>
      <c r="F428" t="s">
        <v>43</v>
      </c>
      <c r="G428" t="s">
        <v>5</v>
      </c>
    </row>
    <row r="429" spans="1:7" x14ac:dyDescent="0.3">
      <c r="A429" t="s">
        <v>15</v>
      </c>
      <c r="B429" s="1">
        <v>45900</v>
      </c>
      <c r="C429">
        <v>240003</v>
      </c>
      <c r="D429">
        <v>1802.798</v>
      </c>
      <c r="E429" t="s">
        <v>4</v>
      </c>
      <c r="F429" t="s">
        <v>43</v>
      </c>
      <c r="G429" t="s">
        <v>5</v>
      </c>
    </row>
    <row r="430" spans="1:7" x14ac:dyDescent="0.3">
      <c r="A430" t="s">
        <v>15</v>
      </c>
      <c r="B430" s="1">
        <v>45900</v>
      </c>
      <c r="C430">
        <v>240005</v>
      </c>
      <c r="D430">
        <v>-13647.789000000001</v>
      </c>
      <c r="E430" t="s">
        <v>4</v>
      </c>
      <c r="F430" t="s">
        <v>49</v>
      </c>
      <c r="G430" t="s">
        <v>5</v>
      </c>
    </row>
    <row r="431" spans="1:7" x14ac:dyDescent="0.3">
      <c r="A431" t="s">
        <v>15</v>
      </c>
      <c r="B431" s="1">
        <v>45900</v>
      </c>
      <c r="C431">
        <v>240009</v>
      </c>
      <c r="D431">
        <v>-13017.708000000001</v>
      </c>
      <c r="E431" t="s">
        <v>4</v>
      </c>
      <c r="F431" t="s">
        <v>43</v>
      </c>
      <c r="G431" t="s">
        <v>5</v>
      </c>
    </row>
    <row r="432" spans="1:7" x14ac:dyDescent="0.3">
      <c r="A432" t="s">
        <v>15</v>
      </c>
      <c r="B432" s="1">
        <v>45900</v>
      </c>
      <c r="C432">
        <v>240010</v>
      </c>
      <c r="D432">
        <v>-1141.8340000000001</v>
      </c>
      <c r="E432" t="s">
        <v>4</v>
      </c>
      <c r="F432" t="s">
        <v>43</v>
      </c>
      <c r="G432" t="s">
        <v>5</v>
      </c>
    </row>
    <row r="433" spans="1:7" x14ac:dyDescent="0.3">
      <c r="A433" t="s">
        <v>15</v>
      </c>
      <c r="B433" s="1">
        <v>45900</v>
      </c>
      <c r="C433">
        <v>240011</v>
      </c>
      <c r="D433">
        <v>-4695.2629999999999</v>
      </c>
      <c r="E433" t="s">
        <v>4</v>
      </c>
      <c r="F433" t="s">
        <v>43</v>
      </c>
      <c r="G433" t="s">
        <v>5</v>
      </c>
    </row>
    <row r="434" spans="1:7" x14ac:dyDescent="0.3">
      <c r="A434" t="s">
        <v>15</v>
      </c>
      <c r="B434" s="1">
        <v>45900</v>
      </c>
      <c r="C434">
        <v>242018</v>
      </c>
      <c r="D434">
        <v>-20503.05</v>
      </c>
      <c r="E434" t="s">
        <v>4</v>
      </c>
      <c r="F434" t="s">
        <v>43</v>
      </c>
      <c r="G434" t="s">
        <v>5</v>
      </c>
    </row>
    <row r="435" spans="1:7" x14ac:dyDescent="0.3">
      <c r="A435" t="s">
        <v>15</v>
      </c>
      <c r="B435" s="1">
        <v>45900</v>
      </c>
      <c r="C435">
        <v>242041</v>
      </c>
      <c r="D435">
        <v>-1046.318</v>
      </c>
      <c r="E435" t="s">
        <v>4</v>
      </c>
      <c r="F435" t="s">
        <v>43</v>
      </c>
      <c r="G435" t="s">
        <v>5</v>
      </c>
    </row>
    <row r="436" spans="1:7" x14ac:dyDescent="0.3">
      <c r="A436" t="s">
        <v>15</v>
      </c>
      <c r="B436" s="1">
        <v>45900</v>
      </c>
      <c r="C436">
        <v>243002</v>
      </c>
      <c r="D436">
        <v>-894871.23600000003</v>
      </c>
      <c r="E436" t="s">
        <v>4</v>
      </c>
      <c r="F436" t="s">
        <v>43</v>
      </c>
      <c r="G436" t="s">
        <v>5</v>
      </c>
    </row>
    <row r="437" spans="1:7" x14ac:dyDescent="0.3">
      <c r="A437" t="s">
        <v>15</v>
      </c>
      <c r="B437" s="1">
        <v>45900</v>
      </c>
      <c r="C437">
        <v>243003</v>
      </c>
      <c r="D437">
        <v>-57032.887000000002</v>
      </c>
      <c r="E437" t="s">
        <v>4</v>
      </c>
      <c r="F437" t="s">
        <v>43</v>
      </c>
      <c r="G437" t="s">
        <v>5</v>
      </c>
    </row>
    <row r="438" spans="1:7" x14ac:dyDescent="0.3">
      <c r="A438" t="s">
        <v>15</v>
      </c>
      <c r="B438" s="1">
        <v>45900</v>
      </c>
      <c r="C438">
        <v>243004</v>
      </c>
      <c r="D438">
        <v>-90292.622000000003</v>
      </c>
      <c r="E438" t="s">
        <v>4</v>
      </c>
      <c r="F438" t="s">
        <v>43</v>
      </c>
      <c r="G438" t="s">
        <v>5</v>
      </c>
    </row>
    <row r="439" spans="1:7" x14ac:dyDescent="0.3">
      <c r="A439" t="s">
        <v>15</v>
      </c>
      <c r="B439" s="1">
        <v>45900</v>
      </c>
      <c r="C439">
        <v>243005</v>
      </c>
      <c r="D439">
        <v>-10656.258</v>
      </c>
      <c r="E439" t="s">
        <v>4</v>
      </c>
      <c r="F439" t="s">
        <v>43</v>
      </c>
      <c r="G439" t="s">
        <v>5</v>
      </c>
    </row>
    <row r="440" spans="1:7" x14ac:dyDescent="0.3">
      <c r="A440" t="s">
        <v>15</v>
      </c>
      <c r="B440" s="1">
        <v>45900</v>
      </c>
      <c r="C440">
        <v>243009</v>
      </c>
      <c r="D440">
        <v>-22215.107</v>
      </c>
      <c r="E440" t="s">
        <v>4</v>
      </c>
      <c r="F440" t="s">
        <v>43</v>
      </c>
      <c r="G440" t="s">
        <v>5</v>
      </c>
    </row>
    <row r="441" spans="1:7" x14ac:dyDescent="0.3">
      <c r="A441" t="s">
        <v>15</v>
      </c>
      <c r="B441" s="1">
        <v>45900</v>
      </c>
      <c r="C441">
        <v>243010</v>
      </c>
      <c r="D441">
        <v>-59862.383999999998</v>
      </c>
      <c r="E441" t="s">
        <v>4</v>
      </c>
      <c r="F441" t="s">
        <v>43</v>
      </c>
      <c r="G441" t="s">
        <v>5</v>
      </c>
    </row>
    <row r="442" spans="1:7" x14ac:dyDescent="0.3">
      <c r="A442" t="s">
        <v>15</v>
      </c>
      <c r="B442" s="1">
        <v>45900</v>
      </c>
      <c r="C442">
        <v>245002</v>
      </c>
      <c r="D442">
        <v>-1571.087</v>
      </c>
      <c r="E442" t="s">
        <v>4</v>
      </c>
      <c r="F442" t="s">
        <v>43</v>
      </c>
      <c r="G442" t="s">
        <v>5</v>
      </c>
    </row>
    <row r="443" spans="1:7" x14ac:dyDescent="0.3">
      <c r="A443" t="s">
        <v>15</v>
      </c>
      <c r="B443" s="1">
        <v>45900</v>
      </c>
      <c r="C443">
        <v>245004</v>
      </c>
      <c r="D443">
        <v>601.47799999999995</v>
      </c>
      <c r="E443" t="s">
        <v>4</v>
      </c>
      <c r="F443" t="s">
        <v>43</v>
      </c>
      <c r="G443" t="s">
        <v>5</v>
      </c>
    </row>
    <row r="444" spans="1:7" x14ac:dyDescent="0.3">
      <c r="A444" t="s">
        <v>15</v>
      </c>
      <c r="B444" s="1">
        <v>45900</v>
      </c>
      <c r="C444">
        <v>245006</v>
      </c>
      <c r="D444">
        <v>-14.119</v>
      </c>
      <c r="E444" t="s">
        <v>4</v>
      </c>
      <c r="F444" t="s">
        <v>43</v>
      </c>
      <c r="G444" t="s">
        <v>5</v>
      </c>
    </row>
    <row r="445" spans="1:7" x14ac:dyDescent="0.3">
      <c r="A445" t="s">
        <v>15</v>
      </c>
      <c r="B445" s="1">
        <v>45900</v>
      </c>
      <c r="C445">
        <v>245010</v>
      </c>
      <c r="D445">
        <v>-393641.00199999998</v>
      </c>
      <c r="E445" t="s">
        <v>4</v>
      </c>
      <c r="F445" t="s">
        <v>44</v>
      </c>
      <c r="G445" t="s">
        <v>5</v>
      </c>
    </row>
    <row r="446" spans="1:7" x14ac:dyDescent="0.3">
      <c r="A446" t="s">
        <v>15</v>
      </c>
      <c r="B446" s="1">
        <v>45900</v>
      </c>
      <c r="C446">
        <v>245015</v>
      </c>
      <c r="D446">
        <v>-18812.126</v>
      </c>
      <c r="E446" t="s">
        <v>4</v>
      </c>
      <c r="F446" t="s">
        <v>43</v>
      </c>
      <c r="G446" t="s">
        <v>5</v>
      </c>
    </row>
    <row r="447" spans="1:7" x14ac:dyDescent="0.3">
      <c r="A447" t="s">
        <v>15</v>
      </c>
      <c r="B447" s="1">
        <v>45900</v>
      </c>
      <c r="C447">
        <v>245017</v>
      </c>
      <c r="D447">
        <v>-5170.3869999999997</v>
      </c>
      <c r="E447" t="s">
        <v>4</v>
      </c>
      <c r="F447" t="s">
        <v>43</v>
      </c>
      <c r="G447" t="s">
        <v>5</v>
      </c>
    </row>
    <row r="448" spans="1:7" x14ac:dyDescent="0.3">
      <c r="A448" t="s">
        <v>15</v>
      </c>
      <c r="B448" s="1">
        <v>45900</v>
      </c>
      <c r="C448">
        <v>245018</v>
      </c>
      <c r="D448">
        <v>-100588.14</v>
      </c>
      <c r="E448" t="s">
        <v>4</v>
      </c>
      <c r="F448" t="s">
        <v>43</v>
      </c>
      <c r="G448" t="s">
        <v>5</v>
      </c>
    </row>
    <row r="449" spans="1:7" x14ac:dyDescent="0.3">
      <c r="A449" t="s">
        <v>15</v>
      </c>
      <c r="B449" s="1">
        <v>45900</v>
      </c>
      <c r="C449">
        <v>245020</v>
      </c>
      <c r="D449">
        <v>-5991.9949999999999</v>
      </c>
      <c r="E449" t="s">
        <v>4</v>
      </c>
      <c r="F449" t="s">
        <v>44</v>
      </c>
      <c r="G449" t="s">
        <v>5</v>
      </c>
    </row>
    <row r="450" spans="1:7" x14ac:dyDescent="0.3">
      <c r="A450" t="s">
        <v>15</v>
      </c>
      <c r="B450" s="1">
        <v>45900</v>
      </c>
      <c r="C450">
        <v>245038</v>
      </c>
      <c r="D450">
        <v>-7817.6679999999997</v>
      </c>
      <c r="E450" t="s">
        <v>4</v>
      </c>
      <c r="F450" t="s">
        <v>45</v>
      </c>
      <c r="G450" t="s">
        <v>5</v>
      </c>
    </row>
    <row r="451" spans="1:7" x14ac:dyDescent="0.3">
      <c r="A451" t="s">
        <v>15</v>
      </c>
      <c r="B451" s="1">
        <v>45900</v>
      </c>
      <c r="C451">
        <v>245041</v>
      </c>
      <c r="D451">
        <v>-44567.963000000003</v>
      </c>
      <c r="E451" t="s">
        <v>4</v>
      </c>
      <c r="F451" t="s">
        <v>43</v>
      </c>
      <c r="G451" t="s">
        <v>5</v>
      </c>
    </row>
    <row r="452" spans="1:7" x14ac:dyDescent="0.3">
      <c r="A452" t="s">
        <v>15</v>
      </c>
      <c r="B452" s="1">
        <v>45900</v>
      </c>
      <c r="C452">
        <v>245044</v>
      </c>
      <c r="D452">
        <v>-9449.2739999999994</v>
      </c>
      <c r="E452" t="s">
        <v>4</v>
      </c>
      <c r="F452" t="s">
        <v>43</v>
      </c>
      <c r="G452" t="s">
        <v>5</v>
      </c>
    </row>
    <row r="453" spans="1:7" x14ac:dyDescent="0.3">
      <c r="A453" t="s">
        <v>15</v>
      </c>
      <c r="B453" s="1">
        <v>45900</v>
      </c>
      <c r="C453">
        <v>245050</v>
      </c>
      <c r="D453">
        <v>-49176.892</v>
      </c>
      <c r="E453" t="s">
        <v>4</v>
      </c>
      <c r="F453" t="s">
        <v>43</v>
      </c>
      <c r="G453" t="s">
        <v>5</v>
      </c>
    </row>
    <row r="454" spans="1:7" x14ac:dyDescent="0.3">
      <c r="A454" t="s">
        <v>15</v>
      </c>
      <c r="B454" s="1">
        <v>45900</v>
      </c>
      <c r="C454">
        <v>245055</v>
      </c>
      <c r="D454">
        <v>-20903.664000000001</v>
      </c>
      <c r="E454" t="s">
        <v>4</v>
      </c>
      <c r="F454" t="s">
        <v>43</v>
      </c>
      <c r="G454" t="s">
        <v>5</v>
      </c>
    </row>
    <row r="455" spans="1:7" x14ac:dyDescent="0.3">
      <c r="A455" t="s">
        <v>15</v>
      </c>
      <c r="B455" s="1">
        <v>45900</v>
      </c>
      <c r="C455">
        <v>245056</v>
      </c>
      <c r="D455">
        <v>-10773.816999999999</v>
      </c>
      <c r="E455" t="s">
        <v>4</v>
      </c>
      <c r="F455" t="s">
        <v>49</v>
      </c>
      <c r="G455" t="s">
        <v>5</v>
      </c>
    </row>
    <row r="456" spans="1:7" x14ac:dyDescent="0.3">
      <c r="A456" t="s">
        <v>15</v>
      </c>
      <c r="B456" s="1">
        <v>45900</v>
      </c>
      <c r="C456">
        <v>245057</v>
      </c>
      <c r="D456">
        <v>-33870.851000000002</v>
      </c>
      <c r="E456" t="s">
        <v>4</v>
      </c>
      <c r="F456" t="s">
        <v>43</v>
      </c>
      <c r="G456" t="s">
        <v>5</v>
      </c>
    </row>
    <row r="457" spans="1:7" x14ac:dyDescent="0.3">
      <c r="A457" t="s">
        <v>15</v>
      </c>
      <c r="B457" s="1">
        <v>45900</v>
      </c>
      <c r="C457">
        <v>245059</v>
      </c>
      <c r="D457">
        <v>-1247.9580000000001</v>
      </c>
      <c r="E457" t="s">
        <v>4</v>
      </c>
      <c r="F457" t="s">
        <v>43</v>
      </c>
      <c r="G457" t="s">
        <v>5</v>
      </c>
    </row>
    <row r="458" spans="1:7" x14ac:dyDescent="0.3">
      <c r="A458" t="s">
        <v>15</v>
      </c>
      <c r="B458" s="1">
        <v>45900</v>
      </c>
      <c r="C458">
        <v>245061</v>
      </c>
      <c r="D458">
        <v>-1823.15</v>
      </c>
      <c r="E458" t="s">
        <v>4</v>
      </c>
      <c r="F458" t="s">
        <v>43</v>
      </c>
      <c r="G458" t="s">
        <v>5</v>
      </c>
    </row>
    <row r="459" spans="1:7" x14ac:dyDescent="0.3">
      <c r="A459" t="s">
        <v>15</v>
      </c>
      <c r="B459" s="1">
        <v>45900</v>
      </c>
      <c r="C459">
        <v>245062</v>
      </c>
      <c r="D459">
        <v>-445366.08</v>
      </c>
      <c r="E459" t="s">
        <v>4</v>
      </c>
      <c r="F459" t="s">
        <v>43</v>
      </c>
      <c r="G459" t="s">
        <v>5</v>
      </c>
    </row>
    <row r="460" spans="1:7" x14ac:dyDescent="0.3">
      <c r="A460" t="s">
        <v>15</v>
      </c>
      <c r="B460" s="1">
        <v>45900</v>
      </c>
      <c r="C460">
        <v>249002</v>
      </c>
      <c r="D460">
        <v>-1002860.768</v>
      </c>
      <c r="E460" t="s">
        <v>4</v>
      </c>
      <c r="F460" t="s">
        <v>44</v>
      </c>
      <c r="G460" t="s">
        <v>5</v>
      </c>
    </row>
    <row r="461" spans="1:7" x14ac:dyDescent="0.3">
      <c r="A461" t="s">
        <v>15</v>
      </c>
      <c r="B461" s="1">
        <v>45900</v>
      </c>
      <c r="C461">
        <v>249003</v>
      </c>
      <c r="D461">
        <v>-58782.203999999998</v>
      </c>
      <c r="E461" t="s">
        <v>4</v>
      </c>
      <c r="F461" t="s">
        <v>44</v>
      </c>
      <c r="G461" t="s">
        <v>5</v>
      </c>
    </row>
    <row r="462" spans="1:7" x14ac:dyDescent="0.3">
      <c r="A462" t="s">
        <v>15</v>
      </c>
      <c r="B462" s="1">
        <v>45900</v>
      </c>
      <c r="C462">
        <v>249004</v>
      </c>
      <c r="D462">
        <v>14750.816999999999</v>
      </c>
      <c r="E462" t="s">
        <v>4</v>
      </c>
      <c r="F462" t="s">
        <v>44</v>
      </c>
      <c r="G462" t="s">
        <v>5</v>
      </c>
    </row>
    <row r="463" spans="1:7" x14ac:dyDescent="0.3">
      <c r="A463" t="s">
        <v>15</v>
      </c>
      <c r="B463" s="1">
        <v>45900</v>
      </c>
      <c r="C463">
        <v>250003</v>
      </c>
      <c r="D463">
        <v>-45309.173000000003</v>
      </c>
      <c r="E463" t="s">
        <v>4</v>
      </c>
      <c r="F463" t="s">
        <v>45</v>
      </c>
      <c r="G463" t="s">
        <v>5</v>
      </c>
    </row>
    <row r="464" spans="1:7" x14ac:dyDescent="0.3">
      <c r="A464" t="s">
        <v>15</v>
      </c>
      <c r="B464" s="1">
        <v>45900</v>
      </c>
      <c r="C464">
        <v>250009</v>
      </c>
      <c r="D464">
        <v>-669.6</v>
      </c>
      <c r="E464" t="s">
        <v>4</v>
      </c>
      <c r="F464" t="s">
        <v>43</v>
      </c>
      <c r="G464" t="s">
        <v>5</v>
      </c>
    </row>
    <row r="465" spans="1:7" x14ac:dyDescent="0.3">
      <c r="A465" t="s">
        <v>15</v>
      </c>
      <c r="B465" s="1">
        <v>45900</v>
      </c>
      <c r="C465">
        <v>250017</v>
      </c>
      <c r="D465">
        <v>397638.66</v>
      </c>
      <c r="E465" t="s">
        <v>4</v>
      </c>
      <c r="F465" t="s">
        <v>44</v>
      </c>
      <c r="G465" t="s">
        <v>5</v>
      </c>
    </row>
    <row r="466" spans="1:7" x14ac:dyDescent="0.3">
      <c r="A466" t="s">
        <v>15</v>
      </c>
      <c r="B466" s="1">
        <v>45900</v>
      </c>
      <c r="C466">
        <v>250019</v>
      </c>
      <c r="D466">
        <v>-1550</v>
      </c>
      <c r="E466" t="s">
        <v>4</v>
      </c>
      <c r="F466" t="s">
        <v>45</v>
      </c>
      <c r="G466" t="s">
        <v>5</v>
      </c>
    </row>
    <row r="467" spans="1:7" x14ac:dyDescent="0.3">
      <c r="A467" t="s">
        <v>15</v>
      </c>
      <c r="B467" s="1">
        <v>45900</v>
      </c>
      <c r="C467">
        <v>250020</v>
      </c>
      <c r="D467">
        <v>-3198.1320000000001</v>
      </c>
      <c r="E467" t="s">
        <v>4</v>
      </c>
      <c r="F467" t="s">
        <v>45</v>
      </c>
      <c r="G467" t="s">
        <v>5</v>
      </c>
    </row>
    <row r="468" spans="1:7" x14ac:dyDescent="0.3">
      <c r="A468" t="s">
        <v>15</v>
      </c>
      <c r="B468" s="1">
        <v>45900</v>
      </c>
      <c r="C468">
        <v>250021</v>
      </c>
      <c r="D468">
        <v>-34995.447</v>
      </c>
      <c r="E468" t="s">
        <v>4</v>
      </c>
      <c r="F468" t="s">
        <v>45</v>
      </c>
      <c r="G468" t="s">
        <v>5</v>
      </c>
    </row>
    <row r="469" spans="1:7" x14ac:dyDescent="0.3">
      <c r="A469" t="s">
        <v>15</v>
      </c>
      <c r="B469" s="1">
        <v>45900</v>
      </c>
      <c r="C469">
        <v>250022</v>
      </c>
      <c r="D469">
        <v>30413.647000000001</v>
      </c>
      <c r="E469" t="s">
        <v>4</v>
      </c>
      <c r="F469" t="s">
        <v>45</v>
      </c>
      <c r="G469" t="s">
        <v>5</v>
      </c>
    </row>
    <row r="470" spans="1:7" x14ac:dyDescent="0.3">
      <c r="A470" t="s">
        <v>15</v>
      </c>
      <c r="B470" s="1">
        <v>45900</v>
      </c>
      <c r="C470">
        <v>251002</v>
      </c>
      <c r="D470">
        <v>-1214.375</v>
      </c>
      <c r="E470" t="s">
        <v>4</v>
      </c>
      <c r="F470" t="s">
        <v>45</v>
      </c>
      <c r="G470" t="s">
        <v>5</v>
      </c>
    </row>
    <row r="471" spans="1:7" x14ac:dyDescent="0.3">
      <c r="A471" t="s">
        <v>15</v>
      </c>
      <c r="B471" s="1">
        <v>45900</v>
      </c>
      <c r="C471">
        <v>251003</v>
      </c>
      <c r="D471">
        <v>-6793.3190000000004</v>
      </c>
      <c r="E471" t="s">
        <v>4</v>
      </c>
      <c r="F471" t="s">
        <v>45</v>
      </c>
      <c r="G471" t="s">
        <v>5</v>
      </c>
    </row>
    <row r="472" spans="1:7" x14ac:dyDescent="0.3">
      <c r="A472" t="s">
        <v>15</v>
      </c>
      <c r="B472" s="1">
        <v>45900</v>
      </c>
      <c r="C472">
        <v>255008</v>
      </c>
      <c r="D472">
        <v>-2747.308</v>
      </c>
      <c r="E472" t="s">
        <v>4</v>
      </c>
      <c r="F472" t="s">
        <v>43</v>
      </c>
      <c r="G472" t="s">
        <v>5</v>
      </c>
    </row>
    <row r="473" spans="1:7" x14ac:dyDescent="0.3">
      <c r="A473" t="s">
        <v>15</v>
      </c>
      <c r="B473" s="1">
        <v>45900</v>
      </c>
      <c r="C473">
        <v>255009</v>
      </c>
      <c r="D473">
        <v>-1052.415</v>
      </c>
      <c r="E473" t="s">
        <v>4</v>
      </c>
      <c r="F473" t="s">
        <v>43</v>
      </c>
      <c r="G473" t="s">
        <v>5</v>
      </c>
    </row>
    <row r="474" spans="1:7" x14ac:dyDescent="0.3">
      <c r="A474" t="s">
        <v>15</v>
      </c>
      <c r="B474" s="1">
        <v>45900</v>
      </c>
      <c r="C474">
        <v>255010</v>
      </c>
      <c r="D474">
        <v>-960.99099999999999</v>
      </c>
      <c r="E474" t="s">
        <v>4</v>
      </c>
      <c r="F474" t="s">
        <v>43</v>
      </c>
      <c r="G474" t="s">
        <v>5</v>
      </c>
    </row>
    <row r="475" spans="1:7" x14ac:dyDescent="0.3">
      <c r="A475" t="s">
        <v>15</v>
      </c>
      <c r="B475" s="1">
        <v>45900</v>
      </c>
      <c r="C475">
        <v>255011</v>
      </c>
      <c r="D475">
        <v>-1831.722</v>
      </c>
      <c r="E475" t="s">
        <v>4</v>
      </c>
      <c r="F475" t="s">
        <v>43</v>
      </c>
      <c r="G475" t="s">
        <v>5</v>
      </c>
    </row>
    <row r="476" spans="1:7" x14ac:dyDescent="0.3">
      <c r="A476" t="s">
        <v>15</v>
      </c>
      <c r="B476" s="1">
        <v>45900</v>
      </c>
      <c r="C476">
        <v>255012</v>
      </c>
      <c r="D476">
        <v>-1143.0150000000001</v>
      </c>
      <c r="E476" t="s">
        <v>4</v>
      </c>
      <c r="F476" t="s">
        <v>43</v>
      </c>
      <c r="G476" t="s">
        <v>5</v>
      </c>
    </row>
    <row r="477" spans="1:7" x14ac:dyDescent="0.3">
      <c r="A477" t="s">
        <v>15</v>
      </c>
      <c r="B477" s="1">
        <v>45900</v>
      </c>
      <c r="C477">
        <v>255015</v>
      </c>
      <c r="D477">
        <v>-1016.847</v>
      </c>
      <c r="E477" t="s">
        <v>4</v>
      </c>
      <c r="F477" t="s">
        <v>43</v>
      </c>
      <c r="G477" t="s">
        <v>5</v>
      </c>
    </row>
    <row r="478" spans="1:7" x14ac:dyDescent="0.3">
      <c r="A478" t="s">
        <v>15</v>
      </c>
      <c r="B478" s="1">
        <v>45900</v>
      </c>
      <c r="C478">
        <v>255016</v>
      </c>
      <c r="D478">
        <v>-597.12800000000004</v>
      </c>
      <c r="E478" t="s">
        <v>4</v>
      </c>
      <c r="F478" t="s">
        <v>43</v>
      </c>
      <c r="G478" t="s">
        <v>5</v>
      </c>
    </row>
    <row r="479" spans="1:7" x14ac:dyDescent="0.3">
      <c r="A479" t="s">
        <v>15</v>
      </c>
      <c r="B479" s="1">
        <v>45900</v>
      </c>
      <c r="C479">
        <v>255017</v>
      </c>
      <c r="D479">
        <v>-570.61099999999999</v>
      </c>
      <c r="E479" t="s">
        <v>4</v>
      </c>
      <c r="F479" t="s">
        <v>43</v>
      </c>
      <c r="G479" t="s">
        <v>5</v>
      </c>
    </row>
    <row r="480" spans="1:7" x14ac:dyDescent="0.3">
      <c r="A480" t="s">
        <v>15</v>
      </c>
      <c r="B480" s="1">
        <v>45900</v>
      </c>
      <c r="C480">
        <v>255018</v>
      </c>
      <c r="D480">
        <v>-570.08500000000004</v>
      </c>
      <c r="E480" t="s">
        <v>4</v>
      </c>
      <c r="F480" t="s">
        <v>43</v>
      </c>
      <c r="G480" t="s">
        <v>5</v>
      </c>
    </row>
    <row r="481" spans="1:7" x14ac:dyDescent="0.3">
      <c r="A481" t="s">
        <v>15</v>
      </c>
      <c r="B481" s="1">
        <v>45900</v>
      </c>
      <c r="C481">
        <v>255019</v>
      </c>
      <c r="D481">
        <v>-1214.8710000000001</v>
      </c>
      <c r="E481" t="s">
        <v>4</v>
      </c>
      <c r="F481" t="s">
        <v>43</v>
      </c>
      <c r="G481" t="s">
        <v>5</v>
      </c>
    </row>
    <row r="482" spans="1:7" x14ac:dyDescent="0.3">
      <c r="A482" t="s">
        <v>15</v>
      </c>
      <c r="B482" s="1">
        <v>45900</v>
      </c>
      <c r="C482">
        <v>255020</v>
      </c>
      <c r="D482">
        <v>-867.76400000000001</v>
      </c>
      <c r="E482" t="s">
        <v>4</v>
      </c>
      <c r="F482" t="s">
        <v>43</v>
      </c>
      <c r="G482" t="s">
        <v>5</v>
      </c>
    </row>
    <row r="483" spans="1:7" x14ac:dyDescent="0.3">
      <c r="A483" t="s">
        <v>15</v>
      </c>
      <c r="B483" s="1">
        <v>45900</v>
      </c>
      <c r="C483">
        <v>255021</v>
      </c>
      <c r="D483">
        <v>-1421.0309999999999</v>
      </c>
      <c r="E483" t="s">
        <v>4</v>
      </c>
      <c r="F483" t="s">
        <v>43</v>
      </c>
      <c r="G483" t="s">
        <v>5</v>
      </c>
    </row>
    <row r="484" spans="1:7" x14ac:dyDescent="0.3">
      <c r="A484" t="s">
        <v>15</v>
      </c>
      <c r="B484" s="1">
        <v>45900</v>
      </c>
      <c r="C484">
        <v>257002</v>
      </c>
      <c r="D484">
        <v>-159.15600000000001</v>
      </c>
      <c r="E484" t="s">
        <v>4</v>
      </c>
      <c r="F484" t="s">
        <v>45</v>
      </c>
      <c r="G484" t="s">
        <v>5</v>
      </c>
    </row>
    <row r="485" spans="1:7" x14ac:dyDescent="0.3">
      <c r="A485" t="s">
        <v>15</v>
      </c>
      <c r="B485" s="1">
        <v>45900</v>
      </c>
      <c r="C485">
        <v>257003</v>
      </c>
      <c r="D485">
        <v>-3387.6770000000001</v>
      </c>
      <c r="E485" t="s">
        <v>4</v>
      </c>
      <c r="F485" t="s">
        <v>45</v>
      </c>
      <c r="G485" t="s">
        <v>5</v>
      </c>
    </row>
    <row r="486" spans="1:7" x14ac:dyDescent="0.3">
      <c r="A486" t="s">
        <v>15</v>
      </c>
      <c r="B486" s="1">
        <v>45900</v>
      </c>
      <c r="C486">
        <v>257005</v>
      </c>
      <c r="D486">
        <v>-174765.03400000001</v>
      </c>
      <c r="E486" t="s">
        <v>4</v>
      </c>
      <c r="F486" t="s">
        <v>45</v>
      </c>
      <c r="G486" t="s">
        <v>5</v>
      </c>
    </row>
    <row r="487" spans="1:7" x14ac:dyDescent="0.3">
      <c r="A487" t="s">
        <v>15</v>
      </c>
      <c r="B487" s="1">
        <v>45900</v>
      </c>
      <c r="C487">
        <v>257014</v>
      </c>
      <c r="D487">
        <v>-238292.71100000001</v>
      </c>
      <c r="E487" t="s">
        <v>4</v>
      </c>
      <c r="F487" t="s">
        <v>45</v>
      </c>
      <c r="G487" t="s">
        <v>5</v>
      </c>
    </row>
    <row r="488" spans="1:7" x14ac:dyDescent="0.3">
      <c r="A488" t="s">
        <v>15</v>
      </c>
      <c r="B488" s="1">
        <v>45900</v>
      </c>
      <c r="C488">
        <v>257015</v>
      </c>
      <c r="D488">
        <v>-14628.754000000001</v>
      </c>
      <c r="E488" t="s">
        <v>4</v>
      </c>
      <c r="F488" t="s">
        <v>45</v>
      </c>
      <c r="G488" t="s">
        <v>5</v>
      </c>
    </row>
    <row r="489" spans="1:7" x14ac:dyDescent="0.3">
      <c r="A489" t="s">
        <v>15</v>
      </c>
      <c r="B489" s="1">
        <v>45900</v>
      </c>
      <c r="C489">
        <v>257016</v>
      </c>
      <c r="D489">
        <v>-767.87900000000002</v>
      </c>
      <c r="E489" t="s">
        <v>4</v>
      </c>
      <c r="F489" t="s">
        <v>45</v>
      </c>
      <c r="G489" t="s">
        <v>5</v>
      </c>
    </row>
    <row r="490" spans="1:7" x14ac:dyDescent="0.3">
      <c r="A490" t="s">
        <v>15</v>
      </c>
      <c r="B490" s="1">
        <v>45900</v>
      </c>
      <c r="C490">
        <v>257018</v>
      </c>
      <c r="D490">
        <v>-4573.1760000000004</v>
      </c>
      <c r="E490" t="s">
        <v>4</v>
      </c>
      <c r="F490" t="s">
        <v>45</v>
      </c>
      <c r="G490" t="s">
        <v>5</v>
      </c>
    </row>
    <row r="491" spans="1:7" x14ac:dyDescent="0.3">
      <c r="A491" t="s">
        <v>15</v>
      </c>
      <c r="B491" s="1">
        <v>45900</v>
      </c>
      <c r="C491">
        <v>257020</v>
      </c>
      <c r="D491">
        <v>-0.25700000000000001</v>
      </c>
      <c r="E491" t="s">
        <v>4</v>
      </c>
      <c r="F491" t="s">
        <v>45</v>
      </c>
      <c r="G491" t="s">
        <v>5</v>
      </c>
    </row>
    <row r="492" spans="1:7" x14ac:dyDescent="0.3">
      <c r="A492" t="s">
        <v>15</v>
      </c>
      <c r="B492" s="1">
        <v>45900</v>
      </c>
      <c r="C492">
        <v>257028</v>
      </c>
      <c r="D492">
        <v>-105.277</v>
      </c>
      <c r="E492" t="s">
        <v>4</v>
      </c>
      <c r="F492" t="s">
        <v>45</v>
      </c>
      <c r="G492" t="s">
        <v>5</v>
      </c>
    </row>
    <row r="493" spans="1:7" x14ac:dyDescent="0.3">
      <c r="A493" t="s">
        <v>15</v>
      </c>
      <c r="B493" s="1">
        <v>45900</v>
      </c>
      <c r="C493">
        <v>257030</v>
      </c>
      <c r="D493">
        <v>-498.24900000000002</v>
      </c>
      <c r="E493" t="s">
        <v>4</v>
      </c>
      <c r="F493" t="s">
        <v>45</v>
      </c>
      <c r="G493" t="s">
        <v>5</v>
      </c>
    </row>
    <row r="494" spans="1:7" x14ac:dyDescent="0.3">
      <c r="A494" t="s">
        <v>15</v>
      </c>
      <c r="B494" s="1">
        <v>45900</v>
      </c>
      <c r="C494">
        <v>257035</v>
      </c>
      <c r="D494">
        <v>-97.337000000000003</v>
      </c>
      <c r="E494" t="s">
        <v>4</v>
      </c>
      <c r="F494" t="s">
        <v>45</v>
      </c>
      <c r="G494" t="s">
        <v>5</v>
      </c>
    </row>
    <row r="495" spans="1:7" x14ac:dyDescent="0.3">
      <c r="A495" t="s">
        <v>15</v>
      </c>
      <c r="B495" s="1">
        <v>45900</v>
      </c>
      <c r="C495">
        <v>257036</v>
      </c>
      <c r="D495">
        <v>-0.14000000000000001</v>
      </c>
      <c r="E495" t="s">
        <v>4</v>
      </c>
      <c r="F495" t="s">
        <v>45</v>
      </c>
      <c r="G495" t="s">
        <v>5</v>
      </c>
    </row>
    <row r="496" spans="1:7" x14ac:dyDescent="0.3">
      <c r="A496" t="s">
        <v>15</v>
      </c>
      <c r="B496" s="1">
        <v>45900</v>
      </c>
      <c r="C496">
        <v>257038</v>
      </c>
      <c r="D496">
        <v>-76.822999999999993</v>
      </c>
      <c r="E496" t="s">
        <v>4</v>
      </c>
      <c r="F496" t="s">
        <v>45</v>
      </c>
      <c r="G496" t="s">
        <v>5</v>
      </c>
    </row>
    <row r="497" spans="1:7" x14ac:dyDescent="0.3">
      <c r="A497" t="s">
        <v>15</v>
      </c>
      <c r="B497" s="1">
        <v>45900</v>
      </c>
      <c r="C497">
        <v>261014</v>
      </c>
      <c r="D497">
        <v>3165.6129999999998</v>
      </c>
      <c r="E497" t="s">
        <v>4</v>
      </c>
      <c r="F497" t="s">
        <v>45</v>
      </c>
      <c r="G497" t="s">
        <v>5</v>
      </c>
    </row>
    <row r="498" spans="1:7" x14ac:dyDescent="0.3">
      <c r="A498" t="s">
        <v>15</v>
      </c>
      <c r="B498" s="1">
        <v>45900</v>
      </c>
      <c r="C498">
        <v>261015</v>
      </c>
      <c r="D498">
        <v>0.70099999999999996</v>
      </c>
      <c r="E498" t="s">
        <v>4</v>
      </c>
      <c r="F498" t="s">
        <v>45</v>
      </c>
      <c r="G498" t="s">
        <v>5</v>
      </c>
    </row>
    <row r="499" spans="1:7" x14ac:dyDescent="0.3">
      <c r="A499" t="s">
        <v>15</v>
      </c>
      <c r="B499" s="1">
        <v>45900</v>
      </c>
      <c r="C499">
        <v>261016</v>
      </c>
      <c r="D499">
        <v>0.35</v>
      </c>
      <c r="E499" t="s">
        <v>4</v>
      </c>
      <c r="F499" t="s">
        <v>45</v>
      </c>
      <c r="G499" t="s">
        <v>5</v>
      </c>
    </row>
    <row r="500" spans="1:7" x14ac:dyDescent="0.3">
      <c r="A500" t="s">
        <v>15</v>
      </c>
      <c r="B500" s="1">
        <v>45900</v>
      </c>
      <c r="C500">
        <v>261017</v>
      </c>
      <c r="D500">
        <v>2.3809999999999998</v>
      </c>
      <c r="E500" t="s">
        <v>4</v>
      </c>
      <c r="F500" t="s">
        <v>45</v>
      </c>
      <c r="G500" t="s">
        <v>5</v>
      </c>
    </row>
    <row r="501" spans="1:7" x14ac:dyDescent="0.3">
      <c r="A501" t="s">
        <v>15</v>
      </c>
      <c r="B501" s="1">
        <v>45900</v>
      </c>
      <c r="C501">
        <v>261019</v>
      </c>
      <c r="D501">
        <v>628.71199999999999</v>
      </c>
      <c r="E501" t="s">
        <v>4</v>
      </c>
      <c r="F501" t="s">
        <v>45</v>
      </c>
      <c r="G501" t="s">
        <v>5</v>
      </c>
    </row>
    <row r="502" spans="1:7" x14ac:dyDescent="0.3">
      <c r="A502" t="s">
        <v>15</v>
      </c>
      <c r="B502" s="1">
        <v>45900</v>
      </c>
      <c r="C502">
        <v>261023</v>
      </c>
      <c r="D502">
        <v>17603.915000000001</v>
      </c>
      <c r="E502" t="s">
        <v>4</v>
      </c>
      <c r="F502" t="s">
        <v>45</v>
      </c>
      <c r="G502" t="s">
        <v>5</v>
      </c>
    </row>
    <row r="503" spans="1:7" x14ac:dyDescent="0.3">
      <c r="A503" t="s">
        <v>15</v>
      </c>
      <c r="B503" s="1">
        <v>45900</v>
      </c>
      <c r="C503">
        <v>261024</v>
      </c>
      <c r="D503">
        <v>628.71199999999999</v>
      </c>
      <c r="E503" t="s">
        <v>4</v>
      </c>
      <c r="F503" t="s">
        <v>45</v>
      </c>
      <c r="G503" t="s">
        <v>5</v>
      </c>
    </row>
    <row r="504" spans="1:7" x14ac:dyDescent="0.3">
      <c r="A504" t="s">
        <v>15</v>
      </c>
      <c r="B504" s="1">
        <v>45900</v>
      </c>
      <c r="C504">
        <v>263006</v>
      </c>
      <c r="D504">
        <v>-104179.208</v>
      </c>
      <c r="E504" t="s">
        <v>4</v>
      </c>
      <c r="F504" t="s">
        <v>45</v>
      </c>
      <c r="G504" t="s">
        <v>5</v>
      </c>
    </row>
    <row r="505" spans="1:7" x14ac:dyDescent="0.3">
      <c r="A505" t="s">
        <v>15</v>
      </c>
      <c r="B505" s="1">
        <v>45900</v>
      </c>
      <c r="C505">
        <v>263007</v>
      </c>
      <c r="D505">
        <v>-87836.502999999997</v>
      </c>
      <c r="E505" t="s">
        <v>4</v>
      </c>
      <c r="F505" t="s">
        <v>45</v>
      </c>
      <c r="G505" t="s">
        <v>5</v>
      </c>
    </row>
    <row r="506" spans="1:7" x14ac:dyDescent="0.3">
      <c r="A506" t="s">
        <v>15</v>
      </c>
      <c r="B506" s="1">
        <v>45900</v>
      </c>
      <c r="C506">
        <v>263008</v>
      </c>
      <c r="D506">
        <v>-176075.685</v>
      </c>
      <c r="E506" t="s">
        <v>4</v>
      </c>
      <c r="F506" t="s">
        <v>45</v>
      </c>
      <c r="G506" t="s">
        <v>5</v>
      </c>
    </row>
    <row r="507" spans="1:7" x14ac:dyDescent="0.3">
      <c r="A507" t="s">
        <v>15</v>
      </c>
      <c r="B507" s="1">
        <v>45900</v>
      </c>
      <c r="C507">
        <v>263010</v>
      </c>
      <c r="D507">
        <v>-1022.831</v>
      </c>
      <c r="E507" t="s">
        <v>4</v>
      </c>
      <c r="F507" t="s">
        <v>45</v>
      </c>
      <c r="G507" t="s">
        <v>5</v>
      </c>
    </row>
    <row r="508" spans="1:7" x14ac:dyDescent="0.3">
      <c r="A508" t="s">
        <v>15</v>
      </c>
      <c r="B508" s="1">
        <v>45900</v>
      </c>
      <c r="C508">
        <v>263012</v>
      </c>
      <c r="D508">
        <v>-57.259</v>
      </c>
      <c r="E508" t="s">
        <v>4</v>
      </c>
      <c r="F508" t="s">
        <v>45</v>
      </c>
      <c r="G508" t="s">
        <v>5</v>
      </c>
    </row>
    <row r="509" spans="1:7" x14ac:dyDescent="0.3">
      <c r="A509" t="s">
        <v>15</v>
      </c>
      <c r="B509" s="1">
        <v>45900</v>
      </c>
      <c r="C509">
        <v>263013</v>
      </c>
      <c r="D509">
        <v>-57.259</v>
      </c>
      <c r="E509" t="s">
        <v>4</v>
      </c>
      <c r="F509" t="s">
        <v>45</v>
      </c>
      <c r="G509" t="s">
        <v>5</v>
      </c>
    </row>
    <row r="510" spans="1:7" x14ac:dyDescent="0.3">
      <c r="A510" t="s">
        <v>15</v>
      </c>
      <c r="B510" s="1">
        <v>45900</v>
      </c>
      <c r="C510">
        <v>263014</v>
      </c>
      <c r="D510">
        <v>-1016.68</v>
      </c>
      <c r="E510" t="s">
        <v>4</v>
      </c>
      <c r="F510" t="s">
        <v>45</v>
      </c>
      <c r="G510" t="s">
        <v>5</v>
      </c>
    </row>
    <row r="511" spans="1:7" x14ac:dyDescent="0.3">
      <c r="A511" t="s">
        <v>15</v>
      </c>
      <c r="B511" s="1">
        <v>45900</v>
      </c>
      <c r="C511">
        <v>270003</v>
      </c>
      <c r="D511">
        <v>-6238.777</v>
      </c>
      <c r="E511" t="s">
        <v>4</v>
      </c>
      <c r="F511" t="s">
        <v>58</v>
      </c>
      <c r="G511" t="s">
        <v>5</v>
      </c>
    </row>
    <row r="512" spans="1:7" x14ac:dyDescent="0.3">
      <c r="A512" t="s">
        <v>15</v>
      </c>
      <c r="B512" s="1">
        <v>45900</v>
      </c>
      <c r="C512">
        <v>270005</v>
      </c>
      <c r="D512">
        <v>-44268.635999999999</v>
      </c>
      <c r="E512" t="s">
        <v>4</v>
      </c>
      <c r="F512" t="s">
        <v>58</v>
      </c>
      <c r="G512" t="s">
        <v>5</v>
      </c>
    </row>
    <row r="513" spans="1:7" x14ac:dyDescent="0.3">
      <c r="A513" t="s">
        <v>15</v>
      </c>
      <c r="B513" s="1">
        <v>45900</v>
      </c>
      <c r="C513">
        <v>270007</v>
      </c>
      <c r="D513">
        <v>-32285.670999999998</v>
      </c>
      <c r="E513" t="s">
        <v>4</v>
      </c>
      <c r="F513" t="s">
        <v>58</v>
      </c>
      <c r="G513" t="s">
        <v>5</v>
      </c>
    </row>
    <row r="514" spans="1:7" x14ac:dyDescent="0.3">
      <c r="A514" t="s">
        <v>15</v>
      </c>
      <c r="B514" s="1">
        <v>45900</v>
      </c>
      <c r="C514">
        <v>270009</v>
      </c>
      <c r="D514">
        <v>-2088.143</v>
      </c>
      <c r="E514" t="s">
        <v>4</v>
      </c>
      <c r="F514" t="s">
        <v>58</v>
      </c>
      <c r="G514" t="s">
        <v>5</v>
      </c>
    </row>
    <row r="515" spans="1:7" x14ac:dyDescent="0.3">
      <c r="A515" t="s">
        <v>15</v>
      </c>
      <c r="B515" s="1">
        <v>45900</v>
      </c>
      <c r="C515">
        <v>270011</v>
      </c>
      <c r="D515">
        <v>-607.17700000000002</v>
      </c>
      <c r="E515" t="s">
        <v>4</v>
      </c>
      <c r="F515" t="s">
        <v>58</v>
      </c>
      <c r="G515" t="s">
        <v>5</v>
      </c>
    </row>
    <row r="516" spans="1:7" x14ac:dyDescent="0.3">
      <c r="A516" t="s">
        <v>15</v>
      </c>
      <c r="B516" s="1">
        <v>45900</v>
      </c>
      <c r="C516">
        <v>270012</v>
      </c>
      <c r="D516">
        <v>-666.05399999999997</v>
      </c>
      <c r="E516" t="s">
        <v>4</v>
      </c>
      <c r="F516" t="s">
        <v>58</v>
      </c>
      <c r="G516" t="s">
        <v>5</v>
      </c>
    </row>
    <row r="517" spans="1:7" x14ac:dyDescent="0.3">
      <c r="A517" t="s">
        <v>15</v>
      </c>
      <c r="B517" s="1">
        <v>45900</v>
      </c>
      <c r="C517">
        <v>270014</v>
      </c>
      <c r="D517">
        <v>-2417.2849999999999</v>
      </c>
      <c r="E517" t="s">
        <v>4</v>
      </c>
      <c r="F517" t="s">
        <v>58</v>
      </c>
      <c r="G517" t="s">
        <v>5</v>
      </c>
    </row>
    <row r="518" spans="1:7" x14ac:dyDescent="0.3">
      <c r="A518" t="s">
        <v>15</v>
      </c>
      <c r="B518" s="1">
        <v>45900</v>
      </c>
      <c r="C518">
        <v>270015</v>
      </c>
      <c r="D518">
        <v>-1244.0550000000001</v>
      </c>
      <c r="E518" t="s">
        <v>4</v>
      </c>
      <c r="F518" t="s">
        <v>58</v>
      </c>
      <c r="G518" t="s">
        <v>5</v>
      </c>
    </row>
    <row r="519" spans="1:7" x14ac:dyDescent="0.3">
      <c r="A519" t="s">
        <v>15</v>
      </c>
      <c r="B519" s="1">
        <v>45900</v>
      </c>
      <c r="C519">
        <v>270016</v>
      </c>
      <c r="D519">
        <v>-556.70000000000005</v>
      </c>
      <c r="E519" t="s">
        <v>4</v>
      </c>
      <c r="F519" t="s">
        <v>58</v>
      </c>
      <c r="G519" t="s">
        <v>5</v>
      </c>
    </row>
    <row r="520" spans="1:7" x14ac:dyDescent="0.3">
      <c r="A520" t="s">
        <v>15</v>
      </c>
      <c r="B520" s="1">
        <v>45900</v>
      </c>
      <c r="C520">
        <v>270018</v>
      </c>
      <c r="D520">
        <v>-5731.09</v>
      </c>
      <c r="E520" t="s">
        <v>4</v>
      </c>
      <c r="F520" t="s">
        <v>58</v>
      </c>
      <c r="G520" t="s">
        <v>5</v>
      </c>
    </row>
    <row r="521" spans="1:7" x14ac:dyDescent="0.3">
      <c r="A521" t="s">
        <v>15</v>
      </c>
      <c r="B521" s="1">
        <v>45900</v>
      </c>
      <c r="C521">
        <v>270020</v>
      </c>
      <c r="D521">
        <v>-619848.52300000004</v>
      </c>
      <c r="E521" t="s">
        <v>4</v>
      </c>
      <c r="F521" t="s">
        <v>58</v>
      </c>
      <c r="G521" t="s">
        <v>5</v>
      </c>
    </row>
    <row r="522" spans="1:7" x14ac:dyDescent="0.3">
      <c r="A522" t="s">
        <v>15</v>
      </c>
      <c r="B522" s="1">
        <v>45900</v>
      </c>
      <c r="C522">
        <v>270021</v>
      </c>
      <c r="D522">
        <v>-4424.2290000000003</v>
      </c>
      <c r="E522" t="s">
        <v>4</v>
      </c>
      <c r="F522" t="s">
        <v>58</v>
      </c>
      <c r="G522" t="s">
        <v>5</v>
      </c>
    </row>
    <row r="523" spans="1:7" x14ac:dyDescent="0.3">
      <c r="A523" t="s">
        <v>15</v>
      </c>
      <c r="B523" s="1">
        <v>45900</v>
      </c>
      <c r="C523">
        <v>270024</v>
      </c>
      <c r="D523">
        <v>-378953.07500000001</v>
      </c>
      <c r="E523" t="s">
        <v>4</v>
      </c>
      <c r="F523" t="s">
        <v>58</v>
      </c>
      <c r="G523" t="s">
        <v>5</v>
      </c>
    </row>
    <row r="524" spans="1:7" x14ac:dyDescent="0.3">
      <c r="A524" t="s">
        <v>15</v>
      </c>
      <c r="B524" s="1">
        <v>45900</v>
      </c>
      <c r="C524">
        <v>270025</v>
      </c>
      <c r="D524">
        <v>-319374.87599999999</v>
      </c>
      <c r="E524" t="s">
        <v>4</v>
      </c>
      <c r="F524" t="s">
        <v>58</v>
      </c>
      <c r="G524" t="s">
        <v>5</v>
      </c>
    </row>
    <row r="525" spans="1:7" x14ac:dyDescent="0.3">
      <c r="A525" t="s">
        <v>15</v>
      </c>
      <c r="B525" s="1">
        <v>45900</v>
      </c>
      <c r="C525">
        <v>270026</v>
      </c>
      <c r="D525">
        <v>-1445042.3529999999</v>
      </c>
      <c r="E525" t="s">
        <v>4</v>
      </c>
      <c r="F525" t="s">
        <v>58</v>
      </c>
      <c r="G525" t="s">
        <v>5</v>
      </c>
    </row>
    <row r="526" spans="1:7" x14ac:dyDescent="0.3">
      <c r="A526" t="s">
        <v>15</v>
      </c>
      <c r="B526" s="1">
        <v>45900</v>
      </c>
      <c r="C526">
        <v>270027</v>
      </c>
      <c r="D526">
        <v>-395682.99599999998</v>
      </c>
      <c r="E526" t="s">
        <v>4</v>
      </c>
      <c r="F526" t="s">
        <v>58</v>
      </c>
      <c r="G526" t="s">
        <v>5</v>
      </c>
    </row>
    <row r="527" spans="1:7" x14ac:dyDescent="0.3">
      <c r="A527" t="s">
        <v>15</v>
      </c>
      <c r="B527" s="1">
        <v>45900</v>
      </c>
      <c r="C527">
        <v>275002</v>
      </c>
      <c r="D527">
        <v>54117.902999999998</v>
      </c>
      <c r="E527" t="s">
        <v>4</v>
      </c>
      <c r="F527" t="s">
        <v>58</v>
      </c>
      <c r="G527" t="s">
        <v>5</v>
      </c>
    </row>
    <row r="528" spans="1:7" x14ac:dyDescent="0.3">
      <c r="A528" t="s">
        <v>15</v>
      </c>
      <c r="B528" s="1">
        <v>45900</v>
      </c>
      <c r="C528">
        <v>300002</v>
      </c>
      <c r="D528">
        <v>123858.61500000001</v>
      </c>
      <c r="E528" t="s">
        <v>4</v>
      </c>
      <c r="F528" t="s">
        <v>65</v>
      </c>
      <c r="G528" t="s">
        <v>5</v>
      </c>
    </row>
    <row r="529" spans="1:7" x14ac:dyDescent="0.3">
      <c r="A529" t="s">
        <v>15</v>
      </c>
      <c r="B529" s="1">
        <v>45900</v>
      </c>
      <c r="C529">
        <v>300003</v>
      </c>
      <c r="D529">
        <v>1124519.148</v>
      </c>
      <c r="E529" t="s">
        <v>4</v>
      </c>
      <c r="F529" t="s">
        <v>65</v>
      </c>
      <c r="G529" t="s">
        <v>5</v>
      </c>
    </row>
    <row r="530" spans="1:7" x14ac:dyDescent="0.3">
      <c r="A530" t="s">
        <v>15</v>
      </c>
      <c r="B530" s="1">
        <v>45900</v>
      </c>
      <c r="C530">
        <v>300004</v>
      </c>
      <c r="D530">
        <v>1040586.423</v>
      </c>
      <c r="E530" t="s">
        <v>4</v>
      </c>
      <c r="F530" t="s">
        <v>65</v>
      </c>
      <c r="G530" t="s">
        <v>5</v>
      </c>
    </row>
    <row r="531" spans="1:7" x14ac:dyDescent="0.3">
      <c r="A531" t="s">
        <v>15</v>
      </c>
      <c r="B531" s="1">
        <v>45900</v>
      </c>
      <c r="C531">
        <v>300005</v>
      </c>
      <c r="D531">
        <v>462806.33299999998</v>
      </c>
      <c r="E531" t="s">
        <v>4</v>
      </c>
      <c r="F531" t="s">
        <v>65</v>
      </c>
      <c r="G531" t="s">
        <v>5</v>
      </c>
    </row>
    <row r="532" spans="1:7" x14ac:dyDescent="0.3">
      <c r="A532" t="s">
        <v>15</v>
      </c>
      <c r="B532" s="1">
        <v>45900</v>
      </c>
      <c r="C532">
        <v>300006</v>
      </c>
      <c r="D532">
        <v>5661.5780000000004</v>
      </c>
      <c r="E532" t="s">
        <v>4</v>
      </c>
      <c r="F532" t="s">
        <v>65</v>
      </c>
      <c r="G532" t="s">
        <v>5</v>
      </c>
    </row>
    <row r="533" spans="1:7" x14ac:dyDescent="0.3">
      <c r="A533" t="s">
        <v>15</v>
      </c>
      <c r="B533" s="1">
        <v>45900</v>
      </c>
      <c r="C533">
        <v>300008</v>
      </c>
      <c r="D533">
        <v>1602121.03</v>
      </c>
      <c r="E533" t="s">
        <v>4</v>
      </c>
      <c r="F533" t="s">
        <v>65</v>
      </c>
      <c r="G533" t="s">
        <v>5</v>
      </c>
    </row>
    <row r="534" spans="1:7" x14ac:dyDescent="0.3">
      <c r="A534" t="s">
        <v>15</v>
      </c>
      <c r="B534" s="1">
        <v>45900</v>
      </c>
      <c r="C534">
        <v>300009</v>
      </c>
      <c r="D534">
        <v>277128.364</v>
      </c>
      <c r="E534" t="s">
        <v>4</v>
      </c>
      <c r="F534" t="s">
        <v>65</v>
      </c>
      <c r="G534" t="s">
        <v>5</v>
      </c>
    </row>
    <row r="535" spans="1:7" x14ac:dyDescent="0.3">
      <c r="A535" t="s">
        <v>15</v>
      </c>
      <c r="B535" s="1">
        <v>45900</v>
      </c>
      <c r="C535">
        <v>300010</v>
      </c>
      <c r="D535">
        <v>17407.902999999998</v>
      </c>
      <c r="E535" t="s">
        <v>4</v>
      </c>
      <c r="F535" t="s">
        <v>65</v>
      </c>
      <c r="G535" t="s">
        <v>5</v>
      </c>
    </row>
    <row r="536" spans="1:7" x14ac:dyDescent="0.3">
      <c r="A536" t="s">
        <v>15</v>
      </c>
      <c r="B536" s="1">
        <v>45900</v>
      </c>
      <c r="C536">
        <v>300011</v>
      </c>
      <c r="D536">
        <v>22692.563999999998</v>
      </c>
      <c r="E536" t="s">
        <v>4</v>
      </c>
      <c r="F536" t="s">
        <v>65</v>
      </c>
      <c r="G536" t="s">
        <v>5</v>
      </c>
    </row>
    <row r="537" spans="1:7" x14ac:dyDescent="0.3">
      <c r="A537" t="s">
        <v>15</v>
      </c>
      <c r="B537" s="1">
        <v>45900</v>
      </c>
      <c r="C537">
        <v>300012</v>
      </c>
      <c r="D537">
        <v>1787423.057</v>
      </c>
      <c r="E537" t="s">
        <v>4</v>
      </c>
      <c r="F537" t="s">
        <v>65</v>
      </c>
      <c r="G537" t="s">
        <v>5</v>
      </c>
    </row>
    <row r="538" spans="1:7" x14ac:dyDescent="0.3">
      <c r="A538" t="s">
        <v>15</v>
      </c>
      <c r="B538" s="1">
        <v>45900</v>
      </c>
      <c r="C538">
        <v>300014</v>
      </c>
      <c r="D538">
        <v>1482029.45</v>
      </c>
      <c r="E538" t="s">
        <v>4</v>
      </c>
      <c r="F538" t="s">
        <v>65</v>
      </c>
      <c r="G538" t="s">
        <v>5</v>
      </c>
    </row>
    <row r="539" spans="1:7" x14ac:dyDescent="0.3">
      <c r="A539" t="s">
        <v>15</v>
      </c>
      <c r="B539" s="1">
        <v>45900</v>
      </c>
      <c r="C539">
        <v>300502</v>
      </c>
      <c r="D539">
        <v>-35060.228000000003</v>
      </c>
      <c r="E539" t="s">
        <v>4</v>
      </c>
      <c r="F539" t="s">
        <v>65</v>
      </c>
      <c r="G539" t="s">
        <v>5</v>
      </c>
    </row>
    <row r="540" spans="1:7" x14ac:dyDescent="0.3">
      <c r="A540" t="s">
        <v>15</v>
      </c>
      <c r="B540" s="1">
        <v>45900</v>
      </c>
      <c r="C540">
        <v>300503</v>
      </c>
      <c r="D540">
        <v>-764555.79500000004</v>
      </c>
      <c r="E540" t="s">
        <v>4</v>
      </c>
      <c r="F540" t="s">
        <v>65</v>
      </c>
      <c r="G540" t="s">
        <v>5</v>
      </c>
    </row>
    <row r="541" spans="1:7" x14ac:dyDescent="0.3">
      <c r="A541" t="s">
        <v>15</v>
      </c>
      <c r="B541" s="1">
        <v>45900</v>
      </c>
      <c r="C541">
        <v>300504</v>
      </c>
      <c r="D541">
        <v>-781664.19400000002</v>
      </c>
      <c r="E541" t="s">
        <v>4</v>
      </c>
      <c r="F541" t="s">
        <v>65</v>
      </c>
      <c r="G541" t="s">
        <v>5</v>
      </c>
    </row>
    <row r="542" spans="1:7" x14ac:dyDescent="0.3">
      <c r="A542" t="s">
        <v>15</v>
      </c>
      <c r="B542" s="1">
        <v>45900</v>
      </c>
      <c r="C542">
        <v>300505</v>
      </c>
      <c r="D542">
        <v>-435534.40600000002</v>
      </c>
      <c r="E542" t="s">
        <v>4</v>
      </c>
      <c r="F542" t="s">
        <v>65</v>
      </c>
      <c r="G542" t="s">
        <v>5</v>
      </c>
    </row>
    <row r="543" spans="1:7" x14ac:dyDescent="0.3">
      <c r="A543" t="s">
        <v>15</v>
      </c>
      <c r="B543" s="1">
        <v>45900</v>
      </c>
      <c r="C543">
        <v>300506</v>
      </c>
      <c r="D543">
        <v>-1963.5060000000001</v>
      </c>
      <c r="E543" t="s">
        <v>4</v>
      </c>
      <c r="F543" t="s">
        <v>65</v>
      </c>
      <c r="G543" t="s">
        <v>5</v>
      </c>
    </row>
    <row r="544" spans="1:7" x14ac:dyDescent="0.3">
      <c r="A544" t="s">
        <v>15</v>
      </c>
      <c r="B544" s="1">
        <v>45900</v>
      </c>
      <c r="C544">
        <v>300508</v>
      </c>
      <c r="D544">
        <v>-685551.27500000002</v>
      </c>
      <c r="E544" t="s">
        <v>4</v>
      </c>
      <c r="F544" t="s">
        <v>65</v>
      </c>
      <c r="G544" t="s">
        <v>5</v>
      </c>
    </row>
    <row r="545" spans="1:7" x14ac:dyDescent="0.3">
      <c r="A545" t="s">
        <v>15</v>
      </c>
      <c r="B545" s="1">
        <v>45900</v>
      </c>
      <c r="C545">
        <v>300509</v>
      </c>
      <c r="D545">
        <v>-253873.38099999999</v>
      </c>
      <c r="E545" t="s">
        <v>4</v>
      </c>
      <c r="F545" t="s">
        <v>65</v>
      </c>
      <c r="G545" t="s">
        <v>5</v>
      </c>
    </row>
    <row r="546" spans="1:7" x14ac:dyDescent="0.3">
      <c r="A546" t="s">
        <v>15</v>
      </c>
      <c r="B546" s="1">
        <v>45900</v>
      </c>
      <c r="C546">
        <v>300510</v>
      </c>
      <c r="D546">
        <v>-17183.374</v>
      </c>
      <c r="E546" t="s">
        <v>4</v>
      </c>
      <c r="F546" t="s">
        <v>65</v>
      </c>
      <c r="G546" t="s">
        <v>5</v>
      </c>
    </row>
    <row r="547" spans="1:7" x14ac:dyDescent="0.3">
      <c r="A547" t="s">
        <v>15</v>
      </c>
      <c r="B547" s="1">
        <v>45900</v>
      </c>
      <c r="C547">
        <v>300511</v>
      </c>
      <c r="D547">
        <v>-21983.057000000001</v>
      </c>
      <c r="E547" t="s">
        <v>4</v>
      </c>
      <c r="F547" t="s">
        <v>65</v>
      </c>
      <c r="G547" t="s">
        <v>5</v>
      </c>
    </row>
    <row r="548" spans="1:7" x14ac:dyDescent="0.3">
      <c r="A548" t="s">
        <v>15</v>
      </c>
      <c r="B548" s="1">
        <v>45900</v>
      </c>
      <c r="C548">
        <v>300512</v>
      </c>
      <c r="D548">
        <v>-1568743.7409999999</v>
      </c>
      <c r="E548" t="s">
        <v>4</v>
      </c>
      <c r="F548" t="s">
        <v>65</v>
      </c>
      <c r="G548" t="s">
        <v>5</v>
      </c>
    </row>
    <row r="549" spans="1:7" x14ac:dyDescent="0.3">
      <c r="A549" t="s">
        <v>15</v>
      </c>
      <c r="B549" s="1">
        <v>45900</v>
      </c>
      <c r="C549">
        <v>300514</v>
      </c>
      <c r="D549">
        <v>-1005423.8860000001</v>
      </c>
      <c r="E549" t="s">
        <v>4</v>
      </c>
      <c r="F549" t="s">
        <v>65</v>
      </c>
      <c r="G549" t="s">
        <v>5</v>
      </c>
    </row>
    <row r="550" spans="1:7" x14ac:dyDescent="0.3">
      <c r="A550" t="s">
        <v>15</v>
      </c>
      <c r="B550" s="1">
        <v>45900</v>
      </c>
      <c r="C550">
        <v>301002</v>
      </c>
      <c r="D550">
        <v>126927.077</v>
      </c>
      <c r="E550" t="s">
        <v>4</v>
      </c>
      <c r="F550" t="s">
        <v>68</v>
      </c>
      <c r="G550" t="s">
        <v>5</v>
      </c>
    </row>
    <row r="551" spans="1:7" x14ac:dyDescent="0.3">
      <c r="A551" t="s">
        <v>15</v>
      </c>
      <c r="B551" s="1">
        <v>45900</v>
      </c>
      <c r="C551">
        <v>301004</v>
      </c>
      <c r="D551">
        <v>1967526.5</v>
      </c>
      <c r="E551" t="s">
        <v>4</v>
      </c>
      <c r="F551" t="s">
        <v>65</v>
      </c>
      <c r="G551" t="s">
        <v>5</v>
      </c>
    </row>
    <row r="552" spans="1:7" x14ac:dyDescent="0.3">
      <c r="A552" t="s">
        <v>15</v>
      </c>
      <c r="B552" s="1">
        <v>45900</v>
      </c>
      <c r="C552">
        <v>301005</v>
      </c>
      <c r="D552">
        <v>292417.38400000002</v>
      </c>
      <c r="E552" t="s">
        <v>4</v>
      </c>
      <c r="F552" t="s">
        <v>65</v>
      </c>
      <c r="G552" t="s">
        <v>5</v>
      </c>
    </row>
    <row r="553" spans="1:7" x14ac:dyDescent="0.3">
      <c r="A553" t="s">
        <v>15</v>
      </c>
      <c r="B553" s="1">
        <v>45900</v>
      </c>
      <c r="C553">
        <v>301502</v>
      </c>
      <c r="D553">
        <v>-126927.07399999999</v>
      </c>
      <c r="E553" t="s">
        <v>4</v>
      </c>
      <c r="F553" t="s">
        <v>68</v>
      </c>
      <c r="G553" t="s">
        <v>5</v>
      </c>
    </row>
    <row r="554" spans="1:7" x14ac:dyDescent="0.3">
      <c r="A554" t="s">
        <v>15</v>
      </c>
      <c r="B554" s="1">
        <v>45900</v>
      </c>
      <c r="C554">
        <v>301504</v>
      </c>
      <c r="D554">
        <v>-1848529.2549999999</v>
      </c>
      <c r="E554" t="s">
        <v>4</v>
      </c>
      <c r="F554" t="s">
        <v>65</v>
      </c>
      <c r="G554" t="s">
        <v>5</v>
      </c>
    </row>
    <row r="555" spans="1:7" x14ac:dyDescent="0.3">
      <c r="A555" t="s">
        <v>15</v>
      </c>
      <c r="B555" s="1">
        <v>45900</v>
      </c>
      <c r="C555">
        <v>301505</v>
      </c>
      <c r="D555">
        <v>-292417.37800000003</v>
      </c>
      <c r="E555" t="s">
        <v>4</v>
      </c>
      <c r="F555" t="s">
        <v>65</v>
      </c>
      <c r="G555" t="s">
        <v>5</v>
      </c>
    </row>
    <row r="556" spans="1:7" x14ac:dyDescent="0.3">
      <c r="A556" t="s">
        <v>15</v>
      </c>
      <c r="B556" s="1">
        <v>45900</v>
      </c>
      <c r="C556">
        <v>303002</v>
      </c>
      <c r="D556">
        <v>54523.964</v>
      </c>
      <c r="E556" t="s">
        <v>4</v>
      </c>
      <c r="F556" t="s">
        <v>65</v>
      </c>
      <c r="G556" t="s">
        <v>5</v>
      </c>
    </row>
    <row r="557" spans="1:7" x14ac:dyDescent="0.3">
      <c r="A557" t="s">
        <v>15</v>
      </c>
      <c r="B557" s="1">
        <v>45900</v>
      </c>
      <c r="C557">
        <v>303003</v>
      </c>
      <c r="D557">
        <v>19790.762999999999</v>
      </c>
      <c r="E557" t="s">
        <v>4</v>
      </c>
      <c r="F557" t="s">
        <v>65</v>
      </c>
      <c r="G557" t="s">
        <v>5</v>
      </c>
    </row>
    <row r="558" spans="1:7" x14ac:dyDescent="0.3">
      <c r="A558" t="s">
        <v>15</v>
      </c>
      <c r="B558" s="1">
        <v>45900</v>
      </c>
      <c r="C558">
        <v>304002</v>
      </c>
      <c r="D558">
        <v>2551141.9530000002</v>
      </c>
      <c r="E558" t="s">
        <v>4</v>
      </c>
      <c r="F558" t="s">
        <v>65</v>
      </c>
      <c r="G558" t="s">
        <v>5</v>
      </c>
    </row>
    <row r="559" spans="1:7" x14ac:dyDescent="0.3">
      <c r="A559" t="s">
        <v>15</v>
      </c>
      <c r="B559" s="1">
        <v>45900</v>
      </c>
      <c r="C559">
        <v>304502</v>
      </c>
      <c r="D559">
        <v>-1151798.3999999999</v>
      </c>
      <c r="E559" t="s">
        <v>4</v>
      </c>
      <c r="F559" t="s">
        <v>65</v>
      </c>
      <c r="G559" t="s">
        <v>5</v>
      </c>
    </row>
    <row r="560" spans="1:7" x14ac:dyDescent="0.3">
      <c r="A560" t="s">
        <v>15</v>
      </c>
      <c r="B560" s="1">
        <v>45900</v>
      </c>
      <c r="C560">
        <v>310002</v>
      </c>
      <c r="D560">
        <v>4196708.7220000001</v>
      </c>
      <c r="E560" t="s">
        <v>4</v>
      </c>
      <c r="F560" t="s">
        <v>42</v>
      </c>
      <c r="G560" t="s">
        <v>5</v>
      </c>
    </row>
    <row r="561" spans="1:7" x14ac:dyDescent="0.3">
      <c r="A561" t="s">
        <v>15</v>
      </c>
      <c r="B561" s="1">
        <v>45900</v>
      </c>
      <c r="C561">
        <v>310004</v>
      </c>
      <c r="D561">
        <v>127099.955</v>
      </c>
      <c r="E561" t="s">
        <v>4</v>
      </c>
      <c r="F561" t="s">
        <v>42</v>
      </c>
      <c r="G561" t="s">
        <v>5</v>
      </c>
    </row>
    <row r="562" spans="1:7" x14ac:dyDescent="0.3">
      <c r="A562" t="s">
        <v>15</v>
      </c>
      <c r="B562" s="1">
        <v>45900</v>
      </c>
      <c r="C562">
        <v>310005</v>
      </c>
      <c r="D562">
        <v>138903.25</v>
      </c>
      <c r="E562" t="s">
        <v>4</v>
      </c>
      <c r="F562" t="s">
        <v>42</v>
      </c>
      <c r="G562" t="s">
        <v>5</v>
      </c>
    </row>
    <row r="563" spans="1:7" x14ac:dyDescent="0.3">
      <c r="A563" t="s">
        <v>15</v>
      </c>
      <c r="B563" s="1">
        <v>45900</v>
      </c>
      <c r="C563">
        <v>310007</v>
      </c>
      <c r="D563">
        <v>334751.18699999998</v>
      </c>
      <c r="E563" t="s">
        <v>4</v>
      </c>
      <c r="F563" t="s">
        <v>42</v>
      </c>
      <c r="G563" t="s">
        <v>5</v>
      </c>
    </row>
    <row r="564" spans="1:7" x14ac:dyDescent="0.3">
      <c r="A564" t="s">
        <v>15</v>
      </c>
      <c r="B564" s="1">
        <v>45900</v>
      </c>
      <c r="C564">
        <v>310016</v>
      </c>
      <c r="D564">
        <v>727512.65</v>
      </c>
      <c r="E564" t="s">
        <v>4</v>
      </c>
      <c r="F564" t="s">
        <v>42</v>
      </c>
      <c r="G564" t="s">
        <v>5</v>
      </c>
    </row>
    <row r="565" spans="1:7" x14ac:dyDescent="0.3">
      <c r="A565" t="s">
        <v>15</v>
      </c>
      <c r="B565" s="1">
        <v>45900</v>
      </c>
      <c r="C565">
        <v>310017</v>
      </c>
      <c r="D565">
        <v>39387.707000000002</v>
      </c>
      <c r="E565" t="s">
        <v>4</v>
      </c>
      <c r="F565" t="s">
        <v>42</v>
      </c>
      <c r="G565" t="s">
        <v>5</v>
      </c>
    </row>
    <row r="566" spans="1:7" x14ac:dyDescent="0.3">
      <c r="A566" t="s">
        <v>15</v>
      </c>
      <c r="B566" s="1">
        <v>45900</v>
      </c>
      <c r="C566">
        <v>310021</v>
      </c>
      <c r="D566">
        <v>63.031999999999996</v>
      </c>
      <c r="E566" t="s">
        <v>4</v>
      </c>
      <c r="F566" t="s">
        <v>42</v>
      </c>
      <c r="G566" t="s">
        <v>5</v>
      </c>
    </row>
    <row r="567" spans="1:7" x14ac:dyDescent="0.3">
      <c r="A567" t="s">
        <v>15</v>
      </c>
      <c r="B567" s="1">
        <v>45900</v>
      </c>
      <c r="C567">
        <v>310031</v>
      </c>
      <c r="D567">
        <v>73609.5</v>
      </c>
      <c r="E567" t="s">
        <v>4</v>
      </c>
      <c r="F567" t="s">
        <v>42</v>
      </c>
      <c r="G567" t="s">
        <v>5</v>
      </c>
    </row>
    <row r="568" spans="1:7" x14ac:dyDescent="0.3">
      <c r="A568" t="s">
        <v>15</v>
      </c>
      <c r="B568" s="1">
        <v>45900</v>
      </c>
      <c r="C568">
        <v>310034</v>
      </c>
      <c r="D568">
        <v>3.9E-2</v>
      </c>
      <c r="E568" t="s">
        <v>4</v>
      </c>
      <c r="F568" t="s">
        <v>42</v>
      </c>
      <c r="G568" t="s">
        <v>5</v>
      </c>
    </row>
    <row r="569" spans="1:7" x14ac:dyDescent="0.3">
      <c r="A569" t="s">
        <v>15</v>
      </c>
      <c r="B569" s="1">
        <v>45900</v>
      </c>
      <c r="C569">
        <v>310036</v>
      </c>
      <c r="D569">
        <v>40145.775000000001</v>
      </c>
      <c r="E569" t="s">
        <v>4</v>
      </c>
      <c r="F569" t="s">
        <v>42</v>
      </c>
      <c r="G569" t="s">
        <v>5</v>
      </c>
    </row>
    <row r="570" spans="1:7" x14ac:dyDescent="0.3">
      <c r="A570" t="s">
        <v>15</v>
      </c>
      <c r="B570" s="1">
        <v>45900</v>
      </c>
      <c r="C570">
        <v>315003</v>
      </c>
      <c r="D570">
        <v>-8.9999999999999993E-3</v>
      </c>
      <c r="E570" t="s">
        <v>4</v>
      </c>
      <c r="F570" t="s">
        <v>47</v>
      </c>
      <c r="G570" t="s">
        <v>5</v>
      </c>
    </row>
    <row r="571" spans="1:7" x14ac:dyDescent="0.3">
      <c r="A571" t="s">
        <v>15</v>
      </c>
      <c r="B571" s="1">
        <v>45900</v>
      </c>
      <c r="C571">
        <v>315004</v>
      </c>
      <c r="D571">
        <v>679531.73499999999</v>
      </c>
      <c r="E571" t="s">
        <v>4</v>
      </c>
      <c r="F571" t="s">
        <v>47</v>
      </c>
      <c r="G571" t="s">
        <v>5</v>
      </c>
    </row>
    <row r="572" spans="1:7" x14ac:dyDescent="0.3">
      <c r="A572" t="s">
        <v>15</v>
      </c>
      <c r="B572" s="1">
        <v>45900</v>
      </c>
      <c r="C572">
        <v>315010</v>
      </c>
      <c r="D572">
        <v>5258159.7850000001</v>
      </c>
      <c r="E572" t="s">
        <v>4</v>
      </c>
      <c r="F572" t="s">
        <v>47</v>
      </c>
      <c r="G572" t="s">
        <v>5</v>
      </c>
    </row>
    <row r="573" spans="1:7" x14ac:dyDescent="0.3">
      <c r="A573" t="s">
        <v>15</v>
      </c>
      <c r="B573" s="1">
        <v>45900</v>
      </c>
      <c r="C573">
        <v>315011</v>
      </c>
      <c r="D573">
        <v>1056456.176</v>
      </c>
      <c r="E573" t="s">
        <v>4</v>
      </c>
      <c r="F573" t="s">
        <v>47</v>
      </c>
      <c r="G573" t="s">
        <v>5</v>
      </c>
    </row>
    <row r="574" spans="1:7" x14ac:dyDescent="0.3">
      <c r="A574" t="s">
        <v>15</v>
      </c>
      <c r="B574" s="1">
        <v>45900</v>
      </c>
      <c r="C574">
        <v>315012</v>
      </c>
      <c r="D574">
        <v>1074131.706</v>
      </c>
      <c r="E574" t="s">
        <v>4</v>
      </c>
      <c r="F574" t="s">
        <v>47</v>
      </c>
      <c r="G574" t="s">
        <v>5</v>
      </c>
    </row>
    <row r="575" spans="1:7" x14ac:dyDescent="0.3">
      <c r="A575" t="s">
        <v>15</v>
      </c>
      <c r="B575" s="1">
        <v>45900</v>
      </c>
      <c r="C575">
        <v>315017</v>
      </c>
      <c r="D575">
        <v>61996.9</v>
      </c>
      <c r="E575" t="s">
        <v>4</v>
      </c>
      <c r="F575" t="s">
        <v>47</v>
      </c>
      <c r="G575" t="s">
        <v>5</v>
      </c>
    </row>
    <row r="576" spans="1:7" x14ac:dyDescent="0.3">
      <c r="A576" t="s">
        <v>15</v>
      </c>
      <c r="B576" s="1">
        <v>45900</v>
      </c>
      <c r="C576">
        <v>315018</v>
      </c>
      <c r="D576">
        <v>824047.71299999999</v>
      </c>
      <c r="E576" t="s">
        <v>4</v>
      </c>
      <c r="F576" t="s">
        <v>47</v>
      </c>
      <c r="G576" t="s">
        <v>5</v>
      </c>
    </row>
    <row r="577" spans="1:7" x14ac:dyDescent="0.3">
      <c r="A577" t="s">
        <v>15</v>
      </c>
      <c r="B577" s="1">
        <v>45900</v>
      </c>
      <c r="C577">
        <v>316002</v>
      </c>
      <c r="D577">
        <v>155259.005</v>
      </c>
      <c r="E577" t="s">
        <v>4</v>
      </c>
      <c r="F577" t="s">
        <v>47</v>
      </c>
      <c r="G577" t="s">
        <v>5</v>
      </c>
    </row>
    <row r="578" spans="1:7" x14ac:dyDescent="0.3">
      <c r="A578" t="s">
        <v>15</v>
      </c>
      <c r="B578" s="1">
        <v>45900</v>
      </c>
      <c r="C578">
        <v>316003</v>
      </c>
      <c r="D578">
        <v>308953.74800000002</v>
      </c>
      <c r="E578" t="s">
        <v>4</v>
      </c>
      <c r="F578" t="s">
        <v>47</v>
      </c>
      <c r="G578" t="s">
        <v>5</v>
      </c>
    </row>
    <row r="579" spans="1:7" x14ac:dyDescent="0.3">
      <c r="A579" t="s">
        <v>15</v>
      </c>
      <c r="B579" s="1">
        <v>45900</v>
      </c>
      <c r="C579">
        <v>316004</v>
      </c>
      <c r="D579">
        <v>155000.155</v>
      </c>
      <c r="E579" t="s">
        <v>4</v>
      </c>
      <c r="F579" t="s">
        <v>47</v>
      </c>
      <c r="G579" t="s">
        <v>5</v>
      </c>
    </row>
    <row r="580" spans="1:7" x14ac:dyDescent="0.3">
      <c r="A580" t="s">
        <v>15</v>
      </c>
      <c r="B580" s="1">
        <v>45900</v>
      </c>
      <c r="C580">
        <v>316005</v>
      </c>
      <c r="D580">
        <v>312774.511</v>
      </c>
      <c r="E580" t="s">
        <v>4</v>
      </c>
      <c r="F580" t="s">
        <v>47</v>
      </c>
      <c r="G580" t="s">
        <v>5</v>
      </c>
    </row>
    <row r="581" spans="1:7" x14ac:dyDescent="0.3">
      <c r="A581" t="s">
        <v>15</v>
      </c>
      <c r="B581" s="1">
        <v>45900</v>
      </c>
      <c r="C581">
        <v>320002</v>
      </c>
      <c r="D581">
        <v>110528.132</v>
      </c>
      <c r="E581" t="s">
        <v>4</v>
      </c>
      <c r="F581" t="s">
        <v>46</v>
      </c>
      <c r="G581" t="s">
        <v>5</v>
      </c>
    </row>
    <row r="582" spans="1:7" x14ac:dyDescent="0.3">
      <c r="A582" t="s">
        <v>15</v>
      </c>
      <c r="B582" s="1">
        <v>45900</v>
      </c>
      <c r="C582">
        <v>320003</v>
      </c>
      <c r="D582">
        <v>1201295.152</v>
      </c>
      <c r="E582" t="s">
        <v>4</v>
      </c>
      <c r="F582" t="s">
        <v>46</v>
      </c>
      <c r="G582" t="s">
        <v>5</v>
      </c>
    </row>
    <row r="583" spans="1:7" x14ac:dyDescent="0.3">
      <c r="A583" t="s">
        <v>15</v>
      </c>
      <c r="B583" s="1">
        <v>45900</v>
      </c>
      <c r="C583">
        <v>320004</v>
      </c>
      <c r="D583">
        <v>1099.08</v>
      </c>
      <c r="E583" t="s">
        <v>4</v>
      </c>
      <c r="F583" t="s">
        <v>46</v>
      </c>
      <c r="G583" t="s">
        <v>5</v>
      </c>
    </row>
    <row r="584" spans="1:7" x14ac:dyDescent="0.3">
      <c r="A584" t="s">
        <v>15</v>
      </c>
      <c r="B584" s="1">
        <v>45900</v>
      </c>
      <c r="C584">
        <v>320006</v>
      </c>
      <c r="D584">
        <v>-317.91300000000001</v>
      </c>
      <c r="E584" t="s">
        <v>4</v>
      </c>
      <c r="F584" t="s">
        <v>46</v>
      </c>
      <c r="G584" t="s">
        <v>5</v>
      </c>
    </row>
    <row r="585" spans="1:7" x14ac:dyDescent="0.3">
      <c r="A585" t="s">
        <v>15</v>
      </c>
      <c r="B585" s="1">
        <v>45900</v>
      </c>
      <c r="C585">
        <v>320008</v>
      </c>
      <c r="D585">
        <v>-354.45400000000001</v>
      </c>
      <c r="E585" t="s">
        <v>4</v>
      </c>
      <c r="F585" t="s">
        <v>46</v>
      </c>
      <c r="G585" t="s">
        <v>5</v>
      </c>
    </row>
    <row r="586" spans="1:7" x14ac:dyDescent="0.3">
      <c r="A586" t="s">
        <v>15</v>
      </c>
      <c r="B586" s="1">
        <v>45900</v>
      </c>
      <c r="C586">
        <v>320010</v>
      </c>
      <c r="D586">
        <v>-83584.051000000007</v>
      </c>
      <c r="E586" t="s">
        <v>4</v>
      </c>
      <c r="F586" t="s">
        <v>46</v>
      </c>
      <c r="G586" t="s">
        <v>5</v>
      </c>
    </row>
    <row r="587" spans="1:7" x14ac:dyDescent="0.3">
      <c r="A587" t="s">
        <v>15</v>
      </c>
      <c r="B587" s="1">
        <v>45900</v>
      </c>
      <c r="C587">
        <v>320013</v>
      </c>
      <c r="D587">
        <v>-36815.127</v>
      </c>
      <c r="E587" t="s">
        <v>4</v>
      </c>
      <c r="F587" t="s">
        <v>46</v>
      </c>
      <c r="G587" t="s">
        <v>5</v>
      </c>
    </row>
    <row r="588" spans="1:7" x14ac:dyDescent="0.3">
      <c r="A588" t="s">
        <v>15</v>
      </c>
      <c r="B588" s="1">
        <v>45900</v>
      </c>
      <c r="C588">
        <v>320016</v>
      </c>
      <c r="D588">
        <v>-25268.185000000001</v>
      </c>
      <c r="E588" t="s">
        <v>4</v>
      </c>
      <c r="F588" t="s">
        <v>46</v>
      </c>
      <c r="G588" t="s">
        <v>5</v>
      </c>
    </row>
    <row r="589" spans="1:7" x14ac:dyDescent="0.3">
      <c r="A589" t="s">
        <v>15</v>
      </c>
      <c r="B589" s="1">
        <v>45900</v>
      </c>
      <c r="C589">
        <v>320017</v>
      </c>
      <c r="D589">
        <v>1595.732</v>
      </c>
      <c r="E589" t="s">
        <v>4</v>
      </c>
      <c r="F589" t="s">
        <v>46</v>
      </c>
      <c r="G589" t="s">
        <v>5</v>
      </c>
    </row>
    <row r="590" spans="1:7" x14ac:dyDescent="0.3">
      <c r="A590" t="s">
        <v>15</v>
      </c>
      <c r="B590" s="1">
        <v>45900</v>
      </c>
      <c r="C590">
        <v>320018</v>
      </c>
      <c r="D590">
        <v>-1202.1410000000001</v>
      </c>
      <c r="E590" t="s">
        <v>4</v>
      </c>
      <c r="F590" t="s">
        <v>46</v>
      </c>
      <c r="G590" t="s">
        <v>5</v>
      </c>
    </row>
    <row r="591" spans="1:7" x14ac:dyDescent="0.3">
      <c r="A591" t="s">
        <v>15</v>
      </c>
      <c r="B591" s="1">
        <v>45900</v>
      </c>
      <c r="C591">
        <v>320019</v>
      </c>
      <c r="D591">
        <v>-21.411999999999999</v>
      </c>
      <c r="E591" t="s">
        <v>4</v>
      </c>
      <c r="F591" t="s">
        <v>46</v>
      </c>
      <c r="G591" t="s">
        <v>5</v>
      </c>
    </row>
    <row r="592" spans="1:7" x14ac:dyDescent="0.3">
      <c r="A592" t="s">
        <v>15</v>
      </c>
      <c r="B592" s="1">
        <v>45900</v>
      </c>
      <c r="C592">
        <v>320020</v>
      </c>
      <c r="D592">
        <v>-2407.0300000000002</v>
      </c>
      <c r="E592" t="s">
        <v>4</v>
      </c>
      <c r="F592" t="s">
        <v>46</v>
      </c>
      <c r="G592" t="s">
        <v>5</v>
      </c>
    </row>
    <row r="593" spans="1:7" x14ac:dyDescent="0.3">
      <c r="A593" t="s">
        <v>15</v>
      </c>
      <c r="B593" s="1">
        <v>45900</v>
      </c>
      <c r="C593">
        <v>320023</v>
      </c>
      <c r="D593">
        <v>-164990.63099999999</v>
      </c>
      <c r="E593" t="s">
        <v>4</v>
      </c>
      <c r="F593" t="s">
        <v>46</v>
      </c>
      <c r="G593" t="s">
        <v>5</v>
      </c>
    </row>
    <row r="594" spans="1:7" x14ac:dyDescent="0.3">
      <c r="A594" t="s">
        <v>15</v>
      </c>
      <c r="B594" s="1">
        <v>45900</v>
      </c>
      <c r="C594">
        <v>320024</v>
      </c>
      <c r="D594">
        <v>21097.098999999998</v>
      </c>
      <c r="E594" t="s">
        <v>4</v>
      </c>
      <c r="F594" t="s">
        <v>46</v>
      </c>
      <c r="G594" t="s">
        <v>5</v>
      </c>
    </row>
    <row r="595" spans="1:7" x14ac:dyDescent="0.3">
      <c r="A595" t="s">
        <v>15</v>
      </c>
      <c r="B595" s="1">
        <v>45900</v>
      </c>
      <c r="C595">
        <v>320025</v>
      </c>
      <c r="D595">
        <v>-18609.073</v>
      </c>
      <c r="E595" t="s">
        <v>4</v>
      </c>
      <c r="F595" t="s">
        <v>46</v>
      </c>
      <c r="G595" t="s">
        <v>5</v>
      </c>
    </row>
    <row r="596" spans="1:7" x14ac:dyDescent="0.3">
      <c r="A596" t="s">
        <v>15</v>
      </c>
      <c r="B596" s="1">
        <v>45900</v>
      </c>
      <c r="C596">
        <v>321002</v>
      </c>
      <c r="D596">
        <v>1832778.642</v>
      </c>
      <c r="E596" t="s">
        <v>4</v>
      </c>
      <c r="F596" t="s">
        <v>46</v>
      </c>
      <c r="G596" t="s">
        <v>5</v>
      </c>
    </row>
    <row r="597" spans="1:7" x14ac:dyDescent="0.3">
      <c r="A597" t="s">
        <v>15</v>
      </c>
      <c r="B597" s="1">
        <v>45900</v>
      </c>
      <c r="C597">
        <v>321004</v>
      </c>
      <c r="D597">
        <v>24939.874</v>
      </c>
      <c r="E597" t="s">
        <v>4</v>
      </c>
      <c r="F597" t="s">
        <v>46</v>
      </c>
      <c r="G597" t="s">
        <v>5</v>
      </c>
    </row>
    <row r="598" spans="1:7" x14ac:dyDescent="0.3">
      <c r="A598" t="s">
        <v>15</v>
      </c>
      <c r="B598" s="1">
        <v>45900</v>
      </c>
      <c r="C598">
        <v>321010</v>
      </c>
      <c r="D598">
        <v>-117861.011</v>
      </c>
      <c r="E598" t="s">
        <v>4</v>
      </c>
      <c r="F598" t="s">
        <v>46</v>
      </c>
      <c r="G598" t="s">
        <v>5</v>
      </c>
    </row>
    <row r="599" spans="1:7" x14ac:dyDescent="0.3">
      <c r="A599" t="s">
        <v>15</v>
      </c>
      <c r="B599" s="1">
        <v>45900</v>
      </c>
      <c r="C599">
        <v>321012</v>
      </c>
      <c r="D599">
        <v>145952.68100000001</v>
      </c>
      <c r="E599" t="s">
        <v>4</v>
      </c>
      <c r="F599" t="s">
        <v>46</v>
      </c>
      <c r="G599" t="s">
        <v>5</v>
      </c>
    </row>
    <row r="600" spans="1:7" x14ac:dyDescent="0.3">
      <c r="A600" t="s">
        <v>15</v>
      </c>
      <c r="B600" s="1">
        <v>45900</v>
      </c>
      <c r="C600">
        <v>321013</v>
      </c>
      <c r="D600">
        <v>622577.054</v>
      </c>
      <c r="E600" t="s">
        <v>4</v>
      </c>
      <c r="F600" t="s">
        <v>46</v>
      </c>
      <c r="G600" t="s">
        <v>5</v>
      </c>
    </row>
    <row r="601" spans="1:7" x14ac:dyDescent="0.3">
      <c r="A601" t="s">
        <v>15</v>
      </c>
      <c r="B601" s="1">
        <v>45900</v>
      </c>
      <c r="C601">
        <v>321014</v>
      </c>
      <c r="D601">
        <v>78828.006999999998</v>
      </c>
      <c r="E601" t="s">
        <v>4</v>
      </c>
      <c r="F601" t="s">
        <v>46</v>
      </c>
      <c r="G601" t="s">
        <v>5</v>
      </c>
    </row>
    <row r="602" spans="1:7" x14ac:dyDescent="0.3">
      <c r="A602" t="s">
        <v>15</v>
      </c>
      <c r="B602" s="1">
        <v>45900</v>
      </c>
      <c r="C602">
        <v>321017</v>
      </c>
      <c r="D602">
        <v>-6405.8029999999999</v>
      </c>
      <c r="E602" t="s">
        <v>4</v>
      </c>
      <c r="F602" t="s">
        <v>46</v>
      </c>
      <c r="G602" t="s">
        <v>5</v>
      </c>
    </row>
    <row r="603" spans="1:7" x14ac:dyDescent="0.3">
      <c r="A603" t="s">
        <v>15</v>
      </c>
      <c r="B603" s="1">
        <v>45900</v>
      </c>
      <c r="C603">
        <v>321018</v>
      </c>
      <c r="D603">
        <v>12424.205</v>
      </c>
      <c r="E603" t="s">
        <v>4</v>
      </c>
      <c r="F603" t="s">
        <v>46</v>
      </c>
      <c r="G603" t="s">
        <v>5</v>
      </c>
    </row>
    <row r="604" spans="1:7" x14ac:dyDescent="0.3">
      <c r="A604" t="s">
        <v>15</v>
      </c>
      <c r="B604" s="1">
        <v>45900</v>
      </c>
      <c r="C604">
        <v>321021</v>
      </c>
      <c r="D604">
        <v>341478.82400000002</v>
      </c>
      <c r="E604" t="s">
        <v>4</v>
      </c>
      <c r="F604" t="s">
        <v>46</v>
      </c>
      <c r="G604" t="s">
        <v>5</v>
      </c>
    </row>
    <row r="605" spans="1:7" x14ac:dyDescent="0.3">
      <c r="A605" t="s">
        <v>15</v>
      </c>
      <c r="B605" s="1">
        <v>45900</v>
      </c>
      <c r="C605">
        <v>321025</v>
      </c>
      <c r="D605">
        <v>652425.36800000002</v>
      </c>
      <c r="E605" t="s">
        <v>4</v>
      </c>
      <c r="F605" t="s">
        <v>46</v>
      </c>
      <c r="G605" t="s">
        <v>5</v>
      </c>
    </row>
    <row r="606" spans="1:7" x14ac:dyDescent="0.3">
      <c r="A606" t="s">
        <v>15</v>
      </c>
      <c r="B606" s="1">
        <v>45900</v>
      </c>
      <c r="C606">
        <v>321027</v>
      </c>
      <c r="D606">
        <v>39498.055999999997</v>
      </c>
      <c r="E606" t="s">
        <v>4</v>
      </c>
      <c r="F606" t="s">
        <v>46</v>
      </c>
      <c r="G606" t="s">
        <v>5</v>
      </c>
    </row>
    <row r="607" spans="1:7" x14ac:dyDescent="0.3">
      <c r="A607" t="s">
        <v>15</v>
      </c>
      <c r="B607" s="1">
        <v>45900</v>
      </c>
      <c r="C607">
        <v>321028</v>
      </c>
      <c r="D607">
        <v>91858.798999999999</v>
      </c>
      <c r="E607" t="s">
        <v>4</v>
      </c>
      <c r="F607" t="s">
        <v>46</v>
      </c>
      <c r="G607" t="s">
        <v>5</v>
      </c>
    </row>
    <row r="608" spans="1:7" x14ac:dyDescent="0.3">
      <c r="A608" t="s">
        <v>15</v>
      </c>
      <c r="B608" s="1">
        <v>45900</v>
      </c>
      <c r="C608">
        <v>321029</v>
      </c>
      <c r="D608">
        <v>-1454477.405</v>
      </c>
      <c r="E608" t="s">
        <v>4</v>
      </c>
      <c r="F608" t="s">
        <v>46</v>
      </c>
      <c r="G608" t="s">
        <v>5</v>
      </c>
    </row>
    <row r="609" spans="1:7" x14ac:dyDescent="0.3">
      <c r="A609" t="s">
        <v>15</v>
      </c>
      <c r="B609" s="1">
        <v>45900</v>
      </c>
      <c r="C609">
        <v>321030</v>
      </c>
      <c r="D609">
        <v>122671.25599999999</v>
      </c>
      <c r="E609" t="s">
        <v>4</v>
      </c>
      <c r="F609" t="s">
        <v>46</v>
      </c>
      <c r="G609" t="s">
        <v>5</v>
      </c>
    </row>
    <row r="610" spans="1:7" x14ac:dyDescent="0.3">
      <c r="A610" t="s">
        <v>15</v>
      </c>
      <c r="B610" s="1">
        <v>45900</v>
      </c>
      <c r="C610">
        <v>321031</v>
      </c>
      <c r="D610">
        <v>234296.25200000001</v>
      </c>
      <c r="E610" t="s">
        <v>4</v>
      </c>
      <c r="F610" t="s">
        <v>46</v>
      </c>
      <c r="G610" t="s">
        <v>5</v>
      </c>
    </row>
    <row r="611" spans="1:7" x14ac:dyDescent="0.3">
      <c r="A611" t="s">
        <v>15</v>
      </c>
      <c r="B611" s="1">
        <v>45900</v>
      </c>
      <c r="C611">
        <v>321038</v>
      </c>
      <c r="D611">
        <v>746.54700000000003</v>
      </c>
      <c r="E611" t="s">
        <v>4</v>
      </c>
      <c r="F611" t="s">
        <v>46</v>
      </c>
      <c r="G611" t="s">
        <v>5</v>
      </c>
    </row>
    <row r="612" spans="1:7" x14ac:dyDescent="0.3">
      <c r="A612" t="s">
        <v>15</v>
      </c>
      <c r="B612" s="1">
        <v>45900</v>
      </c>
      <c r="C612">
        <v>321041</v>
      </c>
      <c r="D612">
        <v>25273.538</v>
      </c>
      <c r="E612" t="s">
        <v>4</v>
      </c>
      <c r="F612" t="s">
        <v>46</v>
      </c>
      <c r="G612" t="s">
        <v>5</v>
      </c>
    </row>
    <row r="613" spans="1:7" x14ac:dyDescent="0.3">
      <c r="A613" t="s">
        <v>15</v>
      </c>
      <c r="B613" s="1">
        <v>45900</v>
      </c>
      <c r="C613">
        <v>321042</v>
      </c>
      <c r="D613">
        <v>-29363.823</v>
      </c>
      <c r="E613" t="s">
        <v>4</v>
      </c>
      <c r="F613" t="s">
        <v>46</v>
      </c>
      <c r="G613" t="s">
        <v>5</v>
      </c>
    </row>
    <row r="614" spans="1:7" x14ac:dyDescent="0.3">
      <c r="A614" t="s">
        <v>15</v>
      </c>
      <c r="B614" s="1">
        <v>45900</v>
      </c>
      <c r="C614">
        <v>321045</v>
      </c>
      <c r="D614">
        <v>22850.405999999999</v>
      </c>
      <c r="E614" t="s">
        <v>4</v>
      </c>
      <c r="F614" t="s">
        <v>46</v>
      </c>
      <c r="G614" t="s">
        <v>5</v>
      </c>
    </row>
    <row r="615" spans="1:7" x14ac:dyDescent="0.3">
      <c r="A615" t="s">
        <v>15</v>
      </c>
      <c r="B615" s="1">
        <v>45900</v>
      </c>
      <c r="C615">
        <v>330002</v>
      </c>
      <c r="D615">
        <v>23064.007000000001</v>
      </c>
      <c r="E615" t="s">
        <v>4</v>
      </c>
      <c r="F615" t="s">
        <v>43</v>
      </c>
      <c r="G615" t="s">
        <v>5</v>
      </c>
    </row>
    <row r="616" spans="1:7" x14ac:dyDescent="0.3">
      <c r="A616" t="s">
        <v>15</v>
      </c>
      <c r="B616" s="1">
        <v>45900</v>
      </c>
      <c r="C616">
        <v>330019</v>
      </c>
      <c r="D616">
        <v>-22239.883999999998</v>
      </c>
      <c r="E616" t="s">
        <v>4</v>
      </c>
      <c r="F616" t="s">
        <v>43</v>
      </c>
      <c r="G616" t="s">
        <v>5</v>
      </c>
    </row>
    <row r="617" spans="1:7" x14ac:dyDescent="0.3">
      <c r="A617" t="s">
        <v>15</v>
      </c>
      <c r="B617" s="1">
        <v>45900</v>
      </c>
      <c r="C617">
        <v>330020</v>
      </c>
      <c r="D617">
        <v>1477.365</v>
      </c>
      <c r="E617" t="s">
        <v>4</v>
      </c>
      <c r="F617" t="s">
        <v>43</v>
      </c>
      <c r="G617" t="s">
        <v>5</v>
      </c>
    </row>
    <row r="618" spans="1:7" x14ac:dyDescent="0.3">
      <c r="A618" t="s">
        <v>15</v>
      </c>
      <c r="B618" s="1">
        <v>45900</v>
      </c>
      <c r="C618">
        <v>330033</v>
      </c>
      <c r="D618">
        <v>32.433999999999997</v>
      </c>
      <c r="E618" t="s">
        <v>4</v>
      </c>
      <c r="F618" t="s">
        <v>43</v>
      </c>
      <c r="G618" t="s">
        <v>5</v>
      </c>
    </row>
    <row r="619" spans="1:7" x14ac:dyDescent="0.3">
      <c r="A619" t="s">
        <v>15</v>
      </c>
      <c r="B619" s="1">
        <v>45900</v>
      </c>
      <c r="C619">
        <v>330044</v>
      </c>
      <c r="D619">
        <v>-1980.625</v>
      </c>
      <c r="E619" t="s">
        <v>4</v>
      </c>
      <c r="F619" t="s">
        <v>43</v>
      </c>
      <c r="G619" t="s">
        <v>5</v>
      </c>
    </row>
    <row r="620" spans="1:7" x14ac:dyDescent="0.3">
      <c r="A620" t="s">
        <v>15</v>
      </c>
      <c r="B620" s="1">
        <v>45900</v>
      </c>
      <c r="C620">
        <v>330051</v>
      </c>
      <c r="D620">
        <v>7761.6440000000002</v>
      </c>
      <c r="E620" t="s">
        <v>4</v>
      </c>
      <c r="F620" t="s">
        <v>43</v>
      </c>
      <c r="G620" t="s">
        <v>5</v>
      </c>
    </row>
    <row r="621" spans="1:7" x14ac:dyDescent="0.3">
      <c r="A621" t="s">
        <v>15</v>
      </c>
      <c r="B621" s="1">
        <v>45900</v>
      </c>
      <c r="C621">
        <v>330052</v>
      </c>
      <c r="D621">
        <v>1094.5160000000001</v>
      </c>
      <c r="E621" t="s">
        <v>4</v>
      </c>
      <c r="F621" t="s">
        <v>43</v>
      </c>
      <c r="G621" t="s">
        <v>5</v>
      </c>
    </row>
    <row r="622" spans="1:7" x14ac:dyDescent="0.3">
      <c r="A622" t="s">
        <v>15</v>
      </c>
      <c r="B622" s="1">
        <v>45900</v>
      </c>
      <c r="C622">
        <v>330054</v>
      </c>
      <c r="D622">
        <v>1781.297</v>
      </c>
      <c r="E622" t="s">
        <v>4</v>
      </c>
      <c r="F622" t="s">
        <v>43</v>
      </c>
      <c r="G622" t="s">
        <v>5</v>
      </c>
    </row>
    <row r="623" spans="1:7" x14ac:dyDescent="0.3">
      <c r="A623" t="s">
        <v>15</v>
      </c>
      <c r="B623" s="1">
        <v>45900</v>
      </c>
      <c r="C623">
        <v>330055</v>
      </c>
      <c r="D623">
        <v>-134.07900000000001</v>
      </c>
      <c r="E623" t="s">
        <v>4</v>
      </c>
      <c r="F623" t="s">
        <v>43</v>
      </c>
      <c r="G623" t="s">
        <v>5</v>
      </c>
    </row>
    <row r="624" spans="1:7" x14ac:dyDescent="0.3">
      <c r="A624" t="s">
        <v>15</v>
      </c>
      <c r="B624" s="1">
        <v>45900</v>
      </c>
      <c r="C624">
        <v>330091</v>
      </c>
      <c r="D624">
        <v>13301.007</v>
      </c>
      <c r="E624" t="s">
        <v>4</v>
      </c>
      <c r="F624" t="s">
        <v>43</v>
      </c>
      <c r="G624" t="s">
        <v>5</v>
      </c>
    </row>
    <row r="625" spans="1:7" x14ac:dyDescent="0.3">
      <c r="A625" t="s">
        <v>15</v>
      </c>
      <c r="B625" s="1">
        <v>45900</v>
      </c>
      <c r="C625">
        <v>330097</v>
      </c>
      <c r="D625">
        <v>463.46</v>
      </c>
      <c r="E625" t="s">
        <v>4</v>
      </c>
      <c r="F625" t="s">
        <v>43</v>
      </c>
      <c r="G625" t="s">
        <v>5</v>
      </c>
    </row>
    <row r="626" spans="1:7" x14ac:dyDescent="0.3">
      <c r="A626" t="s">
        <v>15</v>
      </c>
      <c r="B626" s="1">
        <v>45900</v>
      </c>
      <c r="C626">
        <v>330107</v>
      </c>
      <c r="D626">
        <v>1003.056</v>
      </c>
      <c r="E626" t="s">
        <v>4</v>
      </c>
      <c r="F626" t="s">
        <v>43</v>
      </c>
      <c r="G626" t="s">
        <v>5</v>
      </c>
    </row>
    <row r="627" spans="1:7" x14ac:dyDescent="0.3">
      <c r="A627" t="s">
        <v>15</v>
      </c>
      <c r="B627" s="1">
        <v>45900</v>
      </c>
      <c r="C627">
        <v>330126</v>
      </c>
      <c r="D627">
        <v>4350.2749999999996</v>
      </c>
      <c r="E627" t="s">
        <v>4</v>
      </c>
      <c r="F627" t="s">
        <v>43</v>
      </c>
      <c r="G627" t="s">
        <v>5</v>
      </c>
    </row>
    <row r="628" spans="1:7" x14ac:dyDescent="0.3">
      <c r="A628" t="s">
        <v>15</v>
      </c>
      <c r="B628" s="1">
        <v>45900</v>
      </c>
      <c r="C628">
        <v>330129</v>
      </c>
      <c r="D628">
        <v>32122.753000000001</v>
      </c>
      <c r="E628" t="s">
        <v>4</v>
      </c>
      <c r="F628" t="s">
        <v>43</v>
      </c>
      <c r="G628" t="s">
        <v>5</v>
      </c>
    </row>
    <row r="629" spans="1:7" x14ac:dyDescent="0.3">
      <c r="A629" t="s">
        <v>15</v>
      </c>
      <c r="B629" s="1">
        <v>45900</v>
      </c>
      <c r="C629">
        <v>330130</v>
      </c>
      <c r="D629">
        <v>39785.582000000002</v>
      </c>
      <c r="E629" t="s">
        <v>4</v>
      </c>
      <c r="F629" t="s">
        <v>43</v>
      </c>
      <c r="G629" t="s">
        <v>5</v>
      </c>
    </row>
    <row r="630" spans="1:7" x14ac:dyDescent="0.3">
      <c r="A630" t="s">
        <v>15</v>
      </c>
      <c r="B630" s="1">
        <v>45900</v>
      </c>
      <c r="C630">
        <v>330131</v>
      </c>
      <c r="D630">
        <v>-44678.387000000002</v>
      </c>
      <c r="E630" t="s">
        <v>4</v>
      </c>
      <c r="F630" t="s">
        <v>43</v>
      </c>
      <c r="G630" t="s">
        <v>5</v>
      </c>
    </row>
    <row r="631" spans="1:7" x14ac:dyDescent="0.3">
      <c r="A631" t="s">
        <v>15</v>
      </c>
      <c r="B631" s="1">
        <v>45900</v>
      </c>
      <c r="C631">
        <v>330132</v>
      </c>
      <c r="D631">
        <v>9484.8449999999993</v>
      </c>
      <c r="E631" t="s">
        <v>4</v>
      </c>
      <c r="F631" t="s">
        <v>43</v>
      </c>
      <c r="G631" t="s">
        <v>5</v>
      </c>
    </row>
    <row r="632" spans="1:7" x14ac:dyDescent="0.3">
      <c r="A632" t="s">
        <v>15</v>
      </c>
      <c r="B632" s="1">
        <v>45900</v>
      </c>
      <c r="C632">
        <v>330137</v>
      </c>
      <c r="D632">
        <v>5342.5010000000002</v>
      </c>
      <c r="E632" t="s">
        <v>4</v>
      </c>
      <c r="F632" t="s">
        <v>43</v>
      </c>
      <c r="G632" t="s">
        <v>5</v>
      </c>
    </row>
    <row r="633" spans="1:7" x14ac:dyDescent="0.3">
      <c r="A633" t="s">
        <v>15</v>
      </c>
      <c r="B633" s="1">
        <v>45900</v>
      </c>
      <c r="C633">
        <v>340003</v>
      </c>
      <c r="D633">
        <v>27.684000000000001</v>
      </c>
      <c r="E633" t="s">
        <v>4</v>
      </c>
      <c r="F633" t="s">
        <v>47</v>
      </c>
      <c r="G633" t="s">
        <v>5</v>
      </c>
    </row>
    <row r="634" spans="1:7" x14ac:dyDescent="0.3">
      <c r="A634" t="s">
        <v>15</v>
      </c>
      <c r="B634" s="1">
        <v>45900</v>
      </c>
      <c r="C634">
        <v>340004</v>
      </c>
      <c r="D634">
        <v>3905.19</v>
      </c>
      <c r="E634" t="s">
        <v>4</v>
      </c>
      <c r="F634" t="s">
        <v>47</v>
      </c>
      <c r="G634" t="s">
        <v>5</v>
      </c>
    </row>
    <row r="635" spans="1:7" x14ac:dyDescent="0.3">
      <c r="A635" t="s">
        <v>15</v>
      </c>
      <c r="B635" s="1">
        <v>45900</v>
      </c>
      <c r="C635">
        <v>340006</v>
      </c>
      <c r="D635">
        <v>4189010.3870000001</v>
      </c>
      <c r="E635" t="s">
        <v>4</v>
      </c>
      <c r="F635" t="s">
        <v>47</v>
      </c>
      <c r="G635" t="s">
        <v>5</v>
      </c>
    </row>
    <row r="636" spans="1:7" x14ac:dyDescent="0.3">
      <c r="A636" t="s">
        <v>15</v>
      </c>
      <c r="B636" s="1">
        <v>45900</v>
      </c>
      <c r="C636">
        <v>340012</v>
      </c>
      <c r="D636">
        <v>909155.58700000006</v>
      </c>
      <c r="E636" t="s">
        <v>4</v>
      </c>
      <c r="F636" t="s">
        <v>47</v>
      </c>
      <c r="G636" t="s">
        <v>5</v>
      </c>
    </row>
    <row r="637" spans="1:7" x14ac:dyDescent="0.3">
      <c r="A637" t="s">
        <v>15</v>
      </c>
      <c r="B637" s="1">
        <v>45900</v>
      </c>
      <c r="C637">
        <v>340013</v>
      </c>
      <c r="D637">
        <v>106748094.00399999</v>
      </c>
      <c r="E637" t="s">
        <v>4</v>
      </c>
      <c r="F637" t="s">
        <v>47</v>
      </c>
      <c r="G637" t="s">
        <v>5</v>
      </c>
    </row>
    <row r="638" spans="1:7" x14ac:dyDescent="0.3">
      <c r="A638" t="s">
        <v>15</v>
      </c>
      <c r="B638" s="1">
        <v>45900</v>
      </c>
      <c r="C638">
        <v>340014</v>
      </c>
      <c r="D638">
        <v>-107645668.00399999</v>
      </c>
      <c r="E638" t="s">
        <v>4</v>
      </c>
      <c r="F638" t="s">
        <v>47</v>
      </c>
      <c r="G638" t="s">
        <v>5</v>
      </c>
    </row>
    <row r="639" spans="1:7" x14ac:dyDescent="0.3">
      <c r="A639" t="s">
        <v>15</v>
      </c>
      <c r="B639" s="1">
        <v>45900</v>
      </c>
      <c r="C639">
        <v>340022</v>
      </c>
      <c r="D639">
        <v>817727.701</v>
      </c>
      <c r="E639" t="s">
        <v>4</v>
      </c>
      <c r="F639" t="s">
        <v>47</v>
      </c>
      <c r="G639" t="s">
        <v>5</v>
      </c>
    </row>
    <row r="640" spans="1:7" x14ac:dyDescent="0.3">
      <c r="A640" t="s">
        <v>15</v>
      </c>
      <c r="B640" s="1">
        <v>45900</v>
      </c>
      <c r="C640">
        <v>340023</v>
      </c>
      <c r="D640">
        <v>33452.457000000002</v>
      </c>
      <c r="E640" t="s">
        <v>4</v>
      </c>
      <c r="F640" t="s">
        <v>47</v>
      </c>
      <c r="G640" t="s">
        <v>5</v>
      </c>
    </row>
    <row r="641" spans="1:7" x14ac:dyDescent="0.3">
      <c r="A641" t="s">
        <v>15</v>
      </c>
      <c r="B641" s="1">
        <v>45900</v>
      </c>
      <c r="C641">
        <v>340024</v>
      </c>
      <c r="D641">
        <v>-851180.15800000005</v>
      </c>
      <c r="E641" t="s">
        <v>4</v>
      </c>
      <c r="F641" t="s">
        <v>47</v>
      </c>
      <c r="G641" t="s">
        <v>5</v>
      </c>
    </row>
    <row r="642" spans="1:7" x14ac:dyDescent="0.3">
      <c r="A642" t="s">
        <v>15</v>
      </c>
      <c r="B642" s="1">
        <v>45900</v>
      </c>
      <c r="C642">
        <v>340029</v>
      </c>
      <c r="D642">
        <v>187.33699999999999</v>
      </c>
      <c r="E642" t="s">
        <v>4</v>
      </c>
      <c r="F642" t="s">
        <v>47</v>
      </c>
      <c r="G642" t="s">
        <v>5</v>
      </c>
    </row>
    <row r="643" spans="1:7" x14ac:dyDescent="0.3">
      <c r="A643" t="s">
        <v>15</v>
      </c>
      <c r="B643" s="1">
        <v>45900</v>
      </c>
      <c r="C643">
        <v>340033</v>
      </c>
      <c r="D643">
        <v>164.06</v>
      </c>
      <c r="E643" t="s">
        <v>4</v>
      </c>
      <c r="F643" t="s">
        <v>47</v>
      </c>
      <c r="G643" t="s">
        <v>5</v>
      </c>
    </row>
    <row r="644" spans="1:7" x14ac:dyDescent="0.3">
      <c r="A644" t="s">
        <v>15</v>
      </c>
      <c r="B644" s="1">
        <v>45900</v>
      </c>
      <c r="C644">
        <v>340038</v>
      </c>
      <c r="D644">
        <v>1757.0360000000001</v>
      </c>
      <c r="E644" t="s">
        <v>4</v>
      </c>
      <c r="F644" t="s">
        <v>47</v>
      </c>
      <c r="G644" t="s">
        <v>5</v>
      </c>
    </row>
    <row r="645" spans="1:7" x14ac:dyDescent="0.3">
      <c r="A645" t="s">
        <v>15</v>
      </c>
      <c r="B645" s="1">
        <v>45900</v>
      </c>
      <c r="C645">
        <v>340055</v>
      </c>
      <c r="D645">
        <v>63.481999999999999</v>
      </c>
      <c r="E645" t="s">
        <v>4</v>
      </c>
      <c r="F645" t="s">
        <v>47</v>
      </c>
      <c r="G645" t="s">
        <v>5</v>
      </c>
    </row>
    <row r="646" spans="1:7" x14ac:dyDescent="0.3">
      <c r="A646" t="s">
        <v>15</v>
      </c>
      <c r="B646" s="1">
        <v>45900</v>
      </c>
      <c r="C646">
        <v>340056</v>
      </c>
      <c r="D646">
        <v>1200.933</v>
      </c>
      <c r="E646" t="s">
        <v>4</v>
      </c>
      <c r="F646" t="s">
        <v>47</v>
      </c>
      <c r="G646" t="s">
        <v>5</v>
      </c>
    </row>
    <row r="647" spans="1:7" x14ac:dyDescent="0.3">
      <c r="A647" t="s">
        <v>15</v>
      </c>
      <c r="B647" s="1">
        <v>45900</v>
      </c>
      <c r="C647">
        <v>340058</v>
      </c>
      <c r="D647">
        <v>114170.952</v>
      </c>
      <c r="E647" t="s">
        <v>4</v>
      </c>
      <c r="F647" t="s">
        <v>47</v>
      </c>
      <c r="G647" t="s">
        <v>5</v>
      </c>
    </row>
    <row r="648" spans="1:7" x14ac:dyDescent="0.3">
      <c r="A648" t="s">
        <v>15</v>
      </c>
      <c r="B648" s="1">
        <v>45900</v>
      </c>
      <c r="C648">
        <v>340060</v>
      </c>
      <c r="D648">
        <v>1603.6379999999999</v>
      </c>
      <c r="E648" t="s">
        <v>4</v>
      </c>
      <c r="F648" t="s">
        <v>47</v>
      </c>
      <c r="G648" t="s">
        <v>5</v>
      </c>
    </row>
    <row r="649" spans="1:7" x14ac:dyDescent="0.3">
      <c r="A649" t="s">
        <v>15</v>
      </c>
      <c r="B649" s="1">
        <v>45900</v>
      </c>
      <c r="C649">
        <v>340070</v>
      </c>
      <c r="D649">
        <v>11997.505999999999</v>
      </c>
      <c r="E649" t="s">
        <v>4</v>
      </c>
      <c r="F649" t="s">
        <v>47</v>
      </c>
      <c r="G649" t="s">
        <v>5</v>
      </c>
    </row>
    <row r="650" spans="1:7" x14ac:dyDescent="0.3">
      <c r="A650" t="s">
        <v>15</v>
      </c>
      <c r="B650" s="1">
        <v>45900</v>
      </c>
      <c r="C650">
        <v>340076</v>
      </c>
      <c r="D650">
        <v>6.7000000000000004E-2</v>
      </c>
      <c r="E650" t="s">
        <v>4</v>
      </c>
      <c r="F650" t="s">
        <v>47</v>
      </c>
      <c r="G650" t="s">
        <v>5</v>
      </c>
    </row>
    <row r="651" spans="1:7" x14ac:dyDescent="0.3">
      <c r="A651" t="s">
        <v>15</v>
      </c>
      <c r="B651" s="1">
        <v>45900</v>
      </c>
      <c r="C651">
        <v>340089</v>
      </c>
      <c r="D651">
        <v>2.7919999999999998</v>
      </c>
      <c r="E651" t="s">
        <v>4</v>
      </c>
      <c r="F651" t="s">
        <v>47</v>
      </c>
      <c r="G651" t="s">
        <v>5</v>
      </c>
    </row>
    <row r="652" spans="1:7" x14ac:dyDescent="0.3">
      <c r="A652" t="s">
        <v>15</v>
      </c>
      <c r="B652" s="1">
        <v>45900</v>
      </c>
      <c r="C652">
        <v>340135</v>
      </c>
      <c r="D652">
        <v>9551452.2789999992</v>
      </c>
      <c r="E652" t="s">
        <v>4</v>
      </c>
      <c r="F652" t="s">
        <v>47</v>
      </c>
      <c r="G652" t="s">
        <v>5</v>
      </c>
    </row>
    <row r="653" spans="1:7" x14ac:dyDescent="0.3">
      <c r="A653" t="s">
        <v>15</v>
      </c>
      <c r="B653" s="1">
        <v>45900</v>
      </c>
      <c r="C653">
        <v>340136</v>
      </c>
      <c r="D653">
        <v>-9523480.0189999994</v>
      </c>
      <c r="E653" t="s">
        <v>4</v>
      </c>
      <c r="F653" t="s">
        <v>47</v>
      </c>
      <c r="G653" t="s">
        <v>5</v>
      </c>
    </row>
    <row r="654" spans="1:7" x14ac:dyDescent="0.3">
      <c r="A654" t="s">
        <v>15</v>
      </c>
      <c r="B654" s="1">
        <v>45900</v>
      </c>
      <c r="C654">
        <v>340138</v>
      </c>
      <c r="D654">
        <v>-4838052.1069999998</v>
      </c>
      <c r="E654" t="s">
        <v>4</v>
      </c>
      <c r="F654" t="s">
        <v>47</v>
      </c>
      <c r="G654" t="s">
        <v>5</v>
      </c>
    </row>
    <row r="655" spans="1:7" x14ac:dyDescent="0.3">
      <c r="A655" t="s">
        <v>15</v>
      </c>
      <c r="B655" s="1">
        <v>45900</v>
      </c>
      <c r="C655">
        <v>340268</v>
      </c>
      <c r="D655">
        <v>804431.52599999995</v>
      </c>
      <c r="E655" t="s">
        <v>4</v>
      </c>
      <c r="F655" t="s">
        <v>47</v>
      </c>
      <c r="G655" t="s">
        <v>5</v>
      </c>
    </row>
    <row r="656" spans="1:7" x14ac:dyDescent="0.3">
      <c r="A656" t="s">
        <v>15</v>
      </c>
      <c r="B656" s="1">
        <v>45900</v>
      </c>
      <c r="C656">
        <v>340269</v>
      </c>
      <c r="D656">
        <v>3316691.8089999999</v>
      </c>
      <c r="E656" t="s">
        <v>4</v>
      </c>
      <c r="F656" t="s">
        <v>47</v>
      </c>
      <c r="G656" t="s">
        <v>5</v>
      </c>
    </row>
    <row r="657" spans="1:7" x14ac:dyDescent="0.3">
      <c r="A657" t="s">
        <v>15</v>
      </c>
      <c r="B657" s="1">
        <v>45900</v>
      </c>
      <c r="C657">
        <v>340270</v>
      </c>
      <c r="D657">
        <v>-4115234.8620000002</v>
      </c>
      <c r="E657" t="s">
        <v>4</v>
      </c>
      <c r="F657" t="s">
        <v>47</v>
      </c>
      <c r="G657" t="s">
        <v>5</v>
      </c>
    </row>
    <row r="658" spans="1:7" x14ac:dyDescent="0.3">
      <c r="A658" t="s">
        <v>15</v>
      </c>
      <c r="B658" s="1">
        <v>45900</v>
      </c>
      <c r="C658">
        <v>340274</v>
      </c>
      <c r="D658">
        <v>304949.625</v>
      </c>
      <c r="E658" t="s">
        <v>4</v>
      </c>
      <c r="F658" t="s">
        <v>47</v>
      </c>
      <c r="G658" t="s">
        <v>5</v>
      </c>
    </row>
    <row r="659" spans="1:7" x14ac:dyDescent="0.3">
      <c r="A659" t="s">
        <v>15</v>
      </c>
      <c r="B659" s="1">
        <v>45900</v>
      </c>
      <c r="C659">
        <v>340275</v>
      </c>
      <c r="D659">
        <v>48009674.906999998</v>
      </c>
      <c r="E659" t="s">
        <v>4</v>
      </c>
      <c r="F659" t="s">
        <v>47</v>
      </c>
      <c r="G659" t="s">
        <v>5</v>
      </c>
    </row>
    <row r="660" spans="1:7" x14ac:dyDescent="0.3">
      <c r="A660" t="s">
        <v>15</v>
      </c>
      <c r="B660" s="1">
        <v>45900</v>
      </c>
      <c r="C660">
        <v>340276</v>
      </c>
      <c r="D660">
        <v>-48265164.755999997</v>
      </c>
      <c r="E660" t="s">
        <v>4</v>
      </c>
      <c r="F660" t="s">
        <v>47</v>
      </c>
      <c r="G660" t="s">
        <v>5</v>
      </c>
    </row>
    <row r="661" spans="1:7" x14ac:dyDescent="0.3">
      <c r="A661" t="s">
        <v>15</v>
      </c>
      <c r="B661" s="1">
        <v>45900</v>
      </c>
      <c r="C661">
        <v>340286</v>
      </c>
      <c r="D661">
        <v>910.04300000000001</v>
      </c>
      <c r="E661" t="s">
        <v>4</v>
      </c>
      <c r="F661" t="s">
        <v>47</v>
      </c>
      <c r="G661" t="s">
        <v>5</v>
      </c>
    </row>
    <row r="662" spans="1:7" x14ac:dyDescent="0.3">
      <c r="A662" t="s">
        <v>15</v>
      </c>
      <c r="B662" s="1">
        <v>45900</v>
      </c>
      <c r="C662">
        <v>340289</v>
      </c>
      <c r="D662">
        <v>630.50900000000001</v>
      </c>
      <c r="E662" t="s">
        <v>4</v>
      </c>
      <c r="F662" t="s">
        <v>47</v>
      </c>
      <c r="G662" t="s">
        <v>5</v>
      </c>
    </row>
    <row r="663" spans="1:7" x14ac:dyDescent="0.3">
      <c r="A663" t="s">
        <v>15</v>
      </c>
      <c r="B663" s="1">
        <v>45900</v>
      </c>
      <c r="C663">
        <v>340299</v>
      </c>
      <c r="D663">
        <v>8099835.358</v>
      </c>
      <c r="E663" t="s">
        <v>4</v>
      </c>
      <c r="F663" t="s">
        <v>47</v>
      </c>
      <c r="G663" t="s">
        <v>5</v>
      </c>
    </row>
    <row r="664" spans="1:7" x14ac:dyDescent="0.3">
      <c r="A664" t="s">
        <v>15</v>
      </c>
      <c r="B664" s="1">
        <v>45900</v>
      </c>
      <c r="C664">
        <v>340300</v>
      </c>
      <c r="D664">
        <v>-7439307.4330000002</v>
      </c>
      <c r="E664" t="s">
        <v>4</v>
      </c>
      <c r="F664" t="s">
        <v>47</v>
      </c>
      <c r="G664" t="s">
        <v>5</v>
      </c>
    </row>
    <row r="665" spans="1:7" x14ac:dyDescent="0.3">
      <c r="A665" t="s">
        <v>15</v>
      </c>
      <c r="B665" s="1">
        <v>45900</v>
      </c>
      <c r="C665">
        <v>340301</v>
      </c>
      <c r="D665">
        <v>165551.31200000001</v>
      </c>
      <c r="E665" t="s">
        <v>4</v>
      </c>
      <c r="F665" t="s">
        <v>47</v>
      </c>
      <c r="G665" t="s">
        <v>5</v>
      </c>
    </row>
    <row r="666" spans="1:7" x14ac:dyDescent="0.3">
      <c r="A666" t="s">
        <v>15</v>
      </c>
      <c r="B666" s="1">
        <v>45900</v>
      </c>
      <c r="C666">
        <v>340302</v>
      </c>
      <c r="D666">
        <v>-169007.71400000001</v>
      </c>
      <c r="E666" t="s">
        <v>4</v>
      </c>
      <c r="F666" t="s">
        <v>47</v>
      </c>
      <c r="G666" t="s">
        <v>5</v>
      </c>
    </row>
    <row r="667" spans="1:7" x14ac:dyDescent="0.3">
      <c r="A667" t="s">
        <v>15</v>
      </c>
      <c r="B667" s="1">
        <v>45900</v>
      </c>
      <c r="C667">
        <v>340303</v>
      </c>
      <c r="D667">
        <v>195385.52299999999</v>
      </c>
      <c r="E667" t="s">
        <v>4</v>
      </c>
      <c r="F667" t="s">
        <v>47</v>
      </c>
      <c r="G667" t="s">
        <v>5</v>
      </c>
    </row>
    <row r="668" spans="1:7" x14ac:dyDescent="0.3">
      <c r="A668" t="s">
        <v>15</v>
      </c>
      <c r="B668" s="1">
        <v>45900</v>
      </c>
      <c r="C668">
        <v>340304</v>
      </c>
      <c r="D668">
        <v>-201498.87299999999</v>
      </c>
      <c r="E668" t="s">
        <v>4</v>
      </c>
      <c r="F668" t="s">
        <v>47</v>
      </c>
      <c r="G668" t="s">
        <v>5</v>
      </c>
    </row>
    <row r="669" spans="1:7" x14ac:dyDescent="0.3">
      <c r="A669" t="s">
        <v>15</v>
      </c>
      <c r="B669" s="1">
        <v>45900</v>
      </c>
      <c r="C669">
        <v>340305</v>
      </c>
      <c r="D669">
        <v>65085.633000000002</v>
      </c>
      <c r="E669" t="s">
        <v>4</v>
      </c>
      <c r="F669" t="s">
        <v>47</v>
      </c>
      <c r="G669" t="s">
        <v>5</v>
      </c>
    </row>
    <row r="670" spans="1:7" x14ac:dyDescent="0.3">
      <c r="A670" t="s">
        <v>15</v>
      </c>
      <c r="B670" s="1">
        <v>45900</v>
      </c>
      <c r="C670">
        <v>340306</v>
      </c>
      <c r="D670">
        <v>-66689.27</v>
      </c>
      <c r="E670" t="s">
        <v>4</v>
      </c>
      <c r="F670" t="s">
        <v>47</v>
      </c>
      <c r="G670" t="s">
        <v>5</v>
      </c>
    </row>
    <row r="671" spans="1:7" x14ac:dyDescent="0.3">
      <c r="A671" t="s">
        <v>15</v>
      </c>
      <c r="B671" s="1">
        <v>45900</v>
      </c>
      <c r="C671">
        <v>340307</v>
      </c>
      <c r="D671">
        <v>1486985.368</v>
      </c>
      <c r="E671" t="s">
        <v>4</v>
      </c>
      <c r="F671" t="s">
        <v>47</v>
      </c>
      <c r="G671" t="s">
        <v>5</v>
      </c>
    </row>
    <row r="672" spans="1:7" x14ac:dyDescent="0.3">
      <c r="A672" t="s">
        <v>15</v>
      </c>
      <c r="B672" s="1">
        <v>45900</v>
      </c>
      <c r="C672">
        <v>340308</v>
      </c>
      <c r="D672">
        <v>-1572264.142</v>
      </c>
      <c r="E672" t="s">
        <v>4</v>
      </c>
      <c r="F672" t="s">
        <v>47</v>
      </c>
      <c r="G672" t="s">
        <v>5</v>
      </c>
    </row>
    <row r="673" spans="1:7" x14ac:dyDescent="0.3">
      <c r="A673" t="s">
        <v>15</v>
      </c>
      <c r="B673" s="1">
        <v>45900</v>
      </c>
      <c r="C673">
        <v>340309</v>
      </c>
      <c r="D673">
        <v>1.141</v>
      </c>
      <c r="E673" t="s">
        <v>4</v>
      </c>
      <c r="F673" t="s">
        <v>47</v>
      </c>
      <c r="G673" t="s">
        <v>5</v>
      </c>
    </row>
    <row r="674" spans="1:7" x14ac:dyDescent="0.3">
      <c r="A674" t="s">
        <v>15</v>
      </c>
      <c r="B674" s="1">
        <v>45900</v>
      </c>
      <c r="C674">
        <v>340310</v>
      </c>
      <c r="D674">
        <v>-22.326000000000001</v>
      </c>
      <c r="E674" t="s">
        <v>4</v>
      </c>
      <c r="F674" t="s">
        <v>47</v>
      </c>
      <c r="G674" t="s">
        <v>5</v>
      </c>
    </row>
    <row r="675" spans="1:7" x14ac:dyDescent="0.3">
      <c r="A675" t="s">
        <v>15</v>
      </c>
      <c r="B675" s="1">
        <v>45900</v>
      </c>
      <c r="C675">
        <v>340311</v>
      </c>
      <c r="D675">
        <v>2265942.7930000001</v>
      </c>
      <c r="E675" t="s">
        <v>4</v>
      </c>
      <c r="F675" t="s">
        <v>47</v>
      </c>
      <c r="G675" t="s">
        <v>5</v>
      </c>
    </row>
    <row r="676" spans="1:7" x14ac:dyDescent="0.3">
      <c r="A676" t="s">
        <v>15</v>
      </c>
      <c r="B676" s="1">
        <v>45900</v>
      </c>
      <c r="C676">
        <v>340312</v>
      </c>
      <c r="D676">
        <v>-2264697.2659999998</v>
      </c>
      <c r="E676" t="s">
        <v>4</v>
      </c>
      <c r="F676" t="s">
        <v>47</v>
      </c>
      <c r="G676" t="s">
        <v>5</v>
      </c>
    </row>
    <row r="677" spans="1:7" x14ac:dyDescent="0.3">
      <c r="A677" t="s">
        <v>15</v>
      </c>
      <c r="B677" s="1">
        <v>45900</v>
      </c>
      <c r="C677">
        <v>340321</v>
      </c>
      <c r="D677">
        <v>155</v>
      </c>
      <c r="E677" t="s">
        <v>4</v>
      </c>
      <c r="F677" t="s">
        <v>47</v>
      </c>
      <c r="G677" t="s">
        <v>5</v>
      </c>
    </row>
    <row r="678" spans="1:7" x14ac:dyDescent="0.3">
      <c r="A678" t="s">
        <v>15</v>
      </c>
      <c r="B678" s="1">
        <v>45900</v>
      </c>
      <c r="C678">
        <v>345004</v>
      </c>
      <c r="D678">
        <v>3420.7170000000001</v>
      </c>
      <c r="E678" t="s">
        <v>4</v>
      </c>
      <c r="F678" t="s">
        <v>47</v>
      </c>
      <c r="G678" t="s">
        <v>5</v>
      </c>
    </row>
    <row r="679" spans="1:7" x14ac:dyDescent="0.3">
      <c r="A679" t="s">
        <v>15</v>
      </c>
      <c r="B679" s="1">
        <v>45900</v>
      </c>
      <c r="C679">
        <v>345005</v>
      </c>
      <c r="D679">
        <v>113974.71</v>
      </c>
      <c r="E679" t="s">
        <v>4</v>
      </c>
      <c r="F679" t="s">
        <v>47</v>
      </c>
      <c r="G679" t="s">
        <v>5</v>
      </c>
    </row>
    <row r="680" spans="1:7" x14ac:dyDescent="0.3">
      <c r="A680" t="s">
        <v>15</v>
      </c>
      <c r="B680" s="1">
        <v>45900</v>
      </c>
      <c r="C680">
        <v>345006</v>
      </c>
      <c r="D680">
        <v>1786.3789999999999</v>
      </c>
      <c r="E680" t="s">
        <v>4</v>
      </c>
      <c r="F680" t="s">
        <v>47</v>
      </c>
      <c r="G680" t="s">
        <v>5</v>
      </c>
    </row>
    <row r="681" spans="1:7" x14ac:dyDescent="0.3">
      <c r="A681" t="s">
        <v>15</v>
      </c>
      <c r="B681" s="1">
        <v>45900</v>
      </c>
      <c r="C681">
        <v>345011</v>
      </c>
      <c r="D681">
        <v>2480</v>
      </c>
      <c r="E681" t="s">
        <v>4</v>
      </c>
      <c r="F681" t="s">
        <v>47</v>
      </c>
      <c r="G681" t="s">
        <v>5</v>
      </c>
    </row>
    <row r="682" spans="1:7" x14ac:dyDescent="0.3">
      <c r="A682" t="s">
        <v>15</v>
      </c>
      <c r="B682" s="1">
        <v>45900</v>
      </c>
      <c r="C682">
        <v>345016</v>
      </c>
      <c r="D682">
        <v>620000</v>
      </c>
      <c r="E682" t="s">
        <v>4</v>
      </c>
      <c r="F682" t="s">
        <v>47</v>
      </c>
      <c r="G682" t="s">
        <v>5</v>
      </c>
    </row>
    <row r="683" spans="1:7" x14ac:dyDescent="0.3">
      <c r="A683" t="s">
        <v>15</v>
      </c>
      <c r="B683" s="1">
        <v>45900</v>
      </c>
      <c r="C683">
        <v>345017</v>
      </c>
      <c r="D683">
        <v>775000</v>
      </c>
      <c r="E683" t="s">
        <v>4</v>
      </c>
      <c r="F683" t="s">
        <v>47</v>
      </c>
      <c r="G683" t="s">
        <v>5</v>
      </c>
    </row>
    <row r="684" spans="1:7" x14ac:dyDescent="0.3">
      <c r="A684" t="s">
        <v>15</v>
      </c>
      <c r="B684" s="1">
        <v>45900</v>
      </c>
      <c r="C684">
        <v>345018</v>
      </c>
      <c r="D684">
        <v>155000</v>
      </c>
      <c r="E684" t="s">
        <v>4</v>
      </c>
      <c r="F684" t="s">
        <v>47</v>
      </c>
      <c r="G684" t="s">
        <v>5</v>
      </c>
    </row>
    <row r="685" spans="1:7" x14ac:dyDescent="0.3">
      <c r="A685" t="s">
        <v>15</v>
      </c>
      <c r="B685" s="1">
        <v>45900</v>
      </c>
      <c r="C685">
        <v>345024</v>
      </c>
      <c r="D685">
        <v>837000</v>
      </c>
      <c r="E685" t="s">
        <v>4</v>
      </c>
      <c r="F685" t="s">
        <v>47</v>
      </c>
      <c r="G685" t="s">
        <v>5</v>
      </c>
    </row>
    <row r="686" spans="1:7" x14ac:dyDescent="0.3">
      <c r="A686" t="s">
        <v>15</v>
      </c>
      <c r="B686" s="1">
        <v>45900</v>
      </c>
      <c r="C686">
        <v>348007</v>
      </c>
      <c r="D686">
        <v>2747.308</v>
      </c>
      <c r="E686" t="s">
        <v>4</v>
      </c>
      <c r="F686" t="s">
        <v>47</v>
      </c>
      <c r="G686" t="s">
        <v>5</v>
      </c>
    </row>
    <row r="687" spans="1:7" x14ac:dyDescent="0.3">
      <c r="A687" t="s">
        <v>15</v>
      </c>
      <c r="B687" s="1">
        <v>45900</v>
      </c>
      <c r="C687">
        <v>348008</v>
      </c>
      <c r="D687">
        <v>1052.415</v>
      </c>
      <c r="E687" t="s">
        <v>4</v>
      </c>
      <c r="F687" t="s">
        <v>47</v>
      </c>
      <c r="G687" t="s">
        <v>5</v>
      </c>
    </row>
    <row r="688" spans="1:7" x14ac:dyDescent="0.3">
      <c r="A688" t="s">
        <v>15</v>
      </c>
      <c r="B688" s="1">
        <v>45900</v>
      </c>
      <c r="C688">
        <v>348009</v>
      </c>
      <c r="D688">
        <v>960.99099999999999</v>
      </c>
      <c r="E688" t="s">
        <v>4</v>
      </c>
      <c r="F688" t="s">
        <v>47</v>
      </c>
      <c r="G688" t="s">
        <v>5</v>
      </c>
    </row>
    <row r="689" spans="1:7" x14ac:dyDescent="0.3">
      <c r="A689" t="s">
        <v>15</v>
      </c>
      <c r="B689" s="1">
        <v>45900</v>
      </c>
      <c r="C689">
        <v>348010</v>
      </c>
      <c r="D689">
        <v>1831.722</v>
      </c>
      <c r="E689" t="s">
        <v>4</v>
      </c>
      <c r="F689" t="s">
        <v>47</v>
      </c>
      <c r="G689" t="s">
        <v>5</v>
      </c>
    </row>
    <row r="690" spans="1:7" x14ac:dyDescent="0.3">
      <c r="A690" t="s">
        <v>15</v>
      </c>
      <c r="B690" s="1">
        <v>45900</v>
      </c>
      <c r="C690">
        <v>348011</v>
      </c>
      <c r="D690">
        <v>1143.0150000000001</v>
      </c>
      <c r="E690" t="s">
        <v>4</v>
      </c>
      <c r="F690" t="s">
        <v>47</v>
      </c>
      <c r="G690" t="s">
        <v>5</v>
      </c>
    </row>
    <row r="691" spans="1:7" x14ac:dyDescent="0.3">
      <c r="A691" t="s">
        <v>15</v>
      </c>
      <c r="B691" s="1">
        <v>45900</v>
      </c>
      <c r="C691">
        <v>348014</v>
      </c>
      <c r="D691">
        <v>1016.847</v>
      </c>
      <c r="E691" t="s">
        <v>4</v>
      </c>
      <c r="F691" t="s">
        <v>47</v>
      </c>
      <c r="G691" t="s">
        <v>5</v>
      </c>
    </row>
    <row r="692" spans="1:7" x14ac:dyDescent="0.3">
      <c r="A692" t="s">
        <v>15</v>
      </c>
      <c r="B692" s="1">
        <v>45900</v>
      </c>
      <c r="C692">
        <v>348015</v>
      </c>
      <c r="D692">
        <v>597.12800000000004</v>
      </c>
      <c r="E692" t="s">
        <v>4</v>
      </c>
      <c r="F692" t="s">
        <v>47</v>
      </c>
      <c r="G692" t="s">
        <v>5</v>
      </c>
    </row>
    <row r="693" spans="1:7" x14ac:dyDescent="0.3">
      <c r="A693" t="s">
        <v>15</v>
      </c>
      <c r="B693" s="1">
        <v>45900</v>
      </c>
      <c r="C693">
        <v>348016</v>
      </c>
      <c r="D693">
        <v>570.61099999999999</v>
      </c>
      <c r="E693" t="s">
        <v>4</v>
      </c>
      <c r="F693" t="s">
        <v>47</v>
      </c>
      <c r="G693" t="s">
        <v>5</v>
      </c>
    </row>
    <row r="694" spans="1:7" x14ac:dyDescent="0.3">
      <c r="A694" t="s">
        <v>15</v>
      </c>
      <c r="B694" s="1">
        <v>45900</v>
      </c>
      <c r="C694">
        <v>348017</v>
      </c>
      <c r="D694">
        <v>570.08500000000004</v>
      </c>
      <c r="E694" t="s">
        <v>4</v>
      </c>
      <c r="F694" t="s">
        <v>47</v>
      </c>
      <c r="G694" t="s">
        <v>5</v>
      </c>
    </row>
    <row r="695" spans="1:7" x14ac:dyDescent="0.3">
      <c r="A695" t="s">
        <v>15</v>
      </c>
      <c r="B695" s="1">
        <v>45900</v>
      </c>
      <c r="C695">
        <v>348018</v>
      </c>
      <c r="D695">
        <v>1214.8710000000001</v>
      </c>
      <c r="E695" t="s">
        <v>4</v>
      </c>
      <c r="F695" t="s">
        <v>47</v>
      </c>
      <c r="G695" t="s">
        <v>5</v>
      </c>
    </row>
    <row r="696" spans="1:7" x14ac:dyDescent="0.3">
      <c r="A696" t="s">
        <v>15</v>
      </c>
      <c r="B696" s="1">
        <v>45900</v>
      </c>
      <c r="C696">
        <v>348019</v>
      </c>
      <c r="D696">
        <v>867.76499999999999</v>
      </c>
      <c r="E696" t="s">
        <v>4</v>
      </c>
      <c r="F696" t="s">
        <v>47</v>
      </c>
      <c r="G696" t="s">
        <v>5</v>
      </c>
    </row>
    <row r="697" spans="1:7" x14ac:dyDescent="0.3">
      <c r="A697" t="s">
        <v>15</v>
      </c>
      <c r="B697" s="1">
        <v>45900</v>
      </c>
      <c r="C697">
        <v>348020</v>
      </c>
      <c r="D697">
        <v>23250</v>
      </c>
      <c r="E697" t="s">
        <v>4</v>
      </c>
      <c r="F697" t="s">
        <v>47</v>
      </c>
      <c r="G697" t="s">
        <v>5</v>
      </c>
    </row>
    <row r="698" spans="1:7" x14ac:dyDescent="0.3">
      <c r="A698" t="s">
        <v>15</v>
      </c>
      <c r="B698" s="1">
        <v>45900</v>
      </c>
      <c r="C698">
        <v>348021</v>
      </c>
      <c r="D698">
        <v>1421.0309999999999</v>
      </c>
      <c r="E698" t="s">
        <v>4</v>
      </c>
      <c r="F698" t="s">
        <v>47</v>
      </c>
      <c r="G698" t="s">
        <v>5</v>
      </c>
    </row>
    <row r="699" spans="1:7" x14ac:dyDescent="0.3">
      <c r="A699" t="s">
        <v>15</v>
      </c>
      <c r="B699" s="1">
        <v>45900</v>
      </c>
      <c r="C699">
        <v>350002</v>
      </c>
      <c r="D699">
        <v>9788.0820000000003</v>
      </c>
      <c r="E699" t="s">
        <v>4</v>
      </c>
      <c r="F699" t="s">
        <v>49</v>
      </c>
      <c r="G699" t="s">
        <v>5</v>
      </c>
    </row>
    <row r="700" spans="1:7" x14ac:dyDescent="0.3">
      <c r="A700" t="s">
        <v>15</v>
      </c>
      <c r="B700" s="1">
        <v>45900</v>
      </c>
      <c r="C700">
        <v>350003</v>
      </c>
      <c r="D700">
        <v>37321.928</v>
      </c>
      <c r="E700" t="s">
        <v>4</v>
      </c>
      <c r="F700" t="s">
        <v>49</v>
      </c>
      <c r="G700" t="s">
        <v>5</v>
      </c>
    </row>
    <row r="701" spans="1:7" x14ac:dyDescent="0.3">
      <c r="A701" t="s">
        <v>15</v>
      </c>
      <c r="B701" s="1">
        <v>45900</v>
      </c>
      <c r="C701">
        <v>350006</v>
      </c>
      <c r="D701">
        <v>344415.03</v>
      </c>
      <c r="E701" t="s">
        <v>4</v>
      </c>
      <c r="F701" t="s">
        <v>43</v>
      </c>
      <c r="G701" t="s">
        <v>5</v>
      </c>
    </row>
    <row r="702" spans="1:7" x14ac:dyDescent="0.3">
      <c r="A702" t="s">
        <v>15</v>
      </c>
      <c r="B702" s="1">
        <v>45900</v>
      </c>
      <c r="C702">
        <v>350007</v>
      </c>
      <c r="D702">
        <v>16.917000000000002</v>
      </c>
      <c r="E702" t="s">
        <v>4</v>
      </c>
      <c r="F702" t="s">
        <v>49</v>
      </c>
      <c r="G702" t="s">
        <v>5</v>
      </c>
    </row>
    <row r="703" spans="1:7" x14ac:dyDescent="0.3">
      <c r="A703" t="s">
        <v>15</v>
      </c>
      <c r="B703" s="1">
        <v>45900</v>
      </c>
      <c r="C703">
        <v>350012</v>
      </c>
      <c r="D703">
        <v>-91856.911999999997</v>
      </c>
      <c r="E703" t="s">
        <v>4</v>
      </c>
      <c r="F703" t="s">
        <v>49</v>
      </c>
      <c r="G703" t="s">
        <v>5</v>
      </c>
    </row>
    <row r="704" spans="1:7" x14ac:dyDescent="0.3">
      <c r="A704" t="s">
        <v>15</v>
      </c>
      <c r="B704" s="1">
        <v>45900</v>
      </c>
      <c r="C704">
        <v>350031</v>
      </c>
      <c r="D704">
        <v>-35284.908000000003</v>
      </c>
      <c r="E704" t="s">
        <v>4</v>
      </c>
      <c r="F704" t="s">
        <v>43</v>
      </c>
      <c r="G704" t="s">
        <v>5</v>
      </c>
    </row>
    <row r="705" spans="1:7" x14ac:dyDescent="0.3">
      <c r="A705" t="s">
        <v>15</v>
      </c>
      <c r="B705" s="1">
        <v>45900</v>
      </c>
      <c r="C705">
        <v>350034</v>
      </c>
      <c r="D705">
        <v>10773.816999999999</v>
      </c>
      <c r="E705" t="s">
        <v>4</v>
      </c>
      <c r="F705" t="s">
        <v>49</v>
      </c>
      <c r="G705" t="s">
        <v>5</v>
      </c>
    </row>
    <row r="706" spans="1:7" x14ac:dyDescent="0.3">
      <c r="A706" t="s">
        <v>15</v>
      </c>
      <c r="B706" s="1">
        <v>45900</v>
      </c>
      <c r="C706">
        <v>350035</v>
      </c>
      <c r="D706">
        <v>90143.395000000004</v>
      </c>
      <c r="E706" t="s">
        <v>4</v>
      </c>
      <c r="F706" t="s">
        <v>49</v>
      </c>
      <c r="G706" t="s">
        <v>5</v>
      </c>
    </row>
    <row r="707" spans="1:7" x14ac:dyDescent="0.3">
      <c r="A707" t="s">
        <v>15</v>
      </c>
      <c r="B707" s="1">
        <v>45900</v>
      </c>
      <c r="C707">
        <v>352002</v>
      </c>
      <c r="D707">
        <v>280878.49400000001</v>
      </c>
      <c r="E707" t="s">
        <v>4</v>
      </c>
      <c r="F707" t="s">
        <v>48</v>
      </c>
      <c r="G707" t="s">
        <v>5</v>
      </c>
    </row>
    <row r="708" spans="1:7" x14ac:dyDescent="0.3">
      <c r="A708" t="s">
        <v>15</v>
      </c>
      <c r="B708" s="1">
        <v>45900</v>
      </c>
      <c r="C708">
        <v>352003</v>
      </c>
      <c r="D708">
        <v>14719.718999999999</v>
      </c>
      <c r="E708" t="s">
        <v>4</v>
      </c>
      <c r="F708" t="s">
        <v>48</v>
      </c>
      <c r="G708" t="s">
        <v>5</v>
      </c>
    </row>
    <row r="709" spans="1:7" x14ac:dyDescent="0.3">
      <c r="A709" t="s">
        <v>15</v>
      </c>
      <c r="B709" s="1">
        <v>45900</v>
      </c>
      <c r="C709">
        <v>352005</v>
      </c>
      <c r="D709">
        <v>-14228.74</v>
      </c>
      <c r="E709" t="s">
        <v>4</v>
      </c>
      <c r="F709" t="s">
        <v>48</v>
      </c>
      <c r="G709" t="s">
        <v>5</v>
      </c>
    </row>
    <row r="710" spans="1:7" x14ac:dyDescent="0.3">
      <c r="A710" t="s">
        <v>15</v>
      </c>
      <c r="B710" s="1">
        <v>45900</v>
      </c>
      <c r="C710">
        <v>352006</v>
      </c>
      <c r="D710">
        <v>-53528.800999999999</v>
      </c>
      <c r="E710" t="s">
        <v>4</v>
      </c>
      <c r="F710" t="s">
        <v>48</v>
      </c>
      <c r="G710" t="s">
        <v>5</v>
      </c>
    </row>
    <row r="711" spans="1:7" x14ac:dyDescent="0.3">
      <c r="A711" t="s">
        <v>15</v>
      </c>
      <c r="B711" s="1">
        <v>45900</v>
      </c>
      <c r="C711">
        <v>354008</v>
      </c>
      <c r="D711">
        <v>-38051.815999999999</v>
      </c>
      <c r="E711" t="s">
        <v>4</v>
      </c>
      <c r="F711" t="s">
        <v>46</v>
      </c>
      <c r="G711" t="s">
        <v>5</v>
      </c>
    </row>
    <row r="712" spans="1:7" x14ac:dyDescent="0.3">
      <c r="A712" t="s">
        <v>15</v>
      </c>
      <c r="B712" s="1">
        <v>45900</v>
      </c>
      <c r="C712">
        <v>354011</v>
      </c>
      <c r="D712">
        <v>-17898.967000000001</v>
      </c>
      <c r="E712" t="s">
        <v>4</v>
      </c>
      <c r="F712" t="s">
        <v>46</v>
      </c>
      <c r="G712" t="s">
        <v>5</v>
      </c>
    </row>
    <row r="713" spans="1:7" x14ac:dyDescent="0.3">
      <c r="A713" t="s">
        <v>15</v>
      </c>
      <c r="B713" s="1">
        <v>45900</v>
      </c>
      <c r="C713">
        <v>354012</v>
      </c>
      <c r="D713">
        <v>51142.055999999997</v>
      </c>
      <c r="E713" t="s">
        <v>4</v>
      </c>
      <c r="F713" t="s">
        <v>46</v>
      </c>
      <c r="G713" t="s">
        <v>5</v>
      </c>
    </row>
    <row r="714" spans="1:7" x14ac:dyDescent="0.3">
      <c r="A714" t="s">
        <v>15</v>
      </c>
      <c r="B714" s="1">
        <v>45900</v>
      </c>
      <c r="C714">
        <v>354013</v>
      </c>
      <c r="D714">
        <v>41314.673000000003</v>
      </c>
      <c r="E714" t="s">
        <v>4</v>
      </c>
      <c r="F714" t="s">
        <v>46</v>
      </c>
      <c r="G714" t="s">
        <v>5</v>
      </c>
    </row>
    <row r="715" spans="1:7" x14ac:dyDescent="0.3">
      <c r="A715" t="s">
        <v>15</v>
      </c>
      <c r="B715" s="1">
        <v>45900</v>
      </c>
      <c r="C715">
        <v>354014</v>
      </c>
      <c r="D715">
        <v>252321.63699999999</v>
      </c>
      <c r="E715" t="s">
        <v>4</v>
      </c>
      <c r="F715" t="s">
        <v>46</v>
      </c>
      <c r="G715" t="s">
        <v>5</v>
      </c>
    </row>
    <row r="716" spans="1:7" x14ac:dyDescent="0.3">
      <c r="A716" t="s">
        <v>15</v>
      </c>
      <c r="B716" s="1">
        <v>45900</v>
      </c>
      <c r="C716">
        <v>354015</v>
      </c>
      <c r="D716">
        <v>22541.937000000002</v>
      </c>
      <c r="E716" t="s">
        <v>4</v>
      </c>
      <c r="F716" t="s">
        <v>46</v>
      </c>
      <c r="G716" t="s">
        <v>5</v>
      </c>
    </row>
    <row r="717" spans="1:7" x14ac:dyDescent="0.3">
      <c r="A717" t="s">
        <v>15</v>
      </c>
      <c r="B717" s="1">
        <v>45900</v>
      </c>
      <c r="C717">
        <v>355002</v>
      </c>
      <c r="D717">
        <v>506661.69799999997</v>
      </c>
      <c r="E717" t="s">
        <v>4</v>
      </c>
      <c r="F717" t="s">
        <v>49</v>
      </c>
      <c r="G717" t="s">
        <v>5</v>
      </c>
    </row>
    <row r="718" spans="1:7" x14ac:dyDescent="0.3">
      <c r="A718" t="s">
        <v>15</v>
      </c>
      <c r="B718" s="1">
        <v>45900</v>
      </c>
      <c r="C718">
        <v>355009</v>
      </c>
      <c r="D718">
        <v>61327.358999999997</v>
      </c>
      <c r="E718" t="s">
        <v>4</v>
      </c>
      <c r="F718" t="s">
        <v>49</v>
      </c>
      <c r="G718" t="s">
        <v>5</v>
      </c>
    </row>
    <row r="719" spans="1:7" x14ac:dyDescent="0.3">
      <c r="A719" t="s">
        <v>15</v>
      </c>
      <c r="B719" s="1">
        <v>45900</v>
      </c>
      <c r="C719">
        <v>355013</v>
      </c>
      <c r="D719">
        <v>33295.724999999999</v>
      </c>
      <c r="E719" t="s">
        <v>4</v>
      </c>
      <c r="F719" t="s">
        <v>49</v>
      </c>
      <c r="G719" t="s">
        <v>5</v>
      </c>
    </row>
    <row r="720" spans="1:7" x14ac:dyDescent="0.3">
      <c r="A720" t="s">
        <v>15</v>
      </c>
      <c r="B720" s="1">
        <v>45900</v>
      </c>
      <c r="C720">
        <v>355014</v>
      </c>
      <c r="D720">
        <v>113069.70600000001</v>
      </c>
      <c r="E720" t="s">
        <v>4</v>
      </c>
      <c r="F720" t="s">
        <v>49</v>
      </c>
      <c r="G720" t="s">
        <v>5</v>
      </c>
    </row>
    <row r="721" spans="1:7" x14ac:dyDescent="0.3">
      <c r="A721" t="s">
        <v>15</v>
      </c>
      <c r="B721" s="1">
        <v>45900</v>
      </c>
      <c r="C721">
        <v>355015</v>
      </c>
      <c r="D721">
        <v>213691.45</v>
      </c>
      <c r="E721" t="s">
        <v>4</v>
      </c>
      <c r="F721" t="s">
        <v>49</v>
      </c>
      <c r="G721" t="s">
        <v>5</v>
      </c>
    </row>
    <row r="722" spans="1:7" x14ac:dyDescent="0.3">
      <c r="A722" t="s">
        <v>15</v>
      </c>
      <c r="B722" s="1">
        <v>45900</v>
      </c>
      <c r="C722">
        <v>356002</v>
      </c>
      <c r="D722">
        <v>47246.881000000001</v>
      </c>
      <c r="E722" t="s">
        <v>4</v>
      </c>
      <c r="F722" t="s">
        <v>48</v>
      </c>
      <c r="G722" t="s">
        <v>5</v>
      </c>
    </row>
    <row r="723" spans="1:7" x14ac:dyDescent="0.3">
      <c r="A723" t="s">
        <v>15</v>
      </c>
      <c r="B723" s="1">
        <v>45900</v>
      </c>
      <c r="C723">
        <v>356003</v>
      </c>
      <c r="D723">
        <v>-120519.143</v>
      </c>
      <c r="E723" t="s">
        <v>4</v>
      </c>
      <c r="F723" t="s">
        <v>48</v>
      </c>
      <c r="G723" t="s">
        <v>5</v>
      </c>
    </row>
    <row r="724" spans="1:7" x14ac:dyDescent="0.3">
      <c r="A724" t="s">
        <v>15</v>
      </c>
      <c r="B724" s="1">
        <v>45900</v>
      </c>
      <c r="C724">
        <v>356004</v>
      </c>
      <c r="D724">
        <v>12318.922</v>
      </c>
      <c r="E724" t="s">
        <v>4</v>
      </c>
      <c r="F724" t="s">
        <v>48</v>
      </c>
      <c r="G724" t="s">
        <v>5</v>
      </c>
    </row>
    <row r="725" spans="1:7" x14ac:dyDescent="0.3">
      <c r="A725" t="s">
        <v>15</v>
      </c>
      <c r="B725" s="1">
        <v>45900</v>
      </c>
      <c r="C725">
        <v>356005</v>
      </c>
      <c r="D725">
        <v>1598.1559999999999</v>
      </c>
      <c r="E725" t="s">
        <v>4</v>
      </c>
      <c r="F725" t="s">
        <v>48</v>
      </c>
      <c r="G725" t="s">
        <v>5</v>
      </c>
    </row>
    <row r="726" spans="1:7" x14ac:dyDescent="0.3">
      <c r="A726" t="s">
        <v>15</v>
      </c>
      <c r="B726" s="1">
        <v>45900</v>
      </c>
      <c r="C726">
        <v>360003</v>
      </c>
      <c r="D726">
        <v>4351.6270000000004</v>
      </c>
      <c r="E726" t="s">
        <v>4</v>
      </c>
      <c r="F726" t="s">
        <v>58</v>
      </c>
      <c r="G726" t="s">
        <v>5</v>
      </c>
    </row>
    <row r="727" spans="1:7" x14ac:dyDescent="0.3">
      <c r="A727" t="s">
        <v>15</v>
      </c>
      <c r="B727" s="1">
        <v>45900</v>
      </c>
      <c r="C727">
        <v>360005</v>
      </c>
      <c r="D727">
        <v>46653.572999999997</v>
      </c>
      <c r="E727" t="s">
        <v>4</v>
      </c>
      <c r="F727" t="s">
        <v>58</v>
      </c>
      <c r="G727" t="s">
        <v>5</v>
      </c>
    </row>
    <row r="728" spans="1:7" x14ac:dyDescent="0.3">
      <c r="A728" t="s">
        <v>15</v>
      </c>
      <c r="B728" s="1">
        <v>45900</v>
      </c>
      <c r="C728">
        <v>360009</v>
      </c>
      <c r="D728">
        <v>40429.805999999997</v>
      </c>
      <c r="E728" t="s">
        <v>4</v>
      </c>
      <c r="F728" t="s">
        <v>58</v>
      </c>
      <c r="G728" t="s">
        <v>5</v>
      </c>
    </row>
    <row r="729" spans="1:7" x14ac:dyDescent="0.3">
      <c r="A729" t="s">
        <v>15</v>
      </c>
      <c r="B729" s="1">
        <v>45900</v>
      </c>
      <c r="C729">
        <v>360013</v>
      </c>
      <c r="D729">
        <v>59455.959000000003</v>
      </c>
      <c r="E729" t="s">
        <v>4</v>
      </c>
      <c r="F729" t="s">
        <v>58</v>
      </c>
      <c r="G729" t="s">
        <v>5</v>
      </c>
    </row>
    <row r="730" spans="1:7" x14ac:dyDescent="0.3">
      <c r="A730" t="s">
        <v>15</v>
      </c>
      <c r="B730" s="1">
        <v>45900</v>
      </c>
      <c r="C730">
        <v>360016</v>
      </c>
      <c r="D730">
        <v>10108.454</v>
      </c>
      <c r="E730" t="s">
        <v>4</v>
      </c>
      <c r="F730" t="s">
        <v>58</v>
      </c>
      <c r="G730" t="s">
        <v>5</v>
      </c>
    </row>
    <row r="731" spans="1:7" x14ac:dyDescent="0.3">
      <c r="A731" t="s">
        <v>15</v>
      </c>
      <c r="B731" s="1">
        <v>45900</v>
      </c>
      <c r="C731">
        <v>360017</v>
      </c>
      <c r="D731">
        <v>71672.911999999997</v>
      </c>
      <c r="E731" t="s">
        <v>4</v>
      </c>
      <c r="F731" t="s">
        <v>58</v>
      </c>
      <c r="G731" t="s">
        <v>5</v>
      </c>
    </row>
    <row r="732" spans="1:7" x14ac:dyDescent="0.3">
      <c r="A732" t="s">
        <v>15</v>
      </c>
      <c r="B732" s="1">
        <v>45900</v>
      </c>
      <c r="C732">
        <v>360019</v>
      </c>
      <c r="D732">
        <v>1147</v>
      </c>
      <c r="E732" t="s">
        <v>4</v>
      </c>
      <c r="F732" t="s">
        <v>58</v>
      </c>
      <c r="G732" t="s">
        <v>5</v>
      </c>
    </row>
    <row r="733" spans="1:7" x14ac:dyDescent="0.3">
      <c r="A733" t="s">
        <v>15</v>
      </c>
      <c r="B733" s="1">
        <v>45900</v>
      </c>
      <c r="C733">
        <v>360030</v>
      </c>
      <c r="D733">
        <v>1073375</v>
      </c>
      <c r="E733" t="s">
        <v>4</v>
      </c>
      <c r="F733" t="s">
        <v>58</v>
      </c>
      <c r="G733" t="s">
        <v>5</v>
      </c>
    </row>
    <row r="734" spans="1:7" x14ac:dyDescent="0.3">
      <c r="A734" t="s">
        <v>15</v>
      </c>
      <c r="B734" s="1">
        <v>45900</v>
      </c>
      <c r="C734">
        <v>360031</v>
      </c>
      <c r="D734">
        <v>673.58500000000004</v>
      </c>
      <c r="E734" t="s">
        <v>4</v>
      </c>
      <c r="F734" t="s">
        <v>58</v>
      </c>
      <c r="G734" t="s">
        <v>5</v>
      </c>
    </row>
    <row r="735" spans="1:7" x14ac:dyDescent="0.3">
      <c r="A735" t="s">
        <v>15</v>
      </c>
      <c r="B735" s="1">
        <v>45900</v>
      </c>
      <c r="C735">
        <v>360032</v>
      </c>
      <c r="D735">
        <v>186000</v>
      </c>
      <c r="E735" t="s">
        <v>4</v>
      </c>
      <c r="F735" t="s">
        <v>58</v>
      </c>
      <c r="G735" t="s">
        <v>5</v>
      </c>
    </row>
    <row r="736" spans="1:7" x14ac:dyDescent="0.3">
      <c r="A736" t="s">
        <v>15</v>
      </c>
      <c r="B736" s="1">
        <v>45900</v>
      </c>
      <c r="C736">
        <v>360033</v>
      </c>
      <c r="D736">
        <v>7694.8810000000003</v>
      </c>
      <c r="E736" t="s">
        <v>4</v>
      </c>
      <c r="F736" t="s">
        <v>58</v>
      </c>
      <c r="G736" t="s">
        <v>5</v>
      </c>
    </row>
    <row r="737" spans="1:7" x14ac:dyDescent="0.3">
      <c r="A737" t="s">
        <v>15</v>
      </c>
      <c r="B737" s="1">
        <v>45900</v>
      </c>
      <c r="C737">
        <v>362006</v>
      </c>
      <c r="D737">
        <v>-1E-3</v>
      </c>
      <c r="E737" t="s">
        <v>4</v>
      </c>
      <c r="F737" t="s">
        <v>58</v>
      </c>
      <c r="G737" t="s">
        <v>5</v>
      </c>
    </row>
    <row r="738" spans="1:7" x14ac:dyDescent="0.3">
      <c r="A738" t="s">
        <v>15</v>
      </c>
      <c r="B738" s="1">
        <v>45900</v>
      </c>
      <c r="C738">
        <v>362007</v>
      </c>
      <c r="D738">
        <v>18564.174999999999</v>
      </c>
      <c r="E738" t="s">
        <v>4</v>
      </c>
      <c r="F738" t="s">
        <v>58</v>
      </c>
      <c r="G738" t="s">
        <v>5</v>
      </c>
    </row>
    <row r="739" spans="1:7" x14ac:dyDescent="0.3">
      <c r="A739" t="s">
        <v>15</v>
      </c>
      <c r="B739" s="1">
        <v>45900</v>
      </c>
      <c r="C739">
        <v>362012</v>
      </c>
      <c r="D739">
        <v>-1E-3</v>
      </c>
      <c r="E739" t="s">
        <v>4</v>
      </c>
      <c r="F739" t="s">
        <v>58</v>
      </c>
      <c r="G739" t="s">
        <v>5</v>
      </c>
    </row>
    <row r="740" spans="1:7" x14ac:dyDescent="0.3">
      <c r="A740" t="s">
        <v>15</v>
      </c>
      <c r="B740" s="1">
        <v>45900</v>
      </c>
      <c r="C740">
        <v>362015</v>
      </c>
      <c r="D740">
        <v>491310.32400000002</v>
      </c>
      <c r="E740" t="s">
        <v>4</v>
      </c>
      <c r="F740" t="s">
        <v>58</v>
      </c>
      <c r="G740" t="s">
        <v>5</v>
      </c>
    </row>
    <row r="741" spans="1:7" x14ac:dyDescent="0.3">
      <c r="A741" t="s">
        <v>15</v>
      </c>
      <c r="B741" s="1">
        <v>45900</v>
      </c>
      <c r="C741">
        <v>362016</v>
      </c>
      <c r="D741">
        <v>408785.99699999997</v>
      </c>
      <c r="E741" t="s">
        <v>4</v>
      </c>
      <c r="F741" t="s">
        <v>58</v>
      </c>
      <c r="G741" t="s">
        <v>5</v>
      </c>
    </row>
    <row r="742" spans="1:7" x14ac:dyDescent="0.3">
      <c r="A742" t="s">
        <v>15</v>
      </c>
      <c r="B742" s="1">
        <v>45900</v>
      </c>
      <c r="C742">
        <v>362017</v>
      </c>
      <c r="D742">
        <v>334851.80699999997</v>
      </c>
      <c r="E742" t="s">
        <v>4</v>
      </c>
      <c r="F742" t="s">
        <v>58</v>
      </c>
      <c r="G742" t="s">
        <v>5</v>
      </c>
    </row>
    <row r="743" spans="1:7" x14ac:dyDescent="0.3">
      <c r="A743" t="s">
        <v>15</v>
      </c>
      <c r="B743" s="1">
        <v>45900</v>
      </c>
      <c r="C743">
        <v>362018</v>
      </c>
      <c r="D743">
        <v>309307.26400000002</v>
      </c>
      <c r="E743" t="s">
        <v>4</v>
      </c>
      <c r="F743" t="s">
        <v>58</v>
      </c>
      <c r="G743" t="s">
        <v>5</v>
      </c>
    </row>
    <row r="744" spans="1:7" x14ac:dyDescent="0.3">
      <c r="A744" t="s">
        <v>15</v>
      </c>
      <c r="B744" s="1">
        <v>45900</v>
      </c>
      <c r="C744">
        <v>362019</v>
      </c>
      <c r="D744">
        <v>52733.39</v>
      </c>
      <c r="E744" t="s">
        <v>4</v>
      </c>
      <c r="F744" t="s">
        <v>58</v>
      </c>
      <c r="G744" t="s">
        <v>5</v>
      </c>
    </row>
    <row r="745" spans="1:7" x14ac:dyDescent="0.3">
      <c r="A745" t="s">
        <v>15</v>
      </c>
      <c r="B745" s="1">
        <v>45900</v>
      </c>
      <c r="C745">
        <v>364502</v>
      </c>
      <c r="D745">
        <v>624022.96</v>
      </c>
      <c r="E745" t="s">
        <v>4</v>
      </c>
      <c r="F745" t="s">
        <v>58</v>
      </c>
      <c r="G745" t="s">
        <v>5</v>
      </c>
    </row>
    <row r="746" spans="1:7" x14ac:dyDescent="0.3">
      <c r="A746" t="s">
        <v>15</v>
      </c>
      <c r="B746" s="1">
        <v>45900</v>
      </c>
      <c r="C746">
        <v>365002</v>
      </c>
      <c r="D746">
        <v>384.71899999999999</v>
      </c>
      <c r="E746" t="s">
        <v>4</v>
      </c>
      <c r="F746" t="s">
        <v>45</v>
      </c>
      <c r="G746" t="s">
        <v>5</v>
      </c>
    </row>
    <row r="747" spans="1:7" x14ac:dyDescent="0.3">
      <c r="A747" t="s">
        <v>15</v>
      </c>
      <c r="B747" s="1">
        <v>45900</v>
      </c>
      <c r="C747">
        <v>365003</v>
      </c>
      <c r="D747">
        <v>40281.99</v>
      </c>
      <c r="E747" t="s">
        <v>4</v>
      </c>
      <c r="F747" t="s">
        <v>45</v>
      </c>
      <c r="G747" t="s">
        <v>5</v>
      </c>
    </row>
    <row r="748" spans="1:7" x14ac:dyDescent="0.3">
      <c r="A748" t="s">
        <v>15</v>
      </c>
      <c r="B748" s="1">
        <v>45900</v>
      </c>
      <c r="C748">
        <v>365004</v>
      </c>
      <c r="D748">
        <v>176620.68700000001</v>
      </c>
      <c r="E748" t="s">
        <v>4</v>
      </c>
      <c r="F748" t="s">
        <v>45</v>
      </c>
      <c r="G748" t="s">
        <v>5</v>
      </c>
    </row>
    <row r="749" spans="1:7" x14ac:dyDescent="0.3">
      <c r="A749" t="s">
        <v>15</v>
      </c>
      <c r="B749" s="1">
        <v>45900</v>
      </c>
      <c r="C749">
        <v>365005</v>
      </c>
      <c r="D749">
        <v>384.71899999999999</v>
      </c>
      <c r="E749" t="s">
        <v>4</v>
      </c>
      <c r="F749" t="s">
        <v>45</v>
      </c>
      <c r="G749" t="s">
        <v>5</v>
      </c>
    </row>
    <row r="750" spans="1:7" x14ac:dyDescent="0.3">
      <c r="A750" t="s">
        <v>15</v>
      </c>
      <c r="B750" s="1">
        <v>45900</v>
      </c>
      <c r="C750">
        <v>365006</v>
      </c>
      <c r="D750">
        <v>40126.497000000003</v>
      </c>
      <c r="E750" t="s">
        <v>4</v>
      </c>
      <c r="F750" t="s">
        <v>45</v>
      </c>
      <c r="G750" t="s">
        <v>5</v>
      </c>
    </row>
    <row r="751" spans="1:7" x14ac:dyDescent="0.3">
      <c r="A751" t="s">
        <v>15</v>
      </c>
      <c r="B751" s="1">
        <v>45900</v>
      </c>
      <c r="C751">
        <v>365007</v>
      </c>
      <c r="D751">
        <v>147470.09</v>
      </c>
      <c r="E751" t="s">
        <v>4</v>
      </c>
      <c r="F751" t="s">
        <v>45</v>
      </c>
      <c r="G751" t="s">
        <v>5</v>
      </c>
    </row>
    <row r="752" spans="1:7" x14ac:dyDescent="0.3">
      <c r="A752" t="s">
        <v>15</v>
      </c>
      <c r="B752" s="1">
        <v>45900</v>
      </c>
      <c r="C752">
        <v>365008</v>
      </c>
      <c r="D752">
        <v>5496.4139999999998</v>
      </c>
      <c r="E752" t="s">
        <v>4</v>
      </c>
      <c r="F752" t="s">
        <v>45</v>
      </c>
      <c r="G752" t="s">
        <v>5</v>
      </c>
    </row>
    <row r="753" spans="1:7" x14ac:dyDescent="0.3">
      <c r="A753" t="s">
        <v>15</v>
      </c>
      <c r="B753" s="1">
        <v>45900</v>
      </c>
      <c r="C753">
        <v>365009</v>
      </c>
      <c r="D753">
        <v>244522.24799999999</v>
      </c>
      <c r="E753" t="s">
        <v>4</v>
      </c>
      <c r="F753" t="s">
        <v>45</v>
      </c>
      <c r="G753" t="s">
        <v>5</v>
      </c>
    </row>
    <row r="754" spans="1:7" x14ac:dyDescent="0.3">
      <c r="A754" t="s">
        <v>15</v>
      </c>
      <c r="B754" s="1">
        <v>45900</v>
      </c>
      <c r="C754">
        <v>365010</v>
      </c>
      <c r="D754">
        <v>229744.019</v>
      </c>
      <c r="E754" t="s">
        <v>4</v>
      </c>
      <c r="F754" t="s">
        <v>45</v>
      </c>
      <c r="G754" t="s">
        <v>5</v>
      </c>
    </row>
    <row r="755" spans="1:7" x14ac:dyDescent="0.3">
      <c r="A755" t="s">
        <v>15</v>
      </c>
      <c r="B755" s="1">
        <v>45900</v>
      </c>
      <c r="C755">
        <v>365020</v>
      </c>
      <c r="D755">
        <v>370.69200000000001</v>
      </c>
      <c r="E755" t="s">
        <v>4</v>
      </c>
      <c r="F755" t="s">
        <v>45</v>
      </c>
      <c r="G755" t="s">
        <v>5</v>
      </c>
    </row>
    <row r="756" spans="1:7" x14ac:dyDescent="0.3">
      <c r="A756" t="s">
        <v>15</v>
      </c>
      <c r="B756" s="1">
        <v>45900</v>
      </c>
      <c r="C756">
        <v>365021</v>
      </c>
      <c r="D756">
        <v>259472.89600000001</v>
      </c>
      <c r="E756" t="s">
        <v>4</v>
      </c>
      <c r="F756" t="s">
        <v>45</v>
      </c>
      <c r="G756" t="s">
        <v>5</v>
      </c>
    </row>
    <row r="757" spans="1:7" x14ac:dyDescent="0.3">
      <c r="A757" t="s">
        <v>15</v>
      </c>
      <c r="B757" s="1">
        <v>45900</v>
      </c>
      <c r="C757">
        <v>370002</v>
      </c>
      <c r="D757">
        <v>54408.339</v>
      </c>
      <c r="E757" t="s">
        <v>4</v>
      </c>
      <c r="F757" t="s">
        <v>45</v>
      </c>
      <c r="G757" t="s">
        <v>5</v>
      </c>
    </row>
    <row r="758" spans="1:7" x14ac:dyDescent="0.3">
      <c r="A758" t="s">
        <v>15</v>
      </c>
      <c r="B758" s="1">
        <v>45900</v>
      </c>
      <c r="C758">
        <v>372008</v>
      </c>
      <c r="D758">
        <v>1162.0940000000001</v>
      </c>
      <c r="E758" t="s">
        <v>4</v>
      </c>
      <c r="F758" t="s">
        <v>45</v>
      </c>
      <c r="G758" t="s">
        <v>5</v>
      </c>
    </row>
    <row r="759" spans="1:7" x14ac:dyDescent="0.3">
      <c r="A759" t="s">
        <v>15</v>
      </c>
      <c r="B759" s="1">
        <v>45900</v>
      </c>
      <c r="C759">
        <v>400002</v>
      </c>
      <c r="D759">
        <v>-126338.451</v>
      </c>
      <c r="E759" t="s">
        <v>6</v>
      </c>
      <c r="F759" t="s">
        <v>50</v>
      </c>
      <c r="G759" t="s">
        <v>5</v>
      </c>
    </row>
    <row r="760" spans="1:7" x14ac:dyDescent="0.3">
      <c r="A760" t="s">
        <v>15</v>
      </c>
      <c r="B760" s="1">
        <v>45900</v>
      </c>
      <c r="C760">
        <v>410002</v>
      </c>
      <c r="D760">
        <v>-4843314.6239999998</v>
      </c>
      <c r="E760" t="s">
        <v>6</v>
      </c>
      <c r="F760" t="s">
        <v>51</v>
      </c>
      <c r="G760" t="s">
        <v>5</v>
      </c>
    </row>
    <row r="761" spans="1:7" x14ac:dyDescent="0.3">
      <c r="A761" t="s">
        <v>15</v>
      </c>
      <c r="B761" s="1">
        <v>45900</v>
      </c>
      <c r="C761">
        <v>410005</v>
      </c>
      <c r="D761">
        <v>-304601.07400000002</v>
      </c>
      <c r="E761" t="s">
        <v>6</v>
      </c>
      <c r="F761" t="s">
        <v>51</v>
      </c>
      <c r="G761" t="s">
        <v>5</v>
      </c>
    </row>
    <row r="762" spans="1:7" x14ac:dyDescent="0.3">
      <c r="A762" t="s">
        <v>15</v>
      </c>
      <c r="B762" s="1">
        <v>45900</v>
      </c>
      <c r="C762">
        <v>410006</v>
      </c>
      <c r="D762">
        <v>-734271.89</v>
      </c>
      <c r="E762" t="s">
        <v>6</v>
      </c>
      <c r="F762" t="s">
        <v>51</v>
      </c>
      <c r="G762" t="s">
        <v>5</v>
      </c>
    </row>
    <row r="763" spans="1:7" x14ac:dyDescent="0.3">
      <c r="A763" t="s">
        <v>15</v>
      </c>
      <c r="B763" s="1">
        <v>45900</v>
      </c>
      <c r="C763">
        <v>410008</v>
      </c>
      <c r="D763">
        <v>-5123.5360000000001</v>
      </c>
      <c r="E763" t="s">
        <v>6</v>
      </c>
      <c r="F763" t="s">
        <v>51</v>
      </c>
      <c r="G763" t="s">
        <v>5</v>
      </c>
    </row>
    <row r="764" spans="1:7" x14ac:dyDescent="0.3">
      <c r="A764" t="s">
        <v>15</v>
      </c>
      <c r="B764" s="1">
        <v>45900</v>
      </c>
      <c r="C764">
        <v>410009</v>
      </c>
      <c r="D764">
        <v>-402218.353</v>
      </c>
      <c r="E764" t="s">
        <v>6</v>
      </c>
      <c r="F764" t="s">
        <v>51</v>
      </c>
      <c r="G764" t="s">
        <v>5</v>
      </c>
    </row>
    <row r="765" spans="1:7" x14ac:dyDescent="0.3">
      <c r="A765" t="s">
        <v>15</v>
      </c>
      <c r="B765" s="1">
        <v>45900</v>
      </c>
      <c r="C765">
        <v>410015</v>
      </c>
      <c r="D765">
        <v>-331666.98700000002</v>
      </c>
      <c r="E765" t="s">
        <v>6</v>
      </c>
      <c r="F765" t="s">
        <v>51</v>
      </c>
      <c r="G765" t="s">
        <v>5</v>
      </c>
    </row>
    <row r="766" spans="1:7" x14ac:dyDescent="0.3">
      <c r="A766" t="s">
        <v>15</v>
      </c>
      <c r="B766" s="1">
        <v>45900</v>
      </c>
      <c r="C766">
        <v>410016</v>
      </c>
      <c r="D766">
        <v>-14817.54</v>
      </c>
      <c r="E766" t="s">
        <v>6</v>
      </c>
      <c r="F766" t="s">
        <v>51</v>
      </c>
      <c r="G766" t="s">
        <v>5</v>
      </c>
    </row>
    <row r="767" spans="1:7" x14ac:dyDescent="0.3">
      <c r="A767" t="s">
        <v>15</v>
      </c>
      <c r="B767" s="1">
        <v>45900</v>
      </c>
      <c r="C767">
        <v>410018</v>
      </c>
      <c r="D767">
        <v>-215807.46100000001</v>
      </c>
      <c r="E767" t="s">
        <v>6</v>
      </c>
      <c r="F767" t="s">
        <v>51</v>
      </c>
      <c r="G767" t="s">
        <v>5</v>
      </c>
    </row>
    <row r="768" spans="1:7" x14ac:dyDescent="0.3">
      <c r="A768" t="s">
        <v>15</v>
      </c>
      <c r="B768" s="1">
        <v>45900</v>
      </c>
      <c r="C768">
        <v>410019</v>
      </c>
      <c r="D768">
        <v>-54596.055999999997</v>
      </c>
      <c r="E768" t="s">
        <v>6</v>
      </c>
      <c r="F768" t="s">
        <v>51</v>
      </c>
      <c r="G768" t="s">
        <v>5</v>
      </c>
    </row>
    <row r="769" spans="1:7" x14ac:dyDescent="0.3">
      <c r="A769" t="s">
        <v>15</v>
      </c>
      <c r="B769" s="1">
        <v>45900</v>
      </c>
      <c r="C769">
        <v>410032</v>
      </c>
      <c r="D769">
        <v>-470088.96299999999</v>
      </c>
      <c r="E769" t="s">
        <v>6</v>
      </c>
      <c r="F769" t="s">
        <v>51</v>
      </c>
      <c r="G769" t="s">
        <v>5</v>
      </c>
    </row>
    <row r="770" spans="1:7" x14ac:dyDescent="0.3">
      <c r="A770" t="s">
        <v>15</v>
      </c>
      <c r="B770" s="1">
        <v>45900</v>
      </c>
      <c r="C770">
        <v>410035</v>
      </c>
      <c r="D770">
        <v>-7967.8230000000003</v>
      </c>
      <c r="E770" t="s">
        <v>6</v>
      </c>
      <c r="F770" t="s">
        <v>51</v>
      </c>
      <c r="G770" t="s">
        <v>5</v>
      </c>
    </row>
    <row r="771" spans="1:7" x14ac:dyDescent="0.3">
      <c r="A771" t="s">
        <v>15</v>
      </c>
      <c r="B771" s="1">
        <v>45900</v>
      </c>
      <c r="C771">
        <v>410036</v>
      </c>
      <c r="D771">
        <v>-396895.10100000002</v>
      </c>
      <c r="E771" t="s">
        <v>6</v>
      </c>
      <c r="F771" t="s">
        <v>51</v>
      </c>
      <c r="G771" t="s">
        <v>5</v>
      </c>
    </row>
    <row r="772" spans="1:7" x14ac:dyDescent="0.3">
      <c r="A772" t="s">
        <v>15</v>
      </c>
      <c r="B772" s="1">
        <v>45900</v>
      </c>
      <c r="C772">
        <v>410037</v>
      </c>
      <c r="D772">
        <v>-4455252.7510000002</v>
      </c>
      <c r="E772" t="s">
        <v>6</v>
      </c>
      <c r="F772" t="s">
        <v>51</v>
      </c>
      <c r="G772" t="s">
        <v>5</v>
      </c>
    </row>
    <row r="773" spans="1:7" x14ac:dyDescent="0.3">
      <c r="A773" t="s">
        <v>15</v>
      </c>
      <c r="B773" s="1">
        <v>45900</v>
      </c>
      <c r="C773">
        <v>410039</v>
      </c>
      <c r="D773">
        <v>-387111.35</v>
      </c>
      <c r="E773" t="s">
        <v>6</v>
      </c>
      <c r="F773" t="s">
        <v>51</v>
      </c>
      <c r="G773" t="s">
        <v>5</v>
      </c>
    </row>
    <row r="774" spans="1:7" x14ac:dyDescent="0.3">
      <c r="A774" t="s">
        <v>15</v>
      </c>
      <c r="B774" s="1">
        <v>45900</v>
      </c>
      <c r="C774">
        <v>410040</v>
      </c>
      <c r="D774">
        <v>-80520.509999999995</v>
      </c>
      <c r="E774" t="s">
        <v>6</v>
      </c>
      <c r="F774" t="s">
        <v>51</v>
      </c>
      <c r="G774" t="s">
        <v>5</v>
      </c>
    </row>
    <row r="775" spans="1:7" x14ac:dyDescent="0.3">
      <c r="A775" t="s">
        <v>15</v>
      </c>
      <c r="B775" s="1">
        <v>45900</v>
      </c>
      <c r="C775">
        <v>410046</v>
      </c>
      <c r="D775">
        <v>-9654.8690000000006</v>
      </c>
      <c r="E775" t="s">
        <v>6</v>
      </c>
      <c r="F775" t="s">
        <v>51</v>
      </c>
      <c r="G775" t="s">
        <v>5</v>
      </c>
    </row>
    <row r="776" spans="1:7" x14ac:dyDescent="0.3">
      <c r="A776" t="s">
        <v>15</v>
      </c>
      <c r="B776" s="1">
        <v>45900</v>
      </c>
      <c r="C776">
        <v>410049</v>
      </c>
      <c r="D776">
        <v>-270.74400000000003</v>
      </c>
      <c r="E776" t="s">
        <v>6</v>
      </c>
      <c r="F776" t="s">
        <v>51</v>
      </c>
      <c r="G776" t="s">
        <v>5</v>
      </c>
    </row>
    <row r="777" spans="1:7" x14ac:dyDescent="0.3">
      <c r="A777" t="s">
        <v>15</v>
      </c>
      <c r="B777" s="1">
        <v>45900</v>
      </c>
      <c r="C777">
        <v>414020</v>
      </c>
      <c r="D777">
        <v>0</v>
      </c>
      <c r="E777" t="s">
        <v>6</v>
      </c>
      <c r="F777" t="s">
        <v>51</v>
      </c>
      <c r="G777" t="s">
        <v>5</v>
      </c>
    </row>
    <row r="778" spans="1:7" x14ac:dyDescent="0.3">
      <c r="A778" t="s">
        <v>15</v>
      </c>
      <c r="B778" s="1">
        <v>45900</v>
      </c>
      <c r="C778">
        <v>415002</v>
      </c>
      <c r="D778">
        <v>-1413557.4669999999</v>
      </c>
      <c r="E778" t="s">
        <v>6</v>
      </c>
      <c r="F778" t="s">
        <v>50</v>
      </c>
      <c r="G778" t="s">
        <v>5</v>
      </c>
    </row>
    <row r="779" spans="1:7" x14ac:dyDescent="0.3">
      <c r="A779" t="s">
        <v>15</v>
      </c>
      <c r="B779" s="1">
        <v>45900</v>
      </c>
      <c r="C779">
        <v>415003</v>
      </c>
      <c r="D779">
        <v>-111.938</v>
      </c>
      <c r="E779" t="s">
        <v>6</v>
      </c>
      <c r="F779" t="s">
        <v>50</v>
      </c>
      <c r="G779" t="s">
        <v>5</v>
      </c>
    </row>
    <row r="780" spans="1:7" x14ac:dyDescent="0.3">
      <c r="A780" t="s">
        <v>15</v>
      </c>
      <c r="B780" s="1">
        <v>45900</v>
      </c>
      <c r="C780">
        <v>415008</v>
      </c>
      <c r="D780">
        <v>-355.875</v>
      </c>
      <c r="E780" t="s">
        <v>6</v>
      </c>
      <c r="F780" t="s">
        <v>50</v>
      </c>
      <c r="G780" t="s">
        <v>5</v>
      </c>
    </row>
    <row r="781" spans="1:7" x14ac:dyDescent="0.3">
      <c r="A781" t="s">
        <v>15</v>
      </c>
      <c r="B781" s="1">
        <v>45900</v>
      </c>
      <c r="C781">
        <v>420003</v>
      </c>
      <c r="D781">
        <v>6841.8590000000004</v>
      </c>
      <c r="E781" t="s">
        <v>6</v>
      </c>
      <c r="F781" t="s">
        <v>52</v>
      </c>
      <c r="G781" t="s">
        <v>5</v>
      </c>
    </row>
    <row r="782" spans="1:7" x14ac:dyDescent="0.3">
      <c r="A782" t="s">
        <v>15</v>
      </c>
      <c r="B782" s="1">
        <v>45900</v>
      </c>
      <c r="C782">
        <v>420004</v>
      </c>
      <c r="D782">
        <v>-133549.408</v>
      </c>
      <c r="E782" t="s">
        <v>6</v>
      </c>
      <c r="F782" t="s">
        <v>52</v>
      </c>
      <c r="G782" t="s">
        <v>5</v>
      </c>
    </row>
    <row r="783" spans="1:7" x14ac:dyDescent="0.3">
      <c r="A783" t="s">
        <v>15</v>
      </c>
      <c r="B783" s="1">
        <v>45900</v>
      </c>
      <c r="C783">
        <v>420006</v>
      </c>
      <c r="D783">
        <v>-20876.924999999999</v>
      </c>
      <c r="E783" t="s">
        <v>6</v>
      </c>
      <c r="F783" t="s">
        <v>52</v>
      </c>
      <c r="G783" t="s">
        <v>5</v>
      </c>
    </row>
    <row r="784" spans="1:7" x14ac:dyDescent="0.3">
      <c r="A784" t="s">
        <v>15</v>
      </c>
      <c r="B784" s="1">
        <v>45900</v>
      </c>
      <c r="C784">
        <v>420007</v>
      </c>
      <c r="D784">
        <v>-1577.5350000000001</v>
      </c>
      <c r="E784" t="s">
        <v>6</v>
      </c>
      <c r="F784" t="s">
        <v>52</v>
      </c>
      <c r="G784" t="s">
        <v>5</v>
      </c>
    </row>
    <row r="785" spans="1:7" x14ac:dyDescent="0.3">
      <c r="A785" t="s">
        <v>15</v>
      </c>
      <c r="B785" s="1">
        <v>45900</v>
      </c>
      <c r="C785">
        <v>421002</v>
      </c>
      <c r="D785">
        <v>6512.5169999999998</v>
      </c>
      <c r="E785" t="s">
        <v>6</v>
      </c>
      <c r="F785" t="s">
        <v>52</v>
      </c>
      <c r="G785" t="s">
        <v>5</v>
      </c>
    </row>
    <row r="786" spans="1:7" x14ac:dyDescent="0.3">
      <c r="A786" t="s">
        <v>15</v>
      </c>
      <c r="B786" s="1">
        <v>45900</v>
      </c>
      <c r="C786">
        <v>421003</v>
      </c>
      <c r="D786">
        <v>11644.127</v>
      </c>
      <c r="E786" t="s">
        <v>6</v>
      </c>
      <c r="F786" t="s">
        <v>52</v>
      </c>
      <c r="G786" t="s">
        <v>5</v>
      </c>
    </row>
    <row r="787" spans="1:7" x14ac:dyDescent="0.3">
      <c r="A787" t="s">
        <v>15</v>
      </c>
      <c r="B787" s="1">
        <v>45900</v>
      </c>
      <c r="C787">
        <v>421004</v>
      </c>
      <c r="D787">
        <v>-18.065000000000001</v>
      </c>
      <c r="E787" t="s">
        <v>6</v>
      </c>
      <c r="F787" t="s">
        <v>52</v>
      </c>
      <c r="G787" t="s">
        <v>5</v>
      </c>
    </row>
    <row r="788" spans="1:7" x14ac:dyDescent="0.3">
      <c r="A788" t="s">
        <v>15</v>
      </c>
      <c r="B788" s="1">
        <v>45900</v>
      </c>
      <c r="C788">
        <v>421007</v>
      </c>
      <c r="D788">
        <v>31369.133999999998</v>
      </c>
      <c r="E788" t="s">
        <v>6</v>
      </c>
      <c r="F788" t="s">
        <v>52</v>
      </c>
      <c r="G788" t="s">
        <v>5</v>
      </c>
    </row>
    <row r="789" spans="1:7" x14ac:dyDescent="0.3">
      <c r="A789" t="s">
        <v>15</v>
      </c>
      <c r="B789" s="1">
        <v>45900</v>
      </c>
      <c r="C789">
        <v>421008</v>
      </c>
      <c r="D789">
        <v>-114576.397</v>
      </c>
      <c r="E789" t="s">
        <v>6</v>
      </c>
      <c r="F789" t="s">
        <v>52</v>
      </c>
      <c r="G789" t="s">
        <v>5</v>
      </c>
    </row>
    <row r="790" spans="1:7" x14ac:dyDescent="0.3">
      <c r="A790" t="s">
        <v>15</v>
      </c>
      <c r="B790" s="1">
        <v>45900</v>
      </c>
      <c r="C790">
        <v>423002</v>
      </c>
      <c r="D790">
        <v>-1004.597</v>
      </c>
      <c r="E790" t="s">
        <v>6</v>
      </c>
      <c r="F790" t="s">
        <v>52</v>
      </c>
      <c r="G790" t="s">
        <v>5</v>
      </c>
    </row>
    <row r="791" spans="1:7" x14ac:dyDescent="0.3">
      <c r="A791" t="s">
        <v>15</v>
      </c>
      <c r="B791" s="1">
        <v>45900</v>
      </c>
      <c r="C791">
        <v>423005</v>
      </c>
      <c r="D791">
        <v>0</v>
      </c>
      <c r="E791" t="s">
        <v>6</v>
      </c>
      <c r="F791" t="s">
        <v>52</v>
      </c>
      <c r="G791" t="s">
        <v>5</v>
      </c>
    </row>
    <row r="792" spans="1:7" x14ac:dyDescent="0.3">
      <c r="A792" t="s">
        <v>15</v>
      </c>
      <c r="B792" s="1">
        <v>45900</v>
      </c>
      <c r="C792">
        <v>423011</v>
      </c>
      <c r="D792">
        <v>-19690.187999999998</v>
      </c>
      <c r="E792" t="s">
        <v>6</v>
      </c>
      <c r="F792" t="s">
        <v>52</v>
      </c>
      <c r="G792" t="s">
        <v>5</v>
      </c>
    </row>
    <row r="793" spans="1:7" x14ac:dyDescent="0.3">
      <c r="A793" t="s">
        <v>15</v>
      </c>
      <c r="B793" s="1">
        <v>45900</v>
      </c>
      <c r="C793">
        <v>423012</v>
      </c>
      <c r="D793">
        <v>-33890.059000000001</v>
      </c>
      <c r="E793" t="s">
        <v>6</v>
      </c>
      <c r="F793" t="s">
        <v>52</v>
      </c>
      <c r="G793" t="s">
        <v>5</v>
      </c>
    </row>
    <row r="794" spans="1:7" x14ac:dyDescent="0.3">
      <c r="A794" t="s">
        <v>15</v>
      </c>
      <c r="B794" s="1">
        <v>45900</v>
      </c>
      <c r="C794">
        <v>510002</v>
      </c>
      <c r="D794">
        <v>3014211.7429999998</v>
      </c>
      <c r="E794" t="s">
        <v>6</v>
      </c>
      <c r="F794" t="s">
        <v>53</v>
      </c>
      <c r="G794" t="s">
        <v>5</v>
      </c>
    </row>
    <row r="795" spans="1:7" x14ac:dyDescent="0.3">
      <c r="A795" t="s">
        <v>15</v>
      </c>
      <c r="B795" s="1">
        <v>45900</v>
      </c>
      <c r="C795">
        <v>510003</v>
      </c>
      <c r="D795">
        <v>383089.94199999998</v>
      </c>
      <c r="E795" t="s">
        <v>6</v>
      </c>
      <c r="F795" t="s">
        <v>53</v>
      </c>
      <c r="G795" t="s">
        <v>5</v>
      </c>
    </row>
    <row r="796" spans="1:7" x14ac:dyDescent="0.3">
      <c r="A796" t="s">
        <v>15</v>
      </c>
      <c r="B796" s="1">
        <v>45900</v>
      </c>
      <c r="C796">
        <v>510004</v>
      </c>
      <c r="D796">
        <v>5078255.6359999999</v>
      </c>
      <c r="E796" t="s">
        <v>6</v>
      </c>
      <c r="F796" t="s">
        <v>53</v>
      </c>
      <c r="G796" t="s">
        <v>5</v>
      </c>
    </row>
    <row r="797" spans="1:7" x14ac:dyDescent="0.3">
      <c r="A797" t="s">
        <v>15</v>
      </c>
      <c r="B797" s="1">
        <v>45900</v>
      </c>
      <c r="C797">
        <v>510005</v>
      </c>
      <c r="D797">
        <v>140392.269</v>
      </c>
      <c r="E797" t="s">
        <v>6</v>
      </c>
      <c r="F797" t="s">
        <v>53</v>
      </c>
      <c r="G797" t="s">
        <v>5</v>
      </c>
    </row>
    <row r="798" spans="1:7" x14ac:dyDescent="0.3">
      <c r="A798" t="s">
        <v>15</v>
      </c>
      <c r="B798" s="1">
        <v>45900</v>
      </c>
      <c r="C798">
        <v>510006</v>
      </c>
      <c r="D798">
        <v>129334.947</v>
      </c>
      <c r="E798" t="s">
        <v>6</v>
      </c>
      <c r="F798" t="s">
        <v>53</v>
      </c>
      <c r="G798" t="s">
        <v>5</v>
      </c>
    </row>
    <row r="799" spans="1:7" x14ac:dyDescent="0.3">
      <c r="A799" t="s">
        <v>15</v>
      </c>
      <c r="B799" s="1">
        <v>45900</v>
      </c>
      <c r="C799">
        <v>510007</v>
      </c>
      <c r="D799">
        <v>513152.90399999998</v>
      </c>
      <c r="E799" t="s">
        <v>6</v>
      </c>
      <c r="F799" t="s">
        <v>53</v>
      </c>
      <c r="G799" t="s">
        <v>5</v>
      </c>
    </row>
    <row r="800" spans="1:7" x14ac:dyDescent="0.3">
      <c r="A800" t="s">
        <v>15</v>
      </c>
      <c r="B800" s="1">
        <v>45900</v>
      </c>
      <c r="C800">
        <v>510009</v>
      </c>
      <c r="D800">
        <v>28388.06</v>
      </c>
      <c r="E800" t="s">
        <v>6</v>
      </c>
      <c r="F800" t="s">
        <v>53</v>
      </c>
      <c r="G800" t="s">
        <v>5</v>
      </c>
    </row>
    <row r="801" spans="1:7" x14ac:dyDescent="0.3">
      <c r="A801" t="s">
        <v>15</v>
      </c>
      <c r="B801" s="1">
        <v>45900</v>
      </c>
      <c r="C801">
        <v>510011</v>
      </c>
      <c r="D801">
        <v>169321.09899999999</v>
      </c>
      <c r="E801" t="s">
        <v>6</v>
      </c>
      <c r="F801" t="s">
        <v>53</v>
      </c>
      <c r="G801" t="s">
        <v>5</v>
      </c>
    </row>
    <row r="802" spans="1:7" x14ac:dyDescent="0.3">
      <c r="A802" t="s">
        <v>15</v>
      </c>
      <c r="B802" s="1">
        <v>45900</v>
      </c>
      <c r="C802">
        <v>510012</v>
      </c>
      <c r="D802">
        <v>64598.525000000001</v>
      </c>
      <c r="E802" t="s">
        <v>6</v>
      </c>
      <c r="F802" t="s">
        <v>53</v>
      </c>
      <c r="G802" t="s">
        <v>5</v>
      </c>
    </row>
    <row r="803" spans="1:7" x14ac:dyDescent="0.3">
      <c r="A803" t="s">
        <v>15</v>
      </c>
      <c r="B803" s="1">
        <v>45900</v>
      </c>
      <c r="C803">
        <v>510013</v>
      </c>
      <c r="D803">
        <v>-570.44000000000005</v>
      </c>
      <c r="E803" t="s">
        <v>6</v>
      </c>
      <c r="F803" t="s">
        <v>53</v>
      </c>
      <c r="G803" t="s">
        <v>5</v>
      </c>
    </row>
    <row r="804" spans="1:7" x14ac:dyDescent="0.3">
      <c r="A804" t="s">
        <v>15</v>
      </c>
      <c r="B804" s="1">
        <v>45900</v>
      </c>
      <c r="C804">
        <v>510018</v>
      </c>
      <c r="D804">
        <v>126409.27899999999</v>
      </c>
      <c r="E804" t="s">
        <v>6</v>
      </c>
      <c r="F804" t="s">
        <v>53</v>
      </c>
      <c r="G804" t="s">
        <v>5</v>
      </c>
    </row>
    <row r="805" spans="1:7" x14ac:dyDescent="0.3">
      <c r="A805" t="s">
        <v>15</v>
      </c>
      <c r="B805" s="1">
        <v>45900</v>
      </c>
      <c r="C805">
        <v>510021</v>
      </c>
      <c r="D805">
        <v>20893.210999999999</v>
      </c>
      <c r="E805" t="s">
        <v>6</v>
      </c>
      <c r="F805" t="s">
        <v>53</v>
      </c>
      <c r="G805" t="s">
        <v>5</v>
      </c>
    </row>
    <row r="806" spans="1:7" x14ac:dyDescent="0.3">
      <c r="A806" t="s">
        <v>15</v>
      </c>
      <c r="B806" s="1">
        <v>45900</v>
      </c>
      <c r="C806">
        <v>510026</v>
      </c>
      <c r="D806">
        <v>47805.9</v>
      </c>
      <c r="E806" t="s">
        <v>6</v>
      </c>
      <c r="F806" t="s">
        <v>53</v>
      </c>
      <c r="G806" t="s">
        <v>5</v>
      </c>
    </row>
    <row r="807" spans="1:7" x14ac:dyDescent="0.3">
      <c r="A807" t="s">
        <v>15</v>
      </c>
      <c r="B807" s="1">
        <v>45900</v>
      </c>
      <c r="C807">
        <v>510046</v>
      </c>
      <c r="D807">
        <v>13.898</v>
      </c>
      <c r="E807" t="s">
        <v>6</v>
      </c>
      <c r="F807" t="s">
        <v>53</v>
      </c>
      <c r="G807" t="s">
        <v>5</v>
      </c>
    </row>
    <row r="808" spans="1:7" x14ac:dyDescent="0.3">
      <c r="A808" t="s">
        <v>15</v>
      </c>
      <c r="B808" s="1">
        <v>45900</v>
      </c>
      <c r="C808">
        <v>510048</v>
      </c>
      <c r="D808">
        <v>16011.235000000001</v>
      </c>
      <c r="E808" t="s">
        <v>6</v>
      </c>
      <c r="F808" t="s">
        <v>61</v>
      </c>
      <c r="G808" t="s">
        <v>5</v>
      </c>
    </row>
    <row r="809" spans="1:7" x14ac:dyDescent="0.3">
      <c r="A809" t="s">
        <v>15</v>
      </c>
      <c r="B809" s="1">
        <v>45900</v>
      </c>
      <c r="C809">
        <v>510049</v>
      </c>
      <c r="D809">
        <v>492.892</v>
      </c>
      <c r="E809" t="s">
        <v>6</v>
      </c>
      <c r="F809" t="s">
        <v>60</v>
      </c>
      <c r="G809" t="s">
        <v>5</v>
      </c>
    </row>
    <row r="810" spans="1:7" x14ac:dyDescent="0.3">
      <c r="A810" t="s">
        <v>15</v>
      </c>
      <c r="B810" s="1">
        <v>45900</v>
      </c>
      <c r="C810">
        <v>510057</v>
      </c>
      <c r="D810">
        <v>1842.384</v>
      </c>
      <c r="E810" t="s">
        <v>6</v>
      </c>
      <c r="F810" t="s">
        <v>53</v>
      </c>
      <c r="G810" t="s">
        <v>5</v>
      </c>
    </row>
    <row r="811" spans="1:7" x14ac:dyDescent="0.3">
      <c r="A811" t="s">
        <v>15</v>
      </c>
      <c r="B811" s="1">
        <v>45900</v>
      </c>
      <c r="C811">
        <v>510059</v>
      </c>
      <c r="D811">
        <v>17435.278999999999</v>
      </c>
      <c r="E811" t="s">
        <v>6</v>
      </c>
      <c r="F811" t="s">
        <v>53</v>
      </c>
      <c r="G811" t="s">
        <v>5</v>
      </c>
    </row>
    <row r="812" spans="1:7" x14ac:dyDescent="0.3">
      <c r="A812" t="s">
        <v>15</v>
      </c>
      <c r="B812" s="1">
        <v>45900</v>
      </c>
      <c r="C812">
        <v>510060</v>
      </c>
      <c r="D812">
        <v>-42040.822</v>
      </c>
      <c r="E812" t="s">
        <v>6</v>
      </c>
      <c r="F812" t="s">
        <v>53</v>
      </c>
      <c r="G812" t="s">
        <v>5</v>
      </c>
    </row>
    <row r="813" spans="1:7" x14ac:dyDescent="0.3">
      <c r="A813" t="s">
        <v>15</v>
      </c>
      <c r="B813" s="1">
        <v>45900</v>
      </c>
      <c r="C813">
        <v>510062</v>
      </c>
      <c r="D813">
        <v>49572.671000000002</v>
      </c>
      <c r="E813" t="s">
        <v>6</v>
      </c>
      <c r="F813" t="s">
        <v>53</v>
      </c>
      <c r="G813" t="s">
        <v>5</v>
      </c>
    </row>
    <row r="814" spans="1:7" x14ac:dyDescent="0.3">
      <c r="A814" t="s">
        <v>15</v>
      </c>
      <c r="B814" s="1">
        <v>45900</v>
      </c>
      <c r="C814">
        <v>510063</v>
      </c>
      <c r="D814">
        <v>23463.455000000002</v>
      </c>
      <c r="E814" t="s">
        <v>6</v>
      </c>
      <c r="F814" t="s">
        <v>53</v>
      </c>
      <c r="G814" t="s">
        <v>5</v>
      </c>
    </row>
    <row r="815" spans="1:7" x14ac:dyDescent="0.3">
      <c r="A815" t="s">
        <v>15</v>
      </c>
      <c r="B815" s="1">
        <v>45900</v>
      </c>
      <c r="C815">
        <v>510064</v>
      </c>
      <c r="D815">
        <v>179380.23800000001</v>
      </c>
      <c r="E815" t="s">
        <v>6</v>
      </c>
      <c r="F815" t="s">
        <v>53</v>
      </c>
      <c r="G815" t="s">
        <v>5</v>
      </c>
    </row>
    <row r="816" spans="1:7" x14ac:dyDescent="0.3">
      <c r="A816" t="s">
        <v>15</v>
      </c>
      <c r="B816" s="1">
        <v>45900</v>
      </c>
      <c r="C816">
        <v>520020</v>
      </c>
      <c r="D816">
        <v>11570.323</v>
      </c>
      <c r="E816" t="s">
        <v>6</v>
      </c>
      <c r="F816" t="s">
        <v>53</v>
      </c>
      <c r="G816" t="s">
        <v>5</v>
      </c>
    </row>
    <row r="817" spans="1:7" x14ac:dyDescent="0.3">
      <c r="A817" t="s">
        <v>15</v>
      </c>
      <c r="B817" s="1">
        <v>45900</v>
      </c>
      <c r="C817">
        <v>520021</v>
      </c>
      <c r="D817">
        <v>3968.069</v>
      </c>
      <c r="E817" t="s">
        <v>6</v>
      </c>
      <c r="F817" t="s">
        <v>60</v>
      </c>
      <c r="G817" t="s">
        <v>5</v>
      </c>
    </row>
    <row r="818" spans="1:7" x14ac:dyDescent="0.3">
      <c r="A818" t="s">
        <v>15</v>
      </c>
      <c r="B818" s="1">
        <v>45900</v>
      </c>
      <c r="C818">
        <v>520022</v>
      </c>
      <c r="D818">
        <v>2630.5239999999999</v>
      </c>
      <c r="E818" t="s">
        <v>6</v>
      </c>
      <c r="F818" t="s">
        <v>53</v>
      </c>
      <c r="G818" t="s">
        <v>5</v>
      </c>
    </row>
    <row r="819" spans="1:7" x14ac:dyDescent="0.3">
      <c r="A819" t="s">
        <v>15</v>
      </c>
      <c r="B819" s="1">
        <v>45900</v>
      </c>
      <c r="C819">
        <v>520037</v>
      </c>
      <c r="D819">
        <v>11268.965</v>
      </c>
      <c r="E819" t="s">
        <v>6</v>
      </c>
      <c r="F819" t="s">
        <v>53</v>
      </c>
      <c r="G819" t="s">
        <v>5</v>
      </c>
    </row>
    <row r="820" spans="1:7" x14ac:dyDescent="0.3">
      <c r="A820" t="s">
        <v>15</v>
      </c>
      <c r="B820" s="1">
        <v>45900</v>
      </c>
      <c r="C820">
        <v>521002</v>
      </c>
      <c r="D820">
        <v>0</v>
      </c>
      <c r="E820" t="s">
        <v>6</v>
      </c>
      <c r="F820" t="s">
        <v>53</v>
      </c>
      <c r="G820" t="s">
        <v>5</v>
      </c>
    </row>
    <row r="821" spans="1:7" x14ac:dyDescent="0.3">
      <c r="A821" t="s">
        <v>15</v>
      </c>
      <c r="B821" s="1">
        <v>45900</v>
      </c>
      <c r="C821">
        <v>521003</v>
      </c>
      <c r="D821">
        <v>0</v>
      </c>
      <c r="E821" t="s">
        <v>6</v>
      </c>
      <c r="F821" t="s">
        <v>53</v>
      </c>
      <c r="G821" t="s">
        <v>5</v>
      </c>
    </row>
    <row r="822" spans="1:7" x14ac:dyDescent="0.3">
      <c r="A822" t="s">
        <v>15</v>
      </c>
      <c r="B822" s="1">
        <v>45900</v>
      </c>
      <c r="C822">
        <v>540004</v>
      </c>
      <c r="D822">
        <v>269.48099999999999</v>
      </c>
      <c r="E822" t="s">
        <v>6</v>
      </c>
      <c r="F822" t="s">
        <v>67</v>
      </c>
      <c r="G822" t="s">
        <v>5</v>
      </c>
    </row>
    <row r="823" spans="1:7" x14ac:dyDescent="0.3">
      <c r="A823" t="s">
        <v>15</v>
      </c>
      <c r="B823" s="1">
        <v>45900</v>
      </c>
      <c r="C823">
        <v>540008</v>
      </c>
      <c r="D823">
        <v>57925.713000000003</v>
      </c>
      <c r="E823" t="s">
        <v>6</v>
      </c>
      <c r="F823" t="s">
        <v>67</v>
      </c>
      <c r="G823" t="s">
        <v>5</v>
      </c>
    </row>
    <row r="824" spans="1:7" x14ac:dyDescent="0.3">
      <c r="A824" t="s">
        <v>15</v>
      </c>
      <c r="B824" s="1">
        <v>45900</v>
      </c>
      <c r="C824">
        <v>541003</v>
      </c>
      <c r="D824">
        <v>41493.741000000002</v>
      </c>
      <c r="E824" t="s">
        <v>6</v>
      </c>
      <c r="F824" t="s">
        <v>61</v>
      </c>
      <c r="G824" t="s">
        <v>5</v>
      </c>
    </row>
    <row r="825" spans="1:7" x14ac:dyDescent="0.3">
      <c r="A825" t="s">
        <v>15</v>
      </c>
      <c r="B825" s="1">
        <v>45900</v>
      </c>
      <c r="C825">
        <v>541004</v>
      </c>
      <c r="D825">
        <v>13937.397000000001</v>
      </c>
      <c r="E825" t="s">
        <v>6</v>
      </c>
      <c r="F825" t="s">
        <v>61</v>
      </c>
      <c r="G825" t="s">
        <v>5</v>
      </c>
    </row>
    <row r="826" spans="1:7" x14ac:dyDescent="0.3">
      <c r="A826" t="s">
        <v>15</v>
      </c>
      <c r="B826" s="1">
        <v>45900</v>
      </c>
      <c r="C826">
        <v>541008</v>
      </c>
      <c r="D826">
        <v>17607.668000000001</v>
      </c>
      <c r="E826" t="s">
        <v>6</v>
      </c>
      <c r="F826" t="s">
        <v>61</v>
      </c>
      <c r="G826" t="s">
        <v>5</v>
      </c>
    </row>
    <row r="827" spans="1:7" x14ac:dyDescent="0.3">
      <c r="A827" t="s">
        <v>15</v>
      </c>
      <c r="B827" s="1">
        <v>45900</v>
      </c>
      <c r="C827">
        <v>541009</v>
      </c>
      <c r="D827">
        <v>-2526.2579999999998</v>
      </c>
      <c r="E827" t="s">
        <v>6</v>
      </c>
      <c r="F827" t="s">
        <v>61</v>
      </c>
      <c r="G827" t="s">
        <v>5</v>
      </c>
    </row>
    <row r="828" spans="1:7" x14ac:dyDescent="0.3">
      <c r="A828" t="s">
        <v>15</v>
      </c>
      <c r="B828" s="1">
        <v>45900</v>
      </c>
      <c r="C828">
        <v>541010</v>
      </c>
      <c r="D828">
        <v>32359.096000000001</v>
      </c>
      <c r="E828" t="s">
        <v>6</v>
      </c>
      <c r="F828" t="s">
        <v>61</v>
      </c>
      <c r="G828" t="s">
        <v>5</v>
      </c>
    </row>
    <row r="829" spans="1:7" x14ac:dyDescent="0.3">
      <c r="A829" t="s">
        <v>15</v>
      </c>
      <c r="B829" s="1">
        <v>45900</v>
      </c>
      <c r="C829">
        <v>541013</v>
      </c>
      <c r="D829">
        <v>57069.567000000003</v>
      </c>
      <c r="E829" t="s">
        <v>6</v>
      </c>
      <c r="F829" t="s">
        <v>61</v>
      </c>
      <c r="G829" t="s">
        <v>5</v>
      </c>
    </row>
    <row r="830" spans="1:7" x14ac:dyDescent="0.3">
      <c r="A830" t="s">
        <v>15</v>
      </c>
      <c r="B830" s="1">
        <v>45900</v>
      </c>
      <c r="C830">
        <v>541021</v>
      </c>
      <c r="D830">
        <v>-26709.441999999999</v>
      </c>
      <c r="E830" t="s">
        <v>6</v>
      </c>
      <c r="F830" t="s">
        <v>61</v>
      </c>
      <c r="G830" t="s">
        <v>5</v>
      </c>
    </row>
    <row r="831" spans="1:7" x14ac:dyDescent="0.3">
      <c r="A831" t="s">
        <v>15</v>
      </c>
      <c r="B831" s="1">
        <v>45900</v>
      </c>
      <c r="C831">
        <v>541022</v>
      </c>
      <c r="D831">
        <v>1417.1410000000001</v>
      </c>
      <c r="E831" t="s">
        <v>6</v>
      </c>
      <c r="F831" t="s">
        <v>61</v>
      </c>
      <c r="G831" t="s">
        <v>5</v>
      </c>
    </row>
    <row r="832" spans="1:7" x14ac:dyDescent="0.3">
      <c r="A832" t="s">
        <v>15</v>
      </c>
      <c r="B832" s="1">
        <v>45900</v>
      </c>
      <c r="C832">
        <v>544002</v>
      </c>
      <c r="D832">
        <v>22372.225999999999</v>
      </c>
      <c r="E832" t="s">
        <v>6</v>
      </c>
      <c r="F832" t="s">
        <v>61</v>
      </c>
      <c r="G832" t="s">
        <v>5</v>
      </c>
    </row>
    <row r="833" spans="1:7" x14ac:dyDescent="0.3">
      <c r="A833" t="s">
        <v>15</v>
      </c>
      <c r="B833" s="1">
        <v>45900</v>
      </c>
      <c r="C833">
        <v>544003</v>
      </c>
      <c r="D833">
        <v>12919.058000000001</v>
      </c>
      <c r="E833" t="s">
        <v>6</v>
      </c>
      <c r="F833" t="s">
        <v>61</v>
      </c>
      <c r="G833" t="s">
        <v>5</v>
      </c>
    </row>
    <row r="834" spans="1:7" x14ac:dyDescent="0.3">
      <c r="A834" t="s">
        <v>15</v>
      </c>
      <c r="B834" s="1">
        <v>45900</v>
      </c>
      <c r="C834">
        <v>544006</v>
      </c>
      <c r="D834">
        <v>-944.74900000000002</v>
      </c>
      <c r="E834" t="s">
        <v>6</v>
      </c>
      <c r="F834" t="s">
        <v>61</v>
      </c>
      <c r="G834" t="s">
        <v>5</v>
      </c>
    </row>
    <row r="835" spans="1:7" x14ac:dyDescent="0.3">
      <c r="A835" t="s">
        <v>15</v>
      </c>
      <c r="B835" s="1">
        <v>45900</v>
      </c>
      <c r="C835">
        <v>547002</v>
      </c>
      <c r="D835">
        <v>108822.74</v>
      </c>
      <c r="E835" t="s">
        <v>6</v>
      </c>
      <c r="F835" t="s">
        <v>54</v>
      </c>
      <c r="G835" t="s">
        <v>5</v>
      </c>
    </row>
    <row r="836" spans="1:7" x14ac:dyDescent="0.3">
      <c r="A836" t="s">
        <v>15</v>
      </c>
      <c r="B836" s="1">
        <v>45900</v>
      </c>
      <c r="C836">
        <v>547006</v>
      </c>
      <c r="D836">
        <v>115792.673</v>
      </c>
      <c r="E836" t="s">
        <v>6</v>
      </c>
      <c r="F836" t="s">
        <v>54</v>
      </c>
      <c r="G836" t="s">
        <v>5</v>
      </c>
    </row>
    <row r="837" spans="1:7" x14ac:dyDescent="0.3">
      <c r="A837" t="s">
        <v>15</v>
      </c>
      <c r="B837" s="1">
        <v>45900</v>
      </c>
      <c r="C837">
        <v>547011</v>
      </c>
      <c r="D837">
        <v>995.82399999999996</v>
      </c>
      <c r="E837" t="s">
        <v>6</v>
      </c>
      <c r="F837" t="s">
        <v>54</v>
      </c>
      <c r="G837" t="s">
        <v>5</v>
      </c>
    </row>
    <row r="838" spans="1:7" x14ac:dyDescent="0.3">
      <c r="A838" t="s">
        <v>15</v>
      </c>
      <c r="B838" s="1">
        <v>45900</v>
      </c>
      <c r="C838">
        <v>550002</v>
      </c>
      <c r="D838">
        <v>143438.247</v>
      </c>
      <c r="E838" t="s">
        <v>6</v>
      </c>
      <c r="F838" t="s">
        <v>62</v>
      </c>
      <c r="G838" t="s">
        <v>5</v>
      </c>
    </row>
    <row r="839" spans="1:7" x14ac:dyDescent="0.3">
      <c r="A839" t="s">
        <v>15</v>
      </c>
      <c r="B839" s="1">
        <v>45900</v>
      </c>
      <c r="C839">
        <v>550003</v>
      </c>
      <c r="D839">
        <v>96947.608999999997</v>
      </c>
      <c r="E839" t="s">
        <v>6</v>
      </c>
      <c r="F839" t="s">
        <v>62</v>
      </c>
      <c r="G839" t="s">
        <v>5</v>
      </c>
    </row>
    <row r="840" spans="1:7" x14ac:dyDescent="0.3">
      <c r="A840" t="s">
        <v>15</v>
      </c>
      <c r="B840" s="1">
        <v>45900</v>
      </c>
      <c r="C840">
        <v>550004</v>
      </c>
      <c r="D840">
        <v>8146.0050000000001</v>
      </c>
      <c r="E840" t="s">
        <v>6</v>
      </c>
      <c r="F840" t="s">
        <v>62</v>
      </c>
      <c r="G840" t="s">
        <v>5</v>
      </c>
    </row>
    <row r="841" spans="1:7" x14ac:dyDescent="0.3">
      <c r="A841" t="s">
        <v>15</v>
      </c>
      <c r="B841" s="1">
        <v>45900</v>
      </c>
      <c r="C841">
        <v>550007</v>
      </c>
      <c r="D841">
        <v>-556.30899999999997</v>
      </c>
      <c r="E841" t="s">
        <v>6</v>
      </c>
      <c r="F841" t="s">
        <v>62</v>
      </c>
      <c r="G841" t="s">
        <v>5</v>
      </c>
    </row>
    <row r="842" spans="1:7" x14ac:dyDescent="0.3">
      <c r="A842" t="s">
        <v>15</v>
      </c>
      <c r="B842" s="1">
        <v>45900</v>
      </c>
      <c r="C842">
        <v>551002</v>
      </c>
      <c r="D842">
        <v>24307.370999999999</v>
      </c>
      <c r="E842" t="s">
        <v>6</v>
      </c>
      <c r="F842" t="s">
        <v>63</v>
      </c>
      <c r="G842" t="s">
        <v>5</v>
      </c>
    </row>
    <row r="843" spans="1:7" x14ac:dyDescent="0.3">
      <c r="A843" t="s">
        <v>15</v>
      </c>
      <c r="B843" s="1">
        <v>45900</v>
      </c>
      <c r="C843">
        <v>551003</v>
      </c>
      <c r="D843">
        <v>230837.065</v>
      </c>
      <c r="E843" t="s">
        <v>6</v>
      </c>
      <c r="F843" t="s">
        <v>63</v>
      </c>
      <c r="G843" t="s">
        <v>5</v>
      </c>
    </row>
    <row r="844" spans="1:7" x14ac:dyDescent="0.3">
      <c r="A844" t="s">
        <v>15</v>
      </c>
      <c r="B844" s="1">
        <v>45900</v>
      </c>
      <c r="C844">
        <v>551007</v>
      </c>
      <c r="D844">
        <v>124</v>
      </c>
      <c r="E844" t="s">
        <v>6</v>
      </c>
      <c r="F844" t="s">
        <v>63</v>
      </c>
      <c r="G844" t="s">
        <v>5</v>
      </c>
    </row>
    <row r="845" spans="1:7" x14ac:dyDescent="0.3">
      <c r="A845" t="s">
        <v>15</v>
      </c>
      <c r="B845" s="1">
        <v>45900</v>
      </c>
      <c r="C845">
        <v>551008</v>
      </c>
      <c r="D845">
        <v>17186.955000000002</v>
      </c>
      <c r="E845" t="s">
        <v>6</v>
      </c>
      <c r="F845" t="s">
        <v>63</v>
      </c>
      <c r="G845" t="s">
        <v>5</v>
      </c>
    </row>
    <row r="846" spans="1:7" x14ac:dyDescent="0.3">
      <c r="A846" t="s">
        <v>15</v>
      </c>
      <c r="B846" s="1">
        <v>45900</v>
      </c>
      <c r="C846">
        <v>551011</v>
      </c>
      <c r="D846">
        <v>3652.6840000000002</v>
      </c>
      <c r="E846" t="s">
        <v>6</v>
      </c>
      <c r="F846" t="s">
        <v>61</v>
      </c>
      <c r="G846" t="s">
        <v>5</v>
      </c>
    </row>
    <row r="847" spans="1:7" x14ac:dyDescent="0.3">
      <c r="A847" t="s">
        <v>15</v>
      </c>
      <c r="B847" s="1">
        <v>45900</v>
      </c>
      <c r="C847">
        <v>551012</v>
      </c>
      <c r="D847">
        <v>12421.528</v>
      </c>
      <c r="E847" t="s">
        <v>6</v>
      </c>
      <c r="F847" t="s">
        <v>63</v>
      </c>
      <c r="G847" t="s">
        <v>5</v>
      </c>
    </row>
    <row r="848" spans="1:7" x14ac:dyDescent="0.3">
      <c r="A848" t="s">
        <v>15</v>
      </c>
      <c r="B848" s="1">
        <v>45900</v>
      </c>
      <c r="C848">
        <v>551014</v>
      </c>
      <c r="D848">
        <v>9922.1440000000002</v>
      </c>
      <c r="E848" t="s">
        <v>6</v>
      </c>
      <c r="F848" t="s">
        <v>63</v>
      </c>
      <c r="G848" t="s">
        <v>5</v>
      </c>
    </row>
    <row r="849" spans="1:7" x14ac:dyDescent="0.3">
      <c r="A849" t="s">
        <v>15</v>
      </c>
      <c r="B849" s="1">
        <v>45900</v>
      </c>
      <c r="C849">
        <v>552002</v>
      </c>
      <c r="D849">
        <v>47205.372000000003</v>
      </c>
      <c r="E849" t="s">
        <v>6</v>
      </c>
      <c r="F849" t="s">
        <v>55</v>
      </c>
      <c r="G849" t="s">
        <v>5</v>
      </c>
    </row>
    <row r="850" spans="1:7" x14ac:dyDescent="0.3">
      <c r="A850" t="s">
        <v>15</v>
      </c>
      <c r="B850" s="1">
        <v>45900</v>
      </c>
      <c r="C850">
        <v>552502</v>
      </c>
      <c r="D850">
        <v>-2894.3539999999998</v>
      </c>
      <c r="E850" t="s">
        <v>6</v>
      </c>
      <c r="F850" t="s">
        <v>55</v>
      </c>
      <c r="G850" t="s">
        <v>5</v>
      </c>
    </row>
    <row r="851" spans="1:7" x14ac:dyDescent="0.3">
      <c r="A851" t="s">
        <v>15</v>
      </c>
      <c r="B851" s="1">
        <v>45900</v>
      </c>
      <c r="C851">
        <v>552503</v>
      </c>
      <c r="D851">
        <v>2825.982</v>
      </c>
      <c r="E851" t="s">
        <v>6</v>
      </c>
      <c r="F851" t="s">
        <v>55</v>
      </c>
      <c r="G851" t="s">
        <v>5</v>
      </c>
    </row>
    <row r="852" spans="1:7" x14ac:dyDescent="0.3">
      <c r="A852" t="s">
        <v>15</v>
      </c>
      <c r="B852" s="1">
        <v>45900</v>
      </c>
      <c r="C852">
        <v>552504</v>
      </c>
      <c r="D852">
        <v>1065.9880000000001</v>
      </c>
      <c r="E852" t="s">
        <v>6</v>
      </c>
      <c r="F852" t="s">
        <v>55</v>
      </c>
      <c r="G852" t="s">
        <v>5</v>
      </c>
    </row>
    <row r="853" spans="1:7" x14ac:dyDescent="0.3">
      <c r="A853" t="s">
        <v>15</v>
      </c>
      <c r="B853" s="1">
        <v>45900</v>
      </c>
      <c r="C853">
        <v>554002</v>
      </c>
      <c r="D853">
        <v>38847.447999999997</v>
      </c>
      <c r="E853" t="s">
        <v>6</v>
      </c>
      <c r="F853" t="s">
        <v>55</v>
      </c>
      <c r="G853" t="s">
        <v>5</v>
      </c>
    </row>
    <row r="854" spans="1:7" x14ac:dyDescent="0.3">
      <c r="A854" t="s">
        <v>15</v>
      </c>
      <c r="B854" s="1">
        <v>45900</v>
      </c>
      <c r="C854">
        <v>554003</v>
      </c>
      <c r="D854">
        <v>38214.855000000003</v>
      </c>
      <c r="E854" t="s">
        <v>6</v>
      </c>
      <c r="F854" t="s">
        <v>55</v>
      </c>
      <c r="G854" t="s">
        <v>5</v>
      </c>
    </row>
    <row r="855" spans="1:7" x14ac:dyDescent="0.3">
      <c r="A855" t="s">
        <v>15</v>
      </c>
      <c r="B855" s="1">
        <v>45900</v>
      </c>
      <c r="C855">
        <v>554004</v>
      </c>
      <c r="D855">
        <v>35596.839999999997</v>
      </c>
      <c r="E855" t="s">
        <v>6</v>
      </c>
      <c r="F855" t="s">
        <v>55</v>
      </c>
      <c r="G855" t="s">
        <v>5</v>
      </c>
    </row>
    <row r="856" spans="1:7" x14ac:dyDescent="0.3">
      <c r="A856" t="s">
        <v>15</v>
      </c>
      <c r="B856" s="1">
        <v>45900</v>
      </c>
      <c r="C856">
        <v>554005</v>
      </c>
      <c r="D856">
        <v>6986.3760000000002</v>
      </c>
      <c r="E856" t="s">
        <v>6</v>
      </c>
      <c r="F856" t="s">
        <v>55</v>
      </c>
      <c r="G856" t="s">
        <v>5</v>
      </c>
    </row>
    <row r="857" spans="1:7" x14ac:dyDescent="0.3">
      <c r="A857" t="s">
        <v>15</v>
      </c>
      <c r="B857" s="1">
        <v>45900</v>
      </c>
      <c r="C857">
        <v>554006</v>
      </c>
      <c r="D857">
        <v>5289.5389999999998</v>
      </c>
      <c r="E857" t="s">
        <v>6</v>
      </c>
      <c r="F857" t="s">
        <v>55</v>
      </c>
      <c r="G857" t="s">
        <v>5</v>
      </c>
    </row>
    <row r="858" spans="1:7" x14ac:dyDescent="0.3">
      <c r="A858" t="s">
        <v>15</v>
      </c>
      <c r="B858" s="1">
        <v>45900</v>
      </c>
      <c r="C858">
        <v>554007</v>
      </c>
      <c r="D858">
        <v>335576.74300000002</v>
      </c>
      <c r="E858" t="s">
        <v>6</v>
      </c>
      <c r="F858" t="s">
        <v>55</v>
      </c>
      <c r="G858" t="s">
        <v>5</v>
      </c>
    </row>
    <row r="859" spans="1:7" x14ac:dyDescent="0.3">
      <c r="A859" t="s">
        <v>15</v>
      </c>
      <c r="B859" s="1">
        <v>45900</v>
      </c>
      <c r="C859">
        <v>554008</v>
      </c>
      <c r="D859">
        <v>1261.2660000000001</v>
      </c>
      <c r="E859" t="s">
        <v>6</v>
      </c>
      <c r="F859" t="s">
        <v>55</v>
      </c>
      <c r="G859" t="s">
        <v>5</v>
      </c>
    </row>
    <row r="860" spans="1:7" x14ac:dyDescent="0.3">
      <c r="A860" t="s">
        <v>15</v>
      </c>
      <c r="B860" s="1">
        <v>45900</v>
      </c>
      <c r="C860">
        <v>555002</v>
      </c>
      <c r="D860">
        <v>182.48099999999999</v>
      </c>
      <c r="E860" t="s">
        <v>6</v>
      </c>
      <c r="F860" t="s">
        <v>55</v>
      </c>
      <c r="G860" t="s">
        <v>5</v>
      </c>
    </row>
    <row r="861" spans="1:7" x14ac:dyDescent="0.3">
      <c r="A861" t="s">
        <v>15</v>
      </c>
      <c r="B861" s="1">
        <v>45900</v>
      </c>
      <c r="C861">
        <v>555003</v>
      </c>
      <c r="D861">
        <v>76.016999999999996</v>
      </c>
      <c r="E861" t="s">
        <v>6</v>
      </c>
      <c r="F861" t="s">
        <v>55</v>
      </c>
      <c r="G861" t="s">
        <v>5</v>
      </c>
    </row>
    <row r="862" spans="1:7" x14ac:dyDescent="0.3">
      <c r="A862" t="s">
        <v>15</v>
      </c>
      <c r="B862" s="1">
        <v>45900</v>
      </c>
      <c r="C862">
        <v>555004</v>
      </c>
      <c r="D862">
        <v>17.648</v>
      </c>
      <c r="E862" t="s">
        <v>6</v>
      </c>
      <c r="F862" t="s">
        <v>55</v>
      </c>
      <c r="G862" t="s">
        <v>5</v>
      </c>
    </row>
    <row r="863" spans="1:7" x14ac:dyDescent="0.3">
      <c r="A863" t="s">
        <v>15</v>
      </c>
      <c r="B863" s="1">
        <v>45900</v>
      </c>
      <c r="C863">
        <v>555005</v>
      </c>
      <c r="D863">
        <v>1367.9580000000001</v>
      </c>
      <c r="E863" t="s">
        <v>6</v>
      </c>
      <c r="F863" t="s">
        <v>55</v>
      </c>
      <c r="G863" t="s">
        <v>5</v>
      </c>
    </row>
    <row r="864" spans="1:7" x14ac:dyDescent="0.3">
      <c r="A864" t="s">
        <v>15</v>
      </c>
      <c r="B864" s="1">
        <v>45900</v>
      </c>
      <c r="C864">
        <v>555007</v>
      </c>
      <c r="D864">
        <v>10243.862999999999</v>
      </c>
      <c r="E864" t="s">
        <v>6</v>
      </c>
      <c r="F864" t="s">
        <v>55</v>
      </c>
      <c r="G864" t="s">
        <v>5</v>
      </c>
    </row>
    <row r="865" spans="1:7" x14ac:dyDescent="0.3">
      <c r="A865" t="s">
        <v>15</v>
      </c>
      <c r="B865" s="1">
        <v>45900</v>
      </c>
      <c r="C865">
        <v>555008</v>
      </c>
      <c r="D865">
        <v>966.10199999999998</v>
      </c>
      <c r="E865" t="s">
        <v>6</v>
      </c>
      <c r="F865" t="s">
        <v>55</v>
      </c>
      <c r="G865" t="s">
        <v>5</v>
      </c>
    </row>
    <row r="866" spans="1:7" x14ac:dyDescent="0.3">
      <c r="A866" t="s">
        <v>15</v>
      </c>
      <c r="B866" s="1">
        <v>45900</v>
      </c>
      <c r="C866">
        <v>555009</v>
      </c>
      <c r="D866">
        <v>29318.748</v>
      </c>
      <c r="E866" t="s">
        <v>6</v>
      </c>
      <c r="F866" t="s">
        <v>53</v>
      </c>
      <c r="G866" t="s">
        <v>5</v>
      </c>
    </row>
    <row r="867" spans="1:7" x14ac:dyDescent="0.3">
      <c r="A867" t="s">
        <v>15</v>
      </c>
      <c r="B867" s="1">
        <v>45900</v>
      </c>
      <c r="C867">
        <v>555010</v>
      </c>
      <c r="D867">
        <v>3587.598</v>
      </c>
      <c r="E867" t="s">
        <v>6</v>
      </c>
      <c r="F867" t="s">
        <v>55</v>
      </c>
      <c r="G867" t="s">
        <v>5</v>
      </c>
    </row>
    <row r="868" spans="1:7" x14ac:dyDescent="0.3">
      <c r="A868" t="s">
        <v>15</v>
      </c>
      <c r="B868" s="1">
        <v>45900</v>
      </c>
      <c r="C868">
        <v>555504</v>
      </c>
      <c r="D868">
        <v>1925.45</v>
      </c>
      <c r="E868" t="s">
        <v>6</v>
      </c>
      <c r="F868" t="s">
        <v>55</v>
      </c>
      <c r="G868" t="s">
        <v>5</v>
      </c>
    </row>
    <row r="869" spans="1:7" x14ac:dyDescent="0.3">
      <c r="A869" t="s">
        <v>15</v>
      </c>
      <c r="B869" s="1">
        <v>45900</v>
      </c>
      <c r="C869">
        <v>555508</v>
      </c>
      <c r="D869">
        <v>6346.3950000000004</v>
      </c>
      <c r="E869" t="s">
        <v>6</v>
      </c>
      <c r="F869" t="s">
        <v>55</v>
      </c>
      <c r="G869" t="s">
        <v>5</v>
      </c>
    </row>
    <row r="870" spans="1:7" x14ac:dyDescent="0.3">
      <c r="A870" t="s">
        <v>15</v>
      </c>
      <c r="B870" s="1">
        <v>45900</v>
      </c>
      <c r="C870">
        <v>555511</v>
      </c>
      <c r="D870">
        <v>1664.549</v>
      </c>
      <c r="E870" t="s">
        <v>6</v>
      </c>
      <c r="F870" t="s">
        <v>55</v>
      </c>
      <c r="G870" t="s">
        <v>5</v>
      </c>
    </row>
    <row r="871" spans="1:7" x14ac:dyDescent="0.3">
      <c r="A871" t="s">
        <v>15</v>
      </c>
      <c r="B871" s="1">
        <v>45900</v>
      </c>
      <c r="C871">
        <v>556002</v>
      </c>
      <c r="D871">
        <v>18022.148000000001</v>
      </c>
      <c r="E871" t="s">
        <v>6</v>
      </c>
      <c r="F871" t="s">
        <v>60</v>
      </c>
      <c r="G871" t="s">
        <v>5</v>
      </c>
    </row>
    <row r="872" spans="1:7" x14ac:dyDescent="0.3">
      <c r="A872" t="s">
        <v>15</v>
      </c>
      <c r="B872" s="1">
        <v>45900</v>
      </c>
      <c r="C872">
        <v>556003</v>
      </c>
      <c r="D872">
        <v>28284.449000000001</v>
      </c>
      <c r="E872" t="s">
        <v>6</v>
      </c>
      <c r="F872" t="s">
        <v>55</v>
      </c>
      <c r="G872" t="s">
        <v>5</v>
      </c>
    </row>
    <row r="873" spans="1:7" x14ac:dyDescent="0.3">
      <c r="A873" t="s">
        <v>15</v>
      </c>
      <c r="B873" s="1">
        <v>45900</v>
      </c>
      <c r="C873">
        <v>556004</v>
      </c>
      <c r="D873">
        <v>10107.262000000001</v>
      </c>
      <c r="E873" t="s">
        <v>6</v>
      </c>
      <c r="F873" t="s">
        <v>55</v>
      </c>
      <c r="G873" t="s">
        <v>5</v>
      </c>
    </row>
    <row r="874" spans="1:7" x14ac:dyDescent="0.3">
      <c r="A874" t="s">
        <v>15</v>
      </c>
      <c r="B874" s="1">
        <v>45900</v>
      </c>
      <c r="C874">
        <v>557002</v>
      </c>
      <c r="D874">
        <v>477945.103</v>
      </c>
      <c r="E874" t="s">
        <v>6</v>
      </c>
      <c r="F874" t="s">
        <v>56</v>
      </c>
      <c r="G874" t="s">
        <v>5</v>
      </c>
    </row>
    <row r="875" spans="1:7" x14ac:dyDescent="0.3">
      <c r="A875" t="s">
        <v>15</v>
      </c>
      <c r="B875" s="1">
        <v>45900</v>
      </c>
      <c r="C875">
        <v>557003</v>
      </c>
      <c r="D875">
        <v>11842.645</v>
      </c>
      <c r="E875" t="s">
        <v>6</v>
      </c>
      <c r="F875" t="s">
        <v>56</v>
      </c>
      <c r="G875" t="s">
        <v>5</v>
      </c>
    </row>
    <row r="876" spans="1:7" x14ac:dyDescent="0.3">
      <c r="A876" t="s">
        <v>15</v>
      </c>
      <c r="B876" s="1">
        <v>45900</v>
      </c>
      <c r="C876">
        <v>557006</v>
      </c>
      <c r="D876">
        <v>3875</v>
      </c>
      <c r="E876" t="s">
        <v>6</v>
      </c>
      <c r="F876" t="s">
        <v>56</v>
      </c>
      <c r="G876" t="s">
        <v>5</v>
      </c>
    </row>
    <row r="877" spans="1:7" x14ac:dyDescent="0.3">
      <c r="A877" t="s">
        <v>15</v>
      </c>
      <c r="B877" s="1">
        <v>45900</v>
      </c>
      <c r="C877">
        <v>557008</v>
      </c>
      <c r="D877">
        <v>36.289000000000001</v>
      </c>
      <c r="E877" t="s">
        <v>6</v>
      </c>
      <c r="F877" t="s">
        <v>56</v>
      </c>
      <c r="G877" t="s">
        <v>5</v>
      </c>
    </row>
    <row r="878" spans="1:7" x14ac:dyDescent="0.3">
      <c r="A878" t="s">
        <v>15</v>
      </c>
      <c r="B878" s="1">
        <v>45900</v>
      </c>
      <c r="C878">
        <v>558003</v>
      </c>
      <c r="D878">
        <v>10976.102000000001</v>
      </c>
      <c r="E878" t="s">
        <v>6</v>
      </c>
      <c r="F878" t="s">
        <v>57</v>
      </c>
      <c r="G878" t="s">
        <v>5</v>
      </c>
    </row>
    <row r="879" spans="1:7" x14ac:dyDescent="0.3">
      <c r="A879" t="s">
        <v>15</v>
      </c>
      <c r="B879" s="1">
        <v>45900</v>
      </c>
      <c r="C879">
        <v>558006</v>
      </c>
      <c r="D879">
        <v>53012.298000000003</v>
      </c>
      <c r="E879" t="s">
        <v>6</v>
      </c>
      <c r="F879" t="s">
        <v>57</v>
      </c>
      <c r="G879" t="s">
        <v>5</v>
      </c>
    </row>
    <row r="880" spans="1:7" x14ac:dyDescent="0.3">
      <c r="A880" t="s">
        <v>15</v>
      </c>
      <c r="B880" s="1">
        <v>45900</v>
      </c>
      <c r="C880">
        <v>558011</v>
      </c>
      <c r="D880">
        <v>1334.2529999999999</v>
      </c>
      <c r="E880" t="s">
        <v>6</v>
      </c>
      <c r="F880" t="s">
        <v>57</v>
      </c>
      <c r="G880" t="s">
        <v>5</v>
      </c>
    </row>
    <row r="881" spans="1:7" x14ac:dyDescent="0.3">
      <c r="A881" t="s">
        <v>15</v>
      </c>
      <c r="B881" s="1">
        <v>45900</v>
      </c>
      <c r="C881">
        <v>558012</v>
      </c>
      <c r="D881">
        <v>755.95699999999999</v>
      </c>
      <c r="E881" t="s">
        <v>6</v>
      </c>
      <c r="F881" t="s">
        <v>60</v>
      </c>
      <c r="G881" t="s">
        <v>5</v>
      </c>
    </row>
    <row r="882" spans="1:7" x14ac:dyDescent="0.3">
      <c r="A882" t="s">
        <v>15</v>
      </c>
      <c r="B882" s="1">
        <v>45900</v>
      </c>
      <c r="C882">
        <v>559002</v>
      </c>
      <c r="D882">
        <v>3791.4690000000001</v>
      </c>
      <c r="E882" t="s">
        <v>6</v>
      </c>
      <c r="F882" t="s">
        <v>60</v>
      </c>
      <c r="G882" t="s">
        <v>5</v>
      </c>
    </row>
    <row r="883" spans="1:7" x14ac:dyDescent="0.3">
      <c r="A883" t="s">
        <v>15</v>
      </c>
      <c r="B883" s="1">
        <v>45900</v>
      </c>
      <c r="C883">
        <v>560002</v>
      </c>
      <c r="D883">
        <v>6604.12</v>
      </c>
      <c r="E883" t="s">
        <v>6</v>
      </c>
      <c r="F883" t="s">
        <v>56</v>
      </c>
      <c r="G883" t="s">
        <v>5</v>
      </c>
    </row>
    <row r="884" spans="1:7" x14ac:dyDescent="0.3">
      <c r="A884" t="s">
        <v>15</v>
      </c>
      <c r="B884" s="1">
        <v>45900</v>
      </c>
      <c r="C884">
        <v>560006</v>
      </c>
      <c r="D884">
        <v>1046.25</v>
      </c>
      <c r="E884" t="s">
        <v>6</v>
      </c>
      <c r="F884" t="s">
        <v>56</v>
      </c>
      <c r="G884" t="s">
        <v>5</v>
      </c>
    </row>
    <row r="885" spans="1:7" x14ac:dyDescent="0.3">
      <c r="A885" t="s">
        <v>15</v>
      </c>
      <c r="B885" s="1">
        <v>45900</v>
      </c>
      <c r="C885">
        <v>560007</v>
      </c>
      <c r="D885">
        <v>3012.2750000000001</v>
      </c>
      <c r="E885" t="s">
        <v>6</v>
      </c>
      <c r="F885" t="s">
        <v>56</v>
      </c>
      <c r="G885" t="s">
        <v>5</v>
      </c>
    </row>
    <row r="886" spans="1:7" x14ac:dyDescent="0.3">
      <c r="A886" t="s">
        <v>15</v>
      </c>
      <c r="B886" s="1">
        <v>45900</v>
      </c>
      <c r="C886">
        <v>561002</v>
      </c>
      <c r="D886">
        <v>-4224.7700000000004</v>
      </c>
      <c r="E886" t="s">
        <v>6</v>
      </c>
      <c r="F886" t="s">
        <v>70</v>
      </c>
      <c r="G886" t="s">
        <v>5</v>
      </c>
    </row>
    <row r="887" spans="1:7" x14ac:dyDescent="0.3">
      <c r="A887" t="s">
        <v>15</v>
      </c>
      <c r="B887" s="1">
        <v>45900</v>
      </c>
      <c r="C887">
        <v>562002</v>
      </c>
      <c r="D887">
        <v>5406.3559999999998</v>
      </c>
      <c r="E887" t="s">
        <v>6</v>
      </c>
      <c r="F887" t="s">
        <v>57</v>
      </c>
      <c r="G887" t="s">
        <v>5</v>
      </c>
    </row>
    <row r="888" spans="1:7" x14ac:dyDescent="0.3">
      <c r="A888" t="s">
        <v>15</v>
      </c>
      <c r="B888" s="1">
        <v>45900</v>
      </c>
      <c r="C888">
        <v>563002</v>
      </c>
      <c r="D888">
        <v>5166.4859999999999</v>
      </c>
      <c r="E888" t="s">
        <v>6</v>
      </c>
      <c r="F888" t="s">
        <v>57</v>
      </c>
      <c r="G888" t="s">
        <v>5</v>
      </c>
    </row>
    <row r="889" spans="1:7" x14ac:dyDescent="0.3">
      <c r="A889" t="s">
        <v>15</v>
      </c>
      <c r="B889" s="1">
        <v>45900</v>
      </c>
      <c r="C889">
        <v>564004</v>
      </c>
      <c r="D889">
        <v>-287171.96999999997</v>
      </c>
      <c r="E889" t="s">
        <v>6</v>
      </c>
      <c r="F889" t="s">
        <v>51</v>
      </c>
      <c r="G889" t="s">
        <v>5</v>
      </c>
    </row>
    <row r="890" spans="1:7" x14ac:dyDescent="0.3">
      <c r="A890" t="s">
        <v>15</v>
      </c>
      <c r="B890" s="1">
        <v>45900</v>
      </c>
      <c r="C890">
        <v>564005</v>
      </c>
      <c r="D890">
        <v>10656.258</v>
      </c>
      <c r="E890" t="s">
        <v>6</v>
      </c>
      <c r="F890" t="s">
        <v>56</v>
      </c>
      <c r="G890" t="s">
        <v>5</v>
      </c>
    </row>
    <row r="891" spans="1:7" x14ac:dyDescent="0.3">
      <c r="A891" t="s">
        <v>15</v>
      </c>
      <c r="B891" s="1">
        <v>45900</v>
      </c>
      <c r="C891">
        <v>564006</v>
      </c>
      <c r="D891">
        <v>9.7100000000000009</v>
      </c>
      <c r="E891" t="s">
        <v>6</v>
      </c>
      <c r="F891" t="s">
        <v>57</v>
      </c>
      <c r="G891" t="s">
        <v>5</v>
      </c>
    </row>
    <row r="892" spans="1:7" x14ac:dyDescent="0.3">
      <c r="A892" t="s">
        <v>15</v>
      </c>
      <c r="B892" s="1">
        <v>45900</v>
      </c>
      <c r="C892">
        <v>564008</v>
      </c>
      <c r="D892">
        <v>1191.0920000000001</v>
      </c>
      <c r="E892" t="s">
        <v>6</v>
      </c>
      <c r="F892" t="s">
        <v>55</v>
      </c>
      <c r="G892" t="s">
        <v>5</v>
      </c>
    </row>
    <row r="893" spans="1:7" x14ac:dyDescent="0.3">
      <c r="A893" t="s">
        <v>15</v>
      </c>
      <c r="B893" s="1">
        <v>45900</v>
      </c>
      <c r="C893">
        <v>564011</v>
      </c>
      <c r="D893">
        <v>876.41600000000005</v>
      </c>
      <c r="E893" t="s">
        <v>6</v>
      </c>
      <c r="F893" t="s">
        <v>55</v>
      </c>
      <c r="G893" t="s">
        <v>5</v>
      </c>
    </row>
    <row r="894" spans="1:7" x14ac:dyDescent="0.3">
      <c r="A894" t="s">
        <v>15</v>
      </c>
      <c r="B894" s="1">
        <v>45900</v>
      </c>
      <c r="C894">
        <v>564014</v>
      </c>
      <c r="D894">
        <v>2159.8589999999999</v>
      </c>
      <c r="E894" t="s">
        <v>6</v>
      </c>
      <c r="F894" t="s">
        <v>55</v>
      </c>
      <c r="G894" t="s">
        <v>5</v>
      </c>
    </row>
    <row r="895" spans="1:7" x14ac:dyDescent="0.3">
      <c r="A895" t="s">
        <v>15</v>
      </c>
      <c r="B895" s="1">
        <v>45900</v>
      </c>
      <c r="C895">
        <v>564015</v>
      </c>
      <c r="D895">
        <v>27440.437999999998</v>
      </c>
      <c r="E895" t="s">
        <v>6</v>
      </c>
      <c r="F895" t="s">
        <v>55</v>
      </c>
      <c r="G895" t="s">
        <v>5</v>
      </c>
    </row>
    <row r="896" spans="1:7" x14ac:dyDescent="0.3">
      <c r="A896" t="s">
        <v>15</v>
      </c>
      <c r="B896" s="1">
        <v>45900</v>
      </c>
      <c r="C896">
        <v>564016</v>
      </c>
      <c r="D896">
        <v>30589.635999999999</v>
      </c>
      <c r="E896" t="s">
        <v>6</v>
      </c>
      <c r="F896" t="s">
        <v>55</v>
      </c>
      <c r="G896" t="s">
        <v>5</v>
      </c>
    </row>
    <row r="897" spans="1:7" x14ac:dyDescent="0.3">
      <c r="A897" t="s">
        <v>15</v>
      </c>
      <c r="B897" s="1">
        <v>45900</v>
      </c>
      <c r="C897">
        <v>564017</v>
      </c>
      <c r="D897">
        <v>26146.342000000001</v>
      </c>
      <c r="E897" t="s">
        <v>6</v>
      </c>
      <c r="F897" t="s">
        <v>55</v>
      </c>
      <c r="G897" t="s">
        <v>5</v>
      </c>
    </row>
    <row r="898" spans="1:7" x14ac:dyDescent="0.3">
      <c r="A898" t="s">
        <v>15</v>
      </c>
      <c r="B898" s="1">
        <v>45900</v>
      </c>
      <c r="C898">
        <v>564019</v>
      </c>
      <c r="D898">
        <v>-61585.02</v>
      </c>
      <c r="E898" t="s">
        <v>6</v>
      </c>
      <c r="F898" t="s">
        <v>51</v>
      </c>
      <c r="G898" t="s">
        <v>5</v>
      </c>
    </row>
    <row r="899" spans="1:7" x14ac:dyDescent="0.3">
      <c r="A899" t="s">
        <v>15</v>
      </c>
      <c r="B899" s="1">
        <v>45900</v>
      </c>
      <c r="C899">
        <v>564020</v>
      </c>
      <c r="D899">
        <v>1714.828</v>
      </c>
      <c r="E899" t="s">
        <v>6</v>
      </c>
      <c r="F899" t="s">
        <v>57</v>
      </c>
      <c r="G899" t="s">
        <v>5</v>
      </c>
    </row>
    <row r="900" spans="1:7" x14ac:dyDescent="0.3">
      <c r="A900" t="s">
        <v>15</v>
      </c>
      <c r="B900" s="1">
        <v>45900</v>
      </c>
      <c r="C900">
        <v>564021</v>
      </c>
      <c r="D900">
        <v>246.34399999999999</v>
      </c>
      <c r="E900" t="s">
        <v>6</v>
      </c>
      <c r="F900" t="s">
        <v>57</v>
      </c>
      <c r="G900" t="s">
        <v>5</v>
      </c>
    </row>
    <row r="901" spans="1:7" x14ac:dyDescent="0.3">
      <c r="A901" t="s">
        <v>15</v>
      </c>
      <c r="B901" s="1">
        <v>45900</v>
      </c>
      <c r="C901">
        <v>564023</v>
      </c>
      <c r="D901">
        <v>3982.2510000000002</v>
      </c>
      <c r="E901" t="s">
        <v>6</v>
      </c>
      <c r="F901" t="s">
        <v>67</v>
      </c>
      <c r="G901" t="s">
        <v>5</v>
      </c>
    </row>
    <row r="902" spans="1:7" x14ac:dyDescent="0.3">
      <c r="A902" t="s">
        <v>15</v>
      </c>
      <c r="B902" s="1">
        <v>45900</v>
      </c>
      <c r="C902">
        <v>564030</v>
      </c>
      <c r="D902">
        <v>39016.756000000001</v>
      </c>
      <c r="E902" t="s">
        <v>6</v>
      </c>
      <c r="F902" t="s">
        <v>69</v>
      </c>
      <c r="G902" t="s">
        <v>5</v>
      </c>
    </row>
    <row r="903" spans="1:7" x14ac:dyDescent="0.3">
      <c r="A903" t="s">
        <v>15</v>
      </c>
      <c r="B903" s="1">
        <v>45900</v>
      </c>
      <c r="C903">
        <v>570002</v>
      </c>
      <c r="D903">
        <v>307315.44500000001</v>
      </c>
      <c r="E903" t="s">
        <v>6</v>
      </c>
      <c r="F903" t="s">
        <v>66</v>
      </c>
      <c r="G903" t="s">
        <v>5</v>
      </c>
    </row>
    <row r="904" spans="1:7" x14ac:dyDescent="0.3">
      <c r="A904" t="s">
        <v>15</v>
      </c>
      <c r="B904" s="1">
        <v>45900</v>
      </c>
      <c r="C904">
        <v>570004</v>
      </c>
      <c r="D904">
        <v>173389.10200000001</v>
      </c>
      <c r="E904" t="s">
        <v>6</v>
      </c>
      <c r="F904" t="s">
        <v>66</v>
      </c>
      <c r="G904" t="s">
        <v>5</v>
      </c>
    </row>
    <row r="905" spans="1:7" x14ac:dyDescent="0.3">
      <c r="A905" t="s">
        <v>15</v>
      </c>
      <c r="B905" s="1">
        <v>45900</v>
      </c>
      <c r="C905">
        <v>580002</v>
      </c>
      <c r="D905">
        <v>397205.212</v>
      </c>
      <c r="E905" t="s">
        <v>6</v>
      </c>
      <c r="F905" t="s">
        <v>64</v>
      </c>
      <c r="G905" t="s">
        <v>5</v>
      </c>
    </row>
    <row r="906" spans="1:7" x14ac:dyDescent="0.3">
      <c r="A906" t="s">
        <v>15</v>
      </c>
      <c r="B906" s="1">
        <v>45900</v>
      </c>
      <c r="C906">
        <v>580003</v>
      </c>
      <c r="D906">
        <v>-902.94299999999998</v>
      </c>
      <c r="E906" t="s">
        <v>6</v>
      </c>
      <c r="F906" t="s">
        <v>64</v>
      </c>
      <c r="G906" t="s">
        <v>5</v>
      </c>
    </row>
    <row r="907" spans="1:7" x14ac:dyDescent="0.3">
      <c r="A907" t="s">
        <v>15</v>
      </c>
      <c r="B907" s="1">
        <v>45900</v>
      </c>
      <c r="C907">
        <v>580005</v>
      </c>
      <c r="D907">
        <v>40.783999999999999</v>
      </c>
      <c r="E907" t="s">
        <v>6</v>
      </c>
      <c r="F907" t="s">
        <v>64</v>
      </c>
      <c r="G907" t="s">
        <v>5</v>
      </c>
    </row>
    <row r="908" spans="1:7" x14ac:dyDescent="0.3">
      <c r="A908" t="s">
        <v>15</v>
      </c>
      <c r="B908" s="1">
        <v>45900</v>
      </c>
      <c r="C908">
        <v>590002</v>
      </c>
      <c r="D908">
        <v>1302025.2120000001</v>
      </c>
      <c r="E908" t="s">
        <v>4</v>
      </c>
      <c r="F908" t="s">
        <v>42</v>
      </c>
      <c r="G908" t="s">
        <v>5</v>
      </c>
    </row>
    <row r="909" spans="1:7" x14ac:dyDescent="0.3">
      <c r="A909" t="s">
        <v>16</v>
      </c>
      <c r="B909" s="1">
        <v>45900</v>
      </c>
      <c r="C909">
        <v>210002</v>
      </c>
      <c r="D909">
        <v>47044.656000000003</v>
      </c>
      <c r="E909" t="s">
        <v>4</v>
      </c>
      <c r="F909" t="s">
        <v>42</v>
      </c>
      <c r="G909" t="s">
        <v>5</v>
      </c>
    </row>
    <row r="910" spans="1:7" x14ac:dyDescent="0.3">
      <c r="A910" t="s">
        <v>16</v>
      </c>
      <c r="B910" s="1">
        <v>45900</v>
      </c>
      <c r="C910">
        <v>220003</v>
      </c>
      <c r="D910">
        <v>-3170112.03</v>
      </c>
      <c r="E910" t="s">
        <v>4</v>
      </c>
      <c r="F910" t="s">
        <v>42</v>
      </c>
      <c r="G910" t="s">
        <v>5</v>
      </c>
    </row>
    <row r="911" spans="1:7" x14ac:dyDescent="0.3">
      <c r="A911" t="s">
        <v>16</v>
      </c>
      <c r="B911" s="1">
        <v>45900</v>
      </c>
      <c r="C911">
        <v>220004</v>
      </c>
      <c r="D911">
        <v>-707177.39500000002</v>
      </c>
      <c r="E911" t="s">
        <v>4</v>
      </c>
      <c r="F911" t="s">
        <v>42</v>
      </c>
      <c r="G911" t="s">
        <v>5</v>
      </c>
    </row>
    <row r="912" spans="1:7" x14ac:dyDescent="0.3">
      <c r="A912" t="s">
        <v>16</v>
      </c>
      <c r="B912" s="1">
        <v>45900</v>
      </c>
      <c r="C912">
        <v>220006</v>
      </c>
      <c r="D912">
        <v>4334952.2359999996</v>
      </c>
      <c r="E912" t="s">
        <v>4</v>
      </c>
      <c r="F912" t="s">
        <v>42</v>
      </c>
      <c r="G912" t="s">
        <v>5</v>
      </c>
    </row>
    <row r="913" spans="1:7" x14ac:dyDescent="0.3">
      <c r="A913" t="s">
        <v>16</v>
      </c>
      <c r="B913" s="1">
        <v>45900</v>
      </c>
      <c r="C913">
        <v>220007</v>
      </c>
      <c r="D913">
        <v>-457717.02100000001</v>
      </c>
      <c r="E913" t="s">
        <v>4</v>
      </c>
      <c r="F913" t="s">
        <v>42</v>
      </c>
      <c r="G913" t="s">
        <v>5</v>
      </c>
    </row>
    <row r="914" spans="1:7" x14ac:dyDescent="0.3">
      <c r="A914" t="s">
        <v>16</v>
      </c>
      <c r="B914" s="1">
        <v>45900</v>
      </c>
      <c r="C914">
        <v>310016</v>
      </c>
      <c r="D914">
        <v>-7227.65</v>
      </c>
      <c r="E914" t="s">
        <v>4</v>
      </c>
      <c r="F914" t="s">
        <v>42</v>
      </c>
      <c r="G914" t="s">
        <v>5</v>
      </c>
    </row>
    <row r="915" spans="1:7" x14ac:dyDescent="0.3">
      <c r="A915" t="s">
        <v>16</v>
      </c>
      <c r="B915" s="1">
        <v>45900</v>
      </c>
      <c r="C915">
        <v>310017</v>
      </c>
      <c r="D915">
        <v>-39387.707000000002</v>
      </c>
      <c r="E915" t="s">
        <v>4</v>
      </c>
      <c r="F915" t="s">
        <v>42</v>
      </c>
      <c r="G915" t="s">
        <v>5</v>
      </c>
    </row>
    <row r="916" spans="1:7" x14ac:dyDescent="0.3">
      <c r="A916" t="s">
        <v>16</v>
      </c>
      <c r="B916" s="1">
        <v>45900</v>
      </c>
      <c r="C916">
        <v>310021</v>
      </c>
      <c r="D916">
        <v>-63.031999999999996</v>
      </c>
      <c r="E916" t="s">
        <v>4</v>
      </c>
      <c r="F916" t="s">
        <v>42</v>
      </c>
      <c r="G916" t="s">
        <v>5</v>
      </c>
    </row>
    <row r="917" spans="1:7" x14ac:dyDescent="0.3">
      <c r="A917" t="s">
        <v>16</v>
      </c>
      <c r="B917" s="1">
        <v>45900</v>
      </c>
      <c r="C917">
        <v>310032</v>
      </c>
      <c r="D917">
        <v>-312.05700000000002</v>
      </c>
      <c r="E917" t="s">
        <v>4</v>
      </c>
      <c r="F917" t="s">
        <v>42</v>
      </c>
      <c r="G917" t="s">
        <v>5</v>
      </c>
    </row>
    <row r="918" spans="1:7" x14ac:dyDescent="0.3">
      <c r="A918" t="s">
        <v>18</v>
      </c>
      <c r="B918" s="1">
        <v>45900</v>
      </c>
      <c r="C918">
        <v>220006</v>
      </c>
      <c r="D918">
        <v>-77876.362999999998</v>
      </c>
      <c r="E918" t="s">
        <v>4</v>
      </c>
      <c r="F918" t="s">
        <v>42</v>
      </c>
      <c r="G918" t="s">
        <v>5</v>
      </c>
    </row>
    <row r="919" spans="1:7" x14ac:dyDescent="0.3">
      <c r="A919" t="s">
        <v>18</v>
      </c>
      <c r="B919" s="1">
        <v>45900</v>
      </c>
      <c r="C919">
        <v>243002</v>
      </c>
      <c r="D919">
        <v>-457.40499999999997</v>
      </c>
      <c r="E919" t="s">
        <v>4</v>
      </c>
      <c r="F919" t="s">
        <v>43</v>
      </c>
      <c r="G919" t="s">
        <v>5</v>
      </c>
    </row>
    <row r="920" spans="1:7" x14ac:dyDescent="0.3">
      <c r="A920" t="s">
        <v>18</v>
      </c>
      <c r="B920" s="1">
        <v>45900</v>
      </c>
      <c r="C920">
        <v>330060</v>
      </c>
      <c r="D920">
        <v>77668.284</v>
      </c>
      <c r="E920" t="s">
        <v>4</v>
      </c>
      <c r="F920" t="s">
        <v>43</v>
      </c>
      <c r="G920" t="s">
        <v>5</v>
      </c>
    </row>
    <row r="921" spans="1:7" x14ac:dyDescent="0.3">
      <c r="A921" t="s">
        <v>18</v>
      </c>
      <c r="B921" s="1">
        <v>45900</v>
      </c>
      <c r="C921">
        <v>340048</v>
      </c>
      <c r="D921">
        <v>1828.278</v>
      </c>
      <c r="E921" t="s">
        <v>4</v>
      </c>
      <c r="F921" t="s">
        <v>47</v>
      </c>
      <c r="G921" t="s">
        <v>5</v>
      </c>
    </row>
    <row r="922" spans="1:7" x14ac:dyDescent="0.3">
      <c r="A922" t="s">
        <v>18</v>
      </c>
      <c r="B922" s="1">
        <v>45900</v>
      </c>
      <c r="C922">
        <v>362018</v>
      </c>
      <c r="D922">
        <v>3.1859999999999999</v>
      </c>
      <c r="E922" t="s">
        <v>4</v>
      </c>
      <c r="F922" t="s">
        <v>58</v>
      </c>
      <c r="G922" t="s">
        <v>5</v>
      </c>
    </row>
    <row r="923" spans="1:7" x14ac:dyDescent="0.3">
      <c r="A923" t="s">
        <v>18</v>
      </c>
      <c r="B923" s="1">
        <v>45900</v>
      </c>
      <c r="C923">
        <v>364502</v>
      </c>
      <c r="D923">
        <v>296.46699999999998</v>
      </c>
      <c r="E923" t="s">
        <v>4</v>
      </c>
      <c r="F923" t="s">
        <v>58</v>
      </c>
      <c r="G923" t="s">
        <v>5</v>
      </c>
    </row>
    <row r="924" spans="1:7" x14ac:dyDescent="0.3">
      <c r="A924" t="s">
        <v>18</v>
      </c>
      <c r="B924" s="1">
        <v>45900</v>
      </c>
      <c r="C924">
        <v>421002</v>
      </c>
      <c r="D924">
        <v>16.709</v>
      </c>
      <c r="E924" t="s">
        <v>6</v>
      </c>
      <c r="F924" t="s">
        <v>52</v>
      </c>
      <c r="G924" t="s">
        <v>5</v>
      </c>
    </row>
    <row r="925" spans="1:7" x14ac:dyDescent="0.3">
      <c r="A925" t="s">
        <v>18</v>
      </c>
      <c r="B925" s="1">
        <v>45900</v>
      </c>
      <c r="C925">
        <v>421003</v>
      </c>
      <c r="D925">
        <v>-1994.9829999999999</v>
      </c>
      <c r="E925" t="s">
        <v>6</v>
      </c>
      <c r="F925" t="s">
        <v>52</v>
      </c>
      <c r="G925" t="s">
        <v>5</v>
      </c>
    </row>
    <row r="926" spans="1:7" x14ac:dyDescent="0.3">
      <c r="A926" t="s">
        <v>18</v>
      </c>
      <c r="B926" s="1">
        <v>45900</v>
      </c>
      <c r="C926">
        <v>557002</v>
      </c>
      <c r="D926">
        <v>471.32400000000001</v>
      </c>
      <c r="E926" t="s">
        <v>6</v>
      </c>
      <c r="F926" t="s">
        <v>56</v>
      </c>
      <c r="G926" t="s">
        <v>5</v>
      </c>
    </row>
    <row r="927" spans="1:7" x14ac:dyDescent="0.3">
      <c r="A927" t="s">
        <v>19</v>
      </c>
      <c r="B927" s="1">
        <v>45900</v>
      </c>
      <c r="C927">
        <v>210002</v>
      </c>
      <c r="D927">
        <v>-39806.942000000003</v>
      </c>
      <c r="E927" t="s">
        <v>4</v>
      </c>
      <c r="F927" t="s">
        <v>42</v>
      </c>
      <c r="G927" t="s">
        <v>5</v>
      </c>
    </row>
    <row r="928" spans="1:7" x14ac:dyDescent="0.3">
      <c r="A928" t="s">
        <v>19</v>
      </c>
      <c r="B928" s="1">
        <v>45900</v>
      </c>
      <c r="C928">
        <v>220006</v>
      </c>
      <c r="D928">
        <v>-247533.334</v>
      </c>
      <c r="E928" t="s">
        <v>4</v>
      </c>
      <c r="F928" t="s">
        <v>42</v>
      </c>
      <c r="G928" t="s">
        <v>5</v>
      </c>
    </row>
    <row r="929" spans="1:7" x14ac:dyDescent="0.3">
      <c r="A929" t="s">
        <v>19</v>
      </c>
      <c r="B929" s="1">
        <v>45900</v>
      </c>
      <c r="C929">
        <v>240002</v>
      </c>
      <c r="D929">
        <v>1067.7159999999999</v>
      </c>
      <c r="E929" t="s">
        <v>4</v>
      </c>
      <c r="F929" t="s">
        <v>43</v>
      </c>
      <c r="G929" t="s">
        <v>5</v>
      </c>
    </row>
    <row r="930" spans="1:7" x14ac:dyDescent="0.3">
      <c r="A930" t="s">
        <v>19</v>
      </c>
      <c r="B930" s="1">
        <v>45900</v>
      </c>
      <c r="C930">
        <v>240009</v>
      </c>
      <c r="D930">
        <v>-1096.3820000000001</v>
      </c>
      <c r="E930" t="s">
        <v>4</v>
      </c>
      <c r="F930" t="s">
        <v>43</v>
      </c>
      <c r="G930" t="s">
        <v>5</v>
      </c>
    </row>
    <row r="931" spans="1:7" x14ac:dyDescent="0.3">
      <c r="A931" t="s">
        <v>19</v>
      </c>
      <c r="B931" s="1">
        <v>45900</v>
      </c>
      <c r="C931">
        <v>242003</v>
      </c>
      <c r="D931">
        <v>5173.4809999999998</v>
      </c>
      <c r="E931" t="s">
        <v>4</v>
      </c>
      <c r="F931" t="s">
        <v>43</v>
      </c>
      <c r="G931" t="s">
        <v>5</v>
      </c>
    </row>
    <row r="932" spans="1:7" x14ac:dyDescent="0.3">
      <c r="A932" t="s">
        <v>19</v>
      </c>
      <c r="B932" s="1">
        <v>45900</v>
      </c>
      <c r="C932">
        <v>242041</v>
      </c>
      <c r="D932">
        <v>31.021000000000001</v>
      </c>
      <c r="E932" t="s">
        <v>4</v>
      </c>
      <c r="F932" t="s">
        <v>43</v>
      </c>
      <c r="G932" t="s">
        <v>5</v>
      </c>
    </row>
    <row r="933" spans="1:7" x14ac:dyDescent="0.3">
      <c r="A933" t="s">
        <v>19</v>
      </c>
      <c r="B933" s="1">
        <v>45900</v>
      </c>
      <c r="C933">
        <v>243002</v>
      </c>
      <c r="D933">
        <v>-295.34399999999999</v>
      </c>
      <c r="E933" t="s">
        <v>4</v>
      </c>
      <c r="F933" t="s">
        <v>43</v>
      </c>
      <c r="G933" t="s">
        <v>5</v>
      </c>
    </row>
    <row r="934" spans="1:7" x14ac:dyDescent="0.3">
      <c r="A934" t="s">
        <v>19</v>
      </c>
      <c r="B934" s="1">
        <v>45900</v>
      </c>
      <c r="C934">
        <v>245010</v>
      </c>
      <c r="D934">
        <v>-3699.4929999999999</v>
      </c>
      <c r="E934" t="s">
        <v>4</v>
      </c>
      <c r="F934" t="s">
        <v>44</v>
      </c>
      <c r="G934" t="s">
        <v>5</v>
      </c>
    </row>
    <row r="935" spans="1:7" x14ac:dyDescent="0.3">
      <c r="A935" t="s">
        <v>19</v>
      </c>
      <c r="B935" s="1">
        <v>45900</v>
      </c>
      <c r="C935">
        <v>245062</v>
      </c>
      <c r="D935">
        <v>-1855.7829999999999</v>
      </c>
      <c r="E935" t="s">
        <v>4</v>
      </c>
      <c r="F935" t="s">
        <v>43</v>
      </c>
      <c r="G935" t="s">
        <v>5</v>
      </c>
    </row>
    <row r="936" spans="1:7" x14ac:dyDescent="0.3">
      <c r="A936" t="s">
        <v>19</v>
      </c>
      <c r="B936" s="1">
        <v>45900</v>
      </c>
      <c r="C936">
        <v>249002</v>
      </c>
      <c r="D936">
        <v>-13208.677</v>
      </c>
      <c r="E936" t="s">
        <v>4</v>
      </c>
      <c r="F936" t="s">
        <v>44</v>
      </c>
      <c r="G936" t="s">
        <v>5</v>
      </c>
    </row>
    <row r="937" spans="1:7" x14ac:dyDescent="0.3">
      <c r="A937" t="s">
        <v>19</v>
      </c>
      <c r="B937" s="1">
        <v>45900</v>
      </c>
      <c r="C937">
        <v>251003</v>
      </c>
      <c r="D937">
        <v>-2349.3150000000001</v>
      </c>
      <c r="E937" t="s">
        <v>4</v>
      </c>
      <c r="F937" t="s">
        <v>45</v>
      </c>
      <c r="G937" t="s">
        <v>5</v>
      </c>
    </row>
    <row r="938" spans="1:7" x14ac:dyDescent="0.3">
      <c r="A938" t="s">
        <v>19</v>
      </c>
      <c r="B938" s="1">
        <v>45900</v>
      </c>
      <c r="C938">
        <v>260004</v>
      </c>
      <c r="D938">
        <v>-272.32299999999998</v>
      </c>
      <c r="E938" t="s">
        <v>4</v>
      </c>
      <c r="F938" t="s">
        <v>45</v>
      </c>
      <c r="G938" t="s">
        <v>5</v>
      </c>
    </row>
    <row r="939" spans="1:7" x14ac:dyDescent="0.3">
      <c r="A939" t="s">
        <v>19</v>
      </c>
      <c r="B939" s="1">
        <v>45900</v>
      </c>
      <c r="C939">
        <v>300005</v>
      </c>
      <c r="D939">
        <v>6622.7349999999997</v>
      </c>
      <c r="E939" t="s">
        <v>4</v>
      </c>
      <c r="F939" t="s">
        <v>65</v>
      </c>
      <c r="G939" t="s">
        <v>5</v>
      </c>
    </row>
    <row r="940" spans="1:7" x14ac:dyDescent="0.3">
      <c r="A940" t="s">
        <v>19</v>
      </c>
      <c r="B940" s="1">
        <v>45900</v>
      </c>
      <c r="C940">
        <v>300008</v>
      </c>
      <c r="D940">
        <v>4859.6350000000002</v>
      </c>
      <c r="E940" t="s">
        <v>4</v>
      </c>
      <c r="F940" t="s">
        <v>65</v>
      </c>
      <c r="G940" t="s">
        <v>5</v>
      </c>
    </row>
    <row r="941" spans="1:7" x14ac:dyDescent="0.3">
      <c r="A941" t="s">
        <v>19</v>
      </c>
      <c r="B941" s="1">
        <v>45900</v>
      </c>
      <c r="C941">
        <v>300011</v>
      </c>
      <c r="D941">
        <v>19.975999999999999</v>
      </c>
      <c r="E941" t="s">
        <v>4</v>
      </c>
      <c r="F941" t="s">
        <v>65</v>
      </c>
      <c r="G941" t="s">
        <v>5</v>
      </c>
    </row>
    <row r="942" spans="1:7" x14ac:dyDescent="0.3">
      <c r="A942" t="s">
        <v>19</v>
      </c>
      <c r="B942" s="1">
        <v>45900</v>
      </c>
      <c r="C942">
        <v>300012</v>
      </c>
      <c r="D942">
        <v>3759.0740000000001</v>
      </c>
      <c r="E942" t="s">
        <v>4</v>
      </c>
      <c r="F942" t="s">
        <v>65</v>
      </c>
      <c r="G942" t="s">
        <v>5</v>
      </c>
    </row>
    <row r="943" spans="1:7" x14ac:dyDescent="0.3">
      <c r="A943" t="s">
        <v>19</v>
      </c>
      <c r="B943" s="1">
        <v>45900</v>
      </c>
      <c r="C943">
        <v>300505</v>
      </c>
      <c r="D943">
        <v>-6372.8760000000002</v>
      </c>
      <c r="E943" t="s">
        <v>4</v>
      </c>
      <c r="F943" t="s">
        <v>65</v>
      </c>
      <c r="G943" t="s">
        <v>5</v>
      </c>
    </row>
    <row r="944" spans="1:7" x14ac:dyDescent="0.3">
      <c r="A944" t="s">
        <v>19</v>
      </c>
      <c r="B944" s="1">
        <v>45900</v>
      </c>
      <c r="C944">
        <v>300508</v>
      </c>
      <c r="D944">
        <v>-4859.6350000000002</v>
      </c>
      <c r="E944" t="s">
        <v>4</v>
      </c>
      <c r="F944" t="s">
        <v>65</v>
      </c>
      <c r="G944" t="s">
        <v>5</v>
      </c>
    </row>
    <row r="945" spans="1:7" x14ac:dyDescent="0.3">
      <c r="A945" t="s">
        <v>19</v>
      </c>
      <c r="B945" s="1">
        <v>45900</v>
      </c>
      <c r="C945">
        <v>300511</v>
      </c>
      <c r="D945">
        <v>-19.975999999999999</v>
      </c>
      <c r="E945" t="s">
        <v>4</v>
      </c>
      <c r="F945" t="s">
        <v>65</v>
      </c>
      <c r="G945" t="s">
        <v>5</v>
      </c>
    </row>
    <row r="946" spans="1:7" x14ac:dyDescent="0.3">
      <c r="A946" t="s">
        <v>19</v>
      </c>
      <c r="B946" s="1">
        <v>45900</v>
      </c>
      <c r="C946">
        <v>300512</v>
      </c>
      <c r="D946">
        <v>-3759.0740000000001</v>
      </c>
      <c r="E946" t="s">
        <v>4</v>
      </c>
      <c r="F946" t="s">
        <v>65</v>
      </c>
      <c r="G946" t="s">
        <v>5</v>
      </c>
    </row>
    <row r="947" spans="1:7" x14ac:dyDescent="0.3">
      <c r="A947" t="s">
        <v>19</v>
      </c>
      <c r="B947" s="1">
        <v>45900</v>
      </c>
      <c r="C947">
        <v>320003</v>
      </c>
      <c r="D947">
        <v>5718.7910000000002</v>
      </c>
      <c r="E947" t="s">
        <v>4</v>
      </c>
      <c r="F947" t="s">
        <v>46</v>
      </c>
      <c r="G947" t="s">
        <v>5</v>
      </c>
    </row>
    <row r="948" spans="1:7" x14ac:dyDescent="0.3">
      <c r="A948" t="s">
        <v>19</v>
      </c>
      <c r="B948" s="1">
        <v>45900</v>
      </c>
      <c r="C948">
        <v>320004</v>
      </c>
      <c r="D948">
        <v>0.312</v>
      </c>
      <c r="E948" t="s">
        <v>4</v>
      </c>
      <c r="F948" t="s">
        <v>46</v>
      </c>
      <c r="G948" t="s">
        <v>5</v>
      </c>
    </row>
    <row r="949" spans="1:7" x14ac:dyDescent="0.3">
      <c r="A949" t="s">
        <v>19</v>
      </c>
      <c r="B949" s="1">
        <v>45900</v>
      </c>
      <c r="C949">
        <v>321006</v>
      </c>
      <c r="D949">
        <v>24511.973000000002</v>
      </c>
      <c r="E949" t="s">
        <v>4</v>
      </c>
      <c r="F949" t="s">
        <v>46</v>
      </c>
      <c r="G949" t="s">
        <v>5</v>
      </c>
    </row>
    <row r="950" spans="1:7" x14ac:dyDescent="0.3">
      <c r="A950" t="s">
        <v>19</v>
      </c>
      <c r="B950" s="1">
        <v>45900</v>
      </c>
      <c r="C950">
        <v>321014</v>
      </c>
      <c r="D950">
        <v>10523.268</v>
      </c>
      <c r="E950" t="s">
        <v>4</v>
      </c>
      <c r="F950" t="s">
        <v>46</v>
      </c>
      <c r="G950" t="s">
        <v>5</v>
      </c>
    </row>
    <row r="951" spans="1:7" x14ac:dyDescent="0.3">
      <c r="A951" t="s">
        <v>19</v>
      </c>
      <c r="B951" s="1">
        <v>45900</v>
      </c>
      <c r="C951">
        <v>321031</v>
      </c>
      <c r="D951">
        <v>7828.375</v>
      </c>
      <c r="E951" t="s">
        <v>4</v>
      </c>
      <c r="F951" t="s">
        <v>46</v>
      </c>
      <c r="G951" t="s">
        <v>5</v>
      </c>
    </row>
    <row r="952" spans="1:7" x14ac:dyDescent="0.3">
      <c r="A952" t="s">
        <v>19</v>
      </c>
      <c r="B952" s="1">
        <v>45900</v>
      </c>
      <c r="C952">
        <v>321042</v>
      </c>
      <c r="D952">
        <v>-8.1170000000000009</v>
      </c>
      <c r="E952" t="s">
        <v>4</v>
      </c>
      <c r="F952" t="s">
        <v>46</v>
      </c>
      <c r="G952" t="s">
        <v>5</v>
      </c>
    </row>
    <row r="953" spans="1:7" x14ac:dyDescent="0.3">
      <c r="A953" t="s">
        <v>19</v>
      </c>
      <c r="B953" s="1">
        <v>45900</v>
      </c>
      <c r="C953">
        <v>330049</v>
      </c>
      <c r="D953">
        <v>167797.435</v>
      </c>
      <c r="E953" t="s">
        <v>4</v>
      </c>
      <c r="F953" t="s">
        <v>43</v>
      </c>
      <c r="G953" t="s">
        <v>5</v>
      </c>
    </row>
    <row r="954" spans="1:7" x14ac:dyDescent="0.3">
      <c r="A954" t="s">
        <v>19</v>
      </c>
      <c r="B954" s="1">
        <v>45900</v>
      </c>
      <c r="C954">
        <v>330060</v>
      </c>
      <c r="D954">
        <v>-77246.794999999998</v>
      </c>
      <c r="E954" t="s">
        <v>4</v>
      </c>
      <c r="F954" t="s">
        <v>43</v>
      </c>
      <c r="G954" t="s">
        <v>5</v>
      </c>
    </row>
    <row r="955" spans="1:7" x14ac:dyDescent="0.3">
      <c r="A955" t="s">
        <v>19</v>
      </c>
      <c r="B955" s="1">
        <v>45900</v>
      </c>
      <c r="C955">
        <v>340101</v>
      </c>
      <c r="D955">
        <v>4620.8490000000002</v>
      </c>
      <c r="E955" t="s">
        <v>4</v>
      </c>
      <c r="F955" t="s">
        <v>48</v>
      </c>
      <c r="G955" t="s">
        <v>5</v>
      </c>
    </row>
    <row r="956" spans="1:7" x14ac:dyDescent="0.3">
      <c r="A956" t="s">
        <v>19</v>
      </c>
      <c r="B956" s="1">
        <v>45900</v>
      </c>
      <c r="C956">
        <v>340121</v>
      </c>
      <c r="D956">
        <v>140982.394</v>
      </c>
      <c r="E956" t="s">
        <v>4</v>
      </c>
      <c r="F956" t="s">
        <v>47</v>
      </c>
      <c r="G956" t="s">
        <v>5</v>
      </c>
    </row>
    <row r="957" spans="1:7" x14ac:dyDescent="0.3">
      <c r="A957" t="s">
        <v>19</v>
      </c>
      <c r="B957" s="1">
        <v>45900</v>
      </c>
      <c r="C957">
        <v>340325</v>
      </c>
      <c r="D957">
        <v>2589.0010000000002</v>
      </c>
      <c r="E957" t="s">
        <v>4</v>
      </c>
      <c r="F957" t="s">
        <v>47</v>
      </c>
      <c r="G957" t="s">
        <v>5</v>
      </c>
    </row>
    <row r="958" spans="1:7" x14ac:dyDescent="0.3">
      <c r="A958" t="s">
        <v>19</v>
      </c>
      <c r="B958" s="1">
        <v>45900</v>
      </c>
      <c r="C958">
        <v>350003</v>
      </c>
      <c r="D958">
        <v>-26.085999999999999</v>
      </c>
      <c r="E958" t="s">
        <v>4</v>
      </c>
      <c r="F958" t="s">
        <v>49</v>
      </c>
      <c r="G958" t="s">
        <v>5</v>
      </c>
    </row>
    <row r="959" spans="1:7" x14ac:dyDescent="0.3">
      <c r="A959" t="s">
        <v>19</v>
      </c>
      <c r="B959" s="1">
        <v>45900</v>
      </c>
      <c r="C959">
        <v>350031</v>
      </c>
      <c r="D959">
        <v>1096.3820000000001</v>
      </c>
      <c r="E959" t="s">
        <v>4</v>
      </c>
      <c r="F959" t="s">
        <v>43</v>
      </c>
      <c r="G959" t="s">
        <v>5</v>
      </c>
    </row>
    <row r="960" spans="1:7" x14ac:dyDescent="0.3">
      <c r="A960" t="s">
        <v>19</v>
      </c>
      <c r="B960" s="1">
        <v>45900</v>
      </c>
      <c r="C960">
        <v>352002</v>
      </c>
      <c r="D960">
        <v>1007.2089999999999</v>
      </c>
      <c r="E960" t="s">
        <v>4</v>
      </c>
      <c r="F960" t="s">
        <v>48</v>
      </c>
      <c r="G960" t="s">
        <v>5</v>
      </c>
    </row>
    <row r="961" spans="1:7" x14ac:dyDescent="0.3">
      <c r="A961" t="s">
        <v>19</v>
      </c>
      <c r="B961" s="1">
        <v>45900</v>
      </c>
      <c r="C961">
        <v>354012</v>
      </c>
      <c r="D961">
        <v>303.625</v>
      </c>
      <c r="E961" t="s">
        <v>4</v>
      </c>
      <c r="F961" t="s">
        <v>46</v>
      </c>
      <c r="G961" t="s">
        <v>5</v>
      </c>
    </row>
    <row r="962" spans="1:7" x14ac:dyDescent="0.3">
      <c r="A962" t="s">
        <v>19</v>
      </c>
      <c r="B962" s="1">
        <v>45900</v>
      </c>
      <c r="C962">
        <v>355002</v>
      </c>
      <c r="D962">
        <v>1607.201</v>
      </c>
      <c r="E962" t="s">
        <v>4</v>
      </c>
      <c r="F962" t="s">
        <v>49</v>
      </c>
      <c r="G962" t="s">
        <v>5</v>
      </c>
    </row>
    <row r="963" spans="1:7" x14ac:dyDescent="0.3">
      <c r="A963" t="s">
        <v>19</v>
      </c>
      <c r="B963" s="1">
        <v>45900</v>
      </c>
      <c r="C963">
        <v>355014</v>
      </c>
      <c r="D963">
        <v>60.36</v>
      </c>
      <c r="E963" t="s">
        <v>4</v>
      </c>
      <c r="F963" t="s">
        <v>49</v>
      </c>
      <c r="G963" t="s">
        <v>5</v>
      </c>
    </row>
    <row r="964" spans="1:7" x14ac:dyDescent="0.3">
      <c r="A964" t="s">
        <v>19</v>
      </c>
      <c r="B964" s="1">
        <v>45900</v>
      </c>
      <c r="C964">
        <v>372004</v>
      </c>
      <c r="D964">
        <v>26.047999999999998</v>
      </c>
      <c r="E964" t="s">
        <v>4</v>
      </c>
      <c r="F964" t="s">
        <v>45</v>
      </c>
      <c r="G964" t="s">
        <v>5</v>
      </c>
    </row>
    <row r="965" spans="1:7" x14ac:dyDescent="0.3">
      <c r="A965" t="s">
        <v>19</v>
      </c>
      <c r="B965" s="1">
        <v>45900</v>
      </c>
      <c r="C965">
        <v>410009</v>
      </c>
      <c r="D965">
        <v>-3860.0940000000001</v>
      </c>
      <c r="E965" t="s">
        <v>6</v>
      </c>
      <c r="F965" t="s">
        <v>51</v>
      </c>
      <c r="G965" t="s">
        <v>5</v>
      </c>
    </row>
    <row r="966" spans="1:7" x14ac:dyDescent="0.3">
      <c r="A966" t="s">
        <v>19</v>
      </c>
      <c r="B966" s="1">
        <v>45900</v>
      </c>
      <c r="C966">
        <v>410039</v>
      </c>
      <c r="D966">
        <v>-3973.973</v>
      </c>
      <c r="E966" t="s">
        <v>6</v>
      </c>
      <c r="F966" t="s">
        <v>51</v>
      </c>
      <c r="G966" t="s">
        <v>5</v>
      </c>
    </row>
    <row r="967" spans="1:7" x14ac:dyDescent="0.3">
      <c r="A967" t="s">
        <v>19</v>
      </c>
      <c r="B967" s="1">
        <v>45900</v>
      </c>
      <c r="C967">
        <v>415004</v>
      </c>
      <c r="D967">
        <v>-5784.1469999999999</v>
      </c>
      <c r="E967" t="s">
        <v>6</v>
      </c>
      <c r="F967" t="s">
        <v>50</v>
      </c>
      <c r="G967" t="s">
        <v>5</v>
      </c>
    </row>
    <row r="968" spans="1:7" x14ac:dyDescent="0.3">
      <c r="A968" t="s">
        <v>19</v>
      </c>
      <c r="B968" s="1">
        <v>45900</v>
      </c>
      <c r="C968">
        <v>421003</v>
      </c>
      <c r="D968">
        <v>-3054.232</v>
      </c>
      <c r="E968" t="s">
        <v>6</v>
      </c>
      <c r="F968" t="s">
        <v>52</v>
      </c>
      <c r="G968" t="s">
        <v>5</v>
      </c>
    </row>
    <row r="969" spans="1:7" x14ac:dyDescent="0.3">
      <c r="A969" t="s">
        <v>19</v>
      </c>
      <c r="B969" s="1">
        <v>45900</v>
      </c>
      <c r="C969">
        <v>421007</v>
      </c>
      <c r="D969">
        <v>19.071999999999999</v>
      </c>
      <c r="E969" t="s">
        <v>6</v>
      </c>
      <c r="F969" t="s">
        <v>52</v>
      </c>
      <c r="G969" t="s">
        <v>5</v>
      </c>
    </row>
    <row r="970" spans="1:7" x14ac:dyDescent="0.3">
      <c r="A970" t="s">
        <v>19</v>
      </c>
      <c r="B970" s="1">
        <v>45900</v>
      </c>
      <c r="C970">
        <v>510002</v>
      </c>
      <c r="D970">
        <v>13265.749</v>
      </c>
      <c r="E970" t="s">
        <v>6</v>
      </c>
      <c r="F970" t="s">
        <v>53</v>
      </c>
      <c r="G970" t="s">
        <v>5</v>
      </c>
    </row>
    <row r="971" spans="1:7" x14ac:dyDescent="0.3">
      <c r="A971" t="s">
        <v>19</v>
      </c>
      <c r="B971" s="1">
        <v>45900</v>
      </c>
      <c r="C971">
        <v>510005</v>
      </c>
      <c r="D971">
        <v>1092.5060000000001</v>
      </c>
      <c r="E971" t="s">
        <v>6</v>
      </c>
      <c r="F971" t="s">
        <v>53</v>
      </c>
      <c r="G971" t="s">
        <v>5</v>
      </c>
    </row>
    <row r="972" spans="1:7" x14ac:dyDescent="0.3">
      <c r="A972" t="s">
        <v>19</v>
      </c>
      <c r="B972" s="1">
        <v>45900</v>
      </c>
      <c r="C972">
        <v>510006</v>
      </c>
      <c r="D972">
        <v>1006.255</v>
      </c>
      <c r="E972" t="s">
        <v>6</v>
      </c>
      <c r="F972" t="s">
        <v>53</v>
      </c>
      <c r="G972" t="s">
        <v>5</v>
      </c>
    </row>
    <row r="973" spans="1:7" x14ac:dyDescent="0.3">
      <c r="A973" t="s">
        <v>19</v>
      </c>
      <c r="B973" s="1">
        <v>45900</v>
      </c>
      <c r="C973">
        <v>510007</v>
      </c>
      <c r="D973">
        <v>-1592.7190000000001</v>
      </c>
      <c r="E973" t="s">
        <v>6</v>
      </c>
      <c r="F973" t="s">
        <v>53</v>
      </c>
      <c r="G973" t="s">
        <v>5</v>
      </c>
    </row>
    <row r="974" spans="1:7" x14ac:dyDescent="0.3">
      <c r="A974" t="s">
        <v>19</v>
      </c>
      <c r="B974" s="1">
        <v>45900</v>
      </c>
      <c r="C974">
        <v>510062</v>
      </c>
      <c r="D974">
        <v>1423.375</v>
      </c>
      <c r="E974" t="s">
        <v>6</v>
      </c>
      <c r="F974" t="s">
        <v>53</v>
      </c>
      <c r="G974" t="s">
        <v>5</v>
      </c>
    </row>
    <row r="975" spans="1:7" x14ac:dyDescent="0.3">
      <c r="A975" t="s">
        <v>19</v>
      </c>
      <c r="B975" s="1">
        <v>45900</v>
      </c>
      <c r="C975">
        <v>510065</v>
      </c>
      <c r="D975">
        <v>83.590999999999994</v>
      </c>
      <c r="E975" t="s">
        <v>6</v>
      </c>
      <c r="F975" t="s">
        <v>53</v>
      </c>
      <c r="G975" t="s">
        <v>5</v>
      </c>
    </row>
    <row r="976" spans="1:7" x14ac:dyDescent="0.3">
      <c r="A976" t="s">
        <v>19</v>
      </c>
      <c r="B976" s="1">
        <v>45900</v>
      </c>
      <c r="C976">
        <v>520021</v>
      </c>
      <c r="D976">
        <v>12.561999999999999</v>
      </c>
      <c r="E976" t="s">
        <v>6</v>
      </c>
      <c r="F976" t="s">
        <v>60</v>
      </c>
      <c r="G976" t="s">
        <v>5</v>
      </c>
    </row>
    <row r="977" spans="1:7" x14ac:dyDescent="0.3">
      <c r="A977" t="s">
        <v>19</v>
      </c>
      <c r="B977" s="1">
        <v>45900</v>
      </c>
      <c r="C977">
        <v>541004</v>
      </c>
      <c r="D977">
        <v>14.896000000000001</v>
      </c>
      <c r="E977" t="s">
        <v>6</v>
      </c>
      <c r="F977" t="s">
        <v>61</v>
      </c>
      <c r="G977" t="s">
        <v>5</v>
      </c>
    </row>
    <row r="978" spans="1:7" x14ac:dyDescent="0.3">
      <c r="A978" t="s">
        <v>19</v>
      </c>
      <c r="B978" s="1">
        <v>45900</v>
      </c>
      <c r="C978">
        <v>541010</v>
      </c>
      <c r="D978">
        <v>321.64299999999997</v>
      </c>
      <c r="E978" t="s">
        <v>6</v>
      </c>
      <c r="F978" t="s">
        <v>61</v>
      </c>
      <c r="G978" t="s">
        <v>5</v>
      </c>
    </row>
    <row r="979" spans="1:7" x14ac:dyDescent="0.3">
      <c r="A979" t="s">
        <v>19</v>
      </c>
      <c r="B979" s="1">
        <v>45900</v>
      </c>
      <c r="C979">
        <v>546002</v>
      </c>
      <c r="D979">
        <v>5090.049</v>
      </c>
      <c r="E979" t="s">
        <v>6</v>
      </c>
      <c r="F979" t="s">
        <v>51</v>
      </c>
      <c r="G979" t="s">
        <v>5</v>
      </c>
    </row>
    <row r="980" spans="1:7" x14ac:dyDescent="0.3">
      <c r="A980" t="s">
        <v>19</v>
      </c>
      <c r="B980" s="1">
        <v>45900</v>
      </c>
      <c r="C980">
        <v>552502</v>
      </c>
      <c r="D980">
        <v>4776.5959999999995</v>
      </c>
      <c r="E980" t="s">
        <v>6</v>
      </c>
      <c r="F980" t="s">
        <v>55</v>
      </c>
      <c r="G980" t="s">
        <v>5</v>
      </c>
    </row>
    <row r="981" spans="1:7" x14ac:dyDescent="0.3">
      <c r="A981" t="s">
        <v>19</v>
      </c>
      <c r="B981" s="1">
        <v>45900</v>
      </c>
      <c r="C981">
        <v>552504</v>
      </c>
      <c r="D981">
        <v>161.28399999999999</v>
      </c>
      <c r="E981" t="s">
        <v>6</v>
      </c>
      <c r="F981" t="s">
        <v>55</v>
      </c>
      <c r="G981" t="s">
        <v>5</v>
      </c>
    </row>
    <row r="982" spans="1:7" x14ac:dyDescent="0.3">
      <c r="A982" t="s">
        <v>19</v>
      </c>
      <c r="B982" s="1">
        <v>45900</v>
      </c>
      <c r="C982">
        <v>555007</v>
      </c>
      <c r="D982">
        <v>1528.394</v>
      </c>
      <c r="E982" t="s">
        <v>6</v>
      </c>
      <c r="F982" t="s">
        <v>55</v>
      </c>
      <c r="G982" t="s">
        <v>5</v>
      </c>
    </row>
    <row r="983" spans="1:7" x14ac:dyDescent="0.3">
      <c r="A983" t="s">
        <v>19</v>
      </c>
      <c r="B983" s="1">
        <v>45900</v>
      </c>
      <c r="C983">
        <v>555508</v>
      </c>
      <c r="D983">
        <v>1.3240000000000001</v>
      </c>
      <c r="E983" t="s">
        <v>6</v>
      </c>
      <c r="F983" t="s">
        <v>55</v>
      </c>
      <c r="G983" t="s">
        <v>5</v>
      </c>
    </row>
    <row r="984" spans="1:7" x14ac:dyDescent="0.3">
      <c r="A984" t="s">
        <v>19</v>
      </c>
      <c r="B984" s="1">
        <v>45900</v>
      </c>
      <c r="C984">
        <v>556002</v>
      </c>
      <c r="D984">
        <v>332.41399999999999</v>
      </c>
      <c r="E984" t="s">
        <v>6</v>
      </c>
      <c r="F984" t="s">
        <v>60</v>
      </c>
      <c r="G984" t="s">
        <v>5</v>
      </c>
    </row>
    <row r="985" spans="1:7" x14ac:dyDescent="0.3">
      <c r="A985" t="s">
        <v>19</v>
      </c>
      <c r="B985" s="1">
        <v>45900</v>
      </c>
      <c r="C985">
        <v>557002</v>
      </c>
      <c r="D985">
        <v>220.01599999999999</v>
      </c>
      <c r="E985" t="s">
        <v>6</v>
      </c>
      <c r="F985" t="s">
        <v>56</v>
      </c>
      <c r="G985" t="s">
        <v>5</v>
      </c>
    </row>
    <row r="986" spans="1:7" x14ac:dyDescent="0.3">
      <c r="A986" t="s">
        <v>19</v>
      </c>
      <c r="B986" s="1">
        <v>45900</v>
      </c>
      <c r="C986">
        <v>558006</v>
      </c>
      <c r="D986">
        <v>394.53300000000002</v>
      </c>
      <c r="E986" t="s">
        <v>6</v>
      </c>
      <c r="F986" t="s">
        <v>57</v>
      </c>
      <c r="G986" t="s">
        <v>5</v>
      </c>
    </row>
    <row r="987" spans="1:7" x14ac:dyDescent="0.3">
      <c r="A987" t="s">
        <v>19</v>
      </c>
      <c r="B987" s="1">
        <v>45900</v>
      </c>
      <c r="C987">
        <v>559002</v>
      </c>
      <c r="D987">
        <v>32.374000000000002</v>
      </c>
      <c r="E987" t="s">
        <v>6</v>
      </c>
      <c r="F987" t="s">
        <v>60</v>
      </c>
      <c r="G987" t="s">
        <v>5</v>
      </c>
    </row>
    <row r="988" spans="1:7" x14ac:dyDescent="0.3">
      <c r="A988" t="s">
        <v>19</v>
      </c>
      <c r="B988" s="1">
        <v>45900</v>
      </c>
      <c r="C988">
        <v>560008</v>
      </c>
      <c r="D988">
        <v>144.82</v>
      </c>
      <c r="E988" t="s">
        <v>6</v>
      </c>
      <c r="F988" t="s">
        <v>56</v>
      </c>
      <c r="G988" t="s">
        <v>5</v>
      </c>
    </row>
    <row r="989" spans="1:7" x14ac:dyDescent="0.3">
      <c r="A989" t="s">
        <v>19</v>
      </c>
      <c r="B989" s="1">
        <v>45900</v>
      </c>
      <c r="C989">
        <v>564004</v>
      </c>
      <c r="D989">
        <v>79.311999999999998</v>
      </c>
      <c r="E989" t="s">
        <v>6</v>
      </c>
      <c r="F989" t="s">
        <v>51</v>
      </c>
      <c r="G989" t="s">
        <v>5</v>
      </c>
    </row>
    <row r="990" spans="1:7" x14ac:dyDescent="0.3">
      <c r="A990" t="s">
        <v>19</v>
      </c>
      <c r="B990" s="1">
        <v>45900</v>
      </c>
      <c r="C990">
        <v>564006</v>
      </c>
      <c r="D990">
        <v>-2E-3</v>
      </c>
      <c r="E990" t="s">
        <v>6</v>
      </c>
      <c r="F990" t="s">
        <v>57</v>
      </c>
      <c r="G990" t="s">
        <v>5</v>
      </c>
    </row>
    <row r="991" spans="1:7" x14ac:dyDescent="0.3">
      <c r="A991" t="s">
        <v>19</v>
      </c>
      <c r="B991" s="1">
        <v>45900</v>
      </c>
      <c r="C991">
        <v>564020</v>
      </c>
      <c r="D991">
        <v>237.08099999999999</v>
      </c>
      <c r="E991" t="s">
        <v>6</v>
      </c>
      <c r="F991" t="s">
        <v>57</v>
      </c>
      <c r="G991" t="s">
        <v>5</v>
      </c>
    </row>
    <row r="992" spans="1:7" x14ac:dyDescent="0.3">
      <c r="A992" t="s">
        <v>19</v>
      </c>
      <c r="B992" s="1">
        <v>45900</v>
      </c>
      <c r="C992">
        <v>570002</v>
      </c>
      <c r="D992">
        <v>59.091999999999999</v>
      </c>
      <c r="E992" t="s">
        <v>6</v>
      </c>
      <c r="F992" t="s">
        <v>66</v>
      </c>
      <c r="G992" t="s">
        <v>5</v>
      </c>
    </row>
    <row r="993" spans="1:7" x14ac:dyDescent="0.3">
      <c r="A993" t="s">
        <v>20</v>
      </c>
      <c r="B993" s="1">
        <v>45900</v>
      </c>
      <c r="C993">
        <v>210002</v>
      </c>
      <c r="D993">
        <v>-137.64500000000001</v>
      </c>
      <c r="E993" t="s">
        <v>4</v>
      </c>
      <c r="F993" t="s">
        <v>42</v>
      </c>
      <c r="G993" t="s">
        <v>5</v>
      </c>
    </row>
    <row r="994" spans="1:7" x14ac:dyDescent="0.3">
      <c r="A994" t="s">
        <v>20</v>
      </c>
      <c r="B994" s="1">
        <v>45900</v>
      </c>
      <c r="C994">
        <v>220006</v>
      </c>
      <c r="D994">
        <v>-40960.684000000001</v>
      </c>
      <c r="E994" t="s">
        <v>4</v>
      </c>
      <c r="F994" t="s">
        <v>42</v>
      </c>
      <c r="G994" t="s">
        <v>5</v>
      </c>
    </row>
    <row r="995" spans="1:7" x14ac:dyDescent="0.3">
      <c r="A995" t="s">
        <v>20</v>
      </c>
      <c r="B995" s="1">
        <v>45900</v>
      </c>
      <c r="C995">
        <v>240002</v>
      </c>
      <c r="D995">
        <v>-3.3479999999999999</v>
      </c>
      <c r="E995" t="s">
        <v>4</v>
      </c>
      <c r="F995" t="s">
        <v>43</v>
      </c>
      <c r="G995" t="s">
        <v>5</v>
      </c>
    </row>
    <row r="996" spans="1:7" x14ac:dyDescent="0.3">
      <c r="A996" t="s">
        <v>20</v>
      </c>
      <c r="B996" s="1">
        <v>45900</v>
      </c>
      <c r="C996">
        <v>242003</v>
      </c>
      <c r="D996">
        <v>-39442.614999999998</v>
      </c>
      <c r="E996" t="s">
        <v>4</v>
      </c>
      <c r="F996" t="s">
        <v>43</v>
      </c>
      <c r="G996" t="s">
        <v>5</v>
      </c>
    </row>
    <row r="997" spans="1:7" x14ac:dyDescent="0.3">
      <c r="A997" t="s">
        <v>20</v>
      </c>
      <c r="B997" s="1">
        <v>45900</v>
      </c>
      <c r="C997">
        <v>242007</v>
      </c>
      <c r="D997">
        <v>-262.20299999999997</v>
      </c>
      <c r="E997" t="s">
        <v>4</v>
      </c>
      <c r="F997" t="s">
        <v>43</v>
      </c>
      <c r="G997" t="s">
        <v>5</v>
      </c>
    </row>
    <row r="998" spans="1:7" x14ac:dyDescent="0.3">
      <c r="A998" t="s">
        <v>20</v>
      </c>
      <c r="B998" s="1">
        <v>45900</v>
      </c>
      <c r="C998">
        <v>242011</v>
      </c>
      <c r="D998">
        <v>-185.99199999999999</v>
      </c>
      <c r="E998" t="s">
        <v>4</v>
      </c>
      <c r="F998" t="s">
        <v>43</v>
      </c>
      <c r="G998" t="s">
        <v>5</v>
      </c>
    </row>
    <row r="999" spans="1:7" x14ac:dyDescent="0.3">
      <c r="A999" t="s">
        <v>20</v>
      </c>
      <c r="B999" s="1">
        <v>45900</v>
      </c>
      <c r="C999">
        <v>242013</v>
      </c>
      <c r="D999">
        <v>185.99199999999999</v>
      </c>
      <c r="E999" t="s">
        <v>4</v>
      </c>
      <c r="F999" t="s">
        <v>43</v>
      </c>
      <c r="G999" t="s">
        <v>5</v>
      </c>
    </row>
    <row r="1000" spans="1:7" x14ac:dyDescent="0.3">
      <c r="A1000" t="s">
        <v>20</v>
      </c>
      <c r="B1000" s="1">
        <v>45900</v>
      </c>
      <c r="C1000">
        <v>242041</v>
      </c>
      <c r="D1000">
        <v>-0.53200000000000003</v>
      </c>
      <c r="E1000" t="s">
        <v>4</v>
      </c>
      <c r="F1000" t="s">
        <v>43</v>
      </c>
      <c r="G1000" t="s">
        <v>5</v>
      </c>
    </row>
    <row r="1001" spans="1:7" x14ac:dyDescent="0.3">
      <c r="A1001" t="s">
        <v>20</v>
      </c>
      <c r="B1001" s="1">
        <v>45900</v>
      </c>
      <c r="C1001">
        <v>243002</v>
      </c>
      <c r="D1001">
        <v>-449.36599999999999</v>
      </c>
      <c r="E1001" t="s">
        <v>4</v>
      </c>
      <c r="F1001" t="s">
        <v>43</v>
      </c>
      <c r="G1001" t="s">
        <v>5</v>
      </c>
    </row>
    <row r="1002" spans="1:7" x14ac:dyDescent="0.3">
      <c r="A1002" t="s">
        <v>20</v>
      </c>
      <c r="B1002" s="1">
        <v>45900</v>
      </c>
      <c r="C1002">
        <v>251005</v>
      </c>
      <c r="D1002">
        <v>22614.003000000001</v>
      </c>
      <c r="E1002" t="s">
        <v>4</v>
      </c>
      <c r="F1002" t="s">
        <v>46</v>
      </c>
      <c r="G1002" t="s">
        <v>5</v>
      </c>
    </row>
    <row r="1003" spans="1:7" x14ac:dyDescent="0.3">
      <c r="A1003" t="s">
        <v>20</v>
      </c>
      <c r="B1003" s="1">
        <v>45900</v>
      </c>
      <c r="C1003">
        <v>260004</v>
      </c>
      <c r="D1003">
        <v>-144.286</v>
      </c>
      <c r="E1003" t="s">
        <v>4</v>
      </c>
      <c r="F1003" t="s">
        <v>45</v>
      </c>
      <c r="G1003" t="s">
        <v>5</v>
      </c>
    </row>
    <row r="1004" spans="1:7" x14ac:dyDescent="0.3">
      <c r="A1004" t="s">
        <v>20</v>
      </c>
      <c r="B1004" s="1">
        <v>45900</v>
      </c>
      <c r="C1004">
        <v>270026</v>
      </c>
      <c r="D1004">
        <v>-2509.4</v>
      </c>
      <c r="E1004" t="s">
        <v>4</v>
      </c>
      <c r="F1004" t="s">
        <v>58</v>
      </c>
      <c r="G1004" t="s">
        <v>5</v>
      </c>
    </row>
    <row r="1005" spans="1:7" x14ac:dyDescent="0.3">
      <c r="A1005" t="s">
        <v>20</v>
      </c>
      <c r="B1005" s="1">
        <v>45900</v>
      </c>
      <c r="C1005">
        <v>270027</v>
      </c>
      <c r="D1005">
        <v>-566.62800000000004</v>
      </c>
      <c r="E1005" t="s">
        <v>4</v>
      </c>
      <c r="F1005" t="s">
        <v>58</v>
      </c>
      <c r="G1005" t="s">
        <v>5</v>
      </c>
    </row>
    <row r="1006" spans="1:7" x14ac:dyDescent="0.3">
      <c r="A1006" t="s">
        <v>20</v>
      </c>
      <c r="B1006" s="1">
        <v>45900</v>
      </c>
      <c r="C1006">
        <v>300008</v>
      </c>
      <c r="D1006">
        <v>239.47399999999999</v>
      </c>
      <c r="E1006" t="s">
        <v>4</v>
      </c>
      <c r="F1006" t="s">
        <v>65</v>
      </c>
      <c r="G1006" t="s">
        <v>5</v>
      </c>
    </row>
    <row r="1007" spans="1:7" x14ac:dyDescent="0.3">
      <c r="A1007" t="s">
        <v>20</v>
      </c>
      <c r="B1007" s="1">
        <v>45900</v>
      </c>
      <c r="C1007">
        <v>300508</v>
      </c>
      <c r="D1007">
        <v>-239.47399999999999</v>
      </c>
      <c r="E1007" t="s">
        <v>4</v>
      </c>
      <c r="F1007" t="s">
        <v>65</v>
      </c>
      <c r="G1007" t="s">
        <v>5</v>
      </c>
    </row>
    <row r="1008" spans="1:7" x14ac:dyDescent="0.3">
      <c r="A1008" t="s">
        <v>20</v>
      </c>
      <c r="B1008" s="1">
        <v>45900</v>
      </c>
      <c r="C1008">
        <v>320003</v>
      </c>
      <c r="D1008">
        <v>6739.4250000000002</v>
      </c>
      <c r="E1008" t="s">
        <v>4</v>
      </c>
      <c r="F1008" t="s">
        <v>46</v>
      </c>
      <c r="G1008" t="s">
        <v>5</v>
      </c>
    </row>
    <row r="1009" spans="1:7" x14ac:dyDescent="0.3">
      <c r="A1009" t="s">
        <v>20</v>
      </c>
      <c r="B1009" s="1">
        <v>45900</v>
      </c>
      <c r="C1009">
        <v>320004</v>
      </c>
      <c r="D1009">
        <v>104.69799999999999</v>
      </c>
      <c r="E1009" t="s">
        <v>4</v>
      </c>
      <c r="F1009" t="s">
        <v>46</v>
      </c>
      <c r="G1009" t="s">
        <v>5</v>
      </c>
    </row>
    <row r="1010" spans="1:7" x14ac:dyDescent="0.3">
      <c r="A1010" t="s">
        <v>20</v>
      </c>
      <c r="B1010" s="1">
        <v>45900</v>
      </c>
      <c r="C1010">
        <v>321002</v>
      </c>
      <c r="D1010">
        <v>1930.3009999999999</v>
      </c>
      <c r="E1010" t="s">
        <v>4</v>
      </c>
      <c r="F1010" t="s">
        <v>46</v>
      </c>
      <c r="G1010" t="s">
        <v>5</v>
      </c>
    </row>
    <row r="1011" spans="1:7" x14ac:dyDescent="0.3">
      <c r="A1011" t="s">
        <v>20</v>
      </c>
      <c r="B1011" s="1">
        <v>45900</v>
      </c>
      <c r="C1011">
        <v>340261</v>
      </c>
      <c r="D1011">
        <v>47248.824999999997</v>
      </c>
      <c r="E1011" t="s">
        <v>4</v>
      </c>
      <c r="F1011" t="s">
        <v>47</v>
      </c>
      <c r="G1011" t="s">
        <v>5</v>
      </c>
    </row>
    <row r="1012" spans="1:7" x14ac:dyDescent="0.3">
      <c r="A1012" t="s">
        <v>20</v>
      </c>
      <c r="B1012" s="1">
        <v>45900</v>
      </c>
      <c r="C1012">
        <v>354014</v>
      </c>
      <c r="D1012">
        <v>2721.4549999999999</v>
      </c>
      <c r="E1012" t="s">
        <v>4</v>
      </c>
      <c r="F1012" t="s">
        <v>46</v>
      </c>
      <c r="G1012" t="s">
        <v>5</v>
      </c>
    </row>
    <row r="1013" spans="1:7" x14ac:dyDescent="0.3">
      <c r="A1013" t="s">
        <v>20</v>
      </c>
      <c r="B1013" s="1">
        <v>45900</v>
      </c>
      <c r="C1013">
        <v>355002</v>
      </c>
      <c r="D1013">
        <v>6.194</v>
      </c>
      <c r="E1013" t="s">
        <v>4</v>
      </c>
      <c r="F1013" t="s">
        <v>49</v>
      </c>
      <c r="G1013" t="s">
        <v>5</v>
      </c>
    </row>
    <row r="1014" spans="1:7" x14ac:dyDescent="0.3">
      <c r="A1014" t="s">
        <v>20</v>
      </c>
      <c r="B1014" s="1">
        <v>45900</v>
      </c>
      <c r="C1014">
        <v>355013</v>
      </c>
      <c r="D1014">
        <v>367.67599999999999</v>
      </c>
      <c r="E1014" t="s">
        <v>4</v>
      </c>
      <c r="F1014" t="s">
        <v>49</v>
      </c>
      <c r="G1014" t="s">
        <v>5</v>
      </c>
    </row>
    <row r="1015" spans="1:7" x14ac:dyDescent="0.3">
      <c r="A1015" t="s">
        <v>20</v>
      </c>
      <c r="B1015" s="1">
        <v>45900</v>
      </c>
      <c r="C1015">
        <v>355014</v>
      </c>
      <c r="D1015">
        <v>18.606000000000002</v>
      </c>
      <c r="E1015" t="s">
        <v>4</v>
      </c>
      <c r="F1015" t="s">
        <v>49</v>
      </c>
      <c r="G1015" t="s">
        <v>5</v>
      </c>
    </row>
    <row r="1016" spans="1:7" x14ac:dyDescent="0.3">
      <c r="A1016" t="s">
        <v>20</v>
      </c>
      <c r="B1016" s="1">
        <v>45900</v>
      </c>
      <c r="C1016">
        <v>360028</v>
      </c>
      <c r="D1016">
        <v>135.965</v>
      </c>
      <c r="E1016" t="s">
        <v>4</v>
      </c>
      <c r="F1016" t="s">
        <v>58</v>
      </c>
      <c r="G1016" t="s">
        <v>5</v>
      </c>
    </row>
    <row r="1017" spans="1:7" x14ac:dyDescent="0.3">
      <c r="A1017" t="s">
        <v>20</v>
      </c>
      <c r="B1017" s="1">
        <v>45900</v>
      </c>
      <c r="C1017">
        <v>360030</v>
      </c>
      <c r="D1017">
        <v>950.46400000000006</v>
      </c>
      <c r="E1017" t="s">
        <v>4</v>
      </c>
      <c r="F1017" t="s">
        <v>58</v>
      </c>
      <c r="G1017" t="s">
        <v>5</v>
      </c>
    </row>
    <row r="1018" spans="1:7" x14ac:dyDescent="0.3">
      <c r="A1018" t="s">
        <v>20</v>
      </c>
      <c r="B1018" s="1">
        <v>45900</v>
      </c>
      <c r="C1018">
        <v>360032</v>
      </c>
      <c r="D1018">
        <v>807.91899999999998</v>
      </c>
      <c r="E1018" t="s">
        <v>4</v>
      </c>
      <c r="F1018" t="s">
        <v>58</v>
      </c>
      <c r="G1018" t="s">
        <v>5</v>
      </c>
    </row>
    <row r="1019" spans="1:7" x14ac:dyDescent="0.3">
      <c r="A1019" t="s">
        <v>20</v>
      </c>
      <c r="B1019" s="1">
        <v>45900</v>
      </c>
      <c r="C1019">
        <v>410002</v>
      </c>
      <c r="D1019">
        <v>-1931.8810000000001</v>
      </c>
      <c r="E1019" t="s">
        <v>6</v>
      </c>
      <c r="F1019" t="s">
        <v>51</v>
      </c>
      <c r="G1019" t="s">
        <v>5</v>
      </c>
    </row>
    <row r="1020" spans="1:7" x14ac:dyDescent="0.3">
      <c r="A1020" t="s">
        <v>20</v>
      </c>
      <c r="B1020" s="1">
        <v>45900</v>
      </c>
      <c r="C1020">
        <v>415002</v>
      </c>
      <c r="D1020">
        <v>251.07</v>
      </c>
      <c r="E1020" t="s">
        <v>6</v>
      </c>
      <c r="F1020" t="s">
        <v>50</v>
      </c>
      <c r="G1020" t="s">
        <v>5</v>
      </c>
    </row>
    <row r="1021" spans="1:7" x14ac:dyDescent="0.3">
      <c r="A1021" t="s">
        <v>20</v>
      </c>
      <c r="B1021" s="1">
        <v>45900</v>
      </c>
      <c r="C1021">
        <v>415004</v>
      </c>
      <c r="D1021">
        <v>-9434.3439999999991</v>
      </c>
      <c r="E1021" t="s">
        <v>6</v>
      </c>
      <c r="F1021" t="s">
        <v>50</v>
      </c>
      <c r="G1021" t="s">
        <v>5</v>
      </c>
    </row>
    <row r="1022" spans="1:7" x14ac:dyDescent="0.3">
      <c r="A1022" t="s">
        <v>20</v>
      </c>
      <c r="B1022" s="1">
        <v>45900</v>
      </c>
      <c r="C1022">
        <v>421003</v>
      </c>
      <c r="D1022">
        <v>0.53200000000000003</v>
      </c>
      <c r="E1022" t="s">
        <v>6</v>
      </c>
      <c r="F1022" t="s">
        <v>52</v>
      </c>
      <c r="G1022" t="s">
        <v>5</v>
      </c>
    </row>
    <row r="1023" spans="1:7" x14ac:dyDescent="0.3">
      <c r="A1023" t="s">
        <v>20</v>
      </c>
      <c r="B1023" s="1">
        <v>45900</v>
      </c>
      <c r="C1023">
        <v>421007</v>
      </c>
      <c r="D1023">
        <v>-75.846000000000004</v>
      </c>
      <c r="E1023" t="s">
        <v>6</v>
      </c>
      <c r="F1023" t="s">
        <v>52</v>
      </c>
      <c r="G1023" t="s">
        <v>5</v>
      </c>
    </row>
    <row r="1024" spans="1:7" x14ac:dyDescent="0.3">
      <c r="A1024" t="s">
        <v>20</v>
      </c>
      <c r="B1024" s="1">
        <v>45900</v>
      </c>
      <c r="C1024">
        <v>546002</v>
      </c>
      <c r="D1024">
        <v>8475.5049999999992</v>
      </c>
      <c r="E1024" t="s">
        <v>6</v>
      </c>
      <c r="F1024" t="s">
        <v>51</v>
      </c>
      <c r="G1024" t="s">
        <v>5</v>
      </c>
    </row>
    <row r="1025" spans="1:7" x14ac:dyDescent="0.3">
      <c r="A1025" t="s">
        <v>20</v>
      </c>
      <c r="B1025" s="1">
        <v>45900</v>
      </c>
      <c r="C1025">
        <v>546005</v>
      </c>
      <c r="D1025">
        <v>262.41800000000001</v>
      </c>
      <c r="E1025" t="s">
        <v>6</v>
      </c>
      <c r="F1025" t="s">
        <v>51</v>
      </c>
      <c r="G1025" t="s">
        <v>5</v>
      </c>
    </row>
    <row r="1026" spans="1:7" x14ac:dyDescent="0.3">
      <c r="A1026" t="s">
        <v>20</v>
      </c>
      <c r="B1026" s="1">
        <v>45900</v>
      </c>
      <c r="C1026">
        <v>556004</v>
      </c>
      <c r="D1026">
        <v>2.92</v>
      </c>
      <c r="E1026" t="s">
        <v>6</v>
      </c>
      <c r="F1026" t="s">
        <v>55</v>
      </c>
      <c r="G1026" t="s">
        <v>5</v>
      </c>
    </row>
    <row r="1027" spans="1:7" x14ac:dyDescent="0.3">
      <c r="A1027" t="s">
        <v>20</v>
      </c>
      <c r="B1027" s="1">
        <v>45900</v>
      </c>
      <c r="C1027">
        <v>557002</v>
      </c>
      <c r="D1027">
        <v>2614.6089999999999</v>
      </c>
      <c r="E1027" t="s">
        <v>6</v>
      </c>
      <c r="F1027" t="s">
        <v>56</v>
      </c>
      <c r="G1027" t="s">
        <v>5</v>
      </c>
    </row>
    <row r="1028" spans="1:7" x14ac:dyDescent="0.3">
      <c r="A1028" t="s">
        <v>20</v>
      </c>
      <c r="B1028" s="1">
        <v>45900</v>
      </c>
      <c r="C1028">
        <v>558006</v>
      </c>
      <c r="D1028">
        <v>23.266999999999999</v>
      </c>
      <c r="E1028" t="s">
        <v>6</v>
      </c>
      <c r="F1028" t="s">
        <v>57</v>
      </c>
      <c r="G1028" t="s">
        <v>5</v>
      </c>
    </row>
    <row r="1029" spans="1:7" x14ac:dyDescent="0.3">
      <c r="A1029" t="s">
        <v>20</v>
      </c>
      <c r="B1029" s="1">
        <v>45900</v>
      </c>
      <c r="C1029">
        <v>560008</v>
      </c>
      <c r="D1029">
        <v>68.19</v>
      </c>
      <c r="E1029" t="s">
        <v>6</v>
      </c>
      <c r="F1029" t="s">
        <v>56</v>
      </c>
      <c r="G1029" t="s">
        <v>5</v>
      </c>
    </row>
    <row r="1030" spans="1:7" x14ac:dyDescent="0.3">
      <c r="A1030" t="s">
        <v>20</v>
      </c>
      <c r="B1030" s="1">
        <v>45900</v>
      </c>
      <c r="C1030">
        <v>564006</v>
      </c>
      <c r="D1030">
        <v>1.2999999999999999E-2</v>
      </c>
      <c r="E1030" t="s">
        <v>6</v>
      </c>
      <c r="F1030" t="s">
        <v>57</v>
      </c>
      <c r="G1030" t="s">
        <v>5</v>
      </c>
    </row>
    <row r="1031" spans="1:7" x14ac:dyDescent="0.3">
      <c r="A1031" t="s">
        <v>20</v>
      </c>
      <c r="B1031" s="1">
        <v>45900</v>
      </c>
      <c r="C1031">
        <v>564020</v>
      </c>
      <c r="D1031">
        <v>8.31</v>
      </c>
      <c r="E1031" t="s">
        <v>6</v>
      </c>
      <c r="F1031" t="s">
        <v>57</v>
      </c>
      <c r="G1031" t="s">
        <v>5</v>
      </c>
    </row>
    <row r="1032" spans="1:7" x14ac:dyDescent="0.3">
      <c r="A1032" t="s">
        <v>20</v>
      </c>
      <c r="B1032" s="1">
        <v>45900</v>
      </c>
      <c r="C1032">
        <v>580002</v>
      </c>
      <c r="D1032">
        <v>567.09199999999998</v>
      </c>
      <c r="E1032" t="s">
        <v>6</v>
      </c>
      <c r="F1032" t="s">
        <v>64</v>
      </c>
      <c r="G1032" t="s">
        <v>5</v>
      </c>
    </row>
    <row r="1033" spans="1:7" x14ac:dyDescent="0.3">
      <c r="A1033" t="s">
        <v>21</v>
      </c>
      <c r="B1033" s="1">
        <v>45900</v>
      </c>
      <c r="C1033">
        <v>210002</v>
      </c>
      <c r="D1033">
        <v>-308.60899999999998</v>
      </c>
      <c r="E1033" t="s">
        <v>4</v>
      </c>
      <c r="F1033" t="s">
        <v>42</v>
      </c>
      <c r="G1033" t="s">
        <v>7</v>
      </c>
    </row>
    <row r="1034" spans="1:7" x14ac:dyDescent="0.3">
      <c r="A1034" t="s">
        <v>21</v>
      </c>
      <c r="B1034" s="1">
        <v>45900</v>
      </c>
      <c r="C1034">
        <v>220006</v>
      </c>
      <c r="D1034">
        <v>10481.49</v>
      </c>
      <c r="E1034" t="s">
        <v>4</v>
      </c>
      <c r="F1034" t="s">
        <v>42</v>
      </c>
      <c r="G1034" t="s">
        <v>7</v>
      </c>
    </row>
    <row r="1035" spans="1:7" x14ac:dyDescent="0.3">
      <c r="A1035" t="s">
        <v>21</v>
      </c>
      <c r="B1035" s="1">
        <v>45900</v>
      </c>
      <c r="C1035">
        <v>242003</v>
      </c>
      <c r="D1035">
        <v>-24593.777999999998</v>
      </c>
      <c r="E1035" t="s">
        <v>4</v>
      </c>
      <c r="F1035" t="s">
        <v>43</v>
      </c>
      <c r="G1035" t="s">
        <v>7</v>
      </c>
    </row>
    <row r="1036" spans="1:7" x14ac:dyDescent="0.3">
      <c r="A1036" t="s">
        <v>21</v>
      </c>
      <c r="B1036" s="1">
        <v>45900</v>
      </c>
      <c r="C1036">
        <v>242011</v>
      </c>
      <c r="D1036">
        <v>-18256.775000000001</v>
      </c>
      <c r="E1036" t="s">
        <v>4</v>
      </c>
      <c r="F1036" t="s">
        <v>43</v>
      </c>
      <c r="G1036" t="s">
        <v>7</v>
      </c>
    </row>
    <row r="1037" spans="1:7" x14ac:dyDescent="0.3">
      <c r="A1037" t="s">
        <v>21</v>
      </c>
      <c r="B1037" s="1">
        <v>45900</v>
      </c>
      <c r="C1037">
        <v>242012</v>
      </c>
      <c r="D1037">
        <v>-15272.325000000001</v>
      </c>
      <c r="E1037" t="s">
        <v>4</v>
      </c>
      <c r="F1037" t="s">
        <v>43</v>
      </c>
      <c r="G1037" t="s">
        <v>7</v>
      </c>
    </row>
    <row r="1038" spans="1:7" x14ac:dyDescent="0.3">
      <c r="A1038" t="s">
        <v>21</v>
      </c>
      <c r="B1038" s="1">
        <v>45900</v>
      </c>
      <c r="C1038">
        <v>242014</v>
      </c>
      <c r="D1038">
        <v>-5307.6019999999999</v>
      </c>
      <c r="E1038" t="s">
        <v>4</v>
      </c>
      <c r="F1038" t="s">
        <v>43</v>
      </c>
      <c r="G1038" t="s">
        <v>7</v>
      </c>
    </row>
    <row r="1039" spans="1:7" x14ac:dyDescent="0.3">
      <c r="A1039" t="s">
        <v>21</v>
      </c>
      <c r="B1039" s="1">
        <v>45900</v>
      </c>
      <c r="C1039">
        <v>242030</v>
      </c>
      <c r="D1039">
        <v>-286.404</v>
      </c>
      <c r="E1039" t="s">
        <v>4</v>
      </c>
      <c r="F1039" t="s">
        <v>43</v>
      </c>
      <c r="G1039" t="s">
        <v>7</v>
      </c>
    </row>
    <row r="1040" spans="1:7" x14ac:dyDescent="0.3">
      <c r="A1040" t="s">
        <v>21</v>
      </c>
      <c r="B1040" s="1">
        <v>45900</v>
      </c>
      <c r="C1040">
        <v>242041</v>
      </c>
      <c r="D1040">
        <v>2887.8119999999999</v>
      </c>
      <c r="E1040" t="s">
        <v>4</v>
      </c>
      <c r="F1040" t="s">
        <v>43</v>
      </c>
      <c r="G1040" t="s">
        <v>7</v>
      </c>
    </row>
    <row r="1041" spans="1:7" x14ac:dyDescent="0.3">
      <c r="A1041" t="s">
        <v>21</v>
      </c>
      <c r="B1041" s="1">
        <v>45900</v>
      </c>
      <c r="C1041">
        <v>243002</v>
      </c>
      <c r="D1041">
        <v>-125.66800000000001</v>
      </c>
      <c r="E1041" t="s">
        <v>4</v>
      </c>
      <c r="F1041" t="s">
        <v>43</v>
      </c>
      <c r="G1041" t="s">
        <v>7</v>
      </c>
    </row>
    <row r="1042" spans="1:7" x14ac:dyDescent="0.3">
      <c r="A1042" t="s">
        <v>21</v>
      </c>
      <c r="B1042" s="1">
        <v>45900</v>
      </c>
      <c r="C1042">
        <v>245062</v>
      </c>
      <c r="D1042">
        <v>-18.282</v>
      </c>
      <c r="E1042" t="s">
        <v>4</v>
      </c>
      <c r="F1042" t="s">
        <v>43</v>
      </c>
      <c r="G1042" t="s">
        <v>7</v>
      </c>
    </row>
    <row r="1043" spans="1:7" x14ac:dyDescent="0.3">
      <c r="A1043" t="s">
        <v>21</v>
      </c>
      <c r="B1043" s="1">
        <v>45900</v>
      </c>
      <c r="C1043">
        <v>251002</v>
      </c>
      <c r="D1043">
        <v>-414.41</v>
      </c>
      <c r="E1043" t="s">
        <v>4</v>
      </c>
      <c r="F1043" t="s">
        <v>45</v>
      </c>
      <c r="G1043" t="s">
        <v>7</v>
      </c>
    </row>
    <row r="1044" spans="1:7" x14ac:dyDescent="0.3">
      <c r="A1044" t="s">
        <v>21</v>
      </c>
      <c r="B1044" s="1">
        <v>45900</v>
      </c>
      <c r="C1044">
        <v>251003</v>
      </c>
      <c r="D1044">
        <v>-41235.222999999998</v>
      </c>
      <c r="E1044" t="s">
        <v>4</v>
      </c>
      <c r="F1044" t="s">
        <v>45</v>
      </c>
      <c r="G1044" t="s">
        <v>7</v>
      </c>
    </row>
    <row r="1045" spans="1:7" x14ac:dyDescent="0.3">
      <c r="A1045" t="s">
        <v>21</v>
      </c>
      <c r="B1045" s="1">
        <v>45900</v>
      </c>
      <c r="C1045">
        <v>257008</v>
      </c>
      <c r="D1045">
        <v>-2966.6869999999999</v>
      </c>
      <c r="E1045" t="s">
        <v>4</v>
      </c>
      <c r="F1045" t="s">
        <v>45</v>
      </c>
      <c r="G1045" t="s">
        <v>7</v>
      </c>
    </row>
    <row r="1046" spans="1:7" x14ac:dyDescent="0.3">
      <c r="A1046" t="s">
        <v>21</v>
      </c>
      <c r="B1046" s="1">
        <v>45900</v>
      </c>
      <c r="C1046">
        <v>257028</v>
      </c>
      <c r="D1046">
        <v>1389.9670000000001</v>
      </c>
      <c r="E1046" t="s">
        <v>4</v>
      </c>
      <c r="F1046" t="s">
        <v>45</v>
      </c>
      <c r="G1046" t="s">
        <v>7</v>
      </c>
    </row>
    <row r="1047" spans="1:7" x14ac:dyDescent="0.3">
      <c r="A1047" t="s">
        <v>21</v>
      </c>
      <c r="B1047" s="1">
        <v>45900</v>
      </c>
      <c r="C1047">
        <v>257030</v>
      </c>
      <c r="D1047">
        <v>-1078.0319999999999</v>
      </c>
      <c r="E1047" t="s">
        <v>4</v>
      </c>
      <c r="F1047" t="s">
        <v>45</v>
      </c>
      <c r="G1047" t="s">
        <v>7</v>
      </c>
    </row>
    <row r="1048" spans="1:7" x14ac:dyDescent="0.3">
      <c r="A1048" t="s">
        <v>21</v>
      </c>
      <c r="B1048" s="1">
        <v>45900</v>
      </c>
      <c r="C1048">
        <v>260004</v>
      </c>
      <c r="D1048">
        <v>-13340.503000000001</v>
      </c>
      <c r="E1048" t="s">
        <v>4</v>
      </c>
      <c r="F1048" t="s">
        <v>45</v>
      </c>
      <c r="G1048" t="s">
        <v>7</v>
      </c>
    </row>
    <row r="1049" spans="1:7" x14ac:dyDescent="0.3">
      <c r="A1049" t="s">
        <v>21</v>
      </c>
      <c r="B1049" s="1">
        <v>45900</v>
      </c>
      <c r="C1049">
        <v>270026</v>
      </c>
      <c r="D1049">
        <v>-5022.4740000000002</v>
      </c>
      <c r="E1049" t="s">
        <v>4</v>
      </c>
      <c r="F1049" t="s">
        <v>58</v>
      </c>
      <c r="G1049" t="s">
        <v>7</v>
      </c>
    </row>
    <row r="1050" spans="1:7" x14ac:dyDescent="0.3">
      <c r="A1050" t="s">
        <v>21</v>
      </c>
      <c r="B1050" s="1">
        <v>45900</v>
      </c>
      <c r="C1050">
        <v>270027</v>
      </c>
      <c r="D1050">
        <v>-961.02</v>
      </c>
      <c r="E1050" t="s">
        <v>4</v>
      </c>
      <c r="F1050" t="s">
        <v>58</v>
      </c>
      <c r="G1050" t="s">
        <v>7</v>
      </c>
    </row>
    <row r="1051" spans="1:7" x14ac:dyDescent="0.3">
      <c r="A1051" t="s">
        <v>21</v>
      </c>
      <c r="B1051" s="1">
        <v>45900</v>
      </c>
      <c r="C1051">
        <v>320003</v>
      </c>
      <c r="D1051">
        <v>15763.234</v>
      </c>
      <c r="E1051" t="s">
        <v>4</v>
      </c>
      <c r="F1051" t="s">
        <v>46</v>
      </c>
      <c r="G1051" t="s">
        <v>7</v>
      </c>
    </row>
    <row r="1052" spans="1:7" x14ac:dyDescent="0.3">
      <c r="A1052" t="s">
        <v>21</v>
      </c>
      <c r="B1052" s="1">
        <v>45900</v>
      </c>
      <c r="C1052">
        <v>320004</v>
      </c>
      <c r="D1052">
        <v>179.18</v>
      </c>
      <c r="E1052" t="s">
        <v>4</v>
      </c>
      <c r="F1052" t="s">
        <v>46</v>
      </c>
      <c r="G1052" t="s">
        <v>7</v>
      </c>
    </row>
    <row r="1053" spans="1:7" x14ac:dyDescent="0.3">
      <c r="A1053" t="s">
        <v>21</v>
      </c>
      <c r="B1053" s="1">
        <v>45900</v>
      </c>
      <c r="C1053">
        <v>321002</v>
      </c>
      <c r="D1053">
        <v>8696.5079999999998</v>
      </c>
      <c r="E1053" t="s">
        <v>4</v>
      </c>
      <c r="F1053" t="s">
        <v>46</v>
      </c>
      <c r="G1053" t="s">
        <v>7</v>
      </c>
    </row>
    <row r="1054" spans="1:7" x14ac:dyDescent="0.3">
      <c r="A1054" t="s">
        <v>21</v>
      </c>
      <c r="B1054" s="1">
        <v>45900</v>
      </c>
      <c r="C1054">
        <v>321010</v>
      </c>
      <c r="D1054">
        <v>12.680999999999999</v>
      </c>
      <c r="E1054" t="s">
        <v>4</v>
      </c>
      <c r="F1054" t="s">
        <v>46</v>
      </c>
      <c r="G1054" t="s">
        <v>7</v>
      </c>
    </row>
    <row r="1055" spans="1:7" x14ac:dyDescent="0.3">
      <c r="A1055" t="s">
        <v>21</v>
      </c>
      <c r="B1055" s="1">
        <v>45900</v>
      </c>
      <c r="C1055">
        <v>321012</v>
      </c>
      <c r="D1055">
        <v>4323.3010000000004</v>
      </c>
      <c r="E1055" t="s">
        <v>4</v>
      </c>
      <c r="F1055" t="s">
        <v>46</v>
      </c>
      <c r="G1055" t="s">
        <v>7</v>
      </c>
    </row>
    <row r="1056" spans="1:7" x14ac:dyDescent="0.3">
      <c r="A1056" t="s">
        <v>21</v>
      </c>
      <c r="B1056" s="1">
        <v>45900</v>
      </c>
      <c r="C1056">
        <v>321013</v>
      </c>
      <c r="D1056">
        <v>27.748000000000001</v>
      </c>
      <c r="E1056" t="s">
        <v>4</v>
      </c>
      <c r="F1056" t="s">
        <v>46</v>
      </c>
      <c r="G1056" t="s">
        <v>7</v>
      </c>
    </row>
    <row r="1057" spans="1:7" x14ac:dyDescent="0.3">
      <c r="A1057" t="s">
        <v>21</v>
      </c>
      <c r="B1057" s="1">
        <v>45900</v>
      </c>
      <c r="C1057">
        <v>321014</v>
      </c>
      <c r="D1057">
        <v>12.680999999999999</v>
      </c>
      <c r="E1057" t="s">
        <v>4</v>
      </c>
      <c r="F1057" t="s">
        <v>46</v>
      </c>
      <c r="G1057" t="s">
        <v>7</v>
      </c>
    </row>
    <row r="1058" spans="1:7" x14ac:dyDescent="0.3">
      <c r="A1058" t="s">
        <v>21</v>
      </c>
      <c r="B1058" s="1">
        <v>45900</v>
      </c>
      <c r="C1058">
        <v>321025</v>
      </c>
      <c r="D1058">
        <v>835.91800000000001</v>
      </c>
      <c r="E1058" t="s">
        <v>4</v>
      </c>
      <c r="F1058" t="s">
        <v>46</v>
      </c>
      <c r="G1058" t="s">
        <v>7</v>
      </c>
    </row>
    <row r="1059" spans="1:7" x14ac:dyDescent="0.3">
      <c r="A1059" t="s">
        <v>21</v>
      </c>
      <c r="B1059" s="1">
        <v>45900</v>
      </c>
      <c r="C1059">
        <v>321029</v>
      </c>
      <c r="D1059">
        <v>6066.4679999999998</v>
      </c>
      <c r="E1059" t="s">
        <v>4</v>
      </c>
      <c r="F1059" t="s">
        <v>46</v>
      </c>
      <c r="G1059" t="s">
        <v>7</v>
      </c>
    </row>
    <row r="1060" spans="1:7" x14ac:dyDescent="0.3">
      <c r="A1060" t="s">
        <v>21</v>
      </c>
      <c r="B1060" s="1">
        <v>45900</v>
      </c>
      <c r="C1060">
        <v>321031</v>
      </c>
      <c r="D1060">
        <v>1214.683</v>
      </c>
      <c r="E1060" t="s">
        <v>4</v>
      </c>
      <c r="F1060" t="s">
        <v>46</v>
      </c>
      <c r="G1060" t="s">
        <v>7</v>
      </c>
    </row>
    <row r="1061" spans="1:7" x14ac:dyDescent="0.3">
      <c r="A1061" t="s">
        <v>21</v>
      </c>
      <c r="B1061" s="1">
        <v>45900</v>
      </c>
      <c r="C1061">
        <v>340265</v>
      </c>
      <c r="D1061">
        <v>325315.58500000002</v>
      </c>
      <c r="E1061" t="s">
        <v>4</v>
      </c>
      <c r="F1061" t="s">
        <v>47</v>
      </c>
      <c r="G1061" t="s">
        <v>7</v>
      </c>
    </row>
    <row r="1062" spans="1:7" x14ac:dyDescent="0.3">
      <c r="A1062" t="s">
        <v>21</v>
      </c>
      <c r="B1062" s="1">
        <v>45900</v>
      </c>
      <c r="C1062">
        <v>340266</v>
      </c>
      <c r="D1062">
        <v>-291819.22100000002</v>
      </c>
      <c r="E1062" t="s">
        <v>4</v>
      </c>
      <c r="F1062" t="s">
        <v>47</v>
      </c>
      <c r="G1062" t="s">
        <v>7</v>
      </c>
    </row>
    <row r="1063" spans="1:7" x14ac:dyDescent="0.3">
      <c r="A1063" t="s">
        <v>21</v>
      </c>
      <c r="B1063" s="1">
        <v>45900</v>
      </c>
      <c r="C1063">
        <v>340324</v>
      </c>
      <c r="D1063">
        <v>2143.5949999999998</v>
      </c>
      <c r="E1063" t="s">
        <v>4</v>
      </c>
      <c r="F1063" t="s">
        <v>45</v>
      </c>
      <c r="G1063" t="s">
        <v>7</v>
      </c>
    </row>
    <row r="1064" spans="1:7" x14ac:dyDescent="0.3">
      <c r="A1064" t="s">
        <v>21</v>
      </c>
      <c r="B1064" s="1">
        <v>45900</v>
      </c>
      <c r="C1064">
        <v>352002</v>
      </c>
      <c r="D1064">
        <v>1481.3230000000001</v>
      </c>
      <c r="E1064" t="s">
        <v>4</v>
      </c>
      <c r="F1064" t="s">
        <v>48</v>
      </c>
      <c r="G1064" t="s">
        <v>7</v>
      </c>
    </row>
    <row r="1065" spans="1:7" x14ac:dyDescent="0.3">
      <c r="A1065" t="s">
        <v>21</v>
      </c>
      <c r="B1065" s="1">
        <v>45900</v>
      </c>
      <c r="C1065">
        <v>354012</v>
      </c>
      <c r="D1065">
        <v>7139.5450000000001</v>
      </c>
      <c r="E1065" t="s">
        <v>4</v>
      </c>
      <c r="F1065" t="s">
        <v>46</v>
      </c>
      <c r="G1065" t="s">
        <v>7</v>
      </c>
    </row>
    <row r="1066" spans="1:7" x14ac:dyDescent="0.3">
      <c r="A1066" t="s">
        <v>21</v>
      </c>
      <c r="B1066" s="1">
        <v>45900</v>
      </c>
      <c r="C1066">
        <v>354014</v>
      </c>
      <c r="D1066">
        <v>1464.809</v>
      </c>
      <c r="E1066" t="s">
        <v>4</v>
      </c>
      <c r="F1066" t="s">
        <v>46</v>
      </c>
      <c r="G1066" t="s">
        <v>7</v>
      </c>
    </row>
    <row r="1067" spans="1:7" x14ac:dyDescent="0.3">
      <c r="A1067" t="s">
        <v>21</v>
      </c>
      <c r="B1067" s="1">
        <v>45900</v>
      </c>
      <c r="C1067">
        <v>355002</v>
      </c>
      <c r="D1067">
        <v>529.77700000000004</v>
      </c>
      <c r="E1067" t="s">
        <v>4</v>
      </c>
      <c r="F1067" t="s">
        <v>49</v>
      </c>
      <c r="G1067" t="s">
        <v>7</v>
      </c>
    </row>
    <row r="1068" spans="1:7" x14ac:dyDescent="0.3">
      <c r="A1068" t="s">
        <v>21</v>
      </c>
      <c r="B1068" s="1">
        <v>45900</v>
      </c>
      <c r="C1068">
        <v>360028</v>
      </c>
      <c r="D1068">
        <v>5022.4740000000002</v>
      </c>
      <c r="E1068" t="s">
        <v>4</v>
      </c>
      <c r="F1068" t="s">
        <v>58</v>
      </c>
      <c r="G1068" t="s">
        <v>7</v>
      </c>
    </row>
    <row r="1069" spans="1:7" x14ac:dyDescent="0.3">
      <c r="A1069" t="s">
        <v>21</v>
      </c>
      <c r="B1069" s="1">
        <v>45900</v>
      </c>
      <c r="C1069">
        <v>360030</v>
      </c>
      <c r="D1069">
        <v>1554.241</v>
      </c>
      <c r="E1069" t="s">
        <v>4</v>
      </c>
      <c r="F1069" t="s">
        <v>58</v>
      </c>
      <c r="G1069" t="s">
        <v>7</v>
      </c>
    </row>
    <row r="1070" spans="1:7" x14ac:dyDescent="0.3">
      <c r="A1070" t="s">
        <v>21</v>
      </c>
      <c r="B1070" s="1">
        <v>45900</v>
      </c>
      <c r="C1070">
        <v>372004</v>
      </c>
      <c r="D1070">
        <v>6209.0140000000001</v>
      </c>
      <c r="E1070" t="s">
        <v>4</v>
      </c>
      <c r="F1070" t="s">
        <v>45</v>
      </c>
      <c r="G1070" t="s">
        <v>7</v>
      </c>
    </row>
    <row r="1071" spans="1:7" x14ac:dyDescent="0.3">
      <c r="A1071" t="s">
        <v>21</v>
      </c>
      <c r="B1071" s="1">
        <v>45900</v>
      </c>
      <c r="C1071">
        <v>410002</v>
      </c>
      <c r="D1071">
        <v>-9590.1530000000002</v>
      </c>
      <c r="E1071" t="s">
        <v>6</v>
      </c>
      <c r="F1071" t="s">
        <v>51</v>
      </c>
      <c r="G1071" t="s">
        <v>7</v>
      </c>
    </row>
    <row r="1072" spans="1:7" x14ac:dyDescent="0.3">
      <c r="A1072" t="s">
        <v>21</v>
      </c>
      <c r="B1072" s="1">
        <v>45900</v>
      </c>
      <c r="C1072">
        <v>410006</v>
      </c>
      <c r="D1072">
        <v>-44.896999999999998</v>
      </c>
      <c r="E1072" t="s">
        <v>6</v>
      </c>
      <c r="F1072" t="s">
        <v>51</v>
      </c>
      <c r="G1072" t="s">
        <v>7</v>
      </c>
    </row>
    <row r="1073" spans="1:7" x14ac:dyDescent="0.3">
      <c r="A1073" t="s">
        <v>21</v>
      </c>
      <c r="B1073" s="1">
        <v>45900</v>
      </c>
      <c r="C1073">
        <v>410032</v>
      </c>
      <c r="D1073">
        <v>-361.44299999999998</v>
      </c>
      <c r="E1073" t="s">
        <v>6</v>
      </c>
      <c r="F1073" t="s">
        <v>51</v>
      </c>
      <c r="G1073" t="s">
        <v>7</v>
      </c>
    </row>
    <row r="1074" spans="1:7" x14ac:dyDescent="0.3">
      <c r="A1074" t="s">
        <v>21</v>
      </c>
      <c r="B1074" s="1">
        <v>45900</v>
      </c>
      <c r="C1074">
        <v>410037</v>
      </c>
      <c r="D1074">
        <v>-8317.152</v>
      </c>
      <c r="E1074" t="s">
        <v>6</v>
      </c>
      <c r="F1074" t="s">
        <v>51</v>
      </c>
      <c r="G1074" t="s">
        <v>7</v>
      </c>
    </row>
    <row r="1075" spans="1:7" x14ac:dyDescent="0.3">
      <c r="A1075" t="s">
        <v>21</v>
      </c>
      <c r="B1075" s="1">
        <v>45900</v>
      </c>
      <c r="C1075">
        <v>410039</v>
      </c>
      <c r="D1075">
        <v>-755.12699999999995</v>
      </c>
      <c r="E1075" t="s">
        <v>6</v>
      </c>
      <c r="F1075" t="s">
        <v>51</v>
      </c>
      <c r="G1075" t="s">
        <v>7</v>
      </c>
    </row>
    <row r="1076" spans="1:7" x14ac:dyDescent="0.3">
      <c r="A1076" t="s">
        <v>21</v>
      </c>
      <c r="B1076" s="1">
        <v>45900</v>
      </c>
      <c r="C1076">
        <v>415002</v>
      </c>
      <c r="D1076">
        <v>-4109.9040000000005</v>
      </c>
      <c r="E1076" t="s">
        <v>6</v>
      </c>
      <c r="F1076" t="s">
        <v>50</v>
      </c>
      <c r="G1076" t="s">
        <v>7</v>
      </c>
    </row>
    <row r="1077" spans="1:7" x14ac:dyDescent="0.3">
      <c r="A1077" t="s">
        <v>21</v>
      </c>
      <c r="B1077" s="1">
        <v>45900</v>
      </c>
      <c r="C1077">
        <v>415004</v>
      </c>
      <c r="D1077">
        <v>-10217.867</v>
      </c>
      <c r="E1077" t="s">
        <v>6</v>
      </c>
      <c r="F1077" t="s">
        <v>50</v>
      </c>
      <c r="G1077" t="s">
        <v>7</v>
      </c>
    </row>
    <row r="1078" spans="1:7" x14ac:dyDescent="0.3">
      <c r="A1078" t="s">
        <v>21</v>
      </c>
      <c r="B1078" s="1">
        <v>45900</v>
      </c>
      <c r="C1078">
        <v>421002</v>
      </c>
      <c r="D1078">
        <v>276.85599999999999</v>
      </c>
      <c r="E1078" t="s">
        <v>6</v>
      </c>
      <c r="F1078" t="s">
        <v>52</v>
      </c>
      <c r="G1078" t="s">
        <v>7</v>
      </c>
    </row>
    <row r="1079" spans="1:7" x14ac:dyDescent="0.3">
      <c r="A1079" t="s">
        <v>21</v>
      </c>
      <c r="B1079" s="1">
        <v>45900</v>
      </c>
      <c r="C1079">
        <v>421003</v>
      </c>
      <c r="D1079">
        <v>459.392</v>
      </c>
      <c r="E1079" t="s">
        <v>6</v>
      </c>
      <c r="F1079" t="s">
        <v>52</v>
      </c>
      <c r="G1079" t="s">
        <v>7</v>
      </c>
    </row>
    <row r="1080" spans="1:7" x14ac:dyDescent="0.3">
      <c r="A1080" t="s">
        <v>21</v>
      </c>
      <c r="B1080" s="1">
        <v>45900</v>
      </c>
      <c r="C1080">
        <v>421007</v>
      </c>
      <c r="D1080">
        <v>-412.17099999999999</v>
      </c>
      <c r="E1080" t="s">
        <v>6</v>
      </c>
      <c r="F1080" t="s">
        <v>52</v>
      </c>
      <c r="G1080" t="s">
        <v>7</v>
      </c>
    </row>
    <row r="1081" spans="1:7" x14ac:dyDescent="0.3">
      <c r="A1081" t="s">
        <v>21</v>
      </c>
      <c r="B1081" s="1">
        <v>45900</v>
      </c>
      <c r="C1081">
        <v>510002</v>
      </c>
      <c r="D1081">
        <v>20059.401000000002</v>
      </c>
      <c r="E1081" t="s">
        <v>6</v>
      </c>
      <c r="F1081" t="s">
        <v>53</v>
      </c>
      <c r="G1081" t="s">
        <v>7</v>
      </c>
    </row>
    <row r="1082" spans="1:7" x14ac:dyDescent="0.3">
      <c r="A1082" t="s">
        <v>21</v>
      </c>
      <c r="B1082" s="1">
        <v>45900</v>
      </c>
      <c r="C1082">
        <v>510007</v>
      </c>
      <c r="D1082">
        <v>1055.575</v>
      </c>
      <c r="E1082" t="s">
        <v>6</v>
      </c>
      <c r="F1082" t="s">
        <v>53</v>
      </c>
      <c r="G1082" t="s">
        <v>7</v>
      </c>
    </row>
    <row r="1083" spans="1:7" x14ac:dyDescent="0.3">
      <c r="A1083" t="s">
        <v>21</v>
      </c>
      <c r="B1083" s="1">
        <v>45900</v>
      </c>
      <c r="C1083">
        <v>510015</v>
      </c>
      <c r="D1083">
        <v>3219.1750000000002</v>
      </c>
      <c r="E1083" t="s">
        <v>6</v>
      </c>
      <c r="F1083" t="s">
        <v>53</v>
      </c>
      <c r="G1083" t="s">
        <v>7</v>
      </c>
    </row>
    <row r="1084" spans="1:7" x14ac:dyDescent="0.3">
      <c r="A1084" t="s">
        <v>21</v>
      </c>
      <c r="B1084" s="1">
        <v>45900</v>
      </c>
      <c r="C1084">
        <v>510018</v>
      </c>
      <c r="D1084">
        <v>190.62700000000001</v>
      </c>
      <c r="E1084" t="s">
        <v>6</v>
      </c>
      <c r="F1084" t="s">
        <v>53</v>
      </c>
      <c r="G1084" t="s">
        <v>7</v>
      </c>
    </row>
    <row r="1085" spans="1:7" x14ac:dyDescent="0.3">
      <c r="A1085" t="s">
        <v>21</v>
      </c>
      <c r="B1085" s="1">
        <v>45900</v>
      </c>
      <c r="C1085">
        <v>510062</v>
      </c>
      <c r="D1085">
        <v>651.09</v>
      </c>
      <c r="E1085" t="s">
        <v>6</v>
      </c>
      <c r="F1085" t="s">
        <v>53</v>
      </c>
      <c r="G1085" t="s">
        <v>7</v>
      </c>
    </row>
    <row r="1086" spans="1:7" x14ac:dyDescent="0.3">
      <c r="A1086" t="s">
        <v>21</v>
      </c>
      <c r="B1086" s="1">
        <v>45900</v>
      </c>
      <c r="C1086">
        <v>510065</v>
      </c>
      <c r="D1086">
        <v>43.515999999999998</v>
      </c>
      <c r="E1086" t="s">
        <v>6</v>
      </c>
      <c r="F1086" t="s">
        <v>53</v>
      </c>
      <c r="G1086" t="s">
        <v>7</v>
      </c>
    </row>
    <row r="1087" spans="1:7" x14ac:dyDescent="0.3">
      <c r="A1087" t="s">
        <v>21</v>
      </c>
      <c r="B1087" s="1">
        <v>45900</v>
      </c>
      <c r="C1087">
        <v>541010</v>
      </c>
      <c r="D1087">
        <v>196.09899999999999</v>
      </c>
      <c r="E1087" t="s">
        <v>6</v>
      </c>
      <c r="F1087" t="s">
        <v>61</v>
      </c>
      <c r="G1087" t="s">
        <v>7</v>
      </c>
    </row>
    <row r="1088" spans="1:7" x14ac:dyDescent="0.3">
      <c r="A1088" t="s">
        <v>21</v>
      </c>
      <c r="B1088" s="1">
        <v>45900</v>
      </c>
      <c r="C1088">
        <v>546002</v>
      </c>
      <c r="D1088">
        <v>9706.973</v>
      </c>
      <c r="E1088" t="s">
        <v>6</v>
      </c>
      <c r="F1088" t="s">
        <v>51</v>
      </c>
      <c r="G1088" t="s">
        <v>7</v>
      </c>
    </row>
    <row r="1089" spans="1:7" x14ac:dyDescent="0.3">
      <c r="A1089" t="s">
        <v>21</v>
      </c>
      <c r="B1089" s="1">
        <v>45900</v>
      </c>
      <c r="C1089">
        <v>546008</v>
      </c>
      <c r="D1089">
        <v>2972.7269999999999</v>
      </c>
      <c r="E1089" t="s">
        <v>6</v>
      </c>
      <c r="F1089" t="s">
        <v>51</v>
      </c>
      <c r="G1089" t="s">
        <v>7</v>
      </c>
    </row>
    <row r="1090" spans="1:7" x14ac:dyDescent="0.3">
      <c r="A1090" t="s">
        <v>21</v>
      </c>
      <c r="B1090" s="1">
        <v>45900</v>
      </c>
      <c r="C1090">
        <v>550003</v>
      </c>
      <c r="D1090">
        <v>698.76099999999997</v>
      </c>
      <c r="E1090" t="s">
        <v>6</v>
      </c>
      <c r="F1090" t="s">
        <v>62</v>
      </c>
      <c r="G1090" t="s">
        <v>7</v>
      </c>
    </row>
    <row r="1091" spans="1:7" x14ac:dyDescent="0.3">
      <c r="A1091" t="s">
        <v>21</v>
      </c>
      <c r="B1091" s="1">
        <v>45900</v>
      </c>
      <c r="C1091">
        <v>551003</v>
      </c>
      <c r="D1091">
        <v>1449.396</v>
      </c>
      <c r="E1091" t="s">
        <v>6</v>
      </c>
      <c r="F1091" t="s">
        <v>63</v>
      </c>
      <c r="G1091" t="s">
        <v>7</v>
      </c>
    </row>
    <row r="1092" spans="1:7" x14ac:dyDescent="0.3">
      <c r="A1092" t="s">
        <v>21</v>
      </c>
      <c r="B1092" s="1">
        <v>45900</v>
      </c>
      <c r="C1092">
        <v>552502</v>
      </c>
      <c r="D1092">
        <v>3623.49</v>
      </c>
      <c r="E1092" t="s">
        <v>6</v>
      </c>
      <c r="F1092" t="s">
        <v>55</v>
      </c>
      <c r="G1092" t="s">
        <v>7</v>
      </c>
    </row>
    <row r="1093" spans="1:7" x14ac:dyDescent="0.3">
      <c r="A1093" t="s">
        <v>21</v>
      </c>
      <c r="B1093" s="1">
        <v>45900</v>
      </c>
      <c r="C1093">
        <v>555508</v>
      </c>
      <c r="D1093">
        <v>251.79599999999999</v>
      </c>
      <c r="E1093" t="s">
        <v>6</v>
      </c>
      <c r="F1093" t="s">
        <v>55</v>
      </c>
      <c r="G1093" t="s">
        <v>7</v>
      </c>
    </row>
    <row r="1094" spans="1:7" x14ac:dyDescent="0.3">
      <c r="A1094" t="s">
        <v>21</v>
      </c>
      <c r="B1094" s="1">
        <v>45900</v>
      </c>
      <c r="C1094">
        <v>556002</v>
      </c>
      <c r="D1094">
        <v>2.7370000000000001</v>
      </c>
      <c r="E1094" t="s">
        <v>6</v>
      </c>
      <c r="F1094" t="s">
        <v>60</v>
      </c>
      <c r="G1094" t="s">
        <v>7</v>
      </c>
    </row>
    <row r="1095" spans="1:7" x14ac:dyDescent="0.3">
      <c r="A1095" t="s">
        <v>21</v>
      </c>
      <c r="B1095" s="1">
        <v>45900</v>
      </c>
      <c r="C1095">
        <v>557002</v>
      </c>
      <c r="D1095">
        <v>5394.2380000000003</v>
      </c>
      <c r="E1095" t="s">
        <v>6</v>
      </c>
      <c r="F1095" t="s">
        <v>56</v>
      </c>
      <c r="G1095" t="s">
        <v>7</v>
      </c>
    </row>
    <row r="1096" spans="1:7" x14ac:dyDescent="0.3">
      <c r="A1096" t="s">
        <v>21</v>
      </c>
      <c r="B1096" s="1">
        <v>45900</v>
      </c>
      <c r="C1096">
        <v>558003</v>
      </c>
      <c r="D1096">
        <v>126.822</v>
      </c>
      <c r="E1096" t="s">
        <v>6</v>
      </c>
      <c r="F1096" t="s">
        <v>57</v>
      </c>
      <c r="G1096" t="s">
        <v>7</v>
      </c>
    </row>
    <row r="1097" spans="1:7" x14ac:dyDescent="0.3">
      <c r="A1097" t="s">
        <v>21</v>
      </c>
      <c r="B1097" s="1">
        <v>45900</v>
      </c>
      <c r="C1097">
        <v>564004</v>
      </c>
      <c r="D1097">
        <v>298.678</v>
      </c>
      <c r="E1097" t="s">
        <v>6</v>
      </c>
      <c r="F1097" t="s">
        <v>51</v>
      </c>
      <c r="G1097" t="s">
        <v>7</v>
      </c>
    </row>
    <row r="1098" spans="1:7" x14ac:dyDescent="0.3">
      <c r="A1098" t="s">
        <v>21</v>
      </c>
      <c r="B1098" s="1">
        <v>45900</v>
      </c>
      <c r="C1098">
        <v>564006</v>
      </c>
      <c r="D1098">
        <v>6.0000000000000001E-3</v>
      </c>
      <c r="E1098" t="s">
        <v>6</v>
      </c>
      <c r="F1098" t="s">
        <v>57</v>
      </c>
      <c r="G1098" t="s">
        <v>7</v>
      </c>
    </row>
    <row r="1099" spans="1:7" x14ac:dyDescent="0.3">
      <c r="A1099" t="s">
        <v>21</v>
      </c>
      <c r="B1099" s="1">
        <v>45900</v>
      </c>
      <c r="C1099">
        <v>564020</v>
      </c>
      <c r="D1099">
        <v>52.581000000000003</v>
      </c>
      <c r="E1099" t="s">
        <v>6</v>
      </c>
      <c r="F1099" t="s">
        <v>57</v>
      </c>
      <c r="G1099" t="s">
        <v>7</v>
      </c>
    </row>
    <row r="1100" spans="1:7" x14ac:dyDescent="0.3">
      <c r="A1100" t="s">
        <v>21</v>
      </c>
      <c r="B1100" s="1">
        <v>45900</v>
      </c>
      <c r="C1100">
        <v>580002</v>
      </c>
      <c r="D1100">
        <v>940.30799999999999</v>
      </c>
      <c r="E1100" t="s">
        <v>6</v>
      </c>
      <c r="F1100" t="s">
        <v>64</v>
      </c>
      <c r="G1100" t="s">
        <v>7</v>
      </c>
    </row>
    <row r="1101" spans="1:7" x14ac:dyDescent="0.3">
      <c r="A1101" t="s">
        <v>22</v>
      </c>
      <c r="B1101" s="1">
        <v>45900</v>
      </c>
      <c r="C1101">
        <v>220006</v>
      </c>
      <c r="D1101">
        <v>-63731.928999999996</v>
      </c>
      <c r="E1101" t="s">
        <v>4</v>
      </c>
      <c r="F1101" t="s">
        <v>42</v>
      </c>
      <c r="G1101" t="s">
        <v>8</v>
      </c>
    </row>
    <row r="1102" spans="1:7" x14ac:dyDescent="0.3">
      <c r="A1102" t="s">
        <v>22</v>
      </c>
      <c r="B1102" s="1">
        <v>45900</v>
      </c>
      <c r="C1102">
        <v>242003</v>
      </c>
      <c r="D1102">
        <v>-118803.145</v>
      </c>
      <c r="E1102" t="s">
        <v>4</v>
      </c>
      <c r="F1102" t="s">
        <v>43</v>
      </c>
      <c r="G1102" t="s">
        <v>8</v>
      </c>
    </row>
    <row r="1103" spans="1:7" x14ac:dyDescent="0.3">
      <c r="A1103" t="s">
        <v>22</v>
      </c>
      <c r="B1103" s="1">
        <v>45900</v>
      </c>
      <c r="C1103">
        <v>242011</v>
      </c>
      <c r="D1103">
        <v>2.1179999999999999</v>
      </c>
      <c r="E1103" t="s">
        <v>4</v>
      </c>
      <c r="F1103" t="s">
        <v>43</v>
      </c>
      <c r="G1103" t="s">
        <v>8</v>
      </c>
    </row>
    <row r="1104" spans="1:7" x14ac:dyDescent="0.3">
      <c r="A1104" t="s">
        <v>22</v>
      </c>
      <c r="B1104" s="1">
        <v>45900</v>
      </c>
      <c r="C1104">
        <v>242016</v>
      </c>
      <c r="D1104">
        <v>-8271.6440000000002</v>
      </c>
      <c r="E1104" t="s">
        <v>4</v>
      </c>
      <c r="F1104" t="s">
        <v>43</v>
      </c>
      <c r="G1104" t="s">
        <v>8</v>
      </c>
    </row>
    <row r="1105" spans="1:7" x14ac:dyDescent="0.3">
      <c r="A1105" t="s">
        <v>22</v>
      </c>
      <c r="B1105" s="1">
        <v>45900</v>
      </c>
      <c r="C1105">
        <v>242030</v>
      </c>
      <c r="D1105">
        <v>-301.08100000000002</v>
      </c>
      <c r="E1105" t="s">
        <v>4</v>
      </c>
      <c r="F1105" t="s">
        <v>43</v>
      </c>
      <c r="G1105" t="s">
        <v>8</v>
      </c>
    </row>
    <row r="1106" spans="1:7" x14ac:dyDescent="0.3">
      <c r="A1106" t="s">
        <v>22</v>
      </c>
      <c r="B1106" s="1">
        <v>45900</v>
      </c>
      <c r="C1106">
        <v>242039</v>
      </c>
      <c r="D1106">
        <v>-69.066999999999993</v>
      </c>
      <c r="E1106" t="s">
        <v>4</v>
      </c>
      <c r="F1106" t="s">
        <v>43</v>
      </c>
      <c r="G1106" t="s">
        <v>8</v>
      </c>
    </row>
    <row r="1107" spans="1:7" x14ac:dyDescent="0.3">
      <c r="A1107" t="s">
        <v>22</v>
      </c>
      <c r="B1107" s="1">
        <v>45900</v>
      </c>
      <c r="C1107">
        <v>242040</v>
      </c>
      <c r="D1107">
        <v>-556.22900000000004</v>
      </c>
      <c r="E1107" t="s">
        <v>4</v>
      </c>
      <c r="F1107" t="s">
        <v>43</v>
      </c>
      <c r="G1107" t="s">
        <v>8</v>
      </c>
    </row>
    <row r="1108" spans="1:7" x14ac:dyDescent="0.3">
      <c r="A1108" t="s">
        <v>22</v>
      </c>
      <c r="B1108" s="1">
        <v>45900</v>
      </c>
      <c r="C1108">
        <v>242041</v>
      </c>
      <c r="D1108">
        <v>10.672000000000001</v>
      </c>
      <c r="E1108" t="s">
        <v>4</v>
      </c>
      <c r="F1108" t="s">
        <v>43</v>
      </c>
      <c r="G1108" t="s">
        <v>8</v>
      </c>
    </row>
    <row r="1109" spans="1:7" x14ac:dyDescent="0.3">
      <c r="A1109" t="s">
        <v>22</v>
      </c>
      <c r="B1109" s="1">
        <v>45900</v>
      </c>
      <c r="C1109">
        <v>243002</v>
      </c>
      <c r="D1109">
        <v>-2463.7260000000001</v>
      </c>
      <c r="E1109" t="s">
        <v>4</v>
      </c>
      <c r="F1109" t="s">
        <v>43</v>
      </c>
      <c r="G1109" t="s">
        <v>8</v>
      </c>
    </row>
    <row r="1110" spans="1:7" x14ac:dyDescent="0.3">
      <c r="A1110" t="s">
        <v>22</v>
      </c>
      <c r="B1110" s="1">
        <v>45900</v>
      </c>
      <c r="C1110">
        <v>243003</v>
      </c>
      <c r="D1110">
        <v>-9793.9539999999997</v>
      </c>
      <c r="E1110" t="s">
        <v>4</v>
      </c>
      <c r="F1110" t="s">
        <v>43</v>
      </c>
      <c r="G1110" t="s">
        <v>8</v>
      </c>
    </row>
    <row r="1111" spans="1:7" x14ac:dyDescent="0.3">
      <c r="A1111" t="s">
        <v>22</v>
      </c>
      <c r="B1111" s="1">
        <v>45900</v>
      </c>
      <c r="C1111">
        <v>245056</v>
      </c>
      <c r="D1111">
        <v>-547.99300000000005</v>
      </c>
      <c r="E1111" t="s">
        <v>4</v>
      </c>
      <c r="F1111" t="s">
        <v>49</v>
      </c>
      <c r="G1111" t="s">
        <v>8</v>
      </c>
    </row>
    <row r="1112" spans="1:7" x14ac:dyDescent="0.3">
      <c r="A1112" t="s">
        <v>22</v>
      </c>
      <c r="B1112" s="1">
        <v>45900</v>
      </c>
      <c r="C1112">
        <v>245062</v>
      </c>
      <c r="D1112">
        <v>-1021.218</v>
      </c>
      <c r="E1112" t="s">
        <v>4</v>
      </c>
      <c r="F1112" t="s">
        <v>43</v>
      </c>
      <c r="G1112" t="s">
        <v>8</v>
      </c>
    </row>
    <row r="1113" spans="1:7" x14ac:dyDescent="0.3">
      <c r="A1113" t="s">
        <v>22</v>
      </c>
      <c r="B1113" s="1">
        <v>45900</v>
      </c>
      <c r="C1113">
        <v>257030</v>
      </c>
      <c r="D1113">
        <v>-2660.9360000000001</v>
      </c>
      <c r="E1113" t="s">
        <v>4</v>
      </c>
      <c r="F1113" t="s">
        <v>45</v>
      </c>
      <c r="G1113" t="s">
        <v>8</v>
      </c>
    </row>
    <row r="1114" spans="1:7" x14ac:dyDescent="0.3">
      <c r="A1114" t="s">
        <v>22</v>
      </c>
      <c r="B1114" s="1">
        <v>45900</v>
      </c>
      <c r="C1114">
        <v>260004</v>
      </c>
      <c r="D1114">
        <v>-11986.103999999999</v>
      </c>
      <c r="E1114" t="s">
        <v>4</v>
      </c>
      <c r="F1114" t="s">
        <v>45</v>
      </c>
      <c r="G1114" t="s">
        <v>8</v>
      </c>
    </row>
    <row r="1115" spans="1:7" x14ac:dyDescent="0.3">
      <c r="A1115" t="s">
        <v>22</v>
      </c>
      <c r="B1115" s="1">
        <v>45900</v>
      </c>
      <c r="C1115">
        <v>270024</v>
      </c>
      <c r="D1115">
        <v>-13036.565000000001</v>
      </c>
      <c r="E1115" t="s">
        <v>4</v>
      </c>
      <c r="F1115" t="s">
        <v>58</v>
      </c>
      <c r="G1115" t="s">
        <v>8</v>
      </c>
    </row>
    <row r="1116" spans="1:7" x14ac:dyDescent="0.3">
      <c r="A1116" t="s">
        <v>22</v>
      </c>
      <c r="B1116" s="1">
        <v>45900</v>
      </c>
      <c r="C1116">
        <v>270025</v>
      </c>
      <c r="D1116">
        <v>-1055.576</v>
      </c>
      <c r="E1116" t="s">
        <v>4</v>
      </c>
      <c r="F1116" t="s">
        <v>58</v>
      </c>
      <c r="G1116" t="s">
        <v>8</v>
      </c>
    </row>
    <row r="1117" spans="1:7" x14ac:dyDescent="0.3">
      <c r="A1117" t="s">
        <v>22</v>
      </c>
      <c r="B1117" s="1">
        <v>45900</v>
      </c>
      <c r="C1117">
        <v>270026</v>
      </c>
      <c r="D1117">
        <v>-373.48700000000002</v>
      </c>
      <c r="E1117" t="s">
        <v>4</v>
      </c>
      <c r="F1117" t="s">
        <v>58</v>
      </c>
      <c r="G1117" t="s">
        <v>8</v>
      </c>
    </row>
    <row r="1118" spans="1:7" x14ac:dyDescent="0.3">
      <c r="A1118" t="s">
        <v>22</v>
      </c>
      <c r="B1118" s="1">
        <v>45900</v>
      </c>
      <c r="C1118">
        <v>320002</v>
      </c>
      <c r="D1118">
        <v>43635.830999999998</v>
      </c>
      <c r="E1118" t="s">
        <v>4</v>
      </c>
      <c r="F1118" t="s">
        <v>46</v>
      </c>
      <c r="G1118" t="s">
        <v>8</v>
      </c>
    </row>
    <row r="1119" spans="1:7" x14ac:dyDescent="0.3">
      <c r="A1119" t="s">
        <v>22</v>
      </c>
      <c r="B1119" s="1">
        <v>45900</v>
      </c>
      <c r="C1119">
        <v>321002</v>
      </c>
      <c r="D1119">
        <v>23306.545999999998</v>
      </c>
      <c r="E1119" t="s">
        <v>4</v>
      </c>
      <c r="F1119" t="s">
        <v>46</v>
      </c>
      <c r="G1119" t="s">
        <v>8</v>
      </c>
    </row>
    <row r="1120" spans="1:7" x14ac:dyDescent="0.3">
      <c r="A1120" t="s">
        <v>22</v>
      </c>
      <c r="B1120" s="1">
        <v>45900</v>
      </c>
      <c r="C1120">
        <v>330116</v>
      </c>
      <c r="D1120">
        <v>1939.549</v>
      </c>
      <c r="E1120" t="s">
        <v>4</v>
      </c>
      <c r="F1120" t="s">
        <v>43</v>
      </c>
      <c r="G1120" t="s">
        <v>8</v>
      </c>
    </row>
    <row r="1121" spans="1:7" x14ac:dyDescent="0.3">
      <c r="A1121" t="s">
        <v>22</v>
      </c>
      <c r="B1121" s="1">
        <v>45900</v>
      </c>
      <c r="C1121">
        <v>330137</v>
      </c>
      <c r="D1121">
        <v>-5342.5010000000002</v>
      </c>
      <c r="E1121" t="s">
        <v>4</v>
      </c>
      <c r="F1121" t="s">
        <v>43</v>
      </c>
      <c r="G1121" t="s">
        <v>8</v>
      </c>
    </row>
    <row r="1122" spans="1:7" x14ac:dyDescent="0.3">
      <c r="A1122" t="s">
        <v>22</v>
      </c>
      <c r="B1122" s="1">
        <v>45900</v>
      </c>
      <c r="C1122">
        <v>340208</v>
      </c>
      <c r="D1122">
        <v>111849.098</v>
      </c>
      <c r="E1122" t="s">
        <v>4</v>
      </c>
      <c r="F1122" t="s">
        <v>47</v>
      </c>
      <c r="G1122" t="s">
        <v>8</v>
      </c>
    </row>
    <row r="1123" spans="1:7" x14ac:dyDescent="0.3">
      <c r="A1123" t="s">
        <v>22</v>
      </c>
      <c r="B1123" s="1">
        <v>45900</v>
      </c>
      <c r="C1123">
        <v>350002</v>
      </c>
      <c r="D1123">
        <v>4711.0990000000002</v>
      </c>
      <c r="E1123" t="s">
        <v>4</v>
      </c>
      <c r="F1123" t="s">
        <v>49</v>
      </c>
      <c r="G1123" t="s">
        <v>8</v>
      </c>
    </row>
    <row r="1124" spans="1:7" x14ac:dyDescent="0.3">
      <c r="A1124" t="s">
        <v>22</v>
      </c>
      <c r="B1124" s="1">
        <v>45900</v>
      </c>
      <c r="C1124">
        <v>350003</v>
      </c>
      <c r="D1124">
        <v>-2792.5160000000001</v>
      </c>
      <c r="E1124" t="s">
        <v>4</v>
      </c>
      <c r="F1124" t="s">
        <v>49</v>
      </c>
      <c r="G1124" t="s">
        <v>8</v>
      </c>
    </row>
    <row r="1125" spans="1:7" x14ac:dyDescent="0.3">
      <c r="A1125" t="s">
        <v>22</v>
      </c>
      <c r="B1125" s="1">
        <v>45900</v>
      </c>
      <c r="C1125">
        <v>350034</v>
      </c>
      <c r="D1125">
        <v>547.99300000000005</v>
      </c>
      <c r="E1125" t="s">
        <v>4</v>
      </c>
      <c r="F1125" t="s">
        <v>49</v>
      </c>
      <c r="G1125" t="s">
        <v>8</v>
      </c>
    </row>
    <row r="1126" spans="1:7" x14ac:dyDescent="0.3">
      <c r="A1126" t="s">
        <v>22</v>
      </c>
      <c r="B1126" s="1">
        <v>45900</v>
      </c>
      <c r="C1126">
        <v>354013</v>
      </c>
      <c r="D1126">
        <v>6236.7759999999998</v>
      </c>
      <c r="E1126" t="s">
        <v>4</v>
      </c>
      <c r="F1126" t="s">
        <v>46</v>
      </c>
      <c r="G1126" t="s">
        <v>8</v>
      </c>
    </row>
    <row r="1127" spans="1:7" x14ac:dyDescent="0.3">
      <c r="A1127" t="s">
        <v>22</v>
      </c>
      <c r="B1127" s="1">
        <v>45900</v>
      </c>
      <c r="C1127">
        <v>354015</v>
      </c>
      <c r="D1127">
        <v>13819.534</v>
      </c>
      <c r="E1127" t="s">
        <v>4</v>
      </c>
      <c r="F1127" t="s">
        <v>46</v>
      </c>
      <c r="G1127" t="s">
        <v>8</v>
      </c>
    </row>
    <row r="1128" spans="1:7" x14ac:dyDescent="0.3">
      <c r="A1128" t="s">
        <v>22</v>
      </c>
      <c r="B1128" s="1">
        <v>45900</v>
      </c>
      <c r="C1128">
        <v>355002</v>
      </c>
      <c r="D1128">
        <v>37.386000000000003</v>
      </c>
      <c r="E1128" t="s">
        <v>4</v>
      </c>
      <c r="F1128" t="s">
        <v>49</v>
      </c>
      <c r="G1128" t="s">
        <v>8</v>
      </c>
    </row>
    <row r="1129" spans="1:7" x14ac:dyDescent="0.3">
      <c r="A1129" t="s">
        <v>22</v>
      </c>
      <c r="B1129" s="1">
        <v>45900</v>
      </c>
      <c r="C1129">
        <v>360026</v>
      </c>
      <c r="D1129">
        <v>14738.76</v>
      </c>
      <c r="E1129" t="s">
        <v>4</v>
      </c>
      <c r="F1129" t="s">
        <v>58</v>
      </c>
      <c r="G1129" t="s">
        <v>8</v>
      </c>
    </row>
    <row r="1130" spans="1:7" x14ac:dyDescent="0.3">
      <c r="A1130" t="s">
        <v>22</v>
      </c>
      <c r="B1130" s="1">
        <v>45900</v>
      </c>
      <c r="C1130">
        <v>360028</v>
      </c>
      <c r="D1130">
        <v>13807.885</v>
      </c>
      <c r="E1130" t="s">
        <v>4</v>
      </c>
      <c r="F1130" t="s">
        <v>58</v>
      </c>
      <c r="G1130" t="s">
        <v>8</v>
      </c>
    </row>
    <row r="1131" spans="1:7" x14ac:dyDescent="0.3">
      <c r="A1131" t="s">
        <v>22</v>
      </c>
      <c r="B1131" s="1">
        <v>45900</v>
      </c>
      <c r="C1131">
        <v>360032</v>
      </c>
      <c r="D1131">
        <v>426.38299999999998</v>
      </c>
      <c r="E1131" t="s">
        <v>4</v>
      </c>
      <c r="F1131" t="s">
        <v>58</v>
      </c>
      <c r="G1131" t="s">
        <v>8</v>
      </c>
    </row>
    <row r="1132" spans="1:7" x14ac:dyDescent="0.3">
      <c r="A1132" t="s">
        <v>22</v>
      </c>
      <c r="B1132" s="1">
        <v>45900</v>
      </c>
      <c r="C1132">
        <v>372004</v>
      </c>
      <c r="D1132">
        <v>1802.3630000000001</v>
      </c>
      <c r="E1132" t="s">
        <v>4</v>
      </c>
      <c r="F1132" t="s">
        <v>45</v>
      </c>
      <c r="G1132" t="s">
        <v>8</v>
      </c>
    </row>
    <row r="1133" spans="1:7" x14ac:dyDescent="0.3">
      <c r="A1133" t="s">
        <v>22</v>
      </c>
      <c r="B1133" s="1">
        <v>45900</v>
      </c>
      <c r="C1133">
        <v>400002</v>
      </c>
      <c r="D1133">
        <v>-38568.959999999999</v>
      </c>
      <c r="E1133" t="s">
        <v>6</v>
      </c>
      <c r="F1133" t="s">
        <v>50</v>
      </c>
      <c r="G1133" t="s">
        <v>8</v>
      </c>
    </row>
    <row r="1134" spans="1:7" x14ac:dyDescent="0.3">
      <c r="A1134" t="s">
        <v>22</v>
      </c>
      <c r="B1134" s="1">
        <v>45900</v>
      </c>
      <c r="C1134">
        <v>400004</v>
      </c>
      <c r="D1134">
        <v>-91519.263000000006</v>
      </c>
      <c r="E1134" t="s">
        <v>6</v>
      </c>
      <c r="F1134" t="s">
        <v>50</v>
      </c>
      <c r="G1134" t="s">
        <v>8</v>
      </c>
    </row>
    <row r="1135" spans="1:7" x14ac:dyDescent="0.3">
      <c r="A1135" t="s">
        <v>22</v>
      </c>
      <c r="B1135" s="1">
        <v>45900</v>
      </c>
      <c r="C1135">
        <v>410002</v>
      </c>
      <c r="D1135">
        <v>-5208.933</v>
      </c>
      <c r="E1135" t="s">
        <v>6</v>
      </c>
      <c r="F1135" t="s">
        <v>51</v>
      </c>
      <c r="G1135" t="s">
        <v>8</v>
      </c>
    </row>
    <row r="1136" spans="1:7" x14ac:dyDescent="0.3">
      <c r="A1136" t="s">
        <v>22</v>
      </c>
      <c r="B1136" s="1">
        <v>45900</v>
      </c>
      <c r="C1136">
        <v>421002</v>
      </c>
      <c r="D1136">
        <v>-54.774000000000001</v>
      </c>
      <c r="E1136" t="s">
        <v>6</v>
      </c>
      <c r="F1136" t="s">
        <v>52</v>
      </c>
      <c r="G1136" t="s">
        <v>8</v>
      </c>
    </row>
    <row r="1137" spans="1:7" x14ac:dyDescent="0.3">
      <c r="A1137" t="s">
        <v>22</v>
      </c>
      <c r="B1137" s="1">
        <v>45900</v>
      </c>
      <c r="C1137">
        <v>421003</v>
      </c>
      <c r="D1137">
        <v>104.111</v>
      </c>
      <c r="E1137" t="s">
        <v>6</v>
      </c>
      <c r="F1137" t="s">
        <v>52</v>
      </c>
      <c r="G1137" t="s">
        <v>8</v>
      </c>
    </row>
    <row r="1138" spans="1:7" x14ac:dyDescent="0.3">
      <c r="A1138" t="s">
        <v>22</v>
      </c>
      <c r="B1138" s="1">
        <v>45900</v>
      </c>
      <c r="C1138">
        <v>421007</v>
      </c>
      <c r="D1138">
        <v>5.0000000000000001E-3</v>
      </c>
      <c r="E1138" t="s">
        <v>6</v>
      </c>
      <c r="F1138" t="s">
        <v>52</v>
      </c>
      <c r="G1138" t="s">
        <v>8</v>
      </c>
    </row>
    <row r="1139" spans="1:7" x14ac:dyDescent="0.3">
      <c r="A1139" t="s">
        <v>22</v>
      </c>
      <c r="B1139" s="1">
        <v>45900</v>
      </c>
      <c r="C1139">
        <v>510002</v>
      </c>
      <c r="D1139">
        <v>23811.931</v>
      </c>
      <c r="E1139" t="s">
        <v>6</v>
      </c>
      <c r="F1139" t="s">
        <v>53</v>
      </c>
      <c r="G1139" t="s">
        <v>8</v>
      </c>
    </row>
    <row r="1140" spans="1:7" x14ac:dyDescent="0.3">
      <c r="A1140" t="s">
        <v>22</v>
      </c>
      <c r="B1140" s="1">
        <v>45900</v>
      </c>
      <c r="C1140">
        <v>510005</v>
      </c>
      <c r="D1140">
        <v>2138.4389999999999</v>
      </c>
      <c r="E1140" t="s">
        <v>6</v>
      </c>
      <c r="F1140" t="s">
        <v>53</v>
      </c>
      <c r="G1140" t="s">
        <v>8</v>
      </c>
    </row>
    <row r="1141" spans="1:7" x14ac:dyDescent="0.3">
      <c r="A1141" t="s">
        <v>22</v>
      </c>
      <c r="B1141" s="1">
        <v>45900</v>
      </c>
      <c r="C1141">
        <v>510007</v>
      </c>
      <c r="D1141">
        <v>1434.098</v>
      </c>
      <c r="E1141" t="s">
        <v>6</v>
      </c>
      <c r="F1141" t="s">
        <v>53</v>
      </c>
      <c r="G1141" t="s">
        <v>8</v>
      </c>
    </row>
    <row r="1142" spans="1:7" x14ac:dyDescent="0.3">
      <c r="A1142" t="s">
        <v>22</v>
      </c>
      <c r="B1142" s="1">
        <v>45900</v>
      </c>
      <c r="C1142">
        <v>510015</v>
      </c>
      <c r="D1142">
        <v>4112.3280000000004</v>
      </c>
      <c r="E1142" t="s">
        <v>6</v>
      </c>
      <c r="F1142" t="s">
        <v>53</v>
      </c>
      <c r="G1142" t="s">
        <v>8</v>
      </c>
    </row>
    <row r="1143" spans="1:7" x14ac:dyDescent="0.3">
      <c r="A1143" t="s">
        <v>22</v>
      </c>
      <c r="B1143" s="1">
        <v>45900</v>
      </c>
      <c r="C1143">
        <v>510064</v>
      </c>
      <c r="D1143">
        <v>638.62400000000002</v>
      </c>
      <c r="E1143" t="s">
        <v>6</v>
      </c>
      <c r="F1143" t="s">
        <v>53</v>
      </c>
      <c r="G1143" t="s">
        <v>8</v>
      </c>
    </row>
    <row r="1144" spans="1:7" x14ac:dyDescent="0.3">
      <c r="A1144" t="s">
        <v>22</v>
      </c>
      <c r="B1144" s="1">
        <v>45900</v>
      </c>
      <c r="C1144">
        <v>510065</v>
      </c>
      <c r="D1144">
        <v>3159.8580000000002</v>
      </c>
      <c r="E1144" t="s">
        <v>6</v>
      </c>
      <c r="F1144" t="s">
        <v>53</v>
      </c>
      <c r="G1144" t="s">
        <v>8</v>
      </c>
    </row>
    <row r="1145" spans="1:7" x14ac:dyDescent="0.3">
      <c r="A1145" t="s">
        <v>22</v>
      </c>
      <c r="B1145" s="1">
        <v>45900</v>
      </c>
      <c r="C1145">
        <v>520020</v>
      </c>
      <c r="D1145">
        <v>549.29700000000003</v>
      </c>
      <c r="E1145" t="s">
        <v>6</v>
      </c>
      <c r="F1145" t="s">
        <v>53</v>
      </c>
      <c r="G1145" t="s">
        <v>8</v>
      </c>
    </row>
    <row r="1146" spans="1:7" x14ac:dyDescent="0.3">
      <c r="A1146" t="s">
        <v>22</v>
      </c>
      <c r="B1146" s="1">
        <v>45900</v>
      </c>
      <c r="C1146">
        <v>541003</v>
      </c>
      <c r="D1146">
        <v>12.627000000000001</v>
      </c>
      <c r="E1146" t="s">
        <v>6</v>
      </c>
      <c r="F1146" t="s">
        <v>61</v>
      </c>
      <c r="G1146" t="s">
        <v>8</v>
      </c>
    </row>
    <row r="1147" spans="1:7" x14ac:dyDescent="0.3">
      <c r="A1147" t="s">
        <v>22</v>
      </c>
      <c r="B1147" s="1">
        <v>45900</v>
      </c>
      <c r="C1147">
        <v>541009</v>
      </c>
      <c r="D1147">
        <v>182.46299999999999</v>
      </c>
      <c r="E1147" t="s">
        <v>6</v>
      </c>
      <c r="F1147" t="s">
        <v>61</v>
      </c>
      <c r="G1147" t="s">
        <v>8</v>
      </c>
    </row>
    <row r="1148" spans="1:7" x14ac:dyDescent="0.3">
      <c r="A1148" t="s">
        <v>22</v>
      </c>
      <c r="B1148" s="1">
        <v>45900</v>
      </c>
      <c r="C1148">
        <v>541010</v>
      </c>
      <c r="D1148">
        <v>2321.8969999999999</v>
      </c>
      <c r="E1148" t="s">
        <v>6</v>
      </c>
      <c r="F1148" t="s">
        <v>61</v>
      </c>
      <c r="G1148" t="s">
        <v>8</v>
      </c>
    </row>
    <row r="1149" spans="1:7" x14ac:dyDescent="0.3">
      <c r="A1149" t="s">
        <v>22</v>
      </c>
      <c r="B1149" s="1">
        <v>45900</v>
      </c>
      <c r="C1149">
        <v>546002</v>
      </c>
      <c r="D1149">
        <v>80536.95</v>
      </c>
      <c r="E1149" t="s">
        <v>6</v>
      </c>
      <c r="F1149" t="s">
        <v>51</v>
      </c>
      <c r="G1149" t="s">
        <v>8</v>
      </c>
    </row>
    <row r="1150" spans="1:7" x14ac:dyDescent="0.3">
      <c r="A1150" t="s">
        <v>22</v>
      </c>
      <c r="B1150" s="1">
        <v>45900</v>
      </c>
      <c r="C1150">
        <v>546013</v>
      </c>
      <c r="D1150">
        <v>91.162999999999997</v>
      </c>
      <c r="E1150" t="s">
        <v>6</v>
      </c>
      <c r="F1150" t="s">
        <v>51</v>
      </c>
      <c r="G1150" t="s">
        <v>8</v>
      </c>
    </row>
    <row r="1151" spans="1:7" x14ac:dyDescent="0.3">
      <c r="A1151" t="s">
        <v>22</v>
      </c>
      <c r="B1151" s="1">
        <v>45900</v>
      </c>
      <c r="C1151">
        <v>546035</v>
      </c>
      <c r="D1151">
        <v>510.13900000000001</v>
      </c>
      <c r="E1151" t="s">
        <v>6</v>
      </c>
      <c r="F1151" t="s">
        <v>51</v>
      </c>
      <c r="G1151" t="s">
        <v>8</v>
      </c>
    </row>
    <row r="1152" spans="1:7" x14ac:dyDescent="0.3">
      <c r="A1152" t="s">
        <v>22</v>
      </c>
      <c r="B1152" s="1">
        <v>45900</v>
      </c>
      <c r="C1152">
        <v>546040</v>
      </c>
      <c r="D1152">
        <v>307.61599999999999</v>
      </c>
      <c r="E1152" t="s">
        <v>6</v>
      </c>
      <c r="F1152" t="s">
        <v>51</v>
      </c>
      <c r="G1152" t="s">
        <v>8</v>
      </c>
    </row>
    <row r="1153" spans="1:7" x14ac:dyDescent="0.3">
      <c r="A1153" t="s">
        <v>22</v>
      </c>
      <c r="B1153" s="1">
        <v>45900</v>
      </c>
      <c r="C1153">
        <v>546045</v>
      </c>
      <c r="D1153">
        <v>258.43700000000001</v>
      </c>
      <c r="E1153" t="s">
        <v>6</v>
      </c>
      <c r="F1153" t="s">
        <v>51</v>
      </c>
      <c r="G1153" t="s">
        <v>8</v>
      </c>
    </row>
    <row r="1154" spans="1:7" x14ac:dyDescent="0.3">
      <c r="A1154" t="s">
        <v>22</v>
      </c>
      <c r="B1154" s="1">
        <v>45900</v>
      </c>
      <c r="C1154">
        <v>550002</v>
      </c>
      <c r="D1154">
        <v>6984.46</v>
      </c>
      <c r="E1154" t="s">
        <v>6</v>
      </c>
      <c r="F1154" t="s">
        <v>62</v>
      </c>
      <c r="G1154" t="s">
        <v>8</v>
      </c>
    </row>
    <row r="1155" spans="1:7" x14ac:dyDescent="0.3">
      <c r="A1155" t="s">
        <v>22</v>
      </c>
      <c r="B1155" s="1">
        <v>45900</v>
      </c>
      <c r="C1155">
        <v>550003</v>
      </c>
      <c r="D1155">
        <v>10006.549999999999</v>
      </c>
      <c r="E1155" t="s">
        <v>6</v>
      </c>
      <c r="F1155" t="s">
        <v>62</v>
      </c>
      <c r="G1155" t="s">
        <v>8</v>
      </c>
    </row>
    <row r="1156" spans="1:7" x14ac:dyDescent="0.3">
      <c r="A1156" t="s">
        <v>22</v>
      </c>
      <c r="B1156" s="1">
        <v>45900</v>
      </c>
      <c r="C1156">
        <v>552502</v>
      </c>
      <c r="D1156">
        <v>190.98599999999999</v>
      </c>
      <c r="E1156" t="s">
        <v>6</v>
      </c>
      <c r="F1156" t="s">
        <v>55</v>
      </c>
      <c r="G1156" t="s">
        <v>8</v>
      </c>
    </row>
    <row r="1157" spans="1:7" x14ac:dyDescent="0.3">
      <c r="A1157" t="s">
        <v>22</v>
      </c>
      <c r="B1157" s="1">
        <v>45900</v>
      </c>
      <c r="C1157">
        <v>556002</v>
      </c>
      <c r="D1157">
        <v>36.091000000000001</v>
      </c>
      <c r="E1157" t="s">
        <v>6</v>
      </c>
      <c r="F1157" t="s">
        <v>60</v>
      </c>
      <c r="G1157" t="s">
        <v>8</v>
      </c>
    </row>
    <row r="1158" spans="1:7" x14ac:dyDescent="0.3">
      <c r="A1158" t="s">
        <v>22</v>
      </c>
      <c r="B1158" s="1">
        <v>45900</v>
      </c>
      <c r="C1158">
        <v>557002</v>
      </c>
      <c r="D1158">
        <v>2209.5839999999998</v>
      </c>
      <c r="E1158" t="s">
        <v>6</v>
      </c>
      <c r="F1158" t="s">
        <v>56</v>
      </c>
      <c r="G1158" t="s">
        <v>8</v>
      </c>
    </row>
    <row r="1159" spans="1:7" x14ac:dyDescent="0.3">
      <c r="A1159" t="s">
        <v>22</v>
      </c>
      <c r="B1159" s="1">
        <v>45900</v>
      </c>
      <c r="C1159">
        <v>558012</v>
      </c>
      <c r="D1159">
        <v>17.683</v>
      </c>
      <c r="E1159" t="s">
        <v>6</v>
      </c>
      <c r="F1159" t="s">
        <v>60</v>
      </c>
      <c r="G1159" t="s">
        <v>8</v>
      </c>
    </row>
    <row r="1160" spans="1:7" x14ac:dyDescent="0.3">
      <c r="A1160" t="s">
        <v>22</v>
      </c>
      <c r="B1160" s="1">
        <v>45900</v>
      </c>
      <c r="C1160">
        <v>564004</v>
      </c>
      <c r="D1160">
        <v>1403.6389999999999</v>
      </c>
      <c r="E1160" t="s">
        <v>6</v>
      </c>
      <c r="F1160" t="s">
        <v>51</v>
      </c>
      <c r="G1160" t="s">
        <v>8</v>
      </c>
    </row>
    <row r="1161" spans="1:7" x14ac:dyDescent="0.3">
      <c r="A1161" t="s">
        <v>22</v>
      </c>
      <c r="B1161" s="1">
        <v>45900</v>
      </c>
      <c r="C1161">
        <v>564020</v>
      </c>
      <c r="D1161">
        <v>397.476</v>
      </c>
      <c r="E1161" t="s">
        <v>6</v>
      </c>
      <c r="F1161" t="s">
        <v>57</v>
      </c>
      <c r="G1161" t="s">
        <v>8</v>
      </c>
    </row>
    <row r="1162" spans="1:7" x14ac:dyDescent="0.3">
      <c r="A1162" t="s">
        <v>23</v>
      </c>
      <c r="B1162" s="1">
        <v>45900</v>
      </c>
      <c r="C1162">
        <v>220006</v>
      </c>
      <c r="D1162">
        <v>3433.7539999999999</v>
      </c>
      <c r="E1162" t="s">
        <v>4</v>
      </c>
      <c r="F1162" t="s">
        <v>42</v>
      </c>
      <c r="G1162" t="s">
        <v>5</v>
      </c>
    </row>
    <row r="1163" spans="1:7" x14ac:dyDescent="0.3">
      <c r="A1163" t="s">
        <v>23</v>
      </c>
      <c r="B1163" s="1">
        <v>45900</v>
      </c>
      <c r="C1163">
        <v>240002</v>
      </c>
      <c r="D1163">
        <v>-158.352</v>
      </c>
      <c r="E1163" t="s">
        <v>4</v>
      </c>
      <c r="F1163" t="s">
        <v>43</v>
      </c>
      <c r="G1163" t="s">
        <v>5</v>
      </c>
    </row>
    <row r="1164" spans="1:7" x14ac:dyDescent="0.3">
      <c r="A1164" t="s">
        <v>23</v>
      </c>
      <c r="B1164" s="1">
        <v>45900</v>
      </c>
      <c r="C1164">
        <v>242003</v>
      </c>
      <c r="D1164">
        <v>-21844.761999999999</v>
      </c>
      <c r="E1164" t="s">
        <v>4</v>
      </c>
      <c r="F1164" t="s">
        <v>43</v>
      </c>
      <c r="G1164" t="s">
        <v>5</v>
      </c>
    </row>
    <row r="1165" spans="1:7" x14ac:dyDescent="0.3">
      <c r="A1165" t="s">
        <v>23</v>
      </c>
      <c r="B1165" s="1">
        <v>45900</v>
      </c>
      <c r="C1165">
        <v>242019</v>
      </c>
      <c r="D1165">
        <v>-31535.18</v>
      </c>
      <c r="E1165" t="s">
        <v>4</v>
      </c>
      <c r="F1165" t="s">
        <v>43</v>
      </c>
      <c r="G1165" t="s">
        <v>5</v>
      </c>
    </row>
    <row r="1166" spans="1:7" x14ac:dyDescent="0.3">
      <c r="A1166" t="s">
        <v>23</v>
      </c>
      <c r="B1166" s="1">
        <v>45900</v>
      </c>
      <c r="C1166">
        <v>242041</v>
      </c>
      <c r="D1166">
        <v>3.91</v>
      </c>
      <c r="E1166" t="s">
        <v>4</v>
      </c>
      <c r="F1166" t="s">
        <v>43</v>
      </c>
      <c r="G1166" t="s">
        <v>5</v>
      </c>
    </row>
    <row r="1167" spans="1:7" x14ac:dyDescent="0.3">
      <c r="A1167" t="s">
        <v>23</v>
      </c>
      <c r="B1167" s="1">
        <v>45900</v>
      </c>
      <c r="C1167">
        <v>243002</v>
      </c>
      <c r="D1167">
        <v>-13453.32</v>
      </c>
      <c r="E1167" t="s">
        <v>4</v>
      </c>
      <c r="F1167" t="s">
        <v>43</v>
      </c>
      <c r="G1167" t="s">
        <v>5</v>
      </c>
    </row>
    <row r="1168" spans="1:7" x14ac:dyDescent="0.3">
      <c r="A1168" t="s">
        <v>23</v>
      </c>
      <c r="B1168" s="1">
        <v>45900</v>
      </c>
      <c r="C1168">
        <v>251003</v>
      </c>
      <c r="D1168">
        <v>22607.967000000001</v>
      </c>
      <c r="E1168" t="s">
        <v>4</v>
      </c>
      <c r="F1168" t="s">
        <v>45</v>
      </c>
      <c r="G1168" t="s">
        <v>5</v>
      </c>
    </row>
    <row r="1169" spans="1:7" x14ac:dyDescent="0.3">
      <c r="A1169" t="s">
        <v>23</v>
      </c>
      <c r="B1169" s="1">
        <v>45900</v>
      </c>
      <c r="C1169">
        <v>251005</v>
      </c>
      <c r="D1169">
        <v>547.596</v>
      </c>
      <c r="E1169" t="s">
        <v>4</v>
      </c>
      <c r="F1169" t="s">
        <v>46</v>
      </c>
      <c r="G1169" t="s">
        <v>5</v>
      </c>
    </row>
    <row r="1170" spans="1:7" x14ac:dyDescent="0.3">
      <c r="A1170" t="s">
        <v>23</v>
      </c>
      <c r="B1170" s="1">
        <v>45900</v>
      </c>
      <c r="C1170">
        <v>260004</v>
      </c>
      <c r="D1170">
        <v>-935.70899999999995</v>
      </c>
      <c r="E1170" t="s">
        <v>4</v>
      </c>
      <c r="F1170" t="s">
        <v>45</v>
      </c>
      <c r="G1170" t="s">
        <v>5</v>
      </c>
    </row>
    <row r="1171" spans="1:7" x14ac:dyDescent="0.3">
      <c r="A1171" t="s">
        <v>23</v>
      </c>
      <c r="B1171" s="1">
        <v>45900</v>
      </c>
      <c r="C1171">
        <v>320002</v>
      </c>
      <c r="D1171">
        <v>8097.5720000000001</v>
      </c>
      <c r="E1171" t="s">
        <v>4</v>
      </c>
      <c r="F1171" t="s">
        <v>46</v>
      </c>
      <c r="G1171" t="s">
        <v>5</v>
      </c>
    </row>
    <row r="1172" spans="1:7" x14ac:dyDescent="0.3">
      <c r="A1172" t="s">
        <v>23</v>
      </c>
      <c r="B1172" s="1">
        <v>45900</v>
      </c>
      <c r="C1172">
        <v>321002</v>
      </c>
      <c r="D1172">
        <v>40182.466</v>
      </c>
      <c r="E1172" t="s">
        <v>4</v>
      </c>
      <c r="F1172" t="s">
        <v>46</v>
      </c>
      <c r="G1172" t="s">
        <v>5</v>
      </c>
    </row>
    <row r="1173" spans="1:7" x14ac:dyDescent="0.3">
      <c r="A1173" t="s">
        <v>23</v>
      </c>
      <c r="B1173" s="1">
        <v>45900</v>
      </c>
      <c r="C1173">
        <v>340314</v>
      </c>
      <c r="D1173">
        <v>18155.255000000001</v>
      </c>
      <c r="E1173" t="s">
        <v>4</v>
      </c>
      <c r="F1173" t="s">
        <v>47</v>
      </c>
      <c r="G1173" t="s">
        <v>5</v>
      </c>
    </row>
    <row r="1174" spans="1:7" x14ac:dyDescent="0.3">
      <c r="A1174" t="s">
        <v>23</v>
      </c>
      <c r="B1174" s="1">
        <v>45900</v>
      </c>
      <c r="C1174">
        <v>354013</v>
      </c>
      <c r="D1174">
        <v>-41077.966</v>
      </c>
      <c r="E1174" t="s">
        <v>4</v>
      </c>
      <c r="F1174" t="s">
        <v>46</v>
      </c>
      <c r="G1174" t="s">
        <v>5</v>
      </c>
    </row>
    <row r="1175" spans="1:7" x14ac:dyDescent="0.3">
      <c r="A1175" t="s">
        <v>23</v>
      </c>
      <c r="B1175" s="1">
        <v>45900</v>
      </c>
      <c r="C1175">
        <v>355013</v>
      </c>
      <c r="D1175">
        <v>2381.5680000000002</v>
      </c>
      <c r="E1175" t="s">
        <v>4</v>
      </c>
      <c r="F1175" t="s">
        <v>49</v>
      </c>
      <c r="G1175" t="s">
        <v>5</v>
      </c>
    </row>
    <row r="1176" spans="1:7" x14ac:dyDescent="0.3">
      <c r="A1176" t="s">
        <v>23</v>
      </c>
      <c r="B1176" s="1">
        <v>45900</v>
      </c>
      <c r="C1176">
        <v>372004</v>
      </c>
      <c r="D1176">
        <v>669.10900000000004</v>
      </c>
      <c r="E1176" t="s">
        <v>4</v>
      </c>
      <c r="F1176" t="s">
        <v>45</v>
      </c>
      <c r="G1176" t="s">
        <v>5</v>
      </c>
    </row>
    <row r="1177" spans="1:7" x14ac:dyDescent="0.3">
      <c r="A1177" t="s">
        <v>23</v>
      </c>
      <c r="B1177" s="1">
        <v>45900</v>
      </c>
      <c r="C1177">
        <v>400002</v>
      </c>
      <c r="D1177">
        <v>895.32500000000005</v>
      </c>
      <c r="E1177" t="s">
        <v>6</v>
      </c>
      <c r="F1177" t="s">
        <v>50</v>
      </c>
      <c r="G1177" t="s">
        <v>5</v>
      </c>
    </row>
    <row r="1178" spans="1:7" x14ac:dyDescent="0.3">
      <c r="A1178" t="s">
        <v>23</v>
      </c>
      <c r="B1178" s="1">
        <v>45900</v>
      </c>
      <c r="C1178">
        <v>400004</v>
      </c>
      <c r="D1178">
        <v>-324.20800000000003</v>
      </c>
      <c r="E1178" t="s">
        <v>6</v>
      </c>
      <c r="F1178" t="s">
        <v>50</v>
      </c>
      <c r="G1178" t="s">
        <v>5</v>
      </c>
    </row>
    <row r="1179" spans="1:7" x14ac:dyDescent="0.3">
      <c r="A1179" t="s">
        <v>23</v>
      </c>
      <c r="B1179" s="1">
        <v>45900</v>
      </c>
      <c r="C1179">
        <v>410002</v>
      </c>
      <c r="D1179">
        <v>-30632.731</v>
      </c>
      <c r="E1179" t="s">
        <v>6</v>
      </c>
      <c r="F1179" t="s">
        <v>51</v>
      </c>
      <c r="G1179" t="s">
        <v>5</v>
      </c>
    </row>
    <row r="1180" spans="1:7" x14ac:dyDescent="0.3">
      <c r="A1180" t="s">
        <v>23</v>
      </c>
      <c r="B1180" s="1">
        <v>45900</v>
      </c>
      <c r="C1180">
        <v>421003</v>
      </c>
      <c r="D1180">
        <v>-0.32900000000000001</v>
      </c>
      <c r="E1180" t="s">
        <v>6</v>
      </c>
      <c r="F1180" t="s">
        <v>52</v>
      </c>
      <c r="G1180" t="s">
        <v>5</v>
      </c>
    </row>
    <row r="1181" spans="1:7" x14ac:dyDescent="0.3">
      <c r="A1181" t="s">
        <v>23</v>
      </c>
      <c r="B1181" s="1">
        <v>45900</v>
      </c>
      <c r="C1181">
        <v>546002</v>
      </c>
      <c r="D1181">
        <v>275.58100000000002</v>
      </c>
      <c r="E1181" t="s">
        <v>6</v>
      </c>
      <c r="F1181" t="s">
        <v>51</v>
      </c>
      <c r="G1181" t="s">
        <v>5</v>
      </c>
    </row>
    <row r="1182" spans="1:7" x14ac:dyDescent="0.3">
      <c r="A1182" t="s">
        <v>23</v>
      </c>
      <c r="B1182" s="1">
        <v>45900</v>
      </c>
      <c r="C1182">
        <v>546018</v>
      </c>
      <c r="D1182">
        <v>616.42999999999995</v>
      </c>
      <c r="E1182" t="s">
        <v>6</v>
      </c>
      <c r="F1182" t="s">
        <v>51</v>
      </c>
      <c r="G1182" t="s">
        <v>5</v>
      </c>
    </row>
    <row r="1183" spans="1:7" x14ac:dyDescent="0.3">
      <c r="A1183" t="s">
        <v>23</v>
      </c>
      <c r="B1183" s="1">
        <v>45900</v>
      </c>
      <c r="C1183">
        <v>547002</v>
      </c>
      <c r="D1183">
        <v>36349.947999999997</v>
      </c>
      <c r="E1183" t="s">
        <v>6</v>
      </c>
      <c r="F1183" t="s">
        <v>54</v>
      </c>
      <c r="G1183" t="s">
        <v>5</v>
      </c>
    </row>
    <row r="1184" spans="1:7" x14ac:dyDescent="0.3">
      <c r="A1184" t="s">
        <v>23</v>
      </c>
      <c r="B1184" s="1">
        <v>45900</v>
      </c>
      <c r="C1184">
        <v>547011</v>
      </c>
      <c r="D1184">
        <v>288.29599999999999</v>
      </c>
      <c r="E1184" t="s">
        <v>6</v>
      </c>
      <c r="F1184" t="s">
        <v>54</v>
      </c>
      <c r="G1184" t="s">
        <v>5</v>
      </c>
    </row>
    <row r="1185" spans="1:7" x14ac:dyDescent="0.3">
      <c r="A1185" t="s">
        <v>23</v>
      </c>
      <c r="B1185" s="1">
        <v>45900</v>
      </c>
      <c r="C1185">
        <v>555508</v>
      </c>
      <c r="D1185">
        <v>61.545000000000002</v>
      </c>
      <c r="E1185" t="s">
        <v>6</v>
      </c>
      <c r="F1185" t="s">
        <v>55</v>
      </c>
      <c r="G1185" t="s">
        <v>5</v>
      </c>
    </row>
    <row r="1186" spans="1:7" x14ac:dyDescent="0.3">
      <c r="A1186" t="s">
        <v>23</v>
      </c>
      <c r="B1186" s="1">
        <v>45900</v>
      </c>
      <c r="C1186">
        <v>557002</v>
      </c>
      <c r="D1186">
        <v>384.93099999999998</v>
      </c>
      <c r="E1186" t="s">
        <v>6</v>
      </c>
      <c r="F1186" t="s">
        <v>56</v>
      </c>
      <c r="G1186" t="s">
        <v>5</v>
      </c>
    </row>
    <row r="1187" spans="1:7" x14ac:dyDescent="0.3">
      <c r="A1187" t="s">
        <v>23</v>
      </c>
      <c r="B1187" s="1">
        <v>45900</v>
      </c>
      <c r="C1187">
        <v>564019</v>
      </c>
      <c r="D1187">
        <v>5110.991</v>
      </c>
      <c r="E1187" t="s">
        <v>6</v>
      </c>
      <c r="F1187" t="s">
        <v>51</v>
      </c>
      <c r="G1187" t="s">
        <v>5</v>
      </c>
    </row>
    <row r="1188" spans="1:7" x14ac:dyDescent="0.3">
      <c r="A1188" t="s">
        <v>23</v>
      </c>
      <c r="B1188" s="1">
        <v>45900</v>
      </c>
      <c r="C1188">
        <v>564021</v>
      </c>
      <c r="D1188">
        <v>101.54300000000001</v>
      </c>
      <c r="E1188" t="s">
        <v>6</v>
      </c>
      <c r="F1188" t="s">
        <v>57</v>
      </c>
      <c r="G1188" t="s">
        <v>5</v>
      </c>
    </row>
    <row r="1189" spans="1:7" x14ac:dyDescent="0.3">
      <c r="A1189" t="s">
        <v>24</v>
      </c>
      <c r="B1189" s="1">
        <v>45900</v>
      </c>
      <c r="C1189">
        <v>220006</v>
      </c>
      <c r="D1189">
        <v>9426.857</v>
      </c>
      <c r="E1189" t="s">
        <v>4</v>
      </c>
      <c r="F1189" t="s">
        <v>42</v>
      </c>
      <c r="G1189" t="s">
        <v>8</v>
      </c>
    </row>
    <row r="1190" spans="1:7" x14ac:dyDescent="0.3">
      <c r="A1190" t="s">
        <v>24</v>
      </c>
      <c r="B1190" s="1">
        <v>45900</v>
      </c>
      <c r="C1190">
        <v>240002</v>
      </c>
      <c r="D1190">
        <v>-26.827000000000002</v>
      </c>
      <c r="E1190" t="s">
        <v>4</v>
      </c>
      <c r="F1190" t="s">
        <v>43</v>
      </c>
      <c r="G1190" t="s">
        <v>8</v>
      </c>
    </row>
    <row r="1191" spans="1:7" x14ac:dyDescent="0.3">
      <c r="A1191" t="s">
        <v>24</v>
      </c>
      <c r="B1191" s="1">
        <v>45900</v>
      </c>
      <c r="C1191">
        <v>243002</v>
      </c>
      <c r="D1191">
        <v>-279.48599999999999</v>
      </c>
      <c r="E1191" t="s">
        <v>4</v>
      </c>
      <c r="F1191" t="s">
        <v>43</v>
      </c>
      <c r="G1191" t="s">
        <v>8</v>
      </c>
    </row>
    <row r="1192" spans="1:7" x14ac:dyDescent="0.3">
      <c r="A1192" t="s">
        <v>24</v>
      </c>
      <c r="B1192" s="1">
        <v>45900</v>
      </c>
      <c r="C1192">
        <v>330132</v>
      </c>
      <c r="D1192">
        <v>-8483.1020000000008</v>
      </c>
      <c r="E1192" t="s">
        <v>4</v>
      </c>
      <c r="F1192" t="s">
        <v>43</v>
      </c>
      <c r="G1192" t="s">
        <v>8</v>
      </c>
    </row>
    <row r="1193" spans="1:7" x14ac:dyDescent="0.3">
      <c r="A1193" t="s">
        <v>24</v>
      </c>
      <c r="B1193" s="1">
        <v>45900</v>
      </c>
      <c r="C1193">
        <v>330147</v>
      </c>
      <c r="D1193">
        <v>-1986.942</v>
      </c>
      <c r="E1193" t="s">
        <v>4</v>
      </c>
      <c r="F1193" t="s">
        <v>43</v>
      </c>
      <c r="G1193" t="s">
        <v>8</v>
      </c>
    </row>
    <row r="1194" spans="1:7" x14ac:dyDescent="0.3">
      <c r="A1194" t="s">
        <v>24</v>
      </c>
      <c r="B1194" s="1">
        <v>45900</v>
      </c>
      <c r="C1194">
        <v>340237</v>
      </c>
      <c r="D1194">
        <v>757.846</v>
      </c>
      <c r="E1194" t="s">
        <v>4</v>
      </c>
      <c r="F1194" t="s">
        <v>47</v>
      </c>
      <c r="G1194" t="s">
        <v>8</v>
      </c>
    </row>
    <row r="1195" spans="1:7" x14ac:dyDescent="0.3">
      <c r="A1195" t="s">
        <v>24</v>
      </c>
      <c r="B1195" s="1">
        <v>45900</v>
      </c>
      <c r="C1195">
        <v>340240</v>
      </c>
      <c r="D1195">
        <v>-7.1920000000000002</v>
      </c>
      <c r="E1195" t="s">
        <v>4</v>
      </c>
      <c r="F1195" t="s">
        <v>47</v>
      </c>
      <c r="G1195" t="s">
        <v>8</v>
      </c>
    </row>
    <row r="1196" spans="1:7" x14ac:dyDescent="0.3">
      <c r="A1196" t="s">
        <v>24</v>
      </c>
      <c r="B1196" s="1">
        <v>45900</v>
      </c>
      <c r="C1196">
        <v>340313</v>
      </c>
      <c r="D1196">
        <v>8.7940000000000005</v>
      </c>
      <c r="E1196" t="s">
        <v>4</v>
      </c>
      <c r="F1196" t="s">
        <v>47</v>
      </c>
      <c r="G1196" t="s">
        <v>8</v>
      </c>
    </row>
    <row r="1197" spans="1:7" x14ac:dyDescent="0.3">
      <c r="A1197" t="s">
        <v>24</v>
      </c>
      <c r="B1197" s="1">
        <v>45900</v>
      </c>
      <c r="C1197">
        <v>372004</v>
      </c>
      <c r="D1197">
        <v>57.228999999999999</v>
      </c>
      <c r="E1197" t="s">
        <v>4</v>
      </c>
      <c r="F1197" t="s">
        <v>45</v>
      </c>
      <c r="G1197" t="s">
        <v>8</v>
      </c>
    </row>
    <row r="1198" spans="1:7" x14ac:dyDescent="0.3">
      <c r="A1198" t="s">
        <v>24</v>
      </c>
      <c r="B1198" s="1">
        <v>45900</v>
      </c>
      <c r="C1198">
        <v>421003</v>
      </c>
      <c r="D1198">
        <v>1.6779999999999999</v>
      </c>
      <c r="E1198" t="s">
        <v>6</v>
      </c>
      <c r="F1198" t="s">
        <v>52</v>
      </c>
      <c r="G1198" t="s">
        <v>8</v>
      </c>
    </row>
    <row r="1199" spans="1:7" x14ac:dyDescent="0.3">
      <c r="A1199" t="s">
        <v>24</v>
      </c>
      <c r="B1199" s="1">
        <v>45900</v>
      </c>
      <c r="C1199">
        <v>421004</v>
      </c>
      <c r="D1199">
        <v>-108.916</v>
      </c>
      <c r="E1199" t="s">
        <v>6</v>
      </c>
      <c r="F1199" t="s">
        <v>52</v>
      </c>
      <c r="G1199" t="s">
        <v>8</v>
      </c>
    </row>
    <row r="1200" spans="1:7" x14ac:dyDescent="0.3">
      <c r="A1200" t="s">
        <v>24</v>
      </c>
      <c r="B1200" s="1">
        <v>45900</v>
      </c>
      <c r="C1200">
        <v>552502</v>
      </c>
      <c r="D1200">
        <v>58.167999999999999</v>
      </c>
      <c r="E1200" t="s">
        <v>6</v>
      </c>
      <c r="F1200" t="s">
        <v>55</v>
      </c>
      <c r="G1200" t="s">
        <v>8</v>
      </c>
    </row>
    <row r="1201" spans="1:7" x14ac:dyDescent="0.3">
      <c r="A1201" t="s">
        <v>24</v>
      </c>
      <c r="B1201" s="1">
        <v>45900</v>
      </c>
      <c r="C1201">
        <v>557002</v>
      </c>
      <c r="D1201">
        <v>544.25400000000002</v>
      </c>
      <c r="E1201" t="s">
        <v>6</v>
      </c>
      <c r="F1201" t="s">
        <v>56</v>
      </c>
      <c r="G1201" t="s">
        <v>8</v>
      </c>
    </row>
    <row r="1202" spans="1:7" x14ac:dyDescent="0.3">
      <c r="A1202" t="s">
        <v>24</v>
      </c>
      <c r="B1202" s="1">
        <v>45900</v>
      </c>
      <c r="C1202">
        <v>564020</v>
      </c>
      <c r="D1202">
        <v>53.871000000000002</v>
      </c>
      <c r="E1202" t="s">
        <v>6</v>
      </c>
      <c r="F1202" t="s">
        <v>57</v>
      </c>
      <c r="G1202" t="s">
        <v>8</v>
      </c>
    </row>
    <row r="1203" spans="1:7" x14ac:dyDescent="0.3">
      <c r="A1203" t="s">
        <v>25</v>
      </c>
      <c r="B1203" s="1">
        <v>45900</v>
      </c>
      <c r="C1203">
        <v>220006</v>
      </c>
      <c r="D1203">
        <v>-21299.363000000001</v>
      </c>
      <c r="E1203" t="s">
        <v>4</v>
      </c>
      <c r="F1203" t="s">
        <v>42</v>
      </c>
      <c r="G1203" t="s">
        <v>5</v>
      </c>
    </row>
    <row r="1204" spans="1:7" x14ac:dyDescent="0.3">
      <c r="A1204" t="s">
        <v>25</v>
      </c>
      <c r="B1204" s="1">
        <v>45900</v>
      </c>
      <c r="C1204">
        <v>240002</v>
      </c>
      <c r="D1204">
        <v>-59.415999999999997</v>
      </c>
      <c r="E1204" t="s">
        <v>4</v>
      </c>
      <c r="F1204" t="s">
        <v>43</v>
      </c>
      <c r="G1204" t="s">
        <v>5</v>
      </c>
    </row>
    <row r="1205" spans="1:7" x14ac:dyDescent="0.3">
      <c r="A1205" t="s">
        <v>25</v>
      </c>
      <c r="B1205" s="1">
        <v>45900</v>
      </c>
      <c r="C1205">
        <v>243002</v>
      </c>
      <c r="D1205">
        <v>-36.384999999999998</v>
      </c>
      <c r="E1205" t="s">
        <v>4</v>
      </c>
      <c r="F1205" t="s">
        <v>43</v>
      </c>
      <c r="G1205" t="s">
        <v>5</v>
      </c>
    </row>
    <row r="1206" spans="1:7" x14ac:dyDescent="0.3">
      <c r="A1206" t="s">
        <v>25</v>
      </c>
      <c r="B1206" s="1">
        <v>45900</v>
      </c>
      <c r="C1206">
        <v>330019</v>
      </c>
      <c r="D1206">
        <v>21259.893</v>
      </c>
      <c r="E1206" t="s">
        <v>4</v>
      </c>
      <c r="F1206" t="s">
        <v>43</v>
      </c>
      <c r="G1206" t="s">
        <v>5</v>
      </c>
    </row>
    <row r="1207" spans="1:7" x14ac:dyDescent="0.3">
      <c r="A1207" t="s">
        <v>25</v>
      </c>
      <c r="B1207" s="1">
        <v>45900</v>
      </c>
      <c r="C1207">
        <v>340016</v>
      </c>
      <c r="D1207">
        <v>17.577000000000002</v>
      </c>
      <c r="E1207" t="s">
        <v>4</v>
      </c>
      <c r="F1207" t="s">
        <v>47</v>
      </c>
      <c r="G1207" t="s">
        <v>5</v>
      </c>
    </row>
    <row r="1208" spans="1:7" x14ac:dyDescent="0.3">
      <c r="A1208" t="s">
        <v>25</v>
      </c>
      <c r="B1208" s="1">
        <v>45900</v>
      </c>
      <c r="C1208">
        <v>372004</v>
      </c>
      <c r="D1208">
        <v>7.75</v>
      </c>
      <c r="E1208" t="s">
        <v>4</v>
      </c>
      <c r="F1208" t="s">
        <v>45</v>
      </c>
      <c r="G1208" t="s">
        <v>5</v>
      </c>
    </row>
    <row r="1209" spans="1:7" x14ac:dyDescent="0.3">
      <c r="A1209" t="s">
        <v>25</v>
      </c>
      <c r="B1209" s="1">
        <v>45900</v>
      </c>
      <c r="C1209">
        <v>557002</v>
      </c>
      <c r="D1209">
        <v>49.308999999999997</v>
      </c>
      <c r="E1209" t="s">
        <v>6</v>
      </c>
      <c r="F1209" t="s">
        <v>56</v>
      </c>
      <c r="G1209" t="s">
        <v>5</v>
      </c>
    </row>
    <row r="1210" spans="1:7" x14ac:dyDescent="0.3">
      <c r="A1210" t="s">
        <v>25</v>
      </c>
      <c r="B1210" s="1">
        <v>45900</v>
      </c>
      <c r="C1210">
        <v>564021</v>
      </c>
      <c r="D1210">
        <v>63.567999999999998</v>
      </c>
      <c r="E1210" t="s">
        <v>6</v>
      </c>
      <c r="F1210" t="s">
        <v>57</v>
      </c>
      <c r="G1210" t="s">
        <v>5</v>
      </c>
    </row>
    <row r="1211" spans="1:7" x14ac:dyDescent="0.3">
      <c r="A1211" t="s">
        <v>26</v>
      </c>
      <c r="B1211" s="1">
        <v>45900</v>
      </c>
      <c r="C1211">
        <v>220006</v>
      </c>
      <c r="D1211">
        <v>-535868.00399999996</v>
      </c>
      <c r="E1211" t="s">
        <v>4</v>
      </c>
      <c r="F1211" t="s">
        <v>42</v>
      </c>
      <c r="G1211" t="s">
        <v>5</v>
      </c>
    </row>
    <row r="1212" spans="1:7" x14ac:dyDescent="0.3">
      <c r="A1212" t="s">
        <v>26</v>
      </c>
      <c r="B1212" s="1">
        <v>45900</v>
      </c>
      <c r="C1212">
        <v>240002</v>
      </c>
      <c r="D1212">
        <v>-800.39400000000001</v>
      </c>
      <c r="E1212" t="s">
        <v>4</v>
      </c>
      <c r="F1212" t="s">
        <v>43</v>
      </c>
      <c r="G1212" t="s">
        <v>5</v>
      </c>
    </row>
    <row r="1213" spans="1:7" x14ac:dyDescent="0.3">
      <c r="A1213" t="s">
        <v>26</v>
      </c>
      <c r="B1213" s="1">
        <v>45900</v>
      </c>
      <c r="C1213">
        <v>240003</v>
      </c>
      <c r="D1213">
        <v>-0.53900000000000003</v>
      </c>
      <c r="E1213" t="s">
        <v>4</v>
      </c>
      <c r="F1213" t="s">
        <v>43</v>
      </c>
      <c r="G1213" t="s">
        <v>5</v>
      </c>
    </row>
    <row r="1214" spans="1:7" x14ac:dyDescent="0.3">
      <c r="A1214" t="s">
        <v>26</v>
      </c>
      <c r="B1214" s="1">
        <v>45900</v>
      </c>
      <c r="C1214">
        <v>240009</v>
      </c>
      <c r="D1214">
        <v>-490.928</v>
      </c>
      <c r="E1214" t="s">
        <v>4</v>
      </c>
      <c r="F1214" t="s">
        <v>43</v>
      </c>
      <c r="G1214" t="s">
        <v>5</v>
      </c>
    </row>
    <row r="1215" spans="1:7" x14ac:dyDescent="0.3">
      <c r="A1215" t="s">
        <v>26</v>
      </c>
      <c r="B1215" s="1">
        <v>45900</v>
      </c>
      <c r="C1215">
        <v>242003</v>
      </c>
      <c r="D1215">
        <v>119284.27499999999</v>
      </c>
      <c r="E1215" t="s">
        <v>4</v>
      </c>
      <c r="F1215" t="s">
        <v>43</v>
      </c>
      <c r="G1215" t="s">
        <v>5</v>
      </c>
    </row>
    <row r="1216" spans="1:7" x14ac:dyDescent="0.3">
      <c r="A1216" t="s">
        <v>26</v>
      </c>
      <c r="B1216" s="1">
        <v>45900</v>
      </c>
      <c r="C1216">
        <v>242011</v>
      </c>
      <c r="D1216">
        <v>-3620.7280000000001</v>
      </c>
      <c r="E1216" t="s">
        <v>4</v>
      </c>
      <c r="F1216" t="s">
        <v>43</v>
      </c>
      <c r="G1216" t="s">
        <v>5</v>
      </c>
    </row>
    <row r="1217" spans="1:7" x14ac:dyDescent="0.3">
      <c r="A1217" t="s">
        <v>26</v>
      </c>
      <c r="B1217" s="1">
        <v>45900</v>
      </c>
      <c r="C1217">
        <v>242012</v>
      </c>
      <c r="D1217">
        <v>0.26200000000000001</v>
      </c>
      <c r="E1217" t="s">
        <v>4</v>
      </c>
      <c r="F1217" t="s">
        <v>43</v>
      </c>
      <c r="G1217" t="s">
        <v>5</v>
      </c>
    </row>
    <row r="1218" spans="1:7" x14ac:dyDescent="0.3">
      <c r="A1218" t="s">
        <v>26</v>
      </c>
      <c r="B1218" s="1">
        <v>45900</v>
      </c>
      <c r="C1218">
        <v>242014</v>
      </c>
      <c r="D1218">
        <v>-11.396000000000001</v>
      </c>
      <c r="E1218" t="s">
        <v>4</v>
      </c>
      <c r="F1218" t="s">
        <v>43</v>
      </c>
      <c r="G1218" t="s">
        <v>5</v>
      </c>
    </row>
    <row r="1219" spans="1:7" x14ac:dyDescent="0.3">
      <c r="A1219" t="s">
        <v>26</v>
      </c>
      <c r="B1219" s="1">
        <v>45900</v>
      </c>
      <c r="C1219">
        <v>242019</v>
      </c>
      <c r="D1219">
        <v>6439.6959999999999</v>
      </c>
      <c r="E1219" t="s">
        <v>4</v>
      </c>
      <c r="F1219" t="s">
        <v>43</v>
      </c>
      <c r="G1219" t="s">
        <v>5</v>
      </c>
    </row>
    <row r="1220" spans="1:7" x14ac:dyDescent="0.3">
      <c r="A1220" t="s">
        <v>26</v>
      </c>
      <c r="B1220" s="1">
        <v>45900</v>
      </c>
      <c r="C1220">
        <v>242038</v>
      </c>
      <c r="D1220">
        <v>-11.802</v>
      </c>
      <c r="E1220" t="s">
        <v>4</v>
      </c>
      <c r="F1220" t="s">
        <v>43</v>
      </c>
      <c r="G1220" t="s">
        <v>5</v>
      </c>
    </row>
    <row r="1221" spans="1:7" x14ac:dyDescent="0.3">
      <c r="A1221" t="s">
        <v>26</v>
      </c>
      <c r="B1221" s="1">
        <v>45900</v>
      </c>
      <c r="C1221">
        <v>242041</v>
      </c>
      <c r="D1221">
        <v>-641.84</v>
      </c>
      <c r="E1221" t="s">
        <v>4</v>
      </c>
      <c r="F1221" t="s">
        <v>43</v>
      </c>
      <c r="G1221" t="s">
        <v>5</v>
      </c>
    </row>
    <row r="1222" spans="1:7" x14ac:dyDescent="0.3">
      <c r="A1222" t="s">
        <v>26</v>
      </c>
      <c r="B1222" s="1">
        <v>45900</v>
      </c>
      <c r="C1222">
        <v>243002</v>
      </c>
      <c r="D1222">
        <v>-1691.1479999999999</v>
      </c>
      <c r="E1222" t="s">
        <v>4</v>
      </c>
      <c r="F1222" t="s">
        <v>43</v>
      </c>
      <c r="G1222" t="s">
        <v>5</v>
      </c>
    </row>
    <row r="1223" spans="1:7" x14ac:dyDescent="0.3">
      <c r="A1223" t="s">
        <v>26</v>
      </c>
      <c r="B1223" s="1">
        <v>45900</v>
      </c>
      <c r="C1223">
        <v>243003</v>
      </c>
      <c r="D1223">
        <v>-9547.2360000000008</v>
      </c>
      <c r="E1223" t="s">
        <v>4</v>
      </c>
      <c r="F1223" t="s">
        <v>43</v>
      </c>
      <c r="G1223" t="s">
        <v>5</v>
      </c>
    </row>
    <row r="1224" spans="1:7" x14ac:dyDescent="0.3">
      <c r="A1224" t="s">
        <v>26</v>
      </c>
      <c r="B1224" s="1">
        <v>45900</v>
      </c>
      <c r="C1224">
        <v>243010</v>
      </c>
      <c r="D1224">
        <v>-246.84200000000001</v>
      </c>
      <c r="E1224" t="s">
        <v>4</v>
      </c>
      <c r="F1224" t="s">
        <v>43</v>
      </c>
      <c r="G1224" t="s">
        <v>5</v>
      </c>
    </row>
    <row r="1225" spans="1:7" x14ac:dyDescent="0.3">
      <c r="A1225" t="s">
        <v>26</v>
      </c>
      <c r="B1225" s="1">
        <v>45900</v>
      </c>
      <c r="C1225">
        <v>245010</v>
      </c>
      <c r="D1225">
        <v>-2125.13</v>
      </c>
      <c r="E1225" t="s">
        <v>4</v>
      </c>
      <c r="F1225" t="s">
        <v>44</v>
      </c>
      <c r="G1225" t="s">
        <v>5</v>
      </c>
    </row>
    <row r="1226" spans="1:7" x14ac:dyDescent="0.3">
      <c r="A1226" t="s">
        <v>26</v>
      </c>
      <c r="B1226" s="1">
        <v>45900</v>
      </c>
      <c r="C1226">
        <v>245062</v>
      </c>
      <c r="D1226">
        <v>-3871.7460000000001</v>
      </c>
      <c r="E1226" t="s">
        <v>4</v>
      </c>
      <c r="F1226" t="s">
        <v>43</v>
      </c>
      <c r="G1226" t="s">
        <v>5</v>
      </c>
    </row>
    <row r="1227" spans="1:7" x14ac:dyDescent="0.3">
      <c r="A1227" t="s">
        <v>26</v>
      </c>
      <c r="B1227" s="1">
        <v>45900</v>
      </c>
      <c r="C1227">
        <v>250003</v>
      </c>
      <c r="D1227">
        <v>-2093.08</v>
      </c>
      <c r="E1227" t="s">
        <v>4</v>
      </c>
      <c r="F1227" t="s">
        <v>45</v>
      </c>
      <c r="G1227" t="s">
        <v>5</v>
      </c>
    </row>
    <row r="1228" spans="1:7" x14ac:dyDescent="0.3">
      <c r="A1228" t="s">
        <v>26</v>
      </c>
      <c r="B1228" s="1">
        <v>45900</v>
      </c>
      <c r="C1228">
        <v>251002</v>
      </c>
      <c r="D1228">
        <v>-1102.9100000000001</v>
      </c>
      <c r="E1228" t="s">
        <v>4</v>
      </c>
      <c r="F1228" t="s">
        <v>45</v>
      </c>
      <c r="G1228" t="s">
        <v>5</v>
      </c>
    </row>
    <row r="1229" spans="1:7" x14ac:dyDescent="0.3">
      <c r="A1229" t="s">
        <v>26</v>
      </c>
      <c r="B1229" s="1">
        <v>45900</v>
      </c>
      <c r="C1229">
        <v>251003</v>
      </c>
      <c r="D1229">
        <v>-3024.915</v>
      </c>
      <c r="E1229" t="s">
        <v>4</v>
      </c>
      <c r="F1229" t="s">
        <v>45</v>
      </c>
      <c r="G1229" t="s">
        <v>5</v>
      </c>
    </row>
    <row r="1230" spans="1:7" x14ac:dyDescent="0.3">
      <c r="A1230" t="s">
        <v>26</v>
      </c>
      <c r="B1230" s="1">
        <v>45900</v>
      </c>
      <c r="C1230">
        <v>257005</v>
      </c>
      <c r="D1230">
        <v>-392.483</v>
      </c>
      <c r="E1230" t="s">
        <v>4</v>
      </c>
      <c r="F1230" t="s">
        <v>45</v>
      </c>
      <c r="G1230" t="s">
        <v>5</v>
      </c>
    </row>
    <row r="1231" spans="1:7" x14ac:dyDescent="0.3">
      <c r="A1231" t="s">
        <v>26</v>
      </c>
      <c r="B1231" s="1">
        <v>45900</v>
      </c>
      <c r="C1231">
        <v>257027</v>
      </c>
      <c r="D1231">
        <v>20.131</v>
      </c>
      <c r="E1231" t="s">
        <v>4</v>
      </c>
      <c r="F1231" t="s">
        <v>45</v>
      </c>
      <c r="G1231" t="s">
        <v>5</v>
      </c>
    </row>
    <row r="1232" spans="1:7" x14ac:dyDescent="0.3">
      <c r="A1232" t="s">
        <v>26</v>
      </c>
      <c r="B1232" s="1">
        <v>45900</v>
      </c>
      <c r="C1232">
        <v>257030</v>
      </c>
      <c r="D1232">
        <v>-12.391</v>
      </c>
      <c r="E1232" t="s">
        <v>4</v>
      </c>
      <c r="F1232" t="s">
        <v>45</v>
      </c>
      <c r="G1232" t="s">
        <v>5</v>
      </c>
    </row>
    <row r="1233" spans="1:7" x14ac:dyDescent="0.3">
      <c r="A1233" t="s">
        <v>26</v>
      </c>
      <c r="B1233" s="1">
        <v>45900</v>
      </c>
      <c r="C1233">
        <v>260004</v>
      </c>
      <c r="D1233">
        <v>-2209.259</v>
      </c>
      <c r="E1233" t="s">
        <v>4</v>
      </c>
      <c r="F1233" t="s">
        <v>45</v>
      </c>
      <c r="G1233" t="s">
        <v>5</v>
      </c>
    </row>
    <row r="1234" spans="1:7" x14ac:dyDescent="0.3">
      <c r="A1234" t="s">
        <v>26</v>
      </c>
      <c r="B1234" s="1">
        <v>45900</v>
      </c>
      <c r="C1234">
        <v>270025</v>
      </c>
      <c r="D1234">
        <v>2140</v>
      </c>
      <c r="E1234" t="s">
        <v>4</v>
      </c>
      <c r="F1234" t="s">
        <v>58</v>
      </c>
      <c r="G1234" t="s">
        <v>5</v>
      </c>
    </row>
    <row r="1235" spans="1:7" x14ac:dyDescent="0.3">
      <c r="A1235" t="s">
        <v>26</v>
      </c>
      <c r="B1235" s="1">
        <v>45900</v>
      </c>
      <c r="C1235">
        <v>270026</v>
      </c>
      <c r="D1235">
        <v>-695.18700000000001</v>
      </c>
      <c r="E1235" t="s">
        <v>4</v>
      </c>
      <c r="F1235" t="s">
        <v>58</v>
      </c>
      <c r="G1235" t="s">
        <v>5</v>
      </c>
    </row>
    <row r="1236" spans="1:7" x14ac:dyDescent="0.3">
      <c r="A1236" t="s">
        <v>26</v>
      </c>
      <c r="B1236" s="1">
        <v>45900</v>
      </c>
      <c r="C1236">
        <v>300008</v>
      </c>
      <c r="D1236">
        <v>1342.375</v>
      </c>
      <c r="E1236" t="s">
        <v>4</v>
      </c>
      <c r="F1236" t="s">
        <v>65</v>
      </c>
      <c r="G1236" t="s">
        <v>5</v>
      </c>
    </row>
    <row r="1237" spans="1:7" x14ac:dyDescent="0.3">
      <c r="A1237" t="s">
        <v>26</v>
      </c>
      <c r="B1237" s="1">
        <v>45900</v>
      </c>
      <c r="C1237">
        <v>300508</v>
      </c>
      <c r="D1237">
        <v>-520.94799999999998</v>
      </c>
      <c r="E1237" t="s">
        <v>4</v>
      </c>
      <c r="F1237" t="s">
        <v>65</v>
      </c>
      <c r="G1237" t="s">
        <v>5</v>
      </c>
    </row>
    <row r="1238" spans="1:7" x14ac:dyDescent="0.3">
      <c r="A1238" t="s">
        <v>26</v>
      </c>
      <c r="B1238" s="1">
        <v>45900</v>
      </c>
      <c r="C1238">
        <v>320002</v>
      </c>
      <c r="D1238">
        <v>63282.788</v>
      </c>
      <c r="E1238" t="s">
        <v>4</v>
      </c>
      <c r="F1238" t="s">
        <v>46</v>
      </c>
      <c r="G1238" t="s">
        <v>5</v>
      </c>
    </row>
    <row r="1239" spans="1:7" x14ac:dyDescent="0.3">
      <c r="A1239" t="s">
        <v>26</v>
      </c>
      <c r="B1239" s="1">
        <v>45900</v>
      </c>
      <c r="C1239">
        <v>320003</v>
      </c>
      <c r="D1239">
        <v>1108.24</v>
      </c>
      <c r="E1239" t="s">
        <v>4</v>
      </c>
      <c r="F1239" t="s">
        <v>46</v>
      </c>
      <c r="G1239" t="s">
        <v>5</v>
      </c>
    </row>
    <row r="1240" spans="1:7" x14ac:dyDescent="0.3">
      <c r="A1240" t="s">
        <v>26</v>
      </c>
      <c r="B1240" s="1">
        <v>45900</v>
      </c>
      <c r="C1240">
        <v>320004</v>
      </c>
      <c r="D1240">
        <v>99.222999999999999</v>
      </c>
      <c r="E1240" t="s">
        <v>4</v>
      </c>
      <c r="F1240" t="s">
        <v>46</v>
      </c>
      <c r="G1240" t="s">
        <v>5</v>
      </c>
    </row>
    <row r="1241" spans="1:7" x14ac:dyDescent="0.3">
      <c r="A1241" t="s">
        <v>26</v>
      </c>
      <c r="B1241" s="1">
        <v>45900</v>
      </c>
      <c r="C1241">
        <v>320023</v>
      </c>
      <c r="D1241">
        <v>-4377.2489999999998</v>
      </c>
      <c r="E1241" t="s">
        <v>4</v>
      </c>
      <c r="F1241" t="s">
        <v>46</v>
      </c>
      <c r="G1241" t="s">
        <v>5</v>
      </c>
    </row>
    <row r="1242" spans="1:7" x14ac:dyDescent="0.3">
      <c r="A1242" t="s">
        <v>26</v>
      </c>
      <c r="B1242" s="1">
        <v>45900</v>
      </c>
      <c r="C1242">
        <v>321002</v>
      </c>
      <c r="D1242">
        <v>22860.323</v>
      </c>
      <c r="E1242" t="s">
        <v>4</v>
      </c>
      <c r="F1242" t="s">
        <v>46</v>
      </c>
      <c r="G1242" t="s">
        <v>5</v>
      </c>
    </row>
    <row r="1243" spans="1:7" x14ac:dyDescent="0.3">
      <c r="A1243" t="s">
        <v>26</v>
      </c>
      <c r="B1243" s="1">
        <v>45900</v>
      </c>
      <c r="C1243">
        <v>321013</v>
      </c>
      <c r="D1243">
        <v>-639.88</v>
      </c>
      <c r="E1243" t="s">
        <v>4</v>
      </c>
      <c r="F1243" t="s">
        <v>46</v>
      </c>
      <c r="G1243" t="s">
        <v>5</v>
      </c>
    </row>
    <row r="1244" spans="1:7" x14ac:dyDescent="0.3">
      <c r="A1244" t="s">
        <v>26</v>
      </c>
      <c r="B1244" s="1">
        <v>45900</v>
      </c>
      <c r="C1244">
        <v>321025</v>
      </c>
      <c r="D1244">
        <v>-2598.7939999999999</v>
      </c>
      <c r="E1244" t="s">
        <v>4</v>
      </c>
      <c r="F1244" t="s">
        <v>46</v>
      </c>
      <c r="G1244" t="s">
        <v>5</v>
      </c>
    </row>
    <row r="1245" spans="1:7" x14ac:dyDescent="0.3">
      <c r="A1245" t="s">
        <v>26</v>
      </c>
      <c r="B1245" s="1">
        <v>45900</v>
      </c>
      <c r="C1245">
        <v>321028</v>
      </c>
      <c r="D1245">
        <v>-32.164999999999999</v>
      </c>
      <c r="E1245" t="s">
        <v>4</v>
      </c>
      <c r="F1245" t="s">
        <v>46</v>
      </c>
      <c r="G1245" t="s">
        <v>5</v>
      </c>
    </row>
    <row r="1246" spans="1:7" x14ac:dyDescent="0.3">
      <c r="A1246" t="s">
        <v>26</v>
      </c>
      <c r="B1246" s="1">
        <v>45900</v>
      </c>
      <c r="C1246">
        <v>321029</v>
      </c>
      <c r="D1246">
        <v>2744.13</v>
      </c>
      <c r="E1246" t="s">
        <v>4</v>
      </c>
      <c r="F1246" t="s">
        <v>46</v>
      </c>
      <c r="G1246" t="s">
        <v>5</v>
      </c>
    </row>
    <row r="1247" spans="1:7" x14ac:dyDescent="0.3">
      <c r="A1247" t="s">
        <v>26</v>
      </c>
      <c r="B1247" s="1">
        <v>45900</v>
      </c>
      <c r="C1247">
        <v>321036</v>
      </c>
      <c r="D1247">
        <v>262.69</v>
      </c>
      <c r="E1247" t="s">
        <v>4</v>
      </c>
      <c r="F1247" t="s">
        <v>46</v>
      </c>
      <c r="G1247" t="s">
        <v>5</v>
      </c>
    </row>
    <row r="1248" spans="1:7" x14ac:dyDescent="0.3">
      <c r="A1248" t="s">
        <v>26</v>
      </c>
      <c r="B1248" s="1">
        <v>45900</v>
      </c>
      <c r="C1248">
        <v>321042</v>
      </c>
      <c r="D1248">
        <v>-2262.145</v>
      </c>
      <c r="E1248" t="s">
        <v>4</v>
      </c>
      <c r="F1248" t="s">
        <v>46</v>
      </c>
      <c r="G1248" t="s">
        <v>5</v>
      </c>
    </row>
    <row r="1249" spans="1:7" x14ac:dyDescent="0.3">
      <c r="A1249" t="s">
        <v>26</v>
      </c>
      <c r="B1249" s="1">
        <v>45900</v>
      </c>
      <c r="C1249">
        <v>330020</v>
      </c>
      <c r="D1249">
        <v>-1491.63</v>
      </c>
      <c r="E1249" t="s">
        <v>4</v>
      </c>
      <c r="F1249" t="s">
        <v>43</v>
      </c>
      <c r="G1249" t="s">
        <v>5</v>
      </c>
    </row>
    <row r="1250" spans="1:7" x14ac:dyDescent="0.3">
      <c r="A1250" t="s">
        <v>26</v>
      </c>
      <c r="B1250" s="1">
        <v>45900</v>
      </c>
      <c r="C1250">
        <v>330147</v>
      </c>
      <c r="D1250">
        <v>2407.875</v>
      </c>
      <c r="E1250" t="s">
        <v>4</v>
      </c>
      <c r="F1250" t="s">
        <v>43</v>
      </c>
      <c r="G1250" t="s">
        <v>5</v>
      </c>
    </row>
    <row r="1251" spans="1:7" x14ac:dyDescent="0.3">
      <c r="A1251" t="s">
        <v>26</v>
      </c>
      <c r="B1251" s="1">
        <v>45900</v>
      </c>
      <c r="C1251">
        <v>340031</v>
      </c>
      <c r="D1251">
        <v>302134.02799999999</v>
      </c>
      <c r="E1251" t="s">
        <v>4</v>
      </c>
      <c r="F1251" t="s">
        <v>47</v>
      </c>
      <c r="G1251" t="s">
        <v>5</v>
      </c>
    </row>
    <row r="1252" spans="1:7" x14ac:dyDescent="0.3">
      <c r="A1252" t="s">
        <v>26</v>
      </c>
      <c r="B1252" s="1">
        <v>45900</v>
      </c>
      <c r="C1252">
        <v>350002</v>
      </c>
      <c r="D1252">
        <v>1424.9259999999999</v>
      </c>
      <c r="E1252" t="s">
        <v>4</v>
      </c>
      <c r="F1252" t="s">
        <v>49</v>
      </c>
      <c r="G1252" t="s">
        <v>5</v>
      </c>
    </row>
    <row r="1253" spans="1:7" x14ac:dyDescent="0.3">
      <c r="A1253" t="s">
        <v>26</v>
      </c>
      <c r="B1253" s="1">
        <v>45900</v>
      </c>
      <c r="C1253">
        <v>350003</v>
      </c>
      <c r="D1253">
        <v>-828.55200000000002</v>
      </c>
      <c r="E1253" t="s">
        <v>4</v>
      </c>
      <c r="F1253" t="s">
        <v>49</v>
      </c>
      <c r="G1253" t="s">
        <v>5</v>
      </c>
    </row>
    <row r="1254" spans="1:7" x14ac:dyDescent="0.3">
      <c r="A1254" t="s">
        <v>26</v>
      </c>
      <c r="B1254" s="1">
        <v>45900</v>
      </c>
      <c r="C1254">
        <v>350031</v>
      </c>
      <c r="D1254">
        <v>490.928</v>
      </c>
      <c r="E1254" t="s">
        <v>4</v>
      </c>
      <c r="F1254" t="s">
        <v>43</v>
      </c>
      <c r="G1254" t="s">
        <v>5</v>
      </c>
    </row>
    <row r="1255" spans="1:7" x14ac:dyDescent="0.3">
      <c r="A1255" t="s">
        <v>26</v>
      </c>
      <c r="B1255" s="1">
        <v>45900</v>
      </c>
      <c r="C1255">
        <v>352002</v>
      </c>
      <c r="D1255">
        <v>1667.6010000000001</v>
      </c>
      <c r="E1255" t="s">
        <v>4</v>
      </c>
      <c r="F1255" t="s">
        <v>48</v>
      </c>
      <c r="G1255" t="s">
        <v>5</v>
      </c>
    </row>
    <row r="1256" spans="1:7" x14ac:dyDescent="0.3">
      <c r="A1256" t="s">
        <v>26</v>
      </c>
      <c r="B1256" s="1">
        <v>45900</v>
      </c>
      <c r="C1256">
        <v>354015</v>
      </c>
      <c r="D1256">
        <v>8954.7520000000004</v>
      </c>
      <c r="E1256" t="s">
        <v>4</v>
      </c>
      <c r="F1256" t="s">
        <v>46</v>
      </c>
      <c r="G1256" t="s">
        <v>5</v>
      </c>
    </row>
    <row r="1257" spans="1:7" x14ac:dyDescent="0.3">
      <c r="A1257" t="s">
        <v>26</v>
      </c>
      <c r="B1257" s="1">
        <v>45900</v>
      </c>
      <c r="C1257">
        <v>360030</v>
      </c>
      <c r="D1257">
        <v>729.86199999999997</v>
      </c>
      <c r="E1257" t="s">
        <v>4</v>
      </c>
      <c r="F1257" t="s">
        <v>58</v>
      </c>
      <c r="G1257" t="s">
        <v>5</v>
      </c>
    </row>
    <row r="1258" spans="1:7" x14ac:dyDescent="0.3">
      <c r="A1258" t="s">
        <v>26</v>
      </c>
      <c r="B1258" s="1">
        <v>45900</v>
      </c>
      <c r="C1258">
        <v>372004</v>
      </c>
      <c r="D1258">
        <v>1282.3699999999999</v>
      </c>
      <c r="E1258" t="s">
        <v>4</v>
      </c>
      <c r="F1258" t="s">
        <v>45</v>
      </c>
      <c r="G1258" t="s">
        <v>5</v>
      </c>
    </row>
    <row r="1259" spans="1:7" x14ac:dyDescent="0.3">
      <c r="A1259" t="s">
        <v>26</v>
      </c>
      <c r="B1259" s="1">
        <v>45900</v>
      </c>
      <c r="C1259">
        <v>400002</v>
      </c>
      <c r="D1259">
        <v>-9054.3799999999992</v>
      </c>
      <c r="E1259" t="s">
        <v>6</v>
      </c>
      <c r="F1259" t="s">
        <v>50</v>
      </c>
      <c r="G1259" t="s">
        <v>5</v>
      </c>
    </row>
    <row r="1260" spans="1:7" x14ac:dyDescent="0.3">
      <c r="A1260" t="s">
        <v>26</v>
      </c>
      <c r="B1260" s="1">
        <v>45900</v>
      </c>
      <c r="C1260">
        <v>400004</v>
      </c>
      <c r="D1260">
        <v>-64638.046999999999</v>
      </c>
      <c r="E1260" t="s">
        <v>6</v>
      </c>
      <c r="F1260" t="s">
        <v>50</v>
      </c>
      <c r="G1260" t="s">
        <v>5</v>
      </c>
    </row>
    <row r="1261" spans="1:7" x14ac:dyDescent="0.3">
      <c r="A1261" t="s">
        <v>26</v>
      </c>
      <c r="B1261" s="1">
        <v>45900</v>
      </c>
      <c r="C1261">
        <v>410002</v>
      </c>
      <c r="D1261">
        <v>-29229.032999999999</v>
      </c>
      <c r="E1261" t="s">
        <v>6</v>
      </c>
      <c r="F1261" t="s">
        <v>51</v>
      </c>
      <c r="G1261" t="s">
        <v>5</v>
      </c>
    </row>
    <row r="1262" spans="1:7" x14ac:dyDescent="0.3">
      <c r="A1262" t="s">
        <v>26</v>
      </c>
      <c r="B1262" s="1">
        <v>45900</v>
      </c>
      <c r="C1262">
        <v>410035</v>
      </c>
      <c r="D1262">
        <v>-261.178</v>
      </c>
      <c r="E1262" t="s">
        <v>6</v>
      </c>
      <c r="F1262" t="s">
        <v>51</v>
      </c>
      <c r="G1262" t="s">
        <v>5</v>
      </c>
    </row>
    <row r="1263" spans="1:7" x14ac:dyDescent="0.3">
      <c r="A1263" t="s">
        <v>26</v>
      </c>
      <c r="B1263" s="1">
        <v>45900</v>
      </c>
      <c r="C1263">
        <v>410036</v>
      </c>
      <c r="D1263">
        <v>3528.4960000000001</v>
      </c>
      <c r="E1263" t="s">
        <v>6</v>
      </c>
      <c r="F1263" t="s">
        <v>51</v>
      </c>
      <c r="G1263" t="s">
        <v>5</v>
      </c>
    </row>
    <row r="1264" spans="1:7" x14ac:dyDescent="0.3">
      <c r="A1264" t="s">
        <v>26</v>
      </c>
      <c r="B1264" s="1">
        <v>45900</v>
      </c>
      <c r="C1264">
        <v>410037</v>
      </c>
      <c r="D1264">
        <v>-7731.4269999999997</v>
      </c>
      <c r="E1264" t="s">
        <v>6</v>
      </c>
      <c r="F1264" t="s">
        <v>51</v>
      </c>
      <c r="G1264" t="s">
        <v>5</v>
      </c>
    </row>
    <row r="1265" spans="1:7" x14ac:dyDescent="0.3">
      <c r="A1265" t="s">
        <v>26</v>
      </c>
      <c r="B1265" s="1">
        <v>45900</v>
      </c>
      <c r="C1265">
        <v>421002</v>
      </c>
      <c r="D1265">
        <v>5.23</v>
      </c>
      <c r="E1265" t="s">
        <v>6</v>
      </c>
      <c r="F1265" t="s">
        <v>52</v>
      </c>
      <c r="G1265" t="s">
        <v>5</v>
      </c>
    </row>
    <row r="1266" spans="1:7" x14ac:dyDescent="0.3">
      <c r="A1266" t="s">
        <v>26</v>
      </c>
      <c r="B1266" s="1">
        <v>45900</v>
      </c>
      <c r="C1266">
        <v>421003</v>
      </c>
      <c r="D1266">
        <v>357.88600000000002</v>
      </c>
      <c r="E1266" t="s">
        <v>6</v>
      </c>
      <c r="F1266" t="s">
        <v>52</v>
      </c>
      <c r="G1266" t="s">
        <v>5</v>
      </c>
    </row>
    <row r="1267" spans="1:7" x14ac:dyDescent="0.3">
      <c r="A1267" t="s">
        <v>26</v>
      </c>
      <c r="B1267" s="1">
        <v>45900</v>
      </c>
      <c r="C1267">
        <v>421007</v>
      </c>
      <c r="D1267">
        <v>725.43499999999995</v>
      </c>
      <c r="E1267" t="s">
        <v>6</v>
      </c>
      <c r="F1267" t="s">
        <v>52</v>
      </c>
      <c r="G1267" t="s">
        <v>5</v>
      </c>
    </row>
    <row r="1268" spans="1:7" x14ac:dyDescent="0.3">
      <c r="A1268" t="s">
        <v>26</v>
      </c>
      <c r="B1268" s="1">
        <v>45900</v>
      </c>
      <c r="C1268">
        <v>510002</v>
      </c>
      <c r="D1268">
        <v>35130.866999999998</v>
      </c>
      <c r="E1268" t="s">
        <v>6</v>
      </c>
      <c r="F1268" t="s">
        <v>53</v>
      </c>
      <c r="G1268" t="s">
        <v>5</v>
      </c>
    </row>
    <row r="1269" spans="1:7" x14ac:dyDescent="0.3">
      <c r="A1269" t="s">
        <v>26</v>
      </c>
      <c r="B1269" s="1">
        <v>45900</v>
      </c>
      <c r="C1269">
        <v>510005</v>
      </c>
      <c r="D1269">
        <v>-232.749</v>
      </c>
      <c r="E1269" t="s">
        <v>6</v>
      </c>
      <c r="F1269" t="s">
        <v>53</v>
      </c>
      <c r="G1269" t="s">
        <v>5</v>
      </c>
    </row>
    <row r="1270" spans="1:7" x14ac:dyDescent="0.3">
      <c r="A1270" t="s">
        <v>26</v>
      </c>
      <c r="B1270" s="1">
        <v>45900</v>
      </c>
      <c r="C1270">
        <v>510007</v>
      </c>
      <c r="D1270">
        <v>3339.683</v>
      </c>
      <c r="E1270" t="s">
        <v>6</v>
      </c>
      <c r="F1270" t="s">
        <v>53</v>
      </c>
      <c r="G1270" t="s">
        <v>5</v>
      </c>
    </row>
    <row r="1271" spans="1:7" x14ac:dyDescent="0.3">
      <c r="A1271" t="s">
        <v>26</v>
      </c>
      <c r="B1271" s="1">
        <v>45900</v>
      </c>
      <c r="C1271">
        <v>510048</v>
      </c>
      <c r="D1271">
        <v>88.751999999999995</v>
      </c>
      <c r="E1271" t="s">
        <v>6</v>
      </c>
      <c r="F1271" t="s">
        <v>61</v>
      </c>
      <c r="G1271" t="s">
        <v>5</v>
      </c>
    </row>
    <row r="1272" spans="1:7" x14ac:dyDescent="0.3">
      <c r="A1272" t="s">
        <v>26</v>
      </c>
      <c r="B1272" s="1">
        <v>45900</v>
      </c>
      <c r="C1272">
        <v>510065</v>
      </c>
      <c r="D1272">
        <v>149.76</v>
      </c>
      <c r="E1272" t="s">
        <v>6</v>
      </c>
      <c r="F1272" t="s">
        <v>53</v>
      </c>
      <c r="G1272" t="s">
        <v>5</v>
      </c>
    </row>
    <row r="1273" spans="1:7" x14ac:dyDescent="0.3">
      <c r="A1273" t="s">
        <v>26</v>
      </c>
      <c r="B1273" s="1">
        <v>45900</v>
      </c>
      <c r="C1273">
        <v>520020</v>
      </c>
      <c r="D1273">
        <v>-32.076999999999998</v>
      </c>
      <c r="E1273" t="s">
        <v>6</v>
      </c>
      <c r="F1273" t="s">
        <v>53</v>
      </c>
      <c r="G1273" t="s">
        <v>5</v>
      </c>
    </row>
    <row r="1274" spans="1:7" x14ac:dyDescent="0.3">
      <c r="A1274" t="s">
        <v>26</v>
      </c>
      <c r="B1274" s="1">
        <v>45900</v>
      </c>
      <c r="C1274">
        <v>520021</v>
      </c>
      <c r="D1274">
        <v>124.14</v>
      </c>
      <c r="E1274" t="s">
        <v>6</v>
      </c>
      <c r="F1274" t="s">
        <v>60</v>
      </c>
      <c r="G1274" t="s">
        <v>5</v>
      </c>
    </row>
    <row r="1275" spans="1:7" x14ac:dyDescent="0.3">
      <c r="A1275" t="s">
        <v>26</v>
      </c>
      <c r="B1275" s="1">
        <v>45900</v>
      </c>
      <c r="C1275">
        <v>541004</v>
      </c>
      <c r="D1275">
        <v>26.667999999999999</v>
      </c>
      <c r="E1275" t="s">
        <v>6</v>
      </c>
      <c r="F1275" t="s">
        <v>61</v>
      </c>
      <c r="G1275" t="s">
        <v>5</v>
      </c>
    </row>
    <row r="1276" spans="1:7" x14ac:dyDescent="0.3">
      <c r="A1276" t="s">
        <v>26</v>
      </c>
      <c r="B1276" s="1">
        <v>45900</v>
      </c>
      <c r="C1276">
        <v>541010</v>
      </c>
      <c r="D1276">
        <v>206.136</v>
      </c>
      <c r="E1276" t="s">
        <v>6</v>
      </c>
      <c r="F1276" t="s">
        <v>61</v>
      </c>
      <c r="G1276" t="s">
        <v>5</v>
      </c>
    </row>
    <row r="1277" spans="1:7" x14ac:dyDescent="0.3">
      <c r="A1277" t="s">
        <v>26</v>
      </c>
      <c r="B1277" s="1">
        <v>45900</v>
      </c>
      <c r="C1277">
        <v>544006</v>
      </c>
      <c r="D1277">
        <v>134.279</v>
      </c>
      <c r="E1277" t="s">
        <v>6</v>
      </c>
      <c r="F1277" t="s">
        <v>61</v>
      </c>
      <c r="G1277" t="s">
        <v>5</v>
      </c>
    </row>
    <row r="1278" spans="1:7" x14ac:dyDescent="0.3">
      <c r="A1278" t="s">
        <v>26</v>
      </c>
      <c r="B1278" s="1">
        <v>45900</v>
      </c>
      <c r="C1278">
        <v>546002</v>
      </c>
      <c r="D1278">
        <v>54942.336000000003</v>
      </c>
      <c r="E1278" t="s">
        <v>6</v>
      </c>
      <c r="F1278" t="s">
        <v>51</v>
      </c>
      <c r="G1278" t="s">
        <v>5</v>
      </c>
    </row>
    <row r="1279" spans="1:7" x14ac:dyDescent="0.3">
      <c r="A1279" t="s">
        <v>26</v>
      </c>
      <c r="B1279" s="1">
        <v>45900</v>
      </c>
      <c r="C1279">
        <v>546008</v>
      </c>
      <c r="D1279">
        <v>11.331</v>
      </c>
      <c r="E1279" t="s">
        <v>6</v>
      </c>
      <c r="F1279" t="s">
        <v>51</v>
      </c>
      <c r="G1279" t="s">
        <v>5</v>
      </c>
    </row>
    <row r="1280" spans="1:7" x14ac:dyDescent="0.3">
      <c r="A1280" t="s">
        <v>26</v>
      </c>
      <c r="B1280" s="1">
        <v>45900</v>
      </c>
      <c r="C1280">
        <v>546013</v>
      </c>
      <c r="D1280">
        <v>3160.2109999999998</v>
      </c>
      <c r="E1280" t="s">
        <v>6</v>
      </c>
      <c r="F1280" t="s">
        <v>51</v>
      </c>
      <c r="G1280" t="s">
        <v>5</v>
      </c>
    </row>
    <row r="1281" spans="1:7" x14ac:dyDescent="0.3">
      <c r="A1281" t="s">
        <v>26</v>
      </c>
      <c r="B1281" s="1">
        <v>45900</v>
      </c>
      <c r="C1281">
        <v>546015</v>
      </c>
      <c r="D1281">
        <v>-74.551000000000002</v>
      </c>
      <c r="E1281" t="s">
        <v>6</v>
      </c>
      <c r="F1281" t="s">
        <v>51</v>
      </c>
      <c r="G1281" t="s">
        <v>5</v>
      </c>
    </row>
    <row r="1282" spans="1:7" x14ac:dyDescent="0.3">
      <c r="A1282" t="s">
        <v>26</v>
      </c>
      <c r="B1282" s="1">
        <v>45900</v>
      </c>
      <c r="C1282">
        <v>550002</v>
      </c>
      <c r="D1282">
        <v>27789.126</v>
      </c>
      <c r="E1282" t="s">
        <v>6</v>
      </c>
      <c r="F1282" t="s">
        <v>62</v>
      </c>
      <c r="G1282" t="s">
        <v>5</v>
      </c>
    </row>
    <row r="1283" spans="1:7" x14ac:dyDescent="0.3">
      <c r="A1283" t="s">
        <v>26</v>
      </c>
      <c r="B1283" s="1">
        <v>45900</v>
      </c>
      <c r="C1283">
        <v>550003</v>
      </c>
      <c r="D1283">
        <v>6985.4390000000003</v>
      </c>
      <c r="E1283" t="s">
        <v>6</v>
      </c>
      <c r="F1283" t="s">
        <v>62</v>
      </c>
      <c r="G1283" t="s">
        <v>5</v>
      </c>
    </row>
    <row r="1284" spans="1:7" x14ac:dyDescent="0.3">
      <c r="A1284" t="s">
        <v>26</v>
      </c>
      <c r="B1284" s="1">
        <v>45900</v>
      </c>
      <c r="C1284">
        <v>551003</v>
      </c>
      <c r="D1284">
        <v>578.98299999999995</v>
      </c>
      <c r="E1284" t="s">
        <v>6</v>
      </c>
      <c r="F1284" t="s">
        <v>63</v>
      </c>
      <c r="G1284" t="s">
        <v>5</v>
      </c>
    </row>
    <row r="1285" spans="1:7" x14ac:dyDescent="0.3">
      <c r="A1285" t="s">
        <v>26</v>
      </c>
      <c r="B1285" s="1">
        <v>45900</v>
      </c>
      <c r="C1285">
        <v>552502</v>
      </c>
      <c r="D1285">
        <v>2743.5909999999999</v>
      </c>
      <c r="E1285" t="s">
        <v>6</v>
      </c>
      <c r="F1285" t="s">
        <v>55</v>
      </c>
      <c r="G1285" t="s">
        <v>5</v>
      </c>
    </row>
    <row r="1286" spans="1:7" x14ac:dyDescent="0.3">
      <c r="A1286" t="s">
        <v>26</v>
      </c>
      <c r="B1286" s="1">
        <v>45900</v>
      </c>
      <c r="C1286">
        <v>555508</v>
      </c>
      <c r="D1286">
        <v>87.253</v>
      </c>
      <c r="E1286" t="s">
        <v>6</v>
      </c>
      <c r="F1286" t="s">
        <v>55</v>
      </c>
      <c r="G1286" t="s">
        <v>5</v>
      </c>
    </row>
    <row r="1287" spans="1:7" x14ac:dyDescent="0.3">
      <c r="A1287" t="s">
        <v>26</v>
      </c>
      <c r="B1287" s="1">
        <v>45900</v>
      </c>
      <c r="C1287">
        <v>556002</v>
      </c>
      <c r="D1287">
        <v>110.248</v>
      </c>
      <c r="E1287" t="s">
        <v>6</v>
      </c>
      <c r="F1287" t="s">
        <v>60</v>
      </c>
      <c r="G1287" t="s">
        <v>5</v>
      </c>
    </row>
    <row r="1288" spans="1:7" x14ac:dyDescent="0.3">
      <c r="A1288" t="s">
        <v>26</v>
      </c>
      <c r="B1288" s="1">
        <v>45900</v>
      </c>
      <c r="C1288">
        <v>557002</v>
      </c>
      <c r="D1288">
        <v>1423.5309999999999</v>
      </c>
      <c r="E1288" t="s">
        <v>6</v>
      </c>
      <c r="F1288" t="s">
        <v>56</v>
      </c>
      <c r="G1288" t="s">
        <v>5</v>
      </c>
    </row>
    <row r="1289" spans="1:7" x14ac:dyDescent="0.3">
      <c r="A1289" t="s">
        <v>26</v>
      </c>
      <c r="B1289" s="1">
        <v>45900</v>
      </c>
      <c r="C1289">
        <v>558006</v>
      </c>
      <c r="D1289">
        <v>-593.54499999999996</v>
      </c>
      <c r="E1289" t="s">
        <v>6</v>
      </c>
      <c r="F1289" t="s">
        <v>57</v>
      </c>
      <c r="G1289" t="s">
        <v>5</v>
      </c>
    </row>
    <row r="1290" spans="1:7" x14ac:dyDescent="0.3">
      <c r="A1290" t="s">
        <v>26</v>
      </c>
      <c r="B1290" s="1">
        <v>45900</v>
      </c>
      <c r="C1290">
        <v>558012</v>
      </c>
      <c r="D1290">
        <v>5.008</v>
      </c>
      <c r="E1290" t="s">
        <v>6</v>
      </c>
      <c r="F1290" t="s">
        <v>60</v>
      </c>
      <c r="G1290" t="s">
        <v>5</v>
      </c>
    </row>
    <row r="1291" spans="1:7" x14ac:dyDescent="0.3">
      <c r="A1291" t="s">
        <v>26</v>
      </c>
      <c r="B1291" s="1">
        <v>45900</v>
      </c>
      <c r="C1291">
        <v>559002</v>
      </c>
      <c r="D1291">
        <v>21.434000000000001</v>
      </c>
      <c r="E1291" t="s">
        <v>6</v>
      </c>
      <c r="F1291" t="s">
        <v>60</v>
      </c>
      <c r="G1291" t="s">
        <v>5</v>
      </c>
    </row>
    <row r="1292" spans="1:7" x14ac:dyDescent="0.3">
      <c r="A1292" t="s">
        <v>26</v>
      </c>
      <c r="B1292" s="1">
        <v>45900</v>
      </c>
      <c r="C1292">
        <v>560008</v>
      </c>
      <c r="D1292">
        <v>502.19499999999999</v>
      </c>
      <c r="E1292" t="s">
        <v>6</v>
      </c>
      <c r="F1292" t="s">
        <v>56</v>
      </c>
      <c r="G1292" t="s">
        <v>5</v>
      </c>
    </row>
    <row r="1293" spans="1:7" x14ac:dyDescent="0.3">
      <c r="A1293" t="s">
        <v>26</v>
      </c>
      <c r="B1293" s="1">
        <v>45900</v>
      </c>
      <c r="C1293">
        <v>563002</v>
      </c>
      <c r="D1293">
        <v>1112.0060000000001</v>
      </c>
      <c r="E1293" t="s">
        <v>6</v>
      </c>
      <c r="F1293" t="s">
        <v>57</v>
      </c>
      <c r="G1293" t="s">
        <v>5</v>
      </c>
    </row>
    <row r="1294" spans="1:7" x14ac:dyDescent="0.3">
      <c r="A1294" t="s">
        <v>26</v>
      </c>
      <c r="B1294" s="1">
        <v>45900</v>
      </c>
      <c r="C1294">
        <v>564006</v>
      </c>
      <c r="D1294">
        <v>-6.0000000000000001E-3</v>
      </c>
      <c r="E1294" t="s">
        <v>6</v>
      </c>
      <c r="F1294" t="s">
        <v>57</v>
      </c>
      <c r="G1294" t="s">
        <v>5</v>
      </c>
    </row>
    <row r="1295" spans="1:7" x14ac:dyDescent="0.3">
      <c r="A1295" t="s">
        <v>26</v>
      </c>
      <c r="B1295" s="1">
        <v>45900</v>
      </c>
      <c r="C1295">
        <v>564019</v>
      </c>
      <c r="D1295">
        <v>10598.304</v>
      </c>
      <c r="E1295" t="s">
        <v>6</v>
      </c>
      <c r="F1295" t="s">
        <v>51</v>
      </c>
      <c r="G1295" t="s">
        <v>5</v>
      </c>
    </row>
    <row r="1296" spans="1:7" x14ac:dyDescent="0.3">
      <c r="A1296" t="s">
        <v>26</v>
      </c>
      <c r="B1296" s="1">
        <v>45900</v>
      </c>
      <c r="C1296">
        <v>564020</v>
      </c>
      <c r="D1296">
        <v>140.07300000000001</v>
      </c>
      <c r="E1296" t="s">
        <v>6</v>
      </c>
      <c r="F1296" t="s">
        <v>57</v>
      </c>
      <c r="G1296" t="s">
        <v>5</v>
      </c>
    </row>
    <row r="1297" spans="1:7" x14ac:dyDescent="0.3">
      <c r="A1297" t="s">
        <v>26</v>
      </c>
      <c r="B1297" s="1">
        <v>45900</v>
      </c>
      <c r="C1297">
        <v>564021</v>
      </c>
      <c r="D1297">
        <v>0.877</v>
      </c>
      <c r="E1297" t="s">
        <v>6</v>
      </c>
      <c r="F1297" t="s">
        <v>57</v>
      </c>
      <c r="G1297" t="s">
        <v>5</v>
      </c>
    </row>
    <row r="1298" spans="1:7" x14ac:dyDescent="0.3">
      <c r="A1298" t="s">
        <v>26</v>
      </c>
      <c r="B1298" s="1">
        <v>45900</v>
      </c>
      <c r="C1298">
        <v>570002</v>
      </c>
      <c r="D1298">
        <v>105.621</v>
      </c>
      <c r="E1298" t="s">
        <v>6</v>
      </c>
      <c r="F1298" t="s">
        <v>66</v>
      </c>
      <c r="G1298" t="s">
        <v>5</v>
      </c>
    </row>
    <row r="1299" spans="1:7" x14ac:dyDescent="0.3">
      <c r="A1299" t="s">
        <v>27</v>
      </c>
      <c r="B1299" s="1">
        <v>45900</v>
      </c>
      <c r="C1299">
        <v>220006</v>
      </c>
      <c r="D1299">
        <v>4214.8010000000004</v>
      </c>
      <c r="E1299" t="s">
        <v>4</v>
      </c>
      <c r="F1299" t="s">
        <v>42</v>
      </c>
      <c r="G1299" t="s">
        <v>8</v>
      </c>
    </row>
    <row r="1300" spans="1:7" x14ac:dyDescent="0.3">
      <c r="A1300" t="s">
        <v>27</v>
      </c>
      <c r="B1300" s="1">
        <v>45900</v>
      </c>
      <c r="C1300">
        <v>240002</v>
      </c>
      <c r="D1300">
        <v>-89.1</v>
      </c>
      <c r="E1300" t="s">
        <v>4</v>
      </c>
      <c r="F1300" t="s">
        <v>43</v>
      </c>
      <c r="G1300" t="s">
        <v>8</v>
      </c>
    </row>
    <row r="1301" spans="1:7" x14ac:dyDescent="0.3">
      <c r="A1301" t="s">
        <v>27</v>
      </c>
      <c r="B1301" s="1">
        <v>45900</v>
      </c>
      <c r="C1301">
        <v>243002</v>
      </c>
      <c r="D1301">
        <v>-506.71600000000001</v>
      </c>
      <c r="E1301" t="s">
        <v>4</v>
      </c>
      <c r="F1301" t="s">
        <v>43</v>
      </c>
      <c r="G1301" t="s">
        <v>8</v>
      </c>
    </row>
    <row r="1302" spans="1:7" x14ac:dyDescent="0.3">
      <c r="A1302" t="s">
        <v>27</v>
      </c>
      <c r="B1302" s="1">
        <v>45900</v>
      </c>
      <c r="C1302">
        <v>330141</v>
      </c>
      <c r="D1302">
        <v>-4221.8530000000001</v>
      </c>
      <c r="E1302" t="s">
        <v>4</v>
      </c>
      <c r="F1302" t="s">
        <v>43</v>
      </c>
      <c r="G1302" t="s">
        <v>8</v>
      </c>
    </row>
    <row r="1303" spans="1:7" x14ac:dyDescent="0.3">
      <c r="A1303" t="s">
        <v>27</v>
      </c>
      <c r="B1303" s="1">
        <v>45900</v>
      </c>
      <c r="C1303">
        <v>355002</v>
      </c>
      <c r="D1303">
        <v>111.354</v>
      </c>
      <c r="E1303" t="s">
        <v>4</v>
      </c>
      <c r="F1303" t="s">
        <v>49</v>
      </c>
      <c r="G1303" t="s">
        <v>8</v>
      </c>
    </row>
    <row r="1304" spans="1:7" x14ac:dyDescent="0.3">
      <c r="A1304" t="s">
        <v>27</v>
      </c>
      <c r="B1304" s="1">
        <v>45900</v>
      </c>
      <c r="C1304">
        <v>552502</v>
      </c>
      <c r="D1304">
        <v>14.237</v>
      </c>
      <c r="E1304" t="s">
        <v>6</v>
      </c>
      <c r="F1304" t="s">
        <v>55</v>
      </c>
      <c r="G1304" t="s">
        <v>8</v>
      </c>
    </row>
    <row r="1305" spans="1:7" x14ac:dyDescent="0.3">
      <c r="A1305" t="s">
        <v>27</v>
      </c>
      <c r="B1305" s="1">
        <v>45900</v>
      </c>
      <c r="C1305">
        <v>556004</v>
      </c>
      <c r="D1305">
        <v>0.26100000000000001</v>
      </c>
      <c r="E1305" t="s">
        <v>6</v>
      </c>
      <c r="F1305" t="s">
        <v>55</v>
      </c>
      <c r="G1305" t="s">
        <v>8</v>
      </c>
    </row>
    <row r="1306" spans="1:7" x14ac:dyDescent="0.3">
      <c r="A1306" t="s">
        <v>27</v>
      </c>
      <c r="B1306" s="1">
        <v>45900</v>
      </c>
      <c r="C1306">
        <v>557002</v>
      </c>
      <c r="D1306">
        <v>304.79000000000002</v>
      </c>
      <c r="E1306" t="s">
        <v>6</v>
      </c>
      <c r="F1306" t="s">
        <v>56</v>
      </c>
      <c r="G1306" t="s">
        <v>8</v>
      </c>
    </row>
    <row r="1307" spans="1:7" x14ac:dyDescent="0.3">
      <c r="A1307" t="s">
        <v>27</v>
      </c>
      <c r="B1307" s="1">
        <v>45900</v>
      </c>
      <c r="C1307">
        <v>557003</v>
      </c>
      <c r="D1307">
        <v>182.89500000000001</v>
      </c>
      <c r="E1307" t="s">
        <v>6</v>
      </c>
      <c r="F1307" t="s">
        <v>56</v>
      </c>
      <c r="G1307" t="s">
        <v>8</v>
      </c>
    </row>
    <row r="1308" spans="1:7" x14ac:dyDescent="0.3">
      <c r="A1308" t="s">
        <v>28</v>
      </c>
      <c r="B1308" s="1">
        <v>45900</v>
      </c>
      <c r="C1308">
        <v>220006</v>
      </c>
      <c r="D1308">
        <v>34483.305999999997</v>
      </c>
      <c r="E1308" t="s">
        <v>4</v>
      </c>
      <c r="F1308" t="s">
        <v>42</v>
      </c>
      <c r="G1308" t="s">
        <v>8</v>
      </c>
    </row>
    <row r="1309" spans="1:7" x14ac:dyDescent="0.3">
      <c r="A1309" t="s">
        <v>28</v>
      </c>
      <c r="B1309" s="1">
        <v>45900</v>
      </c>
      <c r="C1309">
        <v>240002</v>
      </c>
      <c r="D1309">
        <v>-66.981999999999999</v>
      </c>
      <c r="E1309" t="s">
        <v>4</v>
      </c>
      <c r="F1309" t="s">
        <v>43</v>
      </c>
      <c r="G1309" t="s">
        <v>8</v>
      </c>
    </row>
    <row r="1310" spans="1:7" x14ac:dyDescent="0.3">
      <c r="A1310" t="s">
        <v>28</v>
      </c>
      <c r="B1310" s="1">
        <v>45900</v>
      </c>
      <c r="C1310">
        <v>240003</v>
      </c>
      <c r="D1310">
        <v>-23.492999999999999</v>
      </c>
      <c r="E1310" t="s">
        <v>4</v>
      </c>
      <c r="F1310" t="s">
        <v>43</v>
      </c>
      <c r="G1310" t="s">
        <v>8</v>
      </c>
    </row>
    <row r="1311" spans="1:7" x14ac:dyDescent="0.3">
      <c r="A1311" t="s">
        <v>28</v>
      </c>
      <c r="B1311" s="1">
        <v>45900</v>
      </c>
      <c r="C1311">
        <v>240009</v>
      </c>
      <c r="D1311">
        <v>-13.949</v>
      </c>
      <c r="E1311" t="s">
        <v>4</v>
      </c>
      <c r="F1311" t="s">
        <v>43</v>
      </c>
      <c r="G1311" t="s">
        <v>8</v>
      </c>
    </row>
    <row r="1312" spans="1:7" x14ac:dyDescent="0.3">
      <c r="A1312" t="s">
        <v>28</v>
      </c>
      <c r="B1312" s="1">
        <v>45900</v>
      </c>
      <c r="C1312">
        <v>242003</v>
      </c>
      <c r="D1312">
        <v>-711.99300000000005</v>
      </c>
      <c r="E1312" t="s">
        <v>4</v>
      </c>
      <c r="F1312" t="s">
        <v>43</v>
      </c>
      <c r="G1312" t="s">
        <v>8</v>
      </c>
    </row>
    <row r="1313" spans="1:7" x14ac:dyDescent="0.3">
      <c r="A1313" t="s">
        <v>28</v>
      </c>
      <c r="B1313" s="1">
        <v>45900</v>
      </c>
      <c r="C1313">
        <v>245058</v>
      </c>
      <c r="D1313">
        <v>389.02699999999999</v>
      </c>
      <c r="E1313" t="s">
        <v>4</v>
      </c>
      <c r="F1313" t="s">
        <v>43</v>
      </c>
      <c r="G1313" t="s">
        <v>8</v>
      </c>
    </row>
    <row r="1314" spans="1:7" x14ac:dyDescent="0.3">
      <c r="A1314" t="s">
        <v>28</v>
      </c>
      <c r="B1314" s="1">
        <v>45900</v>
      </c>
      <c r="C1314">
        <v>257005</v>
      </c>
      <c r="D1314">
        <v>-96.275999999999996</v>
      </c>
      <c r="E1314" t="s">
        <v>4</v>
      </c>
      <c r="F1314" t="s">
        <v>45</v>
      </c>
      <c r="G1314" t="s">
        <v>8</v>
      </c>
    </row>
    <row r="1315" spans="1:7" x14ac:dyDescent="0.3">
      <c r="A1315" t="s">
        <v>28</v>
      </c>
      <c r="B1315" s="1">
        <v>45900</v>
      </c>
      <c r="C1315">
        <v>257008</v>
      </c>
      <c r="D1315">
        <v>172.71600000000001</v>
      </c>
      <c r="E1315" t="s">
        <v>4</v>
      </c>
      <c r="F1315" t="s">
        <v>45</v>
      </c>
      <c r="G1315" t="s">
        <v>8</v>
      </c>
    </row>
    <row r="1316" spans="1:7" x14ac:dyDescent="0.3">
      <c r="A1316" t="s">
        <v>28</v>
      </c>
      <c r="B1316" s="1">
        <v>45900</v>
      </c>
      <c r="C1316">
        <v>260004</v>
      </c>
      <c r="D1316">
        <v>4.0000000000000001E-3</v>
      </c>
      <c r="E1316" t="s">
        <v>4</v>
      </c>
      <c r="F1316" t="s">
        <v>45</v>
      </c>
      <c r="G1316" t="s">
        <v>8</v>
      </c>
    </row>
    <row r="1317" spans="1:7" x14ac:dyDescent="0.3">
      <c r="A1317" t="s">
        <v>28</v>
      </c>
      <c r="B1317" s="1">
        <v>45900</v>
      </c>
      <c r="C1317">
        <v>321030</v>
      </c>
      <c r="D1317">
        <v>537.82799999999997</v>
      </c>
      <c r="E1317" t="s">
        <v>4</v>
      </c>
      <c r="F1317" t="s">
        <v>46</v>
      </c>
      <c r="G1317" t="s">
        <v>8</v>
      </c>
    </row>
    <row r="1318" spans="1:7" x14ac:dyDescent="0.3">
      <c r="A1318" t="s">
        <v>28</v>
      </c>
      <c r="B1318" s="1">
        <v>45900</v>
      </c>
      <c r="C1318">
        <v>330124</v>
      </c>
      <c r="D1318">
        <v>-1974.7280000000001</v>
      </c>
      <c r="E1318" t="s">
        <v>4</v>
      </c>
      <c r="F1318" t="s">
        <v>43</v>
      </c>
      <c r="G1318" t="s">
        <v>8</v>
      </c>
    </row>
    <row r="1319" spans="1:7" x14ac:dyDescent="0.3">
      <c r="A1319" t="s">
        <v>28</v>
      </c>
      <c r="B1319" s="1">
        <v>45900</v>
      </c>
      <c r="C1319">
        <v>330130</v>
      </c>
      <c r="D1319">
        <v>-36985.334000000003</v>
      </c>
      <c r="E1319" t="s">
        <v>4</v>
      </c>
      <c r="F1319" t="s">
        <v>43</v>
      </c>
      <c r="G1319" t="s">
        <v>8</v>
      </c>
    </row>
    <row r="1320" spans="1:7" x14ac:dyDescent="0.3">
      <c r="A1320" t="s">
        <v>28</v>
      </c>
      <c r="B1320" s="1">
        <v>45900</v>
      </c>
      <c r="C1320">
        <v>340234</v>
      </c>
      <c r="D1320">
        <v>4.7220000000000004</v>
      </c>
      <c r="E1320" t="s">
        <v>4</v>
      </c>
      <c r="F1320" t="s">
        <v>47</v>
      </c>
      <c r="G1320" t="s">
        <v>8</v>
      </c>
    </row>
    <row r="1321" spans="1:7" x14ac:dyDescent="0.3">
      <c r="A1321" t="s">
        <v>28</v>
      </c>
      <c r="B1321" s="1">
        <v>45900</v>
      </c>
      <c r="C1321">
        <v>340267</v>
      </c>
      <c r="D1321">
        <v>3712.375</v>
      </c>
      <c r="E1321" t="s">
        <v>4</v>
      </c>
      <c r="F1321" t="s">
        <v>47</v>
      </c>
      <c r="G1321" t="s">
        <v>8</v>
      </c>
    </row>
    <row r="1322" spans="1:7" x14ac:dyDescent="0.3">
      <c r="A1322" t="s">
        <v>28</v>
      </c>
      <c r="B1322" s="1">
        <v>45900</v>
      </c>
      <c r="C1322">
        <v>350031</v>
      </c>
      <c r="D1322">
        <v>13.949</v>
      </c>
      <c r="E1322" t="s">
        <v>4</v>
      </c>
      <c r="F1322" t="s">
        <v>43</v>
      </c>
      <c r="G1322" t="s">
        <v>8</v>
      </c>
    </row>
    <row r="1323" spans="1:7" x14ac:dyDescent="0.3">
      <c r="A1323" t="s">
        <v>28</v>
      </c>
      <c r="B1323" s="1">
        <v>45900</v>
      </c>
      <c r="C1323">
        <v>360019</v>
      </c>
      <c r="D1323">
        <v>25.472999999999999</v>
      </c>
      <c r="E1323" t="s">
        <v>4</v>
      </c>
      <c r="F1323" t="s">
        <v>58</v>
      </c>
      <c r="G1323" t="s">
        <v>8</v>
      </c>
    </row>
    <row r="1324" spans="1:7" x14ac:dyDescent="0.3">
      <c r="A1324" t="s">
        <v>28</v>
      </c>
      <c r="B1324" s="1">
        <v>45900</v>
      </c>
      <c r="C1324">
        <v>360022</v>
      </c>
      <c r="D1324">
        <v>61.808999999999997</v>
      </c>
      <c r="E1324" t="s">
        <v>4</v>
      </c>
      <c r="F1324" t="s">
        <v>58</v>
      </c>
      <c r="G1324" t="s">
        <v>8</v>
      </c>
    </row>
    <row r="1325" spans="1:7" x14ac:dyDescent="0.3">
      <c r="A1325" t="s">
        <v>28</v>
      </c>
      <c r="B1325" s="1">
        <v>45900</v>
      </c>
      <c r="C1325">
        <v>372002</v>
      </c>
      <c r="D1325">
        <v>32.372999999999998</v>
      </c>
      <c r="E1325" t="s">
        <v>4</v>
      </c>
      <c r="F1325" t="s">
        <v>45</v>
      </c>
      <c r="G1325" t="s">
        <v>8</v>
      </c>
    </row>
    <row r="1326" spans="1:7" x14ac:dyDescent="0.3">
      <c r="A1326" t="s">
        <v>28</v>
      </c>
      <c r="B1326" s="1">
        <v>45900</v>
      </c>
      <c r="C1326">
        <v>372004</v>
      </c>
      <c r="D1326">
        <v>42.585999999999999</v>
      </c>
      <c r="E1326" t="s">
        <v>4</v>
      </c>
      <c r="F1326" t="s">
        <v>45</v>
      </c>
      <c r="G1326" t="s">
        <v>8</v>
      </c>
    </row>
    <row r="1327" spans="1:7" x14ac:dyDescent="0.3">
      <c r="A1327" t="s">
        <v>28</v>
      </c>
      <c r="B1327" s="1">
        <v>45900</v>
      </c>
      <c r="C1327">
        <v>421002</v>
      </c>
      <c r="D1327">
        <v>-26.059000000000001</v>
      </c>
      <c r="E1327" t="s">
        <v>6</v>
      </c>
      <c r="F1327" t="s">
        <v>52</v>
      </c>
      <c r="G1327" t="s">
        <v>8</v>
      </c>
    </row>
    <row r="1328" spans="1:7" x14ac:dyDescent="0.3">
      <c r="A1328" t="s">
        <v>28</v>
      </c>
      <c r="B1328" s="1">
        <v>45900</v>
      </c>
      <c r="C1328">
        <v>421003</v>
      </c>
      <c r="D1328">
        <v>29.161999999999999</v>
      </c>
      <c r="E1328" t="s">
        <v>6</v>
      </c>
      <c r="F1328" t="s">
        <v>52</v>
      </c>
      <c r="G1328" t="s">
        <v>8</v>
      </c>
    </row>
    <row r="1329" spans="1:7" x14ac:dyDescent="0.3">
      <c r="A1329" t="s">
        <v>28</v>
      </c>
      <c r="B1329" s="1">
        <v>45900</v>
      </c>
      <c r="C1329">
        <v>555508</v>
      </c>
      <c r="D1329">
        <v>7.5090000000000003</v>
      </c>
      <c r="E1329" t="s">
        <v>6</v>
      </c>
      <c r="F1329" t="s">
        <v>55</v>
      </c>
      <c r="G1329" t="s">
        <v>8</v>
      </c>
    </row>
    <row r="1330" spans="1:7" x14ac:dyDescent="0.3">
      <c r="A1330" t="s">
        <v>28</v>
      </c>
      <c r="B1330" s="1">
        <v>45900</v>
      </c>
      <c r="C1330">
        <v>557002</v>
      </c>
      <c r="D1330">
        <v>26.402000000000001</v>
      </c>
      <c r="E1330" t="s">
        <v>6</v>
      </c>
      <c r="F1330" t="s">
        <v>56</v>
      </c>
      <c r="G1330" t="s">
        <v>8</v>
      </c>
    </row>
    <row r="1331" spans="1:7" x14ac:dyDescent="0.3">
      <c r="A1331" t="s">
        <v>28</v>
      </c>
      <c r="B1331" s="1">
        <v>45900</v>
      </c>
      <c r="C1331">
        <v>564006</v>
      </c>
      <c r="D1331">
        <v>0</v>
      </c>
      <c r="E1331" t="s">
        <v>6</v>
      </c>
      <c r="F1331" t="s">
        <v>57</v>
      </c>
      <c r="G1331" t="s">
        <v>8</v>
      </c>
    </row>
    <row r="1332" spans="1:7" x14ac:dyDescent="0.3">
      <c r="A1332" t="s">
        <v>28</v>
      </c>
      <c r="B1332" s="1">
        <v>45900</v>
      </c>
      <c r="C1332">
        <v>564019</v>
      </c>
      <c r="D1332">
        <v>270.18900000000002</v>
      </c>
      <c r="E1332" t="s">
        <v>6</v>
      </c>
      <c r="F1332" t="s">
        <v>51</v>
      </c>
      <c r="G1332" t="s">
        <v>8</v>
      </c>
    </row>
    <row r="1333" spans="1:7" x14ac:dyDescent="0.3">
      <c r="A1333" t="s">
        <v>28</v>
      </c>
      <c r="B1333" s="1">
        <v>45900</v>
      </c>
      <c r="C1333">
        <v>564020</v>
      </c>
      <c r="D1333">
        <v>104.449</v>
      </c>
      <c r="E1333" t="s">
        <v>6</v>
      </c>
      <c r="F1333" t="s">
        <v>57</v>
      </c>
      <c r="G1333" t="s">
        <v>8</v>
      </c>
    </row>
    <row r="1334" spans="1:7" x14ac:dyDescent="0.3">
      <c r="A1334" t="s">
        <v>29</v>
      </c>
      <c r="B1334" s="1">
        <v>45900</v>
      </c>
      <c r="C1334">
        <v>220006</v>
      </c>
      <c r="D1334">
        <v>-607522.87</v>
      </c>
      <c r="E1334" t="s">
        <v>4</v>
      </c>
      <c r="F1334" t="s">
        <v>42</v>
      </c>
      <c r="G1334" t="s">
        <v>8</v>
      </c>
    </row>
    <row r="1335" spans="1:7" x14ac:dyDescent="0.3">
      <c r="A1335" t="s">
        <v>29</v>
      </c>
      <c r="B1335" s="1">
        <v>45900</v>
      </c>
      <c r="C1335">
        <v>242003</v>
      </c>
      <c r="D1335">
        <v>-90332.629000000001</v>
      </c>
      <c r="E1335" t="s">
        <v>4</v>
      </c>
      <c r="F1335" t="s">
        <v>43</v>
      </c>
      <c r="G1335" t="s">
        <v>8</v>
      </c>
    </row>
    <row r="1336" spans="1:7" x14ac:dyDescent="0.3">
      <c r="A1336" t="s">
        <v>29</v>
      </c>
      <c r="B1336" s="1">
        <v>45900</v>
      </c>
      <c r="C1336">
        <v>242007</v>
      </c>
      <c r="D1336">
        <v>31.96</v>
      </c>
      <c r="E1336" t="s">
        <v>4</v>
      </c>
      <c r="F1336" t="s">
        <v>43</v>
      </c>
      <c r="G1336" t="s">
        <v>8</v>
      </c>
    </row>
    <row r="1337" spans="1:7" x14ac:dyDescent="0.3">
      <c r="A1337" t="s">
        <v>29</v>
      </c>
      <c r="B1337" s="1">
        <v>45900</v>
      </c>
      <c r="C1337">
        <v>242013</v>
      </c>
      <c r="D1337">
        <v>2205.9349999999999</v>
      </c>
      <c r="E1337" t="s">
        <v>4</v>
      </c>
      <c r="F1337" t="s">
        <v>43</v>
      </c>
      <c r="G1337" t="s">
        <v>8</v>
      </c>
    </row>
    <row r="1338" spans="1:7" x14ac:dyDescent="0.3">
      <c r="A1338" t="s">
        <v>29</v>
      </c>
      <c r="B1338" s="1">
        <v>45900</v>
      </c>
      <c r="C1338">
        <v>242023</v>
      </c>
      <c r="D1338">
        <v>-1452.127</v>
      </c>
      <c r="E1338" t="s">
        <v>4</v>
      </c>
      <c r="F1338" t="s">
        <v>43</v>
      </c>
      <c r="G1338" t="s">
        <v>8</v>
      </c>
    </row>
    <row r="1339" spans="1:7" x14ac:dyDescent="0.3">
      <c r="A1339" t="s">
        <v>29</v>
      </c>
      <c r="B1339" s="1">
        <v>45900</v>
      </c>
      <c r="C1339">
        <v>242027</v>
      </c>
      <c r="D1339">
        <v>-335.59399999999999</v>
      </c>
      <c r="E1339" t="s">
        <v>4</v>
      </c>
      <c r="F1339" t="s">
        <v>43</v>
      </c>
      <c r="G1339" t="s">
        <v>8</v>
      </c>
    </row>
    <row r="1340" spans="1:7" x14ac:dyDescent="0.3">
      <c r="A1340" t="s">
        <v>29</v>
      </c>
      <c r="B1340" s="1">
        <v>45900</v>
      </c>
      <c r="C1340">
        <v>242030</v>
      </c>
      <c r="D1340">
        <v>-176.911</v>
      </c>
      <c r="E1340" t="s">
        <v>4</v>
      </c>
      <c r="F1340" t="s">
        <v>43</v>
      </c>
      <c r="G1340" t="s">
        <v>8</v>
      </c>
    </row>
    <row r="1341" spans="1:7" x14ac:dyDescent="0.3">
      <c r="A1341" t="s">
        <v>29</v>
      </c>
      <c r="B1341" s="1">
        <v>45900</v>
      </c>
      <c r="C1341">
        <v>242039</v>
      </c>
      <c r="D1341">
        <v>-6989.8720000000003</v>
      </c>
      <c r="E1341" t="s">
        <v>4</v>
      </c>
      <c r="F1341" t="s">
        <v>43</v>
      </c>
      <c r="G1341" t="s">
        <v>8</v>
      </c>
    </row>
    <row r="1342" spans="1:7" x14ac:dyDescent="0.3">
      <c r="A1342" t="s">
        <v>29</v>
      </c>
      <c r="B1342" s="1">
        <v>45900</v>
      </c>
      <c r="C1342">
        <v>242041</v>
      </c>
      <c r="D1342">
        <v>149.34299999999999</v>
      </c>
      <c r="E1342" t="s">
        <v>4</v>
      </c>
      <c r="F1342" t="s">
        <v>43</v>
      </c>
      <c r="G1342" t="s">
        <v>8</v>
      </c>
    </row>
    <row r="1343" spans="1:7" x14ac:dyDescent="0.3">
      <c r="A1343" t="s">
        <v>29</v>
      </c>
      <c r="B1343" s="1">
        <v>45900</v>
      </c>
      <c r="C1343">
        <v>243002</v>
      </c>
      <c r="D1343">
        <v>-7107.7120000000004</v>
      </c>
      <c r="E1343" t="s">
        <v>4</v>
      </c>
      <c r="F1343" t="s">
        <v>43</v>
      </c>
      <c r="G1343" t="s">
        <v>8</v>
      </c>
    </row>
    <row r="1344" spans="1:7" x14ac:dyDescent="0.3">
      <c r="A1344" t="s">
        <v>29</v>
      </c>
      <c r="B1344" s="1">
        <v>45900</v>
      </c>
      <c r="C1344">
        <v>243003</v>
      </c>
      <c r="D1344">
        <v>-4373.4579999999996</v>
      </c>
      <c r="E1344" t="s">
        <v>4</v>
      </c>
      <c r="F1344" t="s">
        <v>43</v>
      </c>
      <c r="G1344" t="s">
        <v>8</v>
      </c>
    </row>
    <row r="1345" spans="1:7" x14ac:dyDescent="0.3">
      <c r="A1345" t="s">
        <v>29</v>
      </c>
      <c r="B1345" s="1">
        <v>45900</v>
      </c>
      <c r="C1345">
        <v>243010</v>
      </c>
      <c r="D1345">
        <v>-229.36699999999999</v>
      </c>
      <c r="E1345" t="s">
        <v>4</v>
      </c>
      <c r="F1345" t="s">
        <v>43</v>
      </c>
      <c r="G1345" t="s">
        <v>8</v>
      </c>
    </row>
    <row r="1346" spans="1:7" x14ac:dyDescent="0.3">
      <c r="A1346" t="s">
        <v>29</v>
      </c>
      <c r="B1346" s="1">
        <v>45900</v>
      </c>
      <c r="C1346">
        <v>245002</v>
      </c>
      <c r="D1346">
        <v>-10.117000000000001</v>
      </c>
      <c r="E1346" t="s">
        <v>4</v>
      </c>
      <c r="F1346" t="s">
        <v>43</v>
      </c>
      <c r="G1346" t="s">
        <v>8</v>
      </c>
    </row>
    <row r="1347" spans="1:7" x14ac:dyDescent="0.3">
      <c r="A1347" t="s">
        <v>29</v>
      </c>
      <c r="B1347" s="1">
        <v>45900</v>
      </c>
      <c r="C1347">
        <v>245056</v>
      </c>
      <c r="D1347">
        <v>-904.49</v>
      </c>
      <c r="E1347" t="s">
        <v>4</v>
      </c>
      <c r="F1347" t="s">
        <v>49</v>
      </c>
      <c r="G1347" t="s">
        <v>8</v>
      </c>
    </row>
    <row r="1348" spans="1:7" x14ac:dyDescent="0.3">
      <c r="A1348" t="s">
        <v>29</v>
      </c>
      <c r="B1348" s="1">
        <v>45900</v>
      </c>
      <c r="C1348">
        <v>245062</v>
      </c>
      <c r="D1348">
        <v>-5970.6440000000002</v>
      </c>
      <c r="E1348" t="s">
        <v>4</v>
      </c>
      <c r="F1348" t="s">
        <v>43</v>
      </c>
      <c r="G1348" t="s">
        <v>8</v>
      </c>
    </row>
    <row r="1349" spans="1:7" x14ac:dyDescent="0.3">
      <c r="A1349" t="s">
        <v>29</v>
      </c>
      <c r="B1349" s="1">
        <v>45900</v>
      </c>
      <c r="C1349">
        <v>250007</v>
      </c>
      <c r="D1349">
        <v>-3853.5439999999999</v>
      </c>
      <c r="E1349" t="s">
        <v>4</v>
      </c>
      <c r="F1349" t="s">
        <v>43</v>
      </c>
      <c r="G1349" t="s">
        <v>8</v>
      </c>
    </row>
    <row r="1350" spans="1:7" x14ac:dyDescent="0.3">
      <c r="A1350" t="s">
        <v>29</v>
      </c>
      <c r="B1350" s="1">
        <v>45900</v>
      </c>
      <c r="C1350">
        <v>251002</v>
      </c>
      <c r="D1350">
        <v>-30238.614000000001</v>
      </c>
      <c r="E1350" t="s">
        <v>4</v>
      </c>
      <c r="F1350" t="s">
        <v>45</v>
      </c>
      <c r="G1350" t="s">
        <v>8</v>
      </c>
    </row>
    <row r="1351" spans="1:7" x14ac:dyDescent="0.3">
      <c r="A1351" t="s">
        <v>29</v>
      </c>
      <c r="B1351" s="1">
        <v>45900</v>
      </c>
      <c r="C1351">
        <v>251005</v>
      </c>
      <c r="D1351">
        <v>12.737</v>
      </c>
      <c r="E1351" t="s">
        <v>4</v>
      </c>
      <c r="F1351" t="s">
        <v>46</v>
      </c>
      <c r="G1351" t="s">
        <v>8</v>
      </c>
    </row>
    <row r="1352" spans="1:7" x14ac:dyDescent="0.3">
      <c r="A1352" t="s">
        <v>29</v>
      </c>
      <c r="B1352" s="1">
        <v>45900</v>
      </c>
      <c r="C1352">
        <v>257005</v>
      </c>
      <c r="D1352">
        <v>-5489.0219999999999</v>
      </c>
      <c r="E1352" t="s">
        <v>4</v>
      </c>
      <c r="F1352" t="s">
        <v>45</v>
      </c>
      <c r="G1352" t="s">
        <v>8</v>
      </c>
    </row>
    <row r="1353" spans="1:7" x14ac:dyDescent="0.3">
      <c r="A1353" t="s">
        <v>29</v>
      </c>
      <c r="B1353" s="1">
        <v>45900</v>
      </c>
      <c r="C1353">
        <v>257014</v>
      </c>
      <c r="D1353">
        <v>-16251.652</v>
      </c>
      <c r="E1353" t="s">
        <v>4</v>
      </c>
      <c r="F1353" t="s">
        <v>45</v>
      </c>
      <c r="G1353" t="s">
        <v>8</v>
      </c>
    </row>
    <row r="1354" spans="1:7" x14ac:dyDescent="0.3">
      <c r="A1354" t="s">
        <v>29</v>
      </c>
      <c r="B1354" s="1">
        <v>45900</v>
      </c>
      <c r="C1354">
        <v>257030</v>
      </c>
      <c r="D1354">
        <v>-24310.965</v>
      </c>
      <c r="E1354" t="s">
        <v>4</v>
      </c>
      <c r="F1354" t="s">
        <v>45</v>
      </c>
      <c r="G1354" t="s">
        <v>8</v>
      </c>
    </row>
    <row r="1355" spans="1:7" x14ac:dyDescent="0.3">
      <c r="A1355" t="s">
        <v>29</v>
      </c>
      <c r="B1355" s="1">
        <v>45900</v>
      </c>
      <c r="C1355">
        <v>260004</v>
      </c>
      <c r="D1355">
        <v>-18815.125</v>
      </c>
      <c r="E1355" t="s">
        <v>4</v>
      </c>
      <c r="F1355" t="s">
        <v>45</v>
      </c>
      <c r="G1355" t="s">
        <v>8</v>
      </c>
    </row>
    <row r="1356" spans="1:7" x14ac:dyDescent="0.3">
      <c r="A1356" t="s">
        <v>29</v>
      </c>
      <c r="B1356" s="1">
        <v>45900</v>
      </c>
      <c r="C1356">
        <v>270024</v>
      </c>
      <c r="D1356">
        <v>-68138.535000000003</v>
      </c>
      <c r="E1356" t="s">
        <v>4</v>
      </c>
      <c r="F1356" t="s">
        <v>58</v>
      </c>
      <c r="G1356" t="s">
        <v>8</v>
      </c>
    </row>
    <row r="1357" spans="1:7" x14ac:dyDescent="0.3">
      <c r="A1357" t="s">
        <v>29</v>
      </c>
      <c r="B1357" s="1">
        <v>45900</v>
      </c>
      <c r="C1357">
        <v>270025</v>
      </c>
      <c r="D1357">
        <v>-52401.224000000002</v>
      </c>
      <c r="E1357" t="s">
        <v>4</v>
      </c>
      <c r="F1357" t="s">
        <v>58</v>
      </c>
      <c r="G1357" t="s">
        <v>8</v>
      </c>
    </row>
    <row r="1358" spans="1:7" x14ac:dyDescent="0.3">
      <c r="A1358" t="s">
        <v>29</v>
      </c>
      <c r="B1358" s="1">
        <v>45900</v>
      </c>
      <c r="C1358">
        <v>270027</v>
      </c>
      <c r="D1358">
        <v>-3339.605</v>
      </c>
      <c r="E1358" t="s">
        <v>4</v>
      </c>
      <c r="F1358" t="s">
        <v>58</v>
      </c>
      <c r="G1358" t="s">
        <v>8</v>
      </c>
    </row>
    <row r="1359" spans="1:7" x14ac:dyDescent="0.3">
      <c r="A1359" t="s">
        <v>29</v>
      </c>
      <c r="B1359" s="1">
        <v>45900</v>
      </c>
      <c r="C1359">
        <v>320002</v>
      </c>
      <c r="D1359">
        <v>217195.95800000001</v>
      </c>
      <c r="E1359" t="s">
        <v>4</v>
      </c>
      <c r="F1359" t="s">
        <v>46</v>
      </c>
      <c r="G1359" t="s">
        <v>8</v>
      </c>
    </row>
    <row r="1360" spans="1:7" x14ac:dyDescent="0.3">
      <c r="A1360" t="s">
        <v>29</v>
      </c>
      <c r="B1360" s="1">
        <v>45900</v>
      </c>
      <c r="C1360">
        <v>320003</v>
      </c>
      <c r="D1360">
        <v>-2161.0650000000001</v>
      </c>
      <c r="E1360" t="s">
        <v>4</v>
      </c>
      <c r="F1360" t="s">
        <v>46</v>
      </c>
      <c r="G1360" t="s">
        <v>8</v>
      </c>
    </row>
    <row r="1361" spans="1:7" x14ac:dyDescent="0.3">
      <c r="A1361" t="s">
        <v>29</v>
      </c>
      <c r="B1361" s="1">
        <v>45900</v>
      </c>
      <c r="C1361">
        <v>320004</v>
      </c>
      <c r="D1361">
        <v>4200.8040000000001</v>
      </c>
      <c r="E1361" t="s">
        <v>4</v>
      </c>
      <c r="F1361" t="s">
        <v>46</v>
      </c>
      <c r="G1361" t="s">
        <v>8</v>
      </c>
    </row>
    <row r="1362" spans="1:7" x14ac:dyDescent="0.3">
      <c r="A1362" t="s">
        <v>29</v>
      </c>
      <c r="B1362" s="1">
        <v>45900</v>
      </c>
      <c r="C1362">
        <v>321002</v>
      </c>
      <c r="D1362">
        <v>19898.771000000001</v>
      </c>
      <c r="E1362" t="s">
        <v>4</v>
      </c>
      <c r="F1362" t="s">
        <v>46</v>
      </c>
      <c r="G1362" t="s">
        <v>8</v>
      </c>
    </row>
    <row r="1363" spans="1:7" x14ac:dyDescent="0.3">
      <c r="A1363" t="s">
        <v>29</v>
      </c>
      <c r="B1363" s="1">
        <v>45900</v>
      </c>
      <c r="C1363">
        <v>321004</v>
      </c>
      <c r="D1363">
        <v>6126.9210000000003</v>
      </c>
      <c r="E1363" t="s">
        <v>4</v>
      </c>
      <c r="F1363" t="s">
        <v>46</v>
      </c>
      <c r="G1363" t="s">
        <v>8</v>
      </c>
    </row>
    <row r="1364" spans="1:7" x14ac:dyDescent="0.3">
      <c r="A1364" t="s">
        <v>29</v>
      </c>
      <c r="B1364" s="1">
        <v>45900</v>
      </c>
      <c r="C1364">
        <v>321012</v>
      </c>
      <c r="D1364">
        <v>21.324999999999999</v>
      </c>
      <c r="E1364" t="s">
        <v>4</v>
      </c>
      <c r="F1364" t="s">
        <v>46</v>
      </c>
      <c r="G1364" t="s">
        <v>8</v>
      </c>
    </row>
    <row r="1365" spans="1:7" x14ac:dyDescent="0.3">
      <c r="A1365" t="s">
        <v>29</v>
      </c>
      <c r="B1365" s="1">
        <v>45900</v>
      </c>
      <c r="C1365">
        <v>321025</v>
      </c>
      <c r="D1365">
        <v>9005.616</v>
      </c>
      <c r="E1365" t="s">
        <v>4</v>
      </c>
      <c r="F1365" t="s">
        <v>46</v>
      </c>
      <c r="G1365" t="s">
        <v>8</v>
      </c>
    </row>
    <row r="1366" spans="1:7" x14ac:dyDescent="0.3">
      <c r="A1366" t="s">
        <v>29</v>
      </c>
      <c r="B1366" s="1">
        <v>45900</v>
      </c>
      <c r="C1366">
        <v>321042</v>
      </c>
      <c r="D1366">
        <v>-12.894</v>
      </c>
      <c r="E1366" t="s">
        <v>4</v>
      </c>
      <c r="F1366" t="s">
        <v>46</v>
      </c>
      <c r="G1366" t="s">
        <v>8</v>
      </c>
    </row>
    <row r="1367" spans="1:7" x14ac:dyDescent="0.3">
      <c r="A1367" t="s">
        <v>29</v>
      </c>
      <c r="B1367" s="1">
        <v>45900</v>
      </c>
      <c r="C1367">
        <v>330131</v>
      </c>
      <c r="D1367">
        <v>46567.019</v>
      </c>
      <c r="E1367" t="s">
        <v>4</v>
      </c>
      <c r="F1367" t="s">
        <v>43</v>
      </c>
      <c r="G1367" t="s">
        <v>8</v>
      </c>
    </row>
    <row r="1368" spans="1:7" x14ac:dyDescent="0.3">
      <c r="A1368" t="s">
        <v>29</v>
      </c>
      <c r="B1368" s="1">
        <v>45900</v>
      </c>
      <c r="C1368">
        <v>330150</v>
      </c>
      <c r="D1368">
        <v>13409.413</v>
      </c>
      <c r="E1368" t="s">
        <v>4</v>
      </c>
      <c r="F1368" t="s">
        <v>43</v>
      </c>
      <c r="G1368" t="s">
        <v>8</v>
      </c>
    </row>
    <row r="1369" spans="1:7" x14ac:dyDescent="0.3">
      <c r="A1369" t="s">
        <v>29</v>
      </c>
      <c r="B1369" s="1">
        <v>45900</v>
      </c>
      <c r="C1369">
        <v>340243</v>
      </c>
      <c r="D1369">
        <v>164024.052</v>
      </c>
      <c r="E1369" t="s">
        <v>4</v>
      </c>
      <c r="F1369" t="s">
        <v>47</v>
      </c>
      <c r="G1369" t="s">
        <v>8</v>
      </c>
    </row>
    <row r="1370" spans="1:7" x14ac:dyDescent="0.3">
      <c r="A1370" t="s">
        <v>29</v>
      </c>
      <c r="B1370" s="1">
        <v>45900</v>
      </c>
      <c r="C1370">
        <v>340244</v>
      </c>
      <c r="D1370">
        <v>1465392.818</v>
      </c>
      <c r="E1370" t="s">
        <v>4</v>
      </c>
      <c r="F1370" t="s">
        <v>47</v>
      </c>
      <c r="G1370" t="s">
        <v>8</v>
      </c>
    </row>
    <row r="1371" spans="1:7" x14ac:dyDescent="0.3">
      <c r="A1371" t="s">
        <v>29</v>
      </c>
      <c r="B1371" s="1">
        <v>45900</v>
      </c>
      <c r="C1371">
        <v>340245</v>
      </c>
      <c r="D1371">
        <v>-1566669.66</v>
      </c>
      <c r="E1371" t="s">
        <v>4</v>
      </c>
      <c r="F1371" t="s">
        <v>47</v>
      </c>
      <c r="G1371" t="s">
        <v>8</v>
      </c>
    </row>
    <row r="1372" spans="1:7" x14ac:dyDescent="0.3">
      <c r="A1372" t="s">
        <v>29</v>
      </c>
      <c r="B1372" s="1">
        <v>45900</v>
      </c>
      <c r="C1372">
        <v>340246</v>
      </c>
      <c r="D1372">
        <v>256201.40599999999</v>
      </c>
      <c r="E1372" t="s">
        <v>4</v>
      </c>
      <c r="F1372" t="s">
        <v>47</v>
      </c>
      <c r="G1372" t="s">
        <v>8</v>
      </c>
    </row>
    <row r="1373" spans="1:7" x14ac:dyDescent="0.3">
      <c r="A1373" t="s">
        <v>29</v>
      </c>
      <c r="B1373" s="1">
        <v>45900</v>
      </c>
      <c r="C1373">
        <v>340247</v>
      </c>
      <c r="D1373">
        <v>2854975.7439999999</v>
      </c>
      <c r="E1373" t="s">
        <v>4</v>
      </c>
      <c r="F1373" t="s">
        <v>47</v>
      </c>
      <c r="G1373" t="s">
        <v>8</v>
      </c>
    </row>
    <row r="1374" spans="1:7" x14ac:dyDescent="0.3">
      <c r="A1374" t="s">
        <v>29</v>
      </c>
      <c r="B1374" s="1">
        <v>45900</v>
      </c>
      <c r="C1374">
        <v>340248</v>
      </c>
      <c r="D1374">
        <v>-2952471.3229999999</v>
      </c>
      <c r="E1374" t="s">
        <v>4</v>
      </c>
      <c r="F1374" t="s">
        <v>47</v>
      </c>
      <c r="G1374" t="s">
        <v>8</v>
      </c>
    </row>
    <row r="1375" spans="1:7" x14ac:dyDescent="0.3">
      <c r="A1375" t="s">
        <v>29</v>
      </c>
      <c r="B1375" s="1">
        <v>45900</v>
      </c>
      <c r="C1375">
        <v>340249</v>
      </c>
      <c r="D1375">
        <v>2560.3209999999999</v>
      </c>
      <c r="E1375" t="s">
        <v>4</v>
      </c>
      <c r="F1375" t="s">
        <v>47</v>
      </c>
      <c r="G1375" t="s">
        <v>8</v>
      </c>
    </row>
    <row r="1376" spans="1:7" x14ac:dyDescent="0.3">
      <c r="A1376" t="s">
        <v>29</v>
      </c>
      <c r="B1376" s="1">
        <v>45900</v>
      </c>
      <c r="C1376">
        <v>340250</v>
      </c>
      <c r="D1376">
        <v>1249050.808</v>
      </c>
      <c r="E1376" t="s">
        <v>4</v>
      </c>
      <c r="F1376" t="s">
        <v>47</v>
      </c>
      <c r="G1376" t="s">
        <v>8</v>
      </c>
    </row>
    <row r="1377" spans="1:7" x14ac:dyDescent="0.3">
      <c r="A1377" t="s">
        <v>29</v>
      </c>
      <c r="B1377" s="1">
        <v>45900</v>
      </c>
      <c r="C1377">
        <v>340251</v>
      </c>
      <c r="D1377">
        <v>-1021202.7120000001</v>
      </c>
      <c r="E1377" t="s">
        <v>4</v>
      </c>
      <c r="F1377" t="s">
        <v>47</v>
      </c>
      <c r="G1377" t="s">
        <v>8</v>
      </c>
    </row>
    <row r="1378" spans="1:7" x14ac:dyDescent="0.3">
      <c r="A1378" t="s">
        <v>29</v>
      </c>
      <c r="B1378" s="1">
        <v>45900</v>
      </c>
      <c r="C1378">
        <v>350002</v>
      </c>
      <c r="D1378">
        <v>2783.3629999999998</v>
      </c>
      <c r="E1378" t="s">
        <v>4</v>
      </c>
      <c r="F1378" t="s">
        <v>49</v>
      </c>
      <c r="G1378" t="s">
        <v>8</v>
      </c>
    </row>
    <row r="1379" spans="1:7" x14ac:dyDescent="0.3">
      <c r="A1379" t="s">
        <v>29</v>
      </c>
      <c r="B1379" s="1">
        <v>45900</v>
      </c>
      <c r="C1379">
        <v>350003</v>
      </c>
      <c r="D1379">
        <v>-2030.9359999999999</v>
      </c>
      <c r="E1379" t="s">
        <v>4</v>
      </c>
      <c r="F1379" t="s">
        <v>49</v>
      </c>
      <c r="G1379" t="s">
        <v>8</v>
      </c>
    </row>
    <row r="1380" spans="1:7" x14ac:dyDescent="0.3">
      <c r="A1380" t="s">
        <v>29</v>
      </c>
      <c r="B1380" s="1">
        <v>45900</v>
      </c>
      <c r="C1380">
        <v>350034</v>
      </c>
      <c r="D1380">
        <v>904.49</v>
      </c>
      <c r="E1380" t="s">
        <v>4</v>
      </c>
      <c r="F1380" t="s">
        <v>49</v>
      </c>
      <c r="G1380" t="s">
        <v>8</v>
      </c>
    </row>
    <row r="1381" spans="1:7" x14ac:dyDescent="0.3">
      <c r="A1381" t="s">
        <v>29</v>
      </c>
      <c r="B1381" s="1">
        <v>45900</v>
      </c>
      <c r="C1381">
        <v>354013</v>
      </c>
      <c r="D1381">
        <v>5240.4359999999997</v>
      </c>
      <c r="E1381" t="s">
        <v>4</v>
      </c>
      <c r="F1381" t="s">
        <v>46</v>
      </c>
      <c r="G1381" t="s">
        <v>8</v>
      </c>
    </row>
    <row r="1382" spans="1:7" x14ac:dyDescent="0.3">
      <c r="A1382" t="s">
        <v>29</v>
      </c>
      <c r="B1382" s="1">
        <v>45900</v>
      </c>
      <c r="C1382">
        <v>354015</v>
      </c>
      <c r="D1382">
        <v>48193.114999999998</v>
      </c>
      <c r="E1382" t="s">
        <v>4</v>
      </c>
      <c r="F1382" t="s">
        <v>46</v>
      </c>
      <c r="G1382" t="s">
        <v>8</v>
      </c>
    </row>
    <row r="1383" spans="1:7" x14ac:dyDescent="0.3">
      <c r="A1383" t="s">
        <v>29</v>
      </c>
      <c r="B1383" s="1">
        <v>45900</v>
      </c>
      <c r="C1383">
        <v>355002</v>
      </c>
      <c r="D1383">
        <v>273.85399999999998</v>
      </c>
      <c r="E1383" t="s">
        <v>4</v>
      </c>
      <c r="F1383" t="s">
        <v>49</v>
      </c>
      <c r="G1383" t="s">
        <v>8</v>
      </c>
    </row>
    <row r="1384" spans="1:7" x14ac:dyDescent="0.3">
      <c r="A1384" t="s">
        <v>29</v>
      </c>
      <c r="B1384" s="1">
        <v>45900</v>
      </c>
      <c r="C1384">
        <v>355013</v>
      </c>
      <c r="D1384">
        <v>19910.82</v>
      </c>
      <c r="E1384" t="s">
        <v>4</v>
      </c>
      <c r="F1384" t="s">
        <v>49</v>
      </c>
      <c r="G1384" t="s">
        <v>8</v>
      </c>
    </row>
    <row r="1385" spans="1:7" x14ac:dyDescent="0.3">
      <c r="A1385" t="s">
        <v>29</v>
      </c>
      <c r="B1385" s="1">
        <v>45900</v>
      </c>
      <c r="C1385">
        <v>360026</v>
      </c>
      <c r="D1385">
        <v>69181.388999999996</v>
      </c>
      <c r="E1385" t="s">
        <v>4</v>
      </c>
      <c r="F1385" t="s">
        <v>58</v>
      </c>
      <c r="G1385" t="s">
        <v>8</v>
      </c>
    </row>
    <row r="1386" spans="1:7" x14ac:dyDescent="0.3">
      <c r="A1386" t="s">
        <v>29</v>
      </c>
      <c r="B1386" s="1">
        <v>45900</v>
      </c>
      <c r="C1386">
        <v>360028</v>
      </c>
      <c r="D1386">
        <v>45663.091</v>
      </c>
      <c r="E1386" t="s">
        <v>4</v>
      </c>
      <c r="F1386" t="s">
        <v>58</v>
      </c>
      <c r="G1386" t="s">
        <v>8</v>
      </c>
    </row>
    <row r="1387" spans="1:7" x14ac:dyDescent="0.3">
      <c r="A1387" t="s">
        <v>29</v>
      </c>
      <c r="B1387" s="1">
        <v>45900</v>
      </c>
      <c r="C1387">
        <v>360030</v>
      </c>
      <c r="D1387">
        <v>18486.535</v>
      </c>
      <c r="E1387" t="s">
        <v>4</v>
      </c>
      <c r="F1387" t="s">
        <v>58</v>
      </c>
      <c r="G1387" t="s">
        <v>8</v>
      </c>
    </row>
    <row r="1388" spans="1:7" x14ac:dyDescent="0.3">
      <c r="A1388" t="s">
        <v>29</v>
      </c>
      <c r="B1388" s="1">
        <v>45900</v>
      </c>
      <c r="C1388">
        <v>372004</v>
      </c>
      <c r="D1388">
        <v>2626.8470000000002</v>
      </c>
      <c r="E1388" t="s">
        <v>4</v>
      </c>
      <c r="F1388" t="s">
        <v>45</v>
      </c>
      <c r="G1388" t="s">
        <v>8</v>
      </c>
    </row>
    <row r="1389" spans="1:7" x14ac:dyDescent="0.3">
      <c r="A1389" t="s">
        <v>29</v>
      </c>
      <c r="B1389" s="1">
        <v>45900</v>
      </c>
      <c r="C1389">
        <v>400002</v>
      </c>
      <c r="D1389">
        <v>-188411.601</v>
      </c>
      <c r="E1389" t="s">
        <v>6</v>
      </c>
      <c r="F1389" t="s">
        <v>50</v>
      </c>
      <c r="G1389" t="s">
        <v>8</v>
      </c>
    </row>
    <row r="1390" spans="1:7" x14ac:dyDescent="0.3">
      <c r="A1390" t="s">
        <v>29</v>
      </c>
      <c r="B1390" s="1">
        <v>45900</v>
      </c>
      <c r="C1390">
        <v>400004</v>
      </c>
      <c r="D1390">
        <v>-453285.36599999998</v>
      </c>
      <c r="E1390" t="s">
        <v>6</v>
      </c>
      <c r="F1390" t="s">
        <v>50</v>
      </c>
      <c r="G1390" t="s">
        <v>8</v>
      </c>
    </row>
    <row r="1391" spans="1:7" x14ac:dyDescent="0.3">
      <c r="A1391" t="s">
        <v>29</v>
      </c>
      <c r="B1391" s="1">
        <v>45900</v>
      </c>
      <c r="C1391">
        <v>410002</v>
      </c>
      <c r="D1391">
        <v>-19824.312000000002</v>
      </c>
      <c r="E1391" t="s">
        <v>6</v>
      </c>
      <c r="F1391" t="s">
        <v>51</v>
      </c>
      <c r="G1391" t="s">
        <v>8</v>
      </c>
    </row>
    <row r="1392" spans="1:7" x14ac:dyDescent="0.3">
      <c r="A1392" t="s">
        <v>29</v>
      </c>
      <c r="B1392" s="1">
        <v>45900</v>
      </c>
      <c r="C1392">
        <v>410005</v>
      </c>
      <c r="D1392">
        <v>-11719.593000000001</v>
      </c>
      <c r="E1392" t="s">
        <v>6</v>
      </c>
      <c r="F1392" t="s">
        <v>51</v>
      </c>
      <c r="G1392" t="s">
        <v>8</v>
      </c>
    </row>
    <row r="1393" spans="1:7" x14ac:dyDescent="0.3">
      <c r="A1393" t="s">
        <v>29</v>
      </c>
      <c r="B1393" s="1">
        <v>45900</v>
      </c>
      <c r="C1393">
        <v>410032</v>
      </c>
      <c r="D1393">
        <v>-2725.2570000000001</v>
      </c>
      <c r="E1393" t="s">
        <v>6</v>
      </c>
      <c r="F1393" t="s">
        <v>51</v>
      </c>
      <c r="G1393" t="s">
        <v>8</v>
      </c>
    </row>
    <row r="1394" spans="1:7" x14ac:dyDescent="0.3">
      <c r="A1394" t="s">
        <v>29</v>
      </c>
      <c r="B1394" s="1">
        <v>45900</v>
      </c>
      <c r="C1394">
        <v>421002</v>
      </c>
      <c r="D1394">
        <v>-6961.4319999999998</v>
      </c>
      <c r="E1394" t="s">
        <v>6</v>
      </c>
      <c r="F1394" t="s">
        <v>52</v>
      </c>
      <c r="G1394" t="s">
        <v>8</v>
      </c>
    </row>
    <row r="1395" spans="1:7" x14ac:dyDescent="0.3">
      <c r="A1395" t="s">
        <v>29</v>
      </c>
      <c r="B1395" s="1">
        <v>45900</v>
      </c>
      <c r="C1395">
        <v>421003</v>
      </c>
      <c r="D1395">
        <v>-838.21100000000001</v>
      </c>
      <c r="E1395" t="s">
        <v>6</v>
      </c>
      <c r="F1395" t="s">
        <v>52</v>
      </c>
      <c r="G1395" t="s">
        <v>8</v>
      </c>
    </row>
    <row r="1396" spans="1:7" x14ac:dyDescent="0.3">
      <c r="A1396" t="s">
        <v>29</v>
      </c>
      <c r="B1396" s="1">
        <v>45900</v>
      </c>
      <c r="C1396">
        <v>421004</v>
      </c>
      <c r="D1396">
        <v>-5902.7969999999996</v>
      </c>
      <c r="E1396" t="s">
        <v>6</v>
      </c>
      <c r="F1396" t="s">
        <v>52</v>
      </c>
      <c r="G1396" t="s">
        <v>8</v>
      </c>
    </row>
    <row r="1397" spans="1:7" x14ac:dyDescent="0.3">
      <c r="A1397" t="s">
        <v>29</v>
      </c>
      <c r="B1397" s="1">
        <v>45900</v>
      </c>
      <c r="C1397">
        <v>421007</v>
      </c>
      <c r="D1397">
        <v>-7329.5559999999996</v>
      </c>
      <c r="E1397" t="s">
        <v>6</v>
      </c>
      <c r="F1397" t="s">
        <v>52</v>
      </c>
      <c r="G1397" t="s">
        <v>8</v>
      </c>
    </row>
    <row r="1398" spans="1:7" x14ac:dyDescent="0.3">
      <c r="A1398" t="s">
        <v>29</v>
      </c>
      <c r="B1398" s="1">
        <v>45900</v>
      </c>
      <c r="C1398">
        <v>510002</v>
      </c>
      <c r="D1398">
        <v>137927.56599999999</v>
      </c>
      <c r="E1398" t="s">
        <v>6</v>
      </c>
      <c r="F1398" t="s">
        <v>53</v>
      </c>
      <c r="G1398" t="s">
        <v>8</v>
      </c>
    </row>
    <row r="1399" spans="1:7" x14ac:dyDescent="0.3">
      <c r="A1399" t="s">
        <v>29</v>
      </c>
      <c r="B1399" s="1">
        <v>45900</v>
      </c>
      <c r="C1399">
        <v>510005</v>
      </c>
      <c r="D1399">
        <v>2303.6460000000002</v>
      </c>
      <c r="E1399" t="s">
        <v>6</v>
      </c>
      <c r="F1399" t="s">
        <v>53</v>
      </c>
      <c r="G1399" t="s">
        <v>8</v>
      </c>
    </row>
    <row r="1400" spans="1:7" x14ac:dyDescent="0.3">
      <c r="A1400" t="s">
        <v>29</v>
      </c>
      <c r="B1400" s="1">
        <v>45900</v>
      </c>
      <c r="C1400">
        <v>510007</v>
      </c>
      <c r="D1400">
        <v>5211.29</v>
      </c>
      <c r="E1400" t="s">
        <v>6</v>
      </c>
      <c r="F1400" t="s">
        <v>53</v>
      </c>
      <c r="G1400" t="s">
        <v>8</v>
      </c>
    </row>
    <row r="1401" spans="1:7" x14ac:dyDescent="0.3">
      <c r="A1401" t="s">
        <v>29</v>
      </c>
      <c r="B1401" s="1">
        <v>45900</v>
      </c>
      <c r="C1401">
        <v>510015</v>
      </c>
      <c r="D1401">
        <v>5201.8320000000003</v>
      </c>
      <c r="E1401" t="s">
        <v>6</v>
      </c>
      <c r="F1401" t="s">
        <v>53</v>
      </c>
      <c r="G1401" t="s">
        <v>8</v>
      </c>
    </row>
    <row r="1402" spans="1:7" x14ac:dyDescent="0.3">
      <c r="A1402" t="s">
        <v>29</v>
      </c>
      <c r="B1402" s="1">
        <v>45900</v>
      </c>
      <c r="C1402">
        <v>510018</v>
      </c>
      <c r="D1402">
        <v>5539.3239999999996</v>
      </c>
      <c r="E1402" t="s">
        <v>6</v>
      </c>
      <c r="F1402" t="s">
        <v>53</v>
      </c>
      <c r="G1402" t="s">
        <v>8</v>
      </c>
    </row>
    <row r="1403" spans="1:7" x14ac:dyDescent="0.3">
      <c r="A1403" t="s">
        <v>29</v>
      </c>
      <c r="B1403" s="1">
        <v>45900</v>
      </c>
      <c r="C1403">
        <v>510062</v>
      </c>
      <c r="D1403">
        <v>-2137.451</v>
      </c>
      <c r="E1403" t="s">
        <v>6</v>
      </c>
      <c r="F1403" t="s">
        <v>53</v>
      </c>
      <c r="G1403" t="s">
        <v>8</v>
      </c>
    </row>
    <row r="1404" spans="1:7" x14ac:dyDescent="0.3">
      <c r="A1404" t="s">
        <v>29</v>
      </c>
      <c r="B1404" s="1">
        <v>45900</v>
      </c>
      <c r="C1404">
        <v>510065</v>
      </c>
      <c r="D1404">
        <v>1181.096</v>
      </c>
      <c r="E1404" t="s">
        <v>6</v>
      </c>
      <c r="F1404" t="s">
        <v>53</v>
      </c>
      <c r="G1404" t="s">
        <v>8</v>
      </c>
    </row>
    <row r="1405" spans="1:7" x14ac:dyDescent="0.3">
      <c r="A1405" t="s">
        <v>29</v>
      </c>
      <c r="B1405" s="1">
        <v>45900</v>
      </c>
      <c r="C1405">
        <v>520021</v>
      </c>
      <c r="D1405">
        <v>140.87</v>
      </c>
      <c r="E1405" t="s">
        <v>6</v>
      </c>
      <c r="F1405" t="s">
        <v>60</v>
      </c>
      <c r="G1405" t="s">
        <v>8</v>
      </c>
    </row>
    <row r="1406" spans="1:7" x14ac:dyDescent="0.3">
      <c r="A1406" t="s">
        <v>29</v>
      </c>
      <c r="B1406" s="1">
        <v>45900</v>
      </c>
      <c r="C1406">
        <v>541004</v>
      </c>
      <c r="D1406">
        <v>2054.9029999999998</v>
      </c>
      <c r="E1406" t="s">
        <v>6</v>
      </c>
      <c r="F1406" t="s">
        <v>61</v>
      </c>
      <c r="G1406" t="s">
        <v>8</v>
      </c>
    </row>
    <row r="1407" spans="1:7" x14ac:dyDescent="0.3">
      <c r="A1407" t="s">
        <v>29</v>
      </c>
      <c r="B1407" s="1">
        <v>45900</v>
      </c>
      <c r="C1407">
        <v>541009</v>
      </c>
      <c r="D1407">
        <v>3.6230000000000002</v>
      </c>
      <c r="E1407" t="s">
        <v>6</v>
      </c>
      <c r="F1407" t="s">
        <v>61</v>
      </c>
      <c r="G1407" t="s">
        <v>8</v>
      </c>
    </row>
    <row r="1408" spans="1:7" x14ac:dyDescent="0.3">
      <c r="A1408" t="s">
        <v>29</v>
      </c>
      <c r="B1408" s="1">
        <v>45900</v>
      </c>
      <c r="C1408">
        <v>541010</v>
      </c>
      <c r="D1408">
        <v>1271.998</v>
      </c>
      <c r="E1408" t="s">
        <v>6</v>
      </c>
      <c r="F1408" t="s">
        <v>61</v>
      </c>
      <c r="G1408" t="s">
        <v>8</v>
      </c>
    </row>
    <row r="1409" spans="1:7" x14ac:dyDescent="0.3">
      <c r="A1409" t="s">
        <v>29</v>
      </c>
      <c r="B1409" s="1">
        <v>45900</v>
      </c>
      <c r="C1409">
        <v>541013</v>
      </c>
      <c r="D1409">
        <v>304.29399999999998</v>
      </c>
      <c r="E1409" t="s">
        <v>6</v>
      </c>
      <c r="F1409" t="s">
        <v>61</v>
      </c>
      <c r="G1409" t="s">
        <v>8</v>
      </c>
    </row>
    <row r="1410" spans="1:7" x14ac:dyDescent="0.3">
      <c r="A1410" t="s">
        <v>29</v>
      </c>
      <c r="B1410" s="1">
        <v>45900</v>
      </c>
      <c r="C1410">
        <v>546002</v>
      </c>
      <c r="D1410">
        <v>398891.12199999997</v>
      </c>
      <c r="E1410" t="s">
        <v>6</v>
      </c>
      <c r="F1410" t="s">
        <v>51</v>
      </c>
      <c r="G1410" t="s">
        <v>8</v>
      </c>
    </row>
    <row r="1411" spans="1:7" x14ac:dyDescent="0.3">
      <c r="A1411" t="s">
        <v>29</v>
      </c>
      <c r="B1411" s="1">
        <v>45900</v>
      </c>
      <c r="C1411">
        <v>546005</v>
      </c>
      <c r="D1411">
        <v>-3464.9679999999998</v>
      </c>
      <c r="E1411" t="s">
        <v>6</v>
      </c>
      <c r="F1411" t="s">
        <v>51</v>
      </c>
      <c r="G1411" t="s">
        <v>8</v>
      </c>
    </row>
    <row r="1412" spans="1:7" x14ac:dyDescent="0.3">
      <c r="A1412" t="s">
        <v>29</v>
      </c>
      <c r="B1412" s="1">
        <v>45900</v>
      </c>
      <c r="C1412">
        <v>546015</v>
      </c>
      <c r="D1412">
        <v>286.08300000000003</v>
      </c>
      <c r="E1412" t="s">
        <v>6</v>
      </c>
      <c r="F1412" t="s">
        <v>51</v>
      </c>
      <c r="G1412" t="s">
        <v>8</v>
      </c>
    </row>
    <row r="1413" spans="1:7" x14ac:dyDescent="0.3">
      <c r="A1413" t="s">
        <v>29</v>
      </c>
      <c r="B1413" s="1">
        <v>45900</v>
      </c>
      <c r="C1413">
        <v>546016</v>
      </c>
      <c r="D1413">
        <v>90.631</v>
      </c>
      <c r="E1413" t="s">
        <v>6</v>
      </c>
      <c r="F1413" t="s">
        <v>51</v>
      </c>
      <c r="G1413" t="s">
        <v>8</v>
      </c>
    </row>
    <row r="1414" spans="1:7" x14ac:dyDescent="0.3">
      <c r="A1414" t="s">
        <v>29</v>
      </c>
      <c r="B1414" s="1">
        <v>45900</v>
      </c>
      <c r="C1414">
        <v>546024</v>
      </c>
      <c r="D1414">
        <v>4691.942</v>
      </c>
      <c r="E1414" t="s">
        <v>6</v>
      </c>
      <c r="F1414" t="s">
        <v>51</v>
      </c>
      <c r="G1414" t="s">
        <v>8</v>
      </c>
    </row>
    <row r="1415" spans="1:7" x14ac:dyDescent="0.3">
      <c r="A1415" t="s">
        <v>29</v>
      </c>
      <c r="B1415" s="1">
        <v>45900</v>
      </c>
      <c r="C1415">
        <v>546035</v>
      </c>
      <c r="D1415">
        <v>1240.08</v>
      </c>
      <c r="E1415" t="s">
        <v>6</v>
      </c>
      <c r="F1415" t="s">
        <v>51</v>
      </c>
      <c r="G1415" t="s">
        <v>8</v>
      </c>
    </row>
    <row r="1416" spans="1:7" x14ac:dyDescent="0.3">
      <c r="A1416" t="s">
        <v>29</v>
      </c>
      <c r="B1416" s="1">
        <v>45900</v>
      </c>
      <c r="C1416">
        <v>546040</v>
      </c>
      <c r="D1416">
        <v>470.01600000000002</v>
      </c>
      <c r="E1416" t="s">
        <v>6</v>
      </c>
      <c r="F1416" t="s">
        <v>51</v>
      </c>
      <c r="G1416" t="s">
        <v>8</v>
      </c>
    </row>
    <row r="1417" spans="1:7" x14ac:dyDescent="0.3">
      <c r="A1417" t="s">
        <v>29</v>
      </c>
      <c r="B1417" s="1">
        <v>45900</v>
      </c>
      <c r="C1417">
        <v>546045</v>
      </c>
      <c r="D1417">
        <v>244.19300000000001</v>
      </c>
      <c r="E1417" t="s">
        <v>6</v>
      </c>
      <c r="F1417" t="s">
        <v>51</v>
      </c>
      <c r="G1417" t="s">
        <v>8</v>
      </c>
    </row>
    <row r="1418" spans="1:7" x14ac:dyDescent="0.3">
      <c r="A1418" t="s">
        <v>29</v>
      </c>
      <c r="B1418" s="1">
        <v>45900</v>
      </c>
      <c r="C1418">
        <v>547002</v>
      </c>
      <c r="D1418">
        <v>18079.407999999999</v>
      </c>
      <c r="E1418" t="s">
        <v>6</v>
      </c>
      <c r="F1418" t="s">
        <v>54</v>
      </c>
      <c r="G1418" t="s">
        <v>8</v>
      </c>
    </row>
    <row r="1419" spans="1:7" x14ac:dyDescent="0.3">
      <c r="A1419" t="s">
        <v>29</v>
      </c>
      <c r="B1419" s="1">
        <v>45900</v>
      </c>
      <c r="C1419">
        <v>550002</v>
      </c>
      <c r="D1419">
        <v>21132.028999999999</v>
      </c>
      <c r="E1419" t="s">
        <v>6</v>
      </c>
      <c r="F1419" t="s">
        <v>62</v>
      </c>
      <c r="G1419" t="s">
        <v>8</v>
      </c>
    </row>
    <row r="1420" spans="1:7" x14ac:dyDescent="0.3">
      <c r="A1420" t="s">
        <v>29</v>
      </c>
      <c r="B1420" s="1">
        <v>45900</v>
      </c>
      <c r="C1420">
        <v>550003</v>
      </c>
      <c r="D1420">
        <v>8508.5679999999993</v>
      </c>
      <c r="E1420" t="s">
        <v>6</v>
      </c>
      <c r="F1420" t="s">
        <v>62</v>
      </c>
      <c r="G1420" t="s">
        <v>8</v>
      </c>
    </row>
    <row r="1421" spans="1:7" x14ac:dyDescent="0.3">
      <c r="A1421" t="s">
        <v>29</v>
      </c>
      <c r="B1421" s="1">
        <v>45900</v>
      </c>
      <c r="C1421">
        <v>555508</v>
      </c>
      <c r="D1421">
        <v>391.428</v>
      </c>
      <c r="E1421" t="s">
        <v>6</v>
      </c>
      <c r="F1421" t="s">
        <v>55</v>
      </c>
      <c r="G1421" t="s">
        <v>8</v>
      </c>
    </row>
    <row r="1422" spans="1:7" x14ac:dyDescent="0.3">
      <c r="A1422" t="s">
        <v>29</v>
      </c>
      <c r="B1422" s="1">
        <v>45900</v>
      </c>
      <c r="C1422">
        <v>556002</v>
      </c>
      <c r="D1422">
        <v>225.102</v>
      </c>
      <c r="E1422" t="s">
        <v>6</v>
      </c>
      <c r="F1422" t="s">
        <v>60</v>
      </c>
      <c r="G1422" t="s">
        <v>8</v>
      </c>
    </row>
    <row r="1423" spans="1:7" x14ac:dyDescent="0.3">
      <c r="A1423" t="s">
        <v>29</v>
      </c>
      <c r="B1423" s="1">
        <v>45900</v>
      </c>
      <c r="C1423">
        <v>557002</v>
      </c>
      <c r="D1423">
        <v>6491.616</v>
      </c>
      <c r="E1423" t="s">
        <v>6</v>
      </c>
      <c r="F1423" t="s">
        <v>56</v>
      </c>
      <c r="G1423" t="s">
        <v>8</v>
      </c>
    </row>
    <row r="1424" spans="1:7" x14ac:dyDescent="0.3">
      <c r="A1424" t="s">
        <v>29</v>
      </c>
      <c r="B1424" s="1">
        <v>45900</v>
      </c>
      <c r="C1424">
        <v>558012</v>
      </c>
      <c r="D1424">
        <v>118.70099999999999</v>
      </c>
      <c r="E1424" t="s">
        <v>6</v>
      </c>
      <c r="F1424" t="s">
        <v>60</v>
      </c>
      <c r="G1424" t="s">
        <v>8</v>
      </c>
    </row>
    <row r="1425" spans="1:7" x14ac:dyDescent="0.3">
      <c r="A1425" t="s">
        <v>29</v>
      </c>
      <c r="B1425" s="1">
        <v>45900</v>
      </c>
      <c r="C1425">
        <v>564006</v>
      </c>
      <c r="D1425">
        <v>-0.124</v>
      </c>
      <c r="E1425" t="s">
        <v>6</v>
      </c>
      <c r="F1425" t="s">
        <v>57</v>
      </c>
      <c r="G1425" t="s">
        <v>8</v>
      </c>
    </row>
    <row r="1426" spans="1:7" x14ac:dyDescent="0.3">
      <c r="A1426" t="s">
        <v>29</v>
      </c>
      <c r="B1426" s="1">
        <v>45900</v>
      </c>
      <c r="C1426">
        <v>564019</v>
      </c>
      <c r="D1426">
        <v>45655.023999999998</v>
      </c>
      <c r="E1426" t="s">
        <v>6</v>
      </c>
      <c r="F1426" t="s">
        <v>51</v>
      </c>
      <c r="G1426" t="s">
        <v>8</v>
      </c>
    </row>
    <row r="1427" spans="1:7" x14ac:dyDescent="0.3">
      <c r="A1427" t="s">
        <v>29</v>
      </c>
      <c r="B1427" s="1">
        <v>45900</v>
      </c>
      <c r="C1427">
        <v>564020</v>
      </c>
      <c r="D1427">
        <v>232.82599999999999</v>
      </c>
      <c r="E1427" t="s">
        <v>6</v>
      </c>
      <c r="F1427" t="s">
        <v>57</v>
      </c>
      <c r="G1427" t="s">
        <v>8</v>
      </c>
    </row>
    <row r="1428" spans="1:7" x14ac:dyDescent="0.3">
      <c r="A1428" t="s">
        <v>29</v>
      </c>
      <c r="B1428" s="1">
        <v>45900</v>
      </c>
      <c r="C1428">
        <v>580002</v>
      </c>
      <c r="D1428">
        <v>3327.1089999999999</v>
      </c>
      <c r="E1428" t="s">
        <v>6</v>
      </c>
      <c r="F1428" t="s">
        <v>64</v>
      </c>
      <c r="G1428" t="s">
        <v>8</v>
      </c>
    </row>
    <row r="1429" spans="1:7" x14ac:dyDescent="0.3">
      <c r="A1429" t="s">
        <v>30</v>
      </c>
      <c r="B1429" s="1">
        <v>45900</v>
      </c>
      <c r="C1429">
        <v>210002</v>
      </c>
      <c r="D1429">
        <v>-71970.375</v>
      </c>
      <c r="E1429" t="s">
        <v>4</v>
      </c>
      <c r="F1429" t="s">
        <v>42</v>
      </c>
      <c r="G1429" t="s">
        <v>8</v>
      </c>
    </row>
    <row r="1430" spans="1:7" x14ac:dyDescent="0.3">
      <c r="A1430" t="s">
        <v>30</v>
      </c>
      <c r="B1430" s="1">
        <v>45900</v>
      </c>
      <c r="C1430">
        <v>220006</v>
      </c>
      <c r="D1430">
        <v>-284824.02</v>
      </c>
      <c r="E1430" t="s">
        <v>4</v>
      </c>
      <c r="F1430" t="s">
        <v>42</v>
      </c>
      <c r="G1430" t="s">
        <v>8</v>
      </c>
    </row>
    <row r="1431" spans="1:7" x14ac:dyDescent="0.3">
      <c r="A1431" t="s">
        <v>30</v>
      </c>
      <c r="B1431" s="1">
        <v>45900</v>
      </c>
      <c r="C1431">
        <v>240002</v>
      </c>
      <c r="D1431">
        <v>-893.92</v>
      </c>
      <c r="E1431" t="s">
        <v>4</v>
      </c>
      <c r="F1431" t="s">
        <v>43</v>
      </c>
      <c r="G1431" t="s">
        <v>8</v>
      </c>
    </row>
    <row r="1432" spans="1:7" x14ac:dyDescent="0.3">
      <c r="A1432" t="s">
        <v>30</v>
      </c>
      <c r="B1432" s="1">
        <v>45900</v>
      </c>
      <c r="C1432">
        <v>240003</v>
      </c>
      <c r="D1432">
        <v>-212.51</v>
      </c>
      <c r="E1432" t="s">
        <v>4</v>
      </c>
      <c r="F1432" t="s">
        <v>43</v>
      </c>
      <c r="G1432" t="s">
        <v>8</v>
      </c>
    </row>
    <row r="1433" spans="1:7" x14ac:dyDescent="0.3">
      <c r="A1433" t="s">
        <v>30</v>
      </c>
      <c r="B1433" s="1">
        <v>45900</v>
      </c>
      <c r="C1433">
        <v>240009</v>
      </c>
      <c r="D1433">
        <v>-485.81</v>
      </c>
      <c r="E1433" t="s">
        <v>4</v>
      </c>
      <c r="F1433" t="s">
        <v>43</v>
      </c>
      <c r="G1433" t="s">
        <v>8</v>
      </c>
    </row>
    <row r="1434" spans="1:7" x14ac:dyDescent="0.3">
      <c r="A1434" t="s">
        <v>30</v>
      </c>
      <c r="B1434" s="1">
        <v>45900</v>
      </c>
      <c r="C1434">
        <v>242003</v>
      </c>
      <c r="D1434">
        <v>-619044.06599999999</v>
      </c>
      <c r="E1434" t="s">
        <v>4</v>
      </c>
      <c r="F1434" t="s">
        <v>43</v>
      </c>
      <c r="G1434" t="s">
        <v>8</v>
      </c>
    </row>
    <row r="1435" spans="1:7" x14ac:dyDescent="0.3">
      <c r="A1435" t="s">
        <v>30</v>
      </c>
      <c r="B1435" s="1">
        <v>45900</v>
      </c>
      <c r="C1435">
        <v>242007</v>
      </c>
      <c r="D1435">
        <v>2340.8220000000001</v>
      </c>
      <c r="E1435" t="s">
        <v>4</v>
      </c>
      <c r="F1435" t="s">
        <v>43</v>
      </c>
      <c r="G1435" t="s">
        <v>8</v>
      </c>
    </row>
    <row r="1436" spans="1:7" x14ac:dyDescent="0.3">
      <c r="A1436" t="s">
        <v>30</v>
      </c>
      <c r="B1436" s="1">
        <v>45900</v>
      </c>
      <c r="C1436">
        <v>242011</v>
      </c>
      <c r="D1436">
        <v>-155978.96</v>
      </c>
      <c r="E1436" t="s">
        <v>4</v>
      </c>
      <c r="F1436" t="s">
        <v>43</v>
      </c>
      <c r="G1436" t="s">
        <v>8</v>
      </c>
    </row>
    <row r="1437" spans="1:7" x14ac:dyDescent="0.3">
      <c r="A1437" t="s">
        <v>30</v>
      </c>
      <c r="B1437" s="1">
        <v>45900</v>
      </c>
      <c r="C1437">
        <v>242012</v>
      </c>
      <c r="D1437">
        <v>-72960.879000000001</v>
      </c>
      <c r="E1437" t="s">
        <v>4</v>
      </c>
      <c r="F1437" t="s">
        <v>43</v>
      </c>
      <c r="G1437" t="s">
        <v>8</v>
      </c>
    </row>
    <row r="1438" spans="1:7" x14ac:dyDescent="0.3">
      <c r="A1438" t="s">
        <v>30</v>
      </c>
      <c r="B1438" s="1">
        <v>45900</v>
      </c>
      <c r="C1438">
        <v>242014</v>
      </c>
      <c r="D1438">
        <v>-21520.721000000001</v>
      </c>
      <c r="E1438" t="s">
        <v>4</v>
      </c>
      <c r="F1438" t="s">
        <v>43</v>
      </c>
      <c r="G1438" t="s">
        <v>8</v>
      </c>
    </row>
    <row r="1439" spans="1:7" x14ac:dyDescent="0.3">
      <c r="A1439" t="s">
        <v>30</v>
      </c>
      <c r="B1439" s="1">
        <v>45900</v>
      </c>
      <c r="C1439">
        <v>242019</v>
      </c>
      <c r="D1439">
        <v>6.5970000000000004</v>
      </c>
      <c r="E1439" t="s">
        <v>4</v>
      </c>
      <c r="F1439" t="s">
        <v>43</v>
      </c>
      <c r="G1439" t="s">
        <v>8</v>
      </c>
    </row>
    <row r="1440" spans="1:7" x14ac:dyDescent="0.3">
      <c r="A1440" t="s">
        <v>30</v>
      </c>
      <c r="B1440" s="1">
        <v>45900</v>
      </c>
      <c r="C1440">
        <v>242022</v>
      </c>
      <c r="D1440">
        <v>-9362.4030000000002</v>
      </c>
      <c r="E1440" t="s">
        <v>4</v>
      </c>
      <c r="F1440" t="s">
        <v>43</v>
      </c>
      <c r="G1440" t="s">
        <v>8</v>
      </c>
    </row>
    <row r="1441" spans="1:7" x14ac:dyDescent="0.3">
      <c r="A1441" t="s">
        <v>30</v>
      </c>
      <c r="B1441" s="1">
        <v>45900</v>
      </c>
      <c r="C1441">
        <v>242023</v>
      </c>
      <c r="D1441">
        <v>-21870.852999999999</v>
      </c>
      <c r="E1441" t="s">
        <v>4</v>
      </c>
      <c r="F1441" t="s">
        <v>43</v>
      </c>
      <c r="G1441" t="s">
        <v>8</v>
      </c>
    </row>
    <row r="1442" spans="1:7" x14ac:dyDescent="0.3">
      <c r="A1442" t="s">
        <v>30</v>
      </c>
      <c r="B1442" s="1">
        <v>45900</v>
      </c>
      <c r="C1442">
        <v>242030</v>
      </c>
      <c r="D1442">
        <v>-92780.754000000001</v>
      </c>
      <c r="E1442" t="s">
        <v>4</v>
      </c>
      <c r="F1442" t="s">
        <v>43</v>
      </c>
      <c r="G1442" t="s">
        <v>8</v>
      </c>
    </row>
    <row r="1443" spans="1:7" x14ac:dyDescent="0.3">
      <c r="A1443" t="s">
        <v>30</v>
      </c>
      <c r="B1443" s="1">
        <v>45900</v>
      </c>
      <c r="C1443">
        <v>242036</v>
      </c>
      <c r="D1443">
        <v>-8344.8940000000002</v>
      </c>
      <c r="E1443" t="s">
        <v>4</v>
      </c>
      <c r="F1443" t="s">
        <v>43</v>
      </c>
      <c r="G1443" t="s">
        <v>8</v>
      </c>
    </row>
    <row r="1444" spans="1:7" x14ac:dyDescent="0.3">
      <c r="A1444" t="s">
        <v>30</v>
      </c>
      <c r="B1444" s="1">
        <v>45900</v>
      </c>
      <c r="C1444">
        <v>242038</v>
      </c>
      <c r="D1444">
        <v>-720.01199999999994</v>
      </c>
      <c r="E1444" t="s">
        <v>4</v>
      </c>
      <c r="F1444" t="s">
        <v>43</v>
      </c>
      <c r="G1444" t="s">
        <v>8</v>
      </c>
    </row>
    <row r="1445" spans="1:7" x14ac:dyDescent="0.3">
      <c r="A1445" t="s">
        <v>30</v>
      </c>
      <c r="B1445" s="1">
        <v>45900</v>
      </c>
      <c r="C1445">
        <v>242039</v>
      </c>
      <c r="D1445">
        <v>-97019.244000000006</v>
      </c>
      <c r="E1445" t="s">
        <v>4</v>
      </c>
      <c r="F1445" t="s">
        <v>43</v>
      </c>
      <c r="G1445" t="s">
        <v>8</v>
      </c>
    </row>
    <row r="1446" spans="1:7" x14ac:dyDescent="0.3">
      <c r="A1446" t="s">
        <v>30</v>
      </c>
      <c r="B1446" s="1">
        <v>45900</v>
      </c>
      <c r="C1446">
        <v>242041</v>
      </c>
      <c r="D1446">
        <v>-42954.22</v>
      </c>
      <c r="E1446" t="s">
        <v>4</v>
      </c>
      <c r="F1446" t="s">
        <v>43</v>
      </c>
      <c r="G1446" t="s">
        <v>8</v>
      </c>
    </row>
    <row r="1447" spans="1:7" x14ac:dyDescent="0.3">
      <c r="A1447" t="s">
        <v>30</v>
      </c>
      <c r="B1447" s="1">
        <v>45900</v>
      </c>
      <c r="C1447">
        <v>243002</v>
      </c>
      <c r="D1447">
        <v>-3243.748</v>
      </c>
      <c r="E1447" t="s">
        <v>4</v>
      </c>
      <c r="F1447" t="s">
        <v>43</v>
      </c>
      <c r="G1447" t="s">
        <v>8</v>
      </c>
    </row>
    <row r="1448" spans="1:7" x14ac:dyDescent="0.3">
      <c r="A1448" t="s">
        <v>30</v>
      </c>
      <c r="B1448" s="1">
        <v>45900</v>
      </c>
      <c r="C1448">
        <v>243003</v>
      </c>
      <c r="D1448">
        <v>-36260.197999999997</v>
      </c>
      <c r="E1448" t="s">
        <v>4</v>
      </c>
      <c r="F1448" t="s">
        <v>43</v>
      </c>
      <c r="G1448" t="s">
        <v>8</v>
      </c>
    </row>
    <row r="1449" spans="1:7" x14ac:dyDescent="0.3">
      <c r="A1449" t="s">
        <v>30</v>
      </c>
      <c r="B1449" s="1">
        <v>45900</v>
      </c>
      <c r="C1449">
        <v>245010</v>
      </c>
      <c r="D1449">
        <v>-2597.4499999999998</v>
      </c>
      <c r="E1449" t="s">
        <v>4</v>
      </c>
      <c r="F1449" t="s">
        <v>44</v>
      </c>
      <c r="G1449" t="s">
        <v>8</v>
      </c>
    </row>
    <row r="1450" spans="1:7" x14ac:dyDescent="0.3">
      <c r="A1450" t="s">
        <v>30</v>
      </c>
      <c r="B1450" s="1">
        <v>45900</v>
      </c>
      <c r="C1450">
        <v>245049</v>
      </c>
      <c r="D1450">
        <v>-3.5999999999999997E-2</v>
      </c>
      <c r="E1450" t="s">
        <v>4</v>
      </c>
      <c r="F1450" t="s">
        <v>43</v>
      </c>
      <c r="G1450" t="s">
        <v>8</v>
      </c>
    </row>
    <row r="1451" spans="1:7" x14ac:dyDescent="0.3">
      <c r="A1451" t="s">
        <v>30</v>
      </c>
      <c r="B1451" s="1">
        <v>45900</v>
      </c>
      <c r="C1451">
        <v>245056</v>
      </c>
      <c r="D1451">
        <v>-8.3409999999999993</v>
      </c>
      <c r="E1451" t="s">
        <v>4</v>
      </c>
      <c r="F1451" t="s">
        <v>49</v>
      </c>
      <c r="G1451" t="s">
        <v>8</v>
      </c>
    </row>
    <row r="1452" spans="1:7" x14ac:dyDescent="0.3">
      <c r="A1452" t="s">
        <v>30</v>
      </c>
      <c r="B1452" s="1">
        <v>45900</v>
      </c>
      <c r="C1452">
        <v>245062</v>
      </c>
      <c r="D1452">
        <v>-1316.77</v>
      </c>
      <c r="E1452" t="s">
        <v>4</v>
      </c>
      <c r="F1452" t="s">
        <v>43</v>
      </c>
      <c r="G1452" t="s">
        <v>8</v>
      </c>
    </row>
    <row r="1453" spans="1:7" x14ac:dyDescent="0.3">
      <c r="A1453" t="s">
        <v>30</v>
      </c>
      <c r="B1453" s="1">
        <v>45900</v>
      </c>
      <c r="C1453">
        <v>250003</v>
      </c>
      <c r="D1453">
        <v>-2092.9459999999999</v>
      </c>
      <c r="E1453" t="s">
        <v>4</v>
      </c>
      <c r="F1453" t="s">
        <v>45</v>
      </c>
      <c r="G1453" t="s">
        <v>8</v>
      </c>
    </row>
    <row r="1454" spans="1:7" x14ac:dyDescent="0.3">
      <c r="A1454" t="s">
        <v>30</v>
      </c>
      <c r="B1454" s="1">
        <v>45900</v>
      </c>
      <c r="C1454">
        <v>251002</v>
      </c>
      <c r="D1454">
        <v>-13410.708000000001</v>
      </c>
      <c r="E1454" t="s">
        <v>4</v>
      </c>
      <c r="F1454" t="s">
        <v>45</v>
      </c>
      <c r="G1454" t="s">
        <v>8</v>
      </c>
    </row>
    <row r="1455" spans="1:7" x14ac:dyDescent="0.3">
      <c r="A1455" t="s">
        <v>30</v>
      </c>
      <c r="B1455" s="1">
        <v>45900</v>
      </c>
      <c r="C1455">
        <v>251003</v>
      </c>
      <c r="D1455">
        <v>-5189.7889999999998</v>
      </c>
      <c r="E1455" t="s">
        <v>4</v>
      </c>
      <c r="F1455" t="s">
        <v>45</v>
      </c>
      <c r="G1455" t="s">
        <v>8</v>
      </c>
    </row>
    <row r="1456" spans="1:7" x14ac:dyDescent="0.3">
      <c r="A1456" t="s">
        <v>30</v>
      </c>
      <c r="B1456" s="1">
        <v>45900</v>
      </c>
      <c r="C1456">
        <v>256040</v>
      </c>
      <c r="D1456">
        <v>-1007585.25</v>
      </c>
      <c r="E1456" t="s">
        <v>4</v>
      </c>
      <c r="F1456" t="s">
        <v>43</v>
      </c>
      <c r="G1456" t="s">
        <v>8</v>
      </c>
    </row>
    <row r="1457" spans="1:7" x14ac:dyDescent="0.3">
      <c r="A1457" t="s">
        <v>30</v>
      </c>
      <c r="B1457" s="1">
        <v>45900</v>
      </c>
      <c r="C1457">
        <v>256041</v>
      </c>
      <c r="D1457">
        <v>-11755.159</v>
      </c>
      <c r="E1457" t="s">
        <v>4</v>
      </c>
      <c r="F1457" t="s">
        <v>43</v>
      </c>
      <c r="G1457" t="s">
        <v>8</v>
      </c>
    </row>
    <row r="1458" spans="1:7" x14ac:dyDescent="0.3">
      <c r="A1458" t="s">
        <v>30</v>
      </c>
      <c r="B1458" s="1">
        <v>45900</v>
      </c>
      <c r="C1458">
        <v>257005</v>
      </c>
      <c r="D1458">
        <v>487.642</v>
      </c>
      <c r="E1458" t="s">
        <v>4</v>
      </c>
      <c r="F1458" t="s">
        <v>45</v>
      </c>
      <c r="G1458" t="s">
        <v>8</v>
      </c>
    </row>
    <row r="1459" spans="1:7" x14ac:dyDescent="0.3">
      <c r="A1459" t="s">
        <v>30</v>
      </c>
      <c r="B1459" s="1">
        <v>45900</v>
      </c>
      <c r="C1459">
        <v>257027</v>
      </c>
      <c r="D1459">
        <v>-2583.732</v>
      </c>
      <c r="E1459" t="s">
        <v>4</v>
      </c>
      <c r="F1459" t="s">
        <v>45</v>
      </c>
      <c r="G1459" t="s">
        <v>8</v>
      </c>
    </row>
    <row r="1460" spans="1:7" x14ac:dyDescent="0.3">
      <c r="A1460" t="s">
        <v>30</v>
      </c>
      <c r="B1460" s="1">
        <v>45900</v>
      </c>
      <c r="C1460">
        <v>260004</v>
      </c>
      <c r="D1460">
        <v>-64184.857000000004</v>
      </c>
      <c r="E1460" t="s">
        <v>4</v>
      </c>
      <c r="F1460" t="s">
        <v>45</v>
      </c>
      <c r="G1460" t="s">
        <v>8</v>
      </c>
    </row>
    <row r="1461" spans="1:7" x14ac:dyDescent="0.3">
      <c r="A1461" t="s">
        <v>30</v>
      </c>
      <c r="B1461" s="1">
        <v>45900</v>
      </c>
      <c r="C1461">
        <v>270025</v>
      </c>
      <c r="D1461">
        <v>-28322.214</v>
      </c>
      <c r="E1461" t="s">
        <v>4</v>
      </c>
      <c r="F1461" t="s">
        <v>58</v>
      </c>
      <c r="G1461" t="s">
        <v>8</v>
      </c>
    </row>
    <row r="1462" spans="1:7" x14ac:dyDescent="0.3">
      <c r="A1462" t="s">
        <v>30</v>
      </c>
      <c r="B1462" s="1">
        <v>45900</v>
      </c>
      <c r="C1462">
        <v>270026</v>
      </c>
      <c r="D1462">
        <v>-9576.09</v>
      </c>
      <c r="E1462" t="s">
        <v>4</v>
      </c>
      <c r="F1462" t="s">
        <v>58</v>
      </c>
      <c r="G1462" t="s">
        <v>8</v>
      </c>
    </row>
    <row r="1463" spans="1:7" x14ac:dyDescent="0.3">
      <c r="A1463" t="s">
        <v>30</v>
      </c>
      <c r="B1463" s="1">
        <v>45900</v>
      </c>
      <c r="C1463">
        <v>270027</v>
      </c>
      <c r="D1463">
        <v>-3619.1019999999999</v>
      </c>
      <c r="E1463" t="s">
        <v>4</v>
      </c>
      <c r="F1463" t="s">
        <v>58</v>
      </c>
      <c r="G1463" t="s">
        <v>8</v>
      </c>
    </row>
    <row r="1464" spans="1:7" x14ac:dyDescent="0.3">
      <c r="A1464" t="s">
        <v>30</v>
      </c>
      <c r="B1464" s="1">
        <v>45900</v>
      </c>
      <c r="C1464">
        <v>275002</v>
      </c>
      <c r="D1464">
        <v>-85.936000000000007</v>
      </c>
      <c r="E1464" t="s">
        <v>4</v>
      </c>
      <c r="F1464" t="s">
        <v>58</v>
      </c>
      <c r="G1464" t="s">
        <v>8</v>
      </c>
    </row>
    <row r="1465" spans="1:7" x14ac:dyDescent="0.3">
      <c r="A1465" t="s">
        <v>30</v>
      </c>
      <c r="B1465" s="1">
        <v>45900</v>
      </c>
      <c r="C1465">
        <v>300008</v>
      </c>
      <c r="D1465">
        <v>2594.6849999999999</v>
      </c>
      <c r="E1465" t="s">
        <v>4</v>
      </c>
      <c r="F1465" t="s">
        <v>65</v>
      </c>
      <c r="G1465" t="s">
        <v>8</v>
      </c>
    </row>
    <row r="1466" spans="1:7" x14ac:dyDescent="0.3">
      <c r="A1466" t="s">
        <v>30</v>
      </c>
      <c r="B1466" s="1">
        <v>45900</v>
      </c>
      <c r="C1466">
        <v>300011</v>
      </c>
      <c r="D1466">
        <v>40.927</v>
      </c>
      <c r="E1466" t="s">
        <v>4</v>
      </c>
      <c r="F1466" t="s">
        <v>65</v>
      </c>
      <c r="G1466" t="s">
        <v>8</v>
      </c>
    </row>
    <row r="1467" spans="1:7" x14ac:dyDescent="0.3">
      <c r="A1467" t="s">
        <v>30</v>
      </c>
      <c r="B1467" s="1">
        <v>45900</v>
      </c>
      <c r="C1467">
        <v>300012</v>
      </c>
      <c r="D1467">
        <v>62.347999999999999</v>
      </c>
      <c r="E1467" t="s">
        <v>4</v>
      </c>
      <c r="F1467" t="s">
        <v>65</v>
      </c>
      <c r="G1467" t="s">
        <v>8</v>
      </c>
    </row>
    <row r="1468" spans="1:7" x14ac:dyDescent="0.3">
      <c r="A1468" t="s">
        <v>30</v>
      </c>
      <c r="B1468" s="1">
        <v>45900</v>
      </c>
      <c r="C1468">
        <v>300508</v>
      </c>
      <c r="D1468">
        <v>-2127.0050000000001</v>
      </c>
      <c r="E1468" t="s">
        <v>4</v>
      </c>
      <c r="F1468" t="s">
        <v>65</v>
      </c>
      <c r="G1468" t="s">
        <v>8</v>
      </c>
    </row>
    <row r="1469" spans="1:7" x14ac:dyDescent="0.3">
      <c r="A1469" t="s">
        <v>30</v>
      </c>
      <c r="B1469" s="1">
        <v>45900</v>
      </c>
      <c r="C1469">
        <v>300511</v>
      </c>
      <c r="D1469">
        <v>-35.179000000000002</v>
      </c>
      <c r="E1469" t="s">
        <v>4</v>
      </c>
      <c r="F1469" t="s">
        <v>65</v>
      </c>
      <c r="G1469" t="s">
        <v>8</v>
      </c>
    </row>
    <row r="1470" spans="1:7" x14ac:dyDescent="0.3">
      <c r="A1470" t="s">
        <v>30</v>
      </c>
      <c r="B1470" s="1">
        <v>45900</v>
      </c>
      <c r="C1470">
        <v>300512</v>
      </c>
      <c r="D1470">
        <v>-47.332999999999998</v>
      </c>
      <c r="E1470" t="s">
        <v>4</v>
      </c>
      <c r="F1470" t="s">
        <v>65</v>
      </c>
      <c r="G1470" t="s">
        <v>8</v>
      </c>
    </row>
    <row r="1471" spans="1:7" x14ac:dyDescent="0.3">
      <c r="A1471" t="s">
        <v>30</v>
      </c>
      <c r="B1471" s="1">
        <v>45900</v>
      </c>
      <c r="C1471">
        <v>310022</v>
      </c>
      <c r="D1471">
        <v>1155459.6980000001</v>
      </c>
      <c r="E1471" t="s">
        <v>4</v>
      </c>
      <c r="F1471" t="s">
        <v>42</v>
      </c>
      <c r="G1471" t="s">
        <v>8</v>
      </c>
    </row>
    <row r="1472" spans="1:7" x14ac:dyDescent="0.3">
      <c r="A1472" t="s">
        <v>30</v>
      </c>
      <c r="B1472" s="1">
        <v>45900</v>
      </c>
      <c r="C1472">
        <v>320002</v>
      </c>
      <c r="D1472">
        <v>33513.364000000001</v>
      </c>
      <c r="E1472" t="s">
        <v>4</v>
      </c>
      <c r="F1472" t="s">
        <v>46</v>
      </c>
      <c r="G1472" t="s">
        <v>8</v>
      </c>
    </row>
    <row r="1473" spans="1:7" x14ac:dyDescent="0.3">
      <c r="A1473" t="s">
        <v>30</v>
      </c>
      <c r="B1473" s="1">
        <v>45900</v>
      </c>
      <c r="C1473">
        <v>320003</v>
      </c>
      <c r="D1473">
        <v>356335.51899999997</v>
      </c>
      <c r="E1473" t="s">
        <v>4</v>
      </c>
      <c r="F1473" t="s">
        <v>46</v>
      </c>
      <c r="G1473" t="s">
        <v>8</v>
      </c>
    </row>
    <row r="1474" spans="1:7" x14ac:dyDescent="0.3">
      <c r="A1474" t="s">
        <v>30</v>
      </c>
      <c r="B1474" s="1">
        <v>45900</v>
      </c>
      <c r="C1474">
        <v>320004</v>
      </c>
      <c r="D1474">
        <v>3213.5410000000002</v>
      </c>
      <c r="E1474" t="s">
        <v>4</v>
      </c>
      <c r="F1474" t="s">
        <v>46</v>
      </c>
      <c r="G1474" t="s">
        <v>8</v>
      </c>
    </row>
    <row r="1475" spans="1:7" x14ac:dyDescent="0.3">
      <c r="A1475" t="s">
        <v>30</v>
      </c>
      <c r="B1475" s="1">
        <v>45900</v>
      </c>
      <c r="C1475">
        <v>320018</v>
      </c>
      <c r="D1475">
        <v>1202.1610000000001</v>
      </c>
      <c r="E1475" t="s">
        <v>4</v>
      </c>
      <c r="F1475" t="s">
        <v>46</v>
      </c>
      <c r="G1475" t="s">
        <v>8</v>
      </c>
    </row>
    <row r="1476" spans="1:7" x14ac:dyDescent="0.3">
      <c r="A1476" t="s">
        <v>30</v>
      </c>
      <c r="B1476" s="1">
        <v>45900</v>
      </c>
      <c r="C1476">
        <v>320023</v>
      </c>
      <c r="D1476">
        <v>-4882.1130000000003</v>
      </c>
      <c r="E1476" t="s">
        <v>4</v>
      </c>
      <c r="F1476" t="s">
        <v>46</v>
      </c>
      <c r="G1476" t="s">
        <v>8</v>
      </c>
    </row>
    <row r="1477" spans="1:7" x14ac:dyDescent="0.3">
      <c r="A1477" t="s">
        <v>30</v>
      </c>
      <c r="B1477" s="1">
        <v>45900</v>
      </c>
      <c r="C1477">
        <v>321002</v>
      </c>
      <c r="D1477">
        <v>87013.498999999996</v>
      </c>
      <c r="E1477" t="s">
        <v>4</v>
      </c>
      <c r="F1477" t="s">
        <v>46</v>
      </c>
      <c r="G1477" t="s">
        <v>8</v>
      </c>
    </row>
    <row r="1478" spans="1:7" x14ac:dyDescent="0.3">
      <c r="A1478" t="s">
        <v>30</v>
      </c>
      <c r="B1478" s="1">
        <v>45900</v>
      </c>
      <c r="C1478">
        <v>321004</v>
      </c>
      <c r="D1478">
        <v>3996.462</v>
      </c>
      <c r="E1478" t="s">
        <v>4</v>
      </c>
      <c r="F1478" t="s">
        <v>46</v>
      </c>
      <c r="G1478" t="s">
        <v>8</v>
      </c>
    </row>
    <row r="1479" spans="1:7" x14ac:dyDescent="0.3">
      <c r="A1479" t="s">
        <v>30</v>
      </c>
      <c r="B1479" s="1">
        <v>45900</v>
      </c>
      <c r="C1479">
        <v>321012</v>
      </c>
      <c r="D1479">
        <v>133579.24400000001</v>
      </c>
      <c r="E1479" t="s">
        <v>4</v>
      </c>
      <c r="F1479" t="s">
        <v>46</v>
      </c>
      <c r="G1479" t="s">
        <v>8</v>
      </c>
    </row>
    <row r="1480" spans="1:7" x14ac:dyDescent="0.3">
      <c r="A1480" t="s">
        <v>30</v>
      </c>
      <c r="B1480" s="1">
        <v>45900</v>
      </c>
      <c r="C1480">
        <v>321013</v>
      </c>
      <c r="D1480">
        <v>5035.9110000000001</v>
      </c>
      <c r="E1480" t="s">
        <v>4</v>
      </c>
      <c r="F1480" t="s">
        <v>46</v>
      </c>
      <c r="G1480" t="s">
        <v>8</v>
      </c>
    </row>
    <row r="1481" spans="1:7" x14ac:dyDescent="0.3">
      <c r="A1481" t="s">
        <v>30</v>
      </c>
      <c r="B1481" s="1">
        <v>45900</v>
      </c>
      <c r="C1481">
        <v>321014</v>
      </c>
      <c r="D1481">
        <v>6047.7669999999998</v>
      </c>
      <c r="E1481" t="s">
        <v>4</v>
      </c>
      <c r="F1481" t="s">
        <v>46</v>
      </c>
      <c r="G1481" t="s">
        <v>8</v>
      </c>
    </row>
    <row r="1482" spans="1:7" x14ac:dyDescent="0.3">
      <c r="A1482" t="s">
        <v>30</v>
      </c>
      <c r="B1482" s="1">
        <v>45900</v>
      </c>
      <c r="C1482">
        <v>321021</v>
      </c>
      <c r="D1482">
        <v>31525.774000000001</v>
      </c>
      <c r="E1482" t="s">
        <v>4</v>
      </c>
      <c r="F1482" t="s">
        <v>46</v>
      </c>
      <c r="G1482" t="s">
        <v>8</v>
      </c>
    </row>
    <row r="1483" spans="1:7" x14ac:dyDescent="0.3">
      <c r="A1483" t="s">
        <v>30</v>
      </c>
      <c r="B1483" s="1">
        <v>45900</v>
      </c>
      <c r="C1483">
        <v>321028</v>
      </c>
      <c r="D1483">
        <v>309.72300000000001</v>
      </c>
      <c r="E1483" t="s">
        <v>4</v>
      </c>
      <c r="F1483" t="s">
        <v>46</v>
      </c>
      <c r="G1483" t="s">
        <v>8</v>
      </c>
    </row>
    <row r="1484" spans="1:7" x14ac:dyDescent="0.3">
      <c r="A1484" t="s">
        <v>30</v>
      </c>
      <c r="B1484" s="1">
        <v>45900</v>
      </c>
      <c r="C1484">
        <v>321029</v>
      </c>
      <c r="D1484">
        <v>42934.680999999997</v>
      </c>
      <c r="E1484" t="s">
        <v>4</v>
      </c>
      <c r="F1484" t="s">
        <v>46</v>
      </c>
      <c r="G1484" t="s">
        <v>8</v>
      </c>
    </row>
    <row r="1485" spans="1:7" x14ac:dyDescent="0.3">
      <c r="A1485" t="s">
        <v>30</v>
      </c>
      <c r="B1485" s="1">
        <v>45900</v>
      </c>
      <c r="C1485">
        <v>321031</v>
      </c>
      <c r="D1485">
        <v>81379.854000000007</v>
      </c>
      <c r="E1485" t="s">
        <v>4</v>
      </c>
      <c r="F1485" t="s">
        <v>46</v>
      </c>
      <c r="G1485" t="s">
        <v>8</v>
      </c>
    </row>
    <row r="1486" spans="1:7" x14ac:dyDescent="0.3">
      <c r="A1486" t="s">
        <v>30</v>
      </c>
      <c r="B1486" s="1">
        <v>45900</v>
      </c>
      <c r="C1486">
        <v>321042</v>
      </c>
      <c r="D1486">
        <v>2812.2350000000001</v>
      </c>
      <c r="E1486" t="s">
        <v>4</v>
      </c>
      <c r="F1486" t="s">
        <v>46</v>
      </c>
      <c r="G1486" t="s">
        <v>8</v>
      </c>
    </row>
    <row r="1487" spans="1:7" x14ac:dyDescent="0.3">
      <c r="A1487" t="s">
        <v>30</v>
      </c>
      <c r="B1487" s="1">
        <v>45900</v>
      </c>
      <c r="C1487">
        <v>330044</v>
      </c>
      <c r="D1487">
        <v>1980.625</v>
      </c>
      <c r="E1487" t="s">
        <v>4</v>
      </c>
      <c r="F1487" t="s">
        <v>43</v>
      </c>
      <c r="G1487" t="s">
        <v>8</v>
      </c>
    </row>
    <row r="1488" spans="1:7" x14ac:dyDescent="0.3">
      <c r="A1488" t="s">
        <v>30</v>
      </c>
      <c r="B1488" s="1">
        <v>45900</v>
      </c>
      <c r="C1488">
        <v>330107</v>
      </c>
      <c r="D1488">
        <v>-994.91800000000001</v>
      </c>
      <c r="E1488" t="s">
        <v>4</v>
      </c>
      <c r="F1488" t="s">
        <v>43</v>
      </c>
      <c r="G1488" t="s">
        <v>8</v>
      </c>
    </row>
    <row r="1489" spans="1:7" x14ac:dyDescent="0.3">
      <c r="A1489" t="s">
        <v>30</v>
      </c>
      <c r="B1489" s="1">
        <v>45900</v>
      </c>
      <c r="C1489">
        <v>330113</v>
      </c>
      <c r="D1489">
        <v>-596.33500000000004</v>
      </c>
      <c r="E1489" t="s">
        <v>4</v>
      </c>
      <c r="F1489" t="s">
        <v>43</v>
      </c>
      <c r="G1489" t="s">
        <v>8</v>
      </c>
    </row>
    <row r="1490" spans="1:7" x14ac:dyDescent="0.3">
      <c r="A1490" t="s">
        <v>30</v>
      </c>
      <c r="B1490" s="1">
        <v>45900</v>
      </c>
      <c r="C1490">
        <v>330141</v>
      </c>
      <c r="D1490">
        <v>4207.3789999999999</v>
      </c>
      <c r="E1490" t="s">
        <v>4</v>
      </c>
      <c r="F1490" t="s">
        <v>43</v>
      </c>
      <c r="G1490" t="s">
        <v>8</v>
      </c>
    </row>
    <row r="1491" spans="1:7" x14ac:dyDescent="0.3">
      <c r="A1491" t="s">
        <v>30</v>
      </c>
      <c r="B1491" s="1">
        <v>45900</v>
      </c>
      <c r="C1491">
        <v>330143</v>
      </c>
      <c r="D1491">
        <v>2118.34</v>
      </c>
      <c r="E1491" t="s">
        <v>4</v>
      </c>
      <c r="F1491" t="s">
        <v>43</v>
      </c>
      <c r="G1491" t="s">
        <v>8</v>
      </c>
    </row>
    <row r="1492" spans="1:7" x14ac:dyDescent="0.3">
      <c r="A1492" t="s">
        <v>30</v>
      </c>
      <c r="B1492" s="1">
        <v>45900</v>
      </c>
      <c r="C1492">
        <v>331017</v>
      </c>
      <c r="D1492">
        <v>22315.562000000002</v>
      </c>
      <c r="E1492" t="s">
        <v>4</v>
      </c>
      <c r="F1492" t="s">
        <v>43</v>
      </c>
      <c r="G1492" t="s">
        <v>8</v>
      </c>
    </row>
    <row r="1493" spans="1:7" x14ac:dyDescent="0.3">
      <c r="A1493" t="s">
        <v>30</v>
      </c>
      <c r="B1493" s="1">
        <v>45900</v>
      </c>
      <c r="C1493">
        <v>340165</v>
      </c>
      <c r="D1493">
        <v>279548.58</v>
      </c>
      <c r="E1493" t="s">
        <v>4</v>
      </c>
      <c r="F1493" t="s">
        <v>47</v>
      </c>
      <c r="G1493" t="s">
        <v>8</v>
      </c>
    </row>
    <row r="1494" spans="1:7" x14ac:dyDescent="0.3">
      <c r="A1494" t="s">
        <v>30</v>
      </c>
      <c r="B1494" s="1">
        <v>45900</v>
      </c>
      <c r="C1494">
        <v>340323</v>
      </c>
      <c r="D1494">
        <v>7052.232</v>
      </c>
      <c r="E1494" t="s">
        <v>4</v>
      </c>
      <c r="F1494" t="s">
        <v>47</v>
      </c>
      <c r="G1494" t="s">
        <v>8</v>
      </c>
    </row>
    <row r="1495" spans="1:7" x14ac:dyDescent="0.3">
      <c r="A1495" t="s">
        <v>30</v>
      </c>
      <c r="B1495" s="1">
        <v>45900</v>
      </c>
      <c r="C1495">
        <v>350002</v>
      </c>
      <c r="D1495">
        <v>521.64099999999996</v>
      </c>
      <c r="E1495" t="s">
        <v>4</v>
      </c>
      <c r="F1495" t="s">
        <v>49</v>
      </c>
      <c r="G1495" t="s">
        <v>8</v>
      </c>
    </row>
    <row r="1496" spans="1:7" x14ac:dyDescent="0.3">
      <c r="A1496" t="s">
        <v>30</v>
      </c>
      <c r="B1496" s="1">
        <v>45900</v>
      </c>
      <c r="C1496">
        <v>350003</v>
      </c>
      <c r="D1496">
        <v>626.83199999999999</v>
      </c>
      <c r="E1496" t="s">
        <v>4</v>
      </c>
      <c r="F1496" t="s">
        <v>49</v>
      </c>
      <c r="G1496" t="s">
        <v>8</v>
      </c>
    </row>
    <row r="1497" spans="1:7" x14ac:dyDescent="0.3">
      <c r="A1497" t="s">
        <v>30</v>
      </c>
      <c r="B1497" s="1">
        <v>45900</v>
      </c>
      <c r="C1497">
        <v>350007</v>
      </c>
      <c r="D1497">
        <v>4.282</v>
      </c>
      <c r="E1497" t="s">
        <v>4</v>
      </c>
      <c r="F1497" t="s">
        <v>49</v>
      </c>
      <c r="G1497" t="s">
        <v>8</v>
      </c>
    </row>
    <row r="1498" spans="1:7" x14ac:dyDescent="0.3">
      <c r="A1498" t="s">
        <v>30</v>
      </c>
      <c r="B1498" s="1">
        <v>45900</v>
      </c>
      <c r="C1498">
        <v>350031</v>
      </c>
      <c r="D1498">
        <v>485.81</v>
      </c>
      <c r="E1498" t="s">
        <v>4</v>
      </c>
      <c r="F1498" t="s">
        <v>43</v>
      </c>
      <c r="G1498" t="s">
        <v>8</v>
      </c>
    </row>
    <row r="1499" spans="1:7" x14ac:dyDescent="0.3">
      <c r="A1499" t="s">
        <v>30</v>
      </c>
      <c r="B1499" s="1">
        <v>45900</v>
      </c>
      <c r="C1499">
        <v>350034</v>
      </c>
      <c r="D1499">
        <v>8.3409999999999993</v>
      </c>
      <c r="E1499" t="s">
        <v>4</v>
      </c>
      <c r="F1499" t="s">
        <v>49</v>
      </c>
      <c r="G1499" t="s">
        <v>8</v>
      </c>
    </row>
    <row r="1500" spans="1:7" x14ac:dyDescent="0.3">
      <c r="A1500" t="s">
        <v>30</v>
      </c>
      <c r="B1500" s="1">
        <v>45900</v>
      </c>
      <c r="C1500">
        <v>354012</v>
      </c>
      <c r="D1500">
        <v>331693.41499999998</v>
      </c>
      <c r="E1500" t="s">
        <v>4</v>
      </c>
      <c r="F1500" t="s">
        <v>46</v>
      </c>
      <c r="G1500" t="s">
        <v>8</v>
      </c>
    </row>
    <row r="1501" spans="1:7" x14ac:dyDescent="0.3">
      <c r="A1501" t="s">
        <v>30</v>
      </c>
      <c r="B1501" s="1">
        <v>45900</v>
      </c>
      <c r="C1501">
        <v>354014</v>
      </c>
      <c r="D1501">
        <v>27211.712</v>
      </c>
      <c r="E1501" t="s">
        <v>4</v>
      </c>
      <c r="F1501" t="s">
        <v>46</v>
      </c>
      <c r="G1501" t="s">
        <v>8</v>
      </c>
    </row>
    <row r="1502" spans="1:7" x14ac:dyDescent="0.3">
      <c r="A1502" t="s">
        <v>30</v>
      </c>
      <c r="B1502" s="1">
        <v>45900</v>
      </c>
      <c r="C1502">
        <v>354015</v>
      </c>
      <c r="D1502">
        <v>18781.534</v>
      </c>
      <c r="E1502" t="s">
        <v>4</v>
      </c>
      <c r="F1502" t="s">
        <v>46</v>
      </c>
      <c r="G1502" t="s">
        <v>8</v>
      </c>
    </row>
    <row r="1503" spans="1:7" x14ac:dyDescent="0.3">
      <c r="A1503" t="s">
        <v>30</v>
      </c>
      <c r="B1503" s="1">
        <v>45900</v>
      </c>
      <c r="C1503">
        <v>355002</v>
      </c>
      <c r="D1503">
        <v>557.21199999999999</v>
      </c>
      <c r="E1503" t="s">
        <v>4</v>
      </c>
      <c r="F1503" t="s">
        <v>49</v>
      </c>
      <c r="G1503" t="s">
        <v>8</v>
      </c>
    </row>
    <row r="1504" spans="1:7" x14ac:dyDescent="0.3">
      <c r="A1504" t="s">
        <v>30</v>
      </c>
      <c r="B1504" s="1">
        <v>45900</v>
      </c>
      <c r="C1504">
        <v>360028</v>
      </c>
      <c r="D1504">
        <v>28500.269</v>
      </c>
      <c r="E1504" t="s">
        <v>4</v>
      </c>
      <c r="F1504" t="s">
        <v>58</v>
      </c>
      <c r="G1504" t="s">
        <v>8</v>
      </c>
    </row>
    <row r="1505" spans="1:7" x14ac:dyDescent="0.3">
      <c r="A1505" t="s">
        <v>30</v>
      </c>
      <c r="B1505" s="1">
        <v>45900</v>
      </c>
      <c r="C1505">
        <v>360030</v>
      </c>
      <c r="D1505">
        <v>8889.6370000000006</v>
      </c>
      <c r="E1505" t="s">
        <v>4</v>
      </c>
      <c r="F1505" t="s">
        <v>58</v>
      </c>
      <c r="G1505" t="s">
        <v>8</v>
      </c>
    </row>
    <row r="1506" spans="1:7" x14ac:dyDescent="0.3">
      <c r="A1506" t="s">
        <v>30</v>
      </c>
      <c r="B1506" s="1">
        <v>45900</v>
      </c>
      <c r="C1506">
        <v>360032</v>
      </c>
      <c r="D1506">
        <v>2187.8989999999999</v>
      </c>
      <c r="E1506" t="s">
        <v>4</v>
      </c>
      <c r="F1506" t="s">
        <v>58</v>
      </c>
      <c r="G1506" t="s">
        <v>8</v>
      </c>
    </row>
    <row r="1507" spans="1:7" x14ac:dyDescent="0.3">
      <c r="A1507" t="s">
        <v>30</v>
      </c>
      <c r="B1507" s="1">
        <v>45900</v>
      </c>
      <c r="C1507">
        <v>372004</v>
      </c>
      <c r="D1507">
        <v>46162.855000000003</v>
      </c>
      <c r="E1507" t="s">
        <v>4</v>
      </c>
      <c r="F1507" t="s">
        <v>45</v>
      </c>
      <c r="G1507" t="s">
        <v>8</v>
      </c>
    </row>
    <row r="1508" spans="1:7" x14ac:dyDescent="0.3">
      <c r="A1508" t="s">
        <v>30</v>
      </c>
      <c r="B1508" s="1">
        <v>45900</v>
      </c>
      <c r="C1508">
        <v>400002</v>
      </c>
      <c r="D1508">
        <v>-18108.509999999998</v>
      </c>
      <c r="E1508" t="s">
        <v>6</v>
      </c>
      <c r="F1508" t="s">
        <v>50</v>
      </c>
      <c r="G1508" t="s">
        <v>8</v>
      </c>
    </row>
    <row r="1509" spans="1:7" x14ac:dyDescent="0.3">
      <c r="A1509" t="s">
        <v>30</v>
      </c>
      <c r="B1509" s="1">
        <v>45900</v>
      </c>
      <c r="C1509">
        <v>400004</v>
      </c>
      <c r="D1509">
        <v>-70908.327999999994</v>
      </c>
      <c r="E1509" t="s">
        <v>6</v>
      </c>
      <c r="F1509" t="s">
        <v>50</v>
      </c>
      <c r="G1509" t="s">
        <v>8</v>
      </c>
    </row>
    <row r="1510" spans="1:7" x14ac:dyDescent="0.3">
      <c r="A1510" t="s">
        <v>30</v>
      </c>
      <c r="B1510" s="1">
        <v>45900</v>
      </c>
      <c r="C1510">
        <v>410002</v>
      </c>
      <c r="D1510">
        <v>-20880.005000000001</v>
      </c>
      <c r="E1510" t="s">
        <v>6</v>
      </c>
      <c r="F1510" t="s">
        <v>51</v>
      </c>
      <c r="G1510" t="s">
        <v>8</v>
      </c>
    </row>
    <row r="1511" spans="1:7" x14ac:dyDescent="0.3">
      <c r="A1511" t="s">
        <v>30</v>
      </c>
      <c r="B1511" s="1">
        <v>45900</v>
      </c>
      <c r="C1511">
        <v>410005</v>
      </c>
      <c r="D1511">
        <v>-7966.2790000000005</v>
      </c>
      <c r="E1511" t="s">
        <v>6</v>
      </c>
      <c r="F1511" t="s">
        <v>51</v>
      </c>
      <c r="G1511" t="s">
        <v>8</v>
      </c>
    </row>
    <row r="1512" spans="1:7" x14ac:dyDescent="0.3">
      <c r="A1512" t="s">
        <v>30</v>
      </c>
      <c r="B1512" s="1">
        <v>45900</v>
      </c>
      <c r="C1512">
        <v>410006</v>
      </c>
      <c r="D1512">
        <v>-49893.703999999998</v>
      </c>
      <c r="E1512" t="s">
        <v>6</v>
      </c>
      <c r="F1512" t="s">
        <v>51</v>
      </c>
      <c r="G1512" t="s">
        <v>8</v>
      </c>
    </row>
    <row r="1513" spans="1:7" x14ac:dyDescent="0.3">
      <c r="A1513" t="s">
        <v>30</v>
      </c>
      <c r="B1513" s="1">
        <v>45900</v>
      </c>
      <c r="C1513">
        <v>410009</v>
      </c>
      <c r="D1513">
        <v>-28428.573</v>
      </c>
      <c r="E1513" t="s">
        <v>6</v>
      </c>
      <c r="F1513" t="s">
        <v>51</v>
      </c>
      <c r="G1513" t="s">
        <v>8</v>
      </c>
    </row>
    <row r="1514" spans="1:7" x14ac:dyDescent="0.3">
      <c r="A1514" t="s">
        <v>30</v>
      </c>
      <c r="B1514" s="1">
        <v>45900</v>
      </c>
      <c r="C1514">
        <v>410015</v>
      </c>
      <c r="D1514">
        <v>-4001.3850000000002</v>
      </c>
      <c r="E1514" t="s">
        <v>6</v>
      </c>
      <c r="F1514" t="s">
        <v>51</v>
      </c>
      <c r="G1514" t="s">
        <v>8</v>
      </c>
    </row>
    <row r="1515" spans="1:7" x14ac:dyDescent="0.3">
      <c r="A1515" t="s">
        <v>30</v>
      </c>
      <c r="B1515" s="1">
        <v>45900</v>
      </c>
      <c r="C1515">
        <v>410018</v>
      </c>
      <c r="D1515">
        <v>-1596.7239999999999</v>
      </c>
      <c r="E1515" t="s">
        <v>6</v>
      </c>
      <c r="F1515" t="s">
        <v>51</v>
      </c>
      <c r="G1515" t="s">
        <v>8</v>
      </c>
    </row>
    <row r="1516" spans="1:7" x14ac:dyDescent="0.3">
      <c r="A1516" t="s">
        <v>30</v>
      </c>
      <c r="B1516" s="1">
        <v>45900</v>
      </c>
      <c r="C1516">
        <v>410036</v>
      </c>
      <c r="D1516">
        <v>-1196.721</v>
      </c>
      <c r="E1516" t="s">
        <v>6</v>
      </c>
      <c r="F1516" t="s">
        <v>51</v>
      </c>
      <c r="G1516" t="s">
        <v>8</v>
      </c>
    </row>
    <row r="1517" spans="1:7" x14ac:dyDescent="0.3">
      <c r="A1517" t="s">
        <v>30</v>
      </c>
      <c r="B1517" s="1">
        <v>45900</v>
      </c>
      <c r="C1517">
        <v>410037</v>
      </c>
      <c r="D1517">
        <v>-93474.202999999994</v>
      </c>
      <c r="E1517" t="s">
        <v>6</v>
      </c>
      <c r="F1517" t="s">
        <v>51</v>
      </c>
      <c r="G1517" t="s">
        <v>8</v>
      </c>
    </row>
    <row r="1518" spans="1:7" x14ac:dyDescent="0.3">
      <c r="A1518" t="s">
        <v>30</v>
      </c>
      <c r="B1518" s="1">
        <v>45900</v>
      </c>
      <c r="C1518">
        <v>410039</v>
      </c>
      <c r="D1518">
        <v>-22849.192999999999</v>
      </c>
      <c r="E1518" t="s">
        <v>6</v>
      </c>
      <c r="F1518" t="s">
        <v>51</v>
      </c>
      <c r="G1518" t="s">
        <v>8</v>
      </c>
    </row>
    <row r="1519" spans="1:7" x14ac:dyDescent="0.3">
      <c r="A1519" t="s">
        <v>30</v>
      </c>
      <c r="B1519" s="1">
        <v>45900</v>
      </c>
      <c r="C1519">
        <v>410040</v>
      </c>
      <c r="D1519">
        <v>-506.94</v>
      </c>
      <c r="E1519" t="s">
        <v>6</v>
      </c>
      <c r="F1519" t="s">
        <v>51</v>
      </c>
      <c r="G1519" t="s">
        <v>8</v>
      </c>
    </row>
    <row r="1520" spans="1:7" x14ac:dyDescent="0.3">
      <c r="A1520" t="s">
        <v>30</v>
      </c>
      <c r="B1520" s="1">
        <v>45900</v>
      </c>
      <c r="C1520">
        <v>415002</v>
      </c>
      <c r="D1520">
        <v>-189386.62700000001</v>
      </c>
      <c r="E1520" t="s">
        <v>6</v>
      </c>
      <c r="F1520" t="s">
        <v>50</v>
      </c>
      <c r="G1520" t="s">
        <v>8</v>
      </c>
    </row>
    <row r="1521" spans="1:7" x14ac:dyDescent="0.3">
      <c r="A1521" t="s">
        <v>30</v>
      </c>
      <c r="B1521" s="1">
        <v>45900</v>
      </c>
      <c r="C1521">
        <v>415004</v>
      </c>
      <c r="D1521">
        <v>-458758.45299999998</v>
      </c>
      <c r="E1521" t="s">
        <v>6</v>
      </c>
      <c r="F1521" t="s">
        <v>50</v>
      </c>
      <c r="G1521" t="s">
        <v>8</v>
      </c>
    </row>
    <row r="1522" spans="1:7" x14ac:dyDescent="0.3">
      <c r="A1522" t="s">
        <v>30</v>
      </c>
      <c r="B1522" s="1">
        <v>45900</v>
      </c>
      <c r="C1522">
        <v>418003</v>
      </c>
      <c r="D1522">
        <v>3.0000000000000001E-3</v>
      </c>
      <c r="E1522" t="s">
        <v>6</v>
      </c>
      <c r="F1522" t="s">
        <v>51</v>
      </c>
      <c r="G1522" t="s">
        <v>8</v>
      </c>
    </row>
    <row r="1523" spans="1:7" x14ac:dyDescent="0.3">
      <c r="A1523" t="s">
        <v>30</v>
      </c>
      <c r="B1523" s="1">
        <v>45900</v>
      </c>
      <c r="C1523">
        <v>421002</v>
      </c>
      <c r="D1523">
        <v>-27453.754000000001</v>
      </c>
      <c r="E1523" t="s">
        <v>6</v>
      </c>
      <c r="F1523" t="s">
        <v>52</v>
      </c>
      <c r="G1523" t="s">
        <v>8</v>
      </c>
    </row>
    <row r="1524" spans="1:7" x14ac:dyDescent="0.3">
      <c r="A1524" t="s">
        <v>30</v>
      </c>
      <c r="B1524" s="1">
        <v>45900</v>
      </c>
      <c r="C1524">
        <v>421003</v>
      </c>
      <c r="D1524">
        <v>40267.559000000001</v>
      </c>
      <c r="E1524" t="s">
        <v>6</v>
      </c>
      <c r="F1524" t="s">
        <v>52</v>
      </c>
      <c r="G1524" t="s">
        <v>8</v>
      </c>
    </row>
    <row r="1525" spans="1:7" x14ac:dyDescent="0.3">
      <c r="A1525" t="s">
        <v>30</v>
      </c>
      <c r="B1525" s="1">
        <v>45900</v>
      </c>
      <c r="C1525">
        <v>421004</v>
      </c>
      <c r="D1525">
        <v>1546.798</v>
      </c>
      <c r="E1525" t="s">
        <v>6</v>
      </c>
      <c r="F1525" t="s">
        <v>52</v>
      </c>
      <c r="G1525" t="s">
        <v>8</v>
      </c>
    </row>
    <row r="1526" spans="1:7" x14ac:dyDescent="0.3">
      <c r="A1526" t="s">
        <v>30</v>
      </c>
      <c r="B1526" s="1">
        <v>45900</v>
      </c>
      <c r="C1526">
        <v>421007</v>
      </c>
      <c r="D1526">
        <v>-18110.494999999999</v>
      </c>
      <c r="E1526" t="s">
        <v>6</v>
      </c>
      <c r="F1526" t="s">
        <v>52</v>
      </c>
      <c r="G1526" t="s">
        <v>8</v>
      </c>
    </row>
    <row r="1527" spans="1:7" x14ac:dyDescent="0.3">
      <c r="A1527" t="s">
        <v>30</v>
      </c>
      <c r="B1527" s="1">
        <v>45900</v>
      </c>
      <c r="C1527">
        <v>423002</v>
      </c>
      <c r="D1527">
        <v>-5199.9790000000003</v>
      </c>
      <c r="E1527" t="s">
        <v>6</v>
      </c>
      <c r="F1527" t="s">
        <v>52</v>
      </c>
      <c r="G1527" t="s">
        <v>8</v>
      </c>
    </row>
    <row r="1528" spans="1:7" x14ac:dyDescent="0.3">
      <c r="A1528" t="s">
        <v>30</v>
      </c>
      <c r="B1528" s="1">
        <v>45900</v>
      </c>
      <c r="C1528">
        <v>510002</v>
      </c>
      <c r="D1528">
        <v>28241.484</v>
      </c>
      <c r="E1528" t="s">
        <v>6</v>
      </c>
      <c r="F1528" t="s">
        <v>53</v>
      </c>
      <c r="G1528" t="s">
        <v>8</v>
      </c>
    </row>
    <row r="1529" spans="1:7" x14ac:dyDescent="0.3">
      <c r="A1529" t="s">
        <v>30</v>
      </c>
      <c r="B1529" s="1">
        <v>45900</v>
      </c>
      <c r="C1529">
        <v>510005</v>
      </c>
      <c r="D1529">
        <v>-196.12899999999999</v>
      </c>
      <c r="E1529" t="s">
        <v>6</v>
      </c>
      <c r="F1529" t="s">
        <v>53</v>
      </c>
      <c r="G1529" t="s">
        <v>8</v>
      </c>
    </row>
    <row r="1530" spans="1:7" x14ac:dyDescent="0.3">
      <c r="A1530" t="s">
        <v>30</v>
      </c>
      <c r="B1530" s="1">
        <v>45900</v>
      </c>
      <c r="C1530">
        <v>510007</v>
      </c>
      <c r="D1530">
        <v>392.89299999999997</v>
      </c>
      <c r="E1530" t="s">
        <v>6</v>
      </c>
      <c r="F1530" t="s">
        <v>53</v>
      </c>
      <c r="G1530" t="s">
        <v>8</v>
      </c>
    </row>
    <row r="1531" spans="1:7" x14ac:dyDescent="0.3">
      <c r="A1531" t="s">
        <v>30</v>
      </c>
      <c r="B1531" s="1">
        <v>45900</v>
      </c>
      <c r="C1531">
        <v>510062</v>
      </c>
      <c r="D1531">
        <v>85.164000000000001</v>
      </c>
      <c r="E1531" t="s">
        <v>6</v>
      </c>
      <c r="F1531" t="s">
        <v>53</v>
      </c>
      <c r="G1531" t="s">
        <v>8</v>
      </c>
    </row>
    <row r="1532" spans="1:7" x14ac:dyDescent="0.3">
      <c r="A1532" t="s">
        <v>30</v>
      </c>
      <c r="B1532" s="1">
        <v>45900</v>
      </c>
      <c r="C1532">
        <v>510065</v>
      </c>
      <c r="D1532">
        <v>174.21199999999999</v>
      </c>
      <c r="E1532" t="s">
        <v>6</v>
      </c>
      <c r="F1532" t="s">
        <v>53</v>
      </c>
      <c r="G1532" t="s">
        <v>8</v>
      </c>
    </row>
    <row r="1533" spans="1:7" x14ac:dyDescent="0.3">
      <c r="A1533" t="s">
        <v>30</v>
      </c>
      <c r="B1533" s="1">
        <v>45900</v>
      </c>
      <c r="C1533">
        <v>520011</v>
      </c>
      <c r="D1533">
        <v>4697.9709999999995</v>
      </c>
      <c r="E1533" t="s">
        <v>6</v>
      </c>
      <c r="F1533" t="s">
        <v>53</v>
      </c>
      <c r="G1533" t="s">
        <v>8</v>
      </c>
    </row>
    <row r="1534" spans="1:7" x14ac:dyDescent="0.3">
      <c r="A1534" t="s">
        <v>30</v>
      </c>
      <c r="B1534" s="1">
        <v>45900</v>
      </c>
      <c r="C1534">
        <v>520021</v>
      </c>
      <c r="D1534">
        <v>2.4390000000000001</v>
      </c>
      <c r="E1534" t="s">
        <v>6</v>
      </c>
      <c r="F1534" t="s">
        <v>60</v>
      </c>
      <c r="G1534" t="s">
        <v>8</v>
      </c>
    </row>
    <row r="1535" spans="1:7" x14ac:dyDescent="0.3">
      <c r="A1535" t="s">
        <v>30</v>
      </c>
      <c r="B1535" s="1">
        <v>45900</v>
      </c>
      <c r="C1535">
        <v>540004</v>
      </c>
      <c r="D1535">
        <v>296.41300000000001</v>
      </c>
      <c r="E1535" t="s">
        <v>6</v>
      </c>
      <c r="F1535" t="s">
        <v>67</v>
      </c>
      <c r="G1535" t="s">
        <v>8</v>
      </c>
    </row>
    <row r="1536" spans="1:7" x14ac:dyDescent="0.3">
      <c r="A1536" t="s">
        <v>30</v>
      </c>
      <c r="B1536" s="1">
        <v>45900</v>
      </c>
      <c r="C1536">
        <v>540009</v>
      </c>
      <c r="D1536">
        <v>12138.018</v>
      </c>
      <c r="E1536" t="s">
        <v>6</v>
      </c>
      <c r="F1536" t="s">
        <v>59</v>
      </c>
      <c r="G1536" t="s">
        <v>8</v>
      </c>
    </row>
    <row r="1537" spans="1:7" x14ac:dyDescent="0.3">
      <c r="A1537" t="s">
        <v>30</v>
      </c>
      <c r="B1537" s="1">
        <v>45900</v>
      </c>
      <c r="C1537">
        <v>541003</v>
      </c>
      <c r="D1537">
        <v>505.4</v>
      </c>
      <c r="E1537" t="s">
        <v>6</v>
      </c>
      <c r="F1537" t="s">
        <v>61</v>
      </c>
      <c r="G1537" t="s">
        <v>8</v>
      </c>
    </row>
    <row r="1538" spans="1:7" x14ac:dyDescent="0.3">
      <c r="A1538" t="s">
        <v>30</v>
      </c>
      <c r="B1538" s="1">
        <v>45900</v>
      </c>
      <c r="C1538">
        <v>541004</v>
      </c>
      <c r="D1538">
        <v>-178.20599999999999</v>
      </c>
      <c r="E1538" t="s">
        <v>6</v>
      </c>
      <c r="F1538" t="s">
        <v>61</v>
      </c>
      <c r="G1538" t="s">
        <v>8</v>
      </c>
    </row>
    <row r="1539" spans="1:7" x14ac:dyDescent="0.3">
      <c r="A1539" t="s">
        <v>30</v>
      </c>
      <c r="B1539" s="1">
        <v>45900</v>
      </c>
      <c r="C1539">
        <v>541009</v>
      </c>
      <c r="D1539">
        <v>4245.6549999999997</v>
      </c>
      <c r="E1539" t="s">
        <v>6</v>
      </c>
      <c r="F1539" t="s">
        <v>61</v>
      </c>
      <c r="G1539" t="s">
        <v>8</v>
      </c>
    </row>
    <row r="1540" spans="1:7" x14ac:dyDescent="0.3">
      <c r="A1540" t="s">
        <v>30</v>
      </c>
      <c r="B1540" s="1">
        <v>45900</v>
      </c>
      <c r="C1540">
        <v>541010</v>
      </c>
      <c r="D1540">
        <v>970.11500000000001</v>
      </c>
      <c r="E1540" t="s">
        <v>6</v>
      </c>
      <c r="F1540" t="s">
        <v>61</v>
      </c>
      <c r="G1540" t="s">
        <v>8</v>
      </c>
    </row>
    <row r="1541" spans="1:7" x14ac:dyDescent="0.3">
      <c r="A1541" t="s">
        <v>30</v>
      </c>
      <c r="B1541" s="1">
        <v>45900</v>
      </c>
      <c r="C1541">
        <v>546002</v>
      </c>
      <c r="D1541">
        <v>466106.73499999999</v>
      </c>
      <c r="E1541" t="s">
        <v>6</v>
      </c>
      <c r="F1541" t="s">
        <v>51</v>
      </c>
      <c r="G1541" t="s">
        <v>8</v>
      </c>
    </row>
    <row r="1542" spans="1:7" x14ac:dyDescent="0.3">
      <c r="A1542" t="s">
        <v>30</v>
      </c>
      <c r="B1542" s="1">
        <v>45900</v>
      </c>
      <c r="C1542">
        <v>546008</v>
      </c>
      <c r="D1542">
        <v>8904.2369999999992</v>
      </c>
      <c r="E1542" t="s">
        <v>6</v>
      </c>
      <c r="F1542" t="s">
        <v>51</v>
      </c>
      <c r="G1542" t="s">
        <v>8</v>
      </c>
    </row>
    <row r="1543" spans="1:7" x14ac:dyDescent="0.3">
      <c r="A1543" t="s">
        <v>30</v>
      </c>
      <c r="B1543" s="1">
        <v>45900</v>
      </c>
      <c r="C1543">
        <v>546013</v>
      </c>
      <c r="D1543">
        <v>75356.130999999994</v>
      </c>
      <c r="E1543" t="s">
        <v>6</v>
      </c>
      <c r="F1543" t="s">
        <v>51</v>
      </c>
      <c r="G1543" t="s">
        <v>8</v>
      </c>
    </row>
    <row r="1544" spans="1:7" x14ac:dyDescent="0.3">
      <c r="A1544" t="s">
        <v>30</v>
      </c>
      <c r="B1544" s="1">
        <v>45900</v>
      </c>
      <c r="C1544">
        <v>546015</v>
      </c>
      <c r="D1544">
        <v>38156.883000000002</v>
      </c>
      <c r="E1544" t="s">
        <v>6</v>
      </c>
      <c r="F1544" t="s">
        <v>51</v>
      </c>
      <c r="G1544" t="s">
        <v>8</v>
      </c>
    </row>
    <row r="1545" spans="1:7" x14ac:dyDescent="0.3">
      <c r="A1545" t="s">
        <v>30</v>
      </c>
      <c r="B1545" s="1">
        <v>45900</v>
      </c>
      <c r="C1545">
        <v>546022</v>
      </c>
      <c r="D1545">
        <v>17770.438999999998</v>
      </c>
      <c r="E1545" t="s">
        <v>6</v>
      </c>
      <c r="F1545" t="s">
        <v>51</v>
      </c>
      <c r="G1545" t="s">
        <v>8</v>
      </c>
    </row>
    <row r="1546" spans="1:7" x14ac:dyDescent="0.3">
      <c r="A1546" t="s">
        <v>30</v>
      </c>
      <c r="B1546" s="1">
        <v>45900</v>
      </c>
      <c r="C1546">
        <v>546024</v>
      </c>
      <c r="D1546">
        <v>2015.095</v>
      </c>
      <c r="E1546" t="s">
        <v>6</v>
      </c>
      <c r="F1546" t="s">
        <v>51</v>
      </c>
      <c r="G1546" t="s">
        <v>8</v>
      </c>
    </row>
    <row r="1547" spans="1:7" x14ac:dyDescent="0.3">
      <c r="A1547" t="s">
        <v>30</v>
      </c>
      <c r="B1547" s="1">
        <v>45900</v>
      </c>
      <c r="C1547">
        <v>546040</v>
      </c>
      <c r="D1547">
        <v>28918.16</v>
      </c>
      <c r="E1547" t="s">
        <v>6</v>
      </c>
      <c r="F1547" t="s">
        <v>51</v>
      </c>
      <c r="G1547" t="s">
        <v>8</v>
      </c>
    </row>
    <row r="1548" spans="1:7" x14ac:dyDescent="0.3">
      <c r="A1548" t="s">
        <v>30</v>
      </c>
      <c r="B1548" s="1">
        <v>45900</v>
      </c>
      <c r="C1548">
        <v>546045</v>
      </c>
      <c r="D1548">
        <v>34844.303999999996</v>
      </c>
      <c r="E1548" t="s">
        <v>6</v>
      </c>
      <c r="F1548" t="s">
        <v>51</v>
      </c>
      <c r="G1548" t="s">
        <v>8</v>
      </c>
    </row>
    <row r="1549" spans="1:7" x14ac:dyDescent="0.3">
      <c r="A1549" t="s">
        <v>30</v>
      </c>
      <c r="B1549" s="1">
        <v>45900</v>
      </c>
      <c r="C1549">
        <v>546046</v>
      </c>
      <c r="D1549">
        <v>2690.6779999999999</v>
      </c>
      <c r="E1549" t="s">
        <v>6</v>
      </c>
      <c r="F1549" t="s">
        <v>51</v>
      </c>
      <c r="G1549" t="s">
        <v>8</v>
      </c>
    </row>
    <row r="1550" spans="1:7" x14ac:dyDescent="0.3">
      <c r="A1550" t="s">
        <v>30</v>
      </c>
      <c r="B1550" s="1">
        <v>45900</v>
      </c>
      <c r="C1550">
        <v>546047</v>
      </c>
      <c r="D1550">
        <v>339.80599999999998</v>
      </c>
      <c r="E1550" t="s">
        <v>6</v>
      </c>
      <c r="F1550" t="s">
        <v>51</v>
      </c>
      <c r="G1550" t="s">
        <v>8</v>
      </c>
    </row>
    <row r="1551" spans="1:7" x14ac:dyDescent="0.3">
      <c r="A1551" t="s">
        <v>30</v>
      </c>
      <c r="B1551" s="1">
        <v>45900</v>
      </c>
      <c r="C1551">
        <v>550002</v>
      </c>
      <c r="D1551">
        <v>133350.44099999999</v>
      </c>
      <c r="E1551" t="s">
        <v>6</v>
      </c>
      <c r="F1551" t="s">
        <v>62</v>
      </c>
      <c r="G1551" t="s">
        <v>8</v>
      </c>
    </row>
    <row r="1552" spans="1:7" x14ac:dyDescent="0.3">
      <c r="A1552" t="s">
        <v>30</v>
      </c>
      <c r="B1552" s="1">
        <v>45900</v>
      </c>
      <c r="C1552">
        <v>550003</v>
      </c>
      <c r="D1552">
        <v>72685.269</v>
      </c>
      <c r="E1552" t="s">
        <v>6</v>
      </c>
      <c r="F1552" t="s">
        <v>62</v>
      </c>
      <c r="G1552" t="s">
        <v>8</v>
      </c>
    </row>
    <row r="1553" spans="1:7" x14ac:dyDescent="0.3">
      <c r="A1553" t="s">
        <v>30</v>
      </c>
      <c r="B1553" s="1">
        <v>45900</v>
      </c>
      <c r="C1553">
        <v>551011</v>
      </c>
      <c r="D1553">
        <v>397.50799999999998</v>
      </c>
      <c r="E1553" t="s">
        <v>6</v>
      </c>
      <c r="F1553" t="s">
        <v>61</v>
      </c>
      <c r="G1553" t="s">
        <v>8</v>
      </c>
    </row>
    <row r="1554" spans="1:7" x14ac:dyDescent="0.3">
      <c r="A1554" t="s">
        <v>30</v>
      </c>
      <c r="B1554" s="1">
        <v>45900</v>
      </c>
      <c r="C1554">
        <v>555007</v>
      </c>
      <c r="D1554">
        <v>332.95100000000002</v>
      </c>
      <c r="E1554" t="s">
        <v>6</v>
      </c>
      <c r="F1554" t="s">
        <v>55</v>
      </c>
      <c r="G1554" t="s">
        <v>8</v>
      </c>
    </row>
    <row r="1555" spans="1:7" x14ac:dyDescent="0.3">
      <c r="A1555" t="s">
        <v>30</v>
      </c>
      <c r="B1555" s="1">
        <v>45900</v>
      </c>
      <c r="C1555">
        <v>556002</v>
      </c>
      <c r="D1555">
        <v>13.715</v>
      </c>
      <c r="E1555" t="s">
        <v>6</v>
      </c>
      <c r="F1555" t="s">
        <v>60</v>
      </c>
      <c r="G1555" t="s">
        <v>8</v>
      </c>
    </row>
    <row r="1556" spans="1:7" x14ac:dyDescent="0.3">
      <c r="A1556" t="s">
        <v>30</v>
      </c>
      <c r="B1556" s="1">
        <v>45900</v>
      </c>
      <c r="C1556">
        <v>557002</v>
      </c>
      <c r="D1556">
        <v>1555.6990000000001</v>
      </c>
      <c r="E1556" t="s">
        <v>6</v>
      </c>
      <c r="F1556" t="s">
        <v>56</v>
      </c>
      <c r="G1556" t="s">
        <v>8</v>
      </c>
    </row>
    <row r="1557" spans="1:7" x14ac:dyDescent="0.3">
      <c r="A1557" t="s">
        <v>30</v>
      </c>
      <c r="B1557" s="1">
        <v>45900</v>
      </c>
      <c r="C1557">
        <v>557003</v>
      </c>
      <c r="D1557">
        <v>659.97900000000004</v>
      </c>
      <c r="E1557" t="s">
        <v>6</v>
      </c>
      <c r="F1557" t="s">
        <v>56</v>
      </c>
      <c r="G1557" t="s">
        <v>8</v>
      </c>
    </row>
    <row r="1558" spans="1:7" x14ac:dyDescent="0.3">
      <c r="A1558" t="s">
        <v>30</v>
      </c>
      <c r="B1558" s="1">
        <v>45900</v>
      </c>
      <c r="C1558">
        <v>558012</v>
      </c>
      <c r="D1558">
        <v>1.226</v>
      </c>
      <c r="E1558" t="s">
        <v>6</v>
      </c>
      <c r="F1558" t="s">
        <v>60</v>
      </c>
      <c r="G1558" t="s">
        <v>8</v>
      </c>
    </row>
    <row r="1559" spans="1:7" x14ac:dyDescent="0.3">
      <c r="A1559" t="s">
        <v>30</v>
      </c>
      <c r="B1559" s="1">
        <v>45900</v>
      </c>
      <c r="C1559">
        <v>560008</v>
      </c>
      <c r="D1559">
        <v>1253.2929999999999</v>
      </c>
      <c r="E1559" t="s">
        <v>6</v>
      </c>
      <c r="F1559" t="s">
        <v>56</v>
      </c>
      <c r="G1559" t="s">
        <v>8</v>
      </c>
    </row>
    <row r="1560" spans="1:7" x14ac:dyDescent="0.3">
      <c r="A1560" t="s">
        <v>30</v>
      </c>
      <c r="B1560" s="1">
        <v>45900</v>
      </c>
      <c r="C1560">
        <v>563002</v>
      </c>
      <c r="D1560">
        <v>2732.779</v>
      </c>
      <c r="E1560" t="s">
        <v>6</v>
      </c>
      <c r="F1560" t="s">
        <v>57</v>
      </c>
      <c r="G1560" t="s">
        <v>8</v>
      </c>
    </row>
    <row r="1561" spans="1:7" x14ac:dyDescent="0.3">
      <c r="A1561" t="s">
        <v>30</v>
      </c>
      <c r="B1561" s="1">
        <v>45900</v>
      </c>
      <c r="C1561">
        <v>564004</v>
      </c>
      <c r="D1561">
        <v>4503.8990000000003</v>
      </c>
      <c r="E1561" t="s">
        <v>6</v>
      </c>
      <c r="F1561" t="s">
        <v>51</v>
      </c>
      <c r="G1561" t="s">
        <v>8</v>
      </c>
    </row>
    <row r="1562" spans="1:7" x14ac:dyDescent="0.3">
      <c r="A1562" t="s">
        <v>30</v>
      </c>
      <c r="B1562" s="1">
        <v>45900</v>
      </c>
      <c r="C1562">
        <v>564006</v>
      </c>
      <c r="D1562">
        <v>-1E-3</v>
      </c>
      <c r="E1562" t="s">
        <v>6</v>
      </c>
      <c r="F1562" t="s">
        <v>57</v>
      </c>
      <c r="G1562" t="s">
        <v>8</v>
      </c>
    </row>
    <row r="1563" spans="1:7" x14ac:dyDescent="0.3">
      <c r="A1563" t="s">
        <v>30</v>
      </c>
      <c r="B1563" s="1">
        <v>45900</v>
      </c>
      <c r="C1563">
        <v>564008</v>
      </c>
      <c r="D1563">
        <v>-3307.5219999999999</v>
      </c>
      <c r="E1563" t="s">
        <v>6</v>
      </c>
      <c r="F1563" t="s">
        <v>55</v>
      </c>
      <c r="G1563" t="s">
        <v>8</v>
      </c>
    </row>
    <row r="1564" spans="1:7" x14ac:dyDescent="0.3">
      <c r="A1564" t="s">
        <v>30</v>
      </c>
      <c r="B1564" s="1">
        <v>45900</v>
      </c>
      <c r="C1564">
        <v>564020</v>
      </c>
      <c r="D1564">
        <v>93.287000000000006</v>
      </c>
      <c r="E1564" t="s">
        <v>6</v>
      </c>
      <c r="F1564" t="s">
        <v>57</v>
      </c>
      <c r="G1564" t="s">
        <v>8</v>
      </c>
    </row>
    <row r="1565" spans="1:7" x14ac:dyDescent="0.3">
      <c r="A1565" t="s">
        <v>30</v>
      </c>
      <c r="B1565" s="1">
        <v>45900</v>
      </c>
      <c r="C1565">
        <v>570002</v>
      </c>
      <c r="D1565">
        <v>111.33</v>
      </c>
      <c r="E1565" t="s">
        <v>6</v>
      </c>
      <c r="F1565" t="s">
        <v>66</v>
      </c>
      <c r="G1565" t="s">
        <v>8</v>
      </c>
    </row>
    <row r="1566" spans="1:7" x14ac:dyDescent="0.3">
      <c r="A1566" t="s">
        <v>30</v>
      </c>
      <c r="B1566" s="1">
        <v>45900</v>
      </c>
      <c r="C1566">
        <v>580002</v>
      </c>
      <c r="D1566">
        <v>3736.9749999999999</v>
      </c>
      <c r="E1566" t="s">
        <v>6</v>
      </c>
      <c r="F1566" t="s">
        <v>64</v>
      </c>
      <c r="G1566" t="s">
        <v>8</v>
      </c>
    </row>
    <row r="1567" spans="1:7" x14ac:dyDescent="0.3">
      <c r="A1567" t="s">
        <v>31</v>
      </c>
      <c r="B1567" s="1">
        <v>45900</v>
      </c>
      <c r="C1567">
        <v>210002</v>
      </c>
      <c r="D1567">
        <v>-21591.113000000001</v>
      </c>
      <c r="E1567" t="s">
        <v>4</v>
      </c>
      <c r="F1567" t="s">
        <v>42</v>
      </c>
      <c r="G1567" t="s">
        <v>8</v>
      </c>
    </row>
    <row r="1568" spans="1:7" x14ac:dyDescent="0.3">
      <c r="A1568" t="s">
        <v>31</v>
      </c>
      <c r="B1568" s="1">
        <v>45900</v>
      </c>
      <c r="C1568">
        <v>220006</v>
      </c>
      <c r="D1568">
        <v>-152958.72700000001</v>
      </c>
      <c r="E1568" t="s">
        <v>4</v>
      </c>
      <c r="F1568" t="s">
        <v>42</v>
      </c>
      <c r="G1568" t="s">
        <v>8</v>
      </c>
    </row>
    <row r="1569" spans="1:7" x14ac:dyDescent="0.3">
      <c r="A1569" t="s">
        <v>31</v>
      </c>
      <c r="B1569" s="1">
        <v>45900</v>
      </c>
      <c r="C1569">
        <v>240002</v>
      </c>
      <c r="D1569">
        <v>-6660.0739999999996</v>
      </c>
      <c r="E1569" t="s">
        <v>4</v>
      </c>
      <c r="F1569" t="s">
        <v>43</v>
      </c>
      <c r="G1569" t="s">
        <v>8</v>
      </c>
    </row>
    <row r="1570" spans="1:7" x14ac:dyDescent="0.3">
      <c r="A1570" t="s">
        <v>31</v>
      </c>
      <c r="B1570" s="1">
        <v>45900</v>
      </c>
      <c r="C1570">
        <v>240003</v>
      </c>
      <c r="D1570">
        <v>-669.27800000000002</v>
      </c>
      <c r="E1570" t="s">
        <v>4</v>
      </c>
      <c r="F1570" t="s">
        <v>43</v>
      </c>
      <c r="G1570" t="s">
        <v>8</v>
      </c>
    </row>
    <row r="1571" spans="1:7" x14ac:dyDescent="0.3">
      <c r="A1571" t="s">
        <v>31</v>
      </c>
      <c r="B1571" s="1">
        <v>45900</v>
      </c>
      <c r="C1571">
        <v>240009</v>
      </c>
      <c r="D1571">
        <v>-2438.9569999999999</v>
      </c>
      <c r="E1571" t="s">
        <v>4</v>
      </c>
      <c r="F1571" t="s">
        <v>43</v>
      </c>
      <c r="G1571" t="s">
        <v>8</v>
      </c>
    </row>
    <row r="1572" spans="1:7" x14ac:dyDescent="0.3">
      <c r="A1572" t="s">
        <v>31</v>
      </c>
      <c r="B1572" s="1">
        <v>45900</v>
      </c>
      <c r="C1572">
        <v>242003</v>
      </c>
      <c r="D1572">
        <v>-225933.30799999999</v>
      </c>
      <c r="E1572" t="s">
        <v>4</v>
      </c>
      <c r="F1572" t="s">
        <v>43</v>
      </c>
      <c r="G1572" t="s">
        <v>8</v>
      </c>
    </row>
    <row r="1573" spans="1:7" x14ac:dyDescent="0.3">
      <c r="A1573" t="s">
        <v>31</v>
      </c>
      <c r="B1573" s="1">
        <v>45900</v>
      </c>
      <c r="C1573">
        <v>242011</v>
      </c>
      <c r="D1573">
        <v>-48355.911999999997</v>
      </c>
      <c r="E1573" t="s">
        <v>4</v>
      </c>
      <c r="F1573" t="s">
        <v>43</v>
      </c>
      <c r="G1573" t="s">
        <v>8</v>
      </c>
    </row>
    <row r="1574" spans="1:7" x14ac:dyDescent="0.3">
      <c r="A1574" t="s">
        <v>31</v>
      </c>
      <c r="B1574" s="1">
        <v>45900</v>
      </c>
      <c r="C1574">
        <v>242014</v>
      </c>
      <c r="D1574">
        <v>-10.737</v>
      </c>
      <c r="E1574" t="s">
        <v>4</v>
      </c>
      <c r="F1574" t="s">
        <v>43</v>
      </c>
      <c r="G1574" t="s">
        <v>8</v>
      </c>
    </row>
    <row r="1575" spans="1:7" x14ac:dyDescent="0.3">
      <c r="A1575" t="s">
        <v>31</v>
      </c>
      <c r="B1575" s="1">
        <v>45900</v>
      </c>
      <c r="C1575">
        <v>242018</v>
      </c>
      <c r="D1575">
        <v>-7046.5950000000003</v>
      </c>
      <c r="E1575" t="s">
        <v>4</v>
      </c>
      <c r="F1575" t="s">
        <v>43</v>
      </c>
      <c r="G1575" t="s">
        <v>8</v>
      </c>
    </row>
    <row r="1576" spans="1:7" x14ac:dyDescent="0.3">
      <c r="A1576" t="s">
        <v>31</v>
      </c>
      <c r="B1576" s="1">
        <v>45900</v>
      </c>
      <c r="C1576">
        <v>242027</v>
      </c>
      <c r="D1576">
        <v>-81393.255000000005</v>
      </c>
      <c r="E1576" t="s">
        <v>4</v>
      </c>
      <c r="F1576" t="s">
        <v>43</v>
      </c>
      <c r="G1576" t="s">
        <v>8</v>
      </c>
    </row>
    <row r="1577" spans="1:7" x14ac:dyDescent="0.3">
      <c r="A1577" t="s">
        <v>31</v>
      </c>
      <c r="B1577" s="1">
        <v>45900</v>
      </c>
      <c r="C1577">
        <v>242030</v>
      </c>
      <c r="D1577">
        <v>-16082.308999999999</v>
      </c>
      <c r="E1577" t="s">
        <v>4</v>
      </c>
      <c r="F1577" t="s">
        <v>43</v>
      </c>
      <c r="G1577" t="s">
        <v>8</v>
      </c>
    </row>
    <row r="1578" spans="1:7" x14ac:dyDescent="0.3">
      <c r="A1578" t="s">
        <v>31</v>
      </c>
      <c r="B1578" s="1">
        <v>45900</v>
      </c>
      <c r="C1578">
        <v>242038</v>
      </c>
      <c r="D1578">
        <v>-1119.7239999999999</v>
      </c>
      <c r="E1578" t="s">
        <v>4</v>
      </c>
      <c r="F1578" t="s">
        <v>43</v>
      </c>
      <c r="G1578" t="s">
        <v>8</v>
      </c>
    </row>
    <row r="1579" spans="1:7" x14ac:dyDescent="0.3">
      <c r="A1579" t="s">
        <v>31</v>
      </c>
      <c r="B1579" s="1">
        <v>45900</v>
      </c>
      <c r="C1579">
        <v>242041</v>
      </c>
      <c r="D1579">
        <v>-8110.1850000000004</v>
      </c>
      <c r="E1579" t="s">
        <v>4</v>
      </c>
      <c r="F1579" t="s">
        <v>43</v>
      </c>
      <c r="G1579" t="s">
        <v>8</v>
      </c>
    </row>
    <row r="1580" spans="1:7" x14ac:dyDescent="0.3">
      <c r="A1580" t="s">
        <v>31</v>
      </c>
      <c r="B1580" s="1">
        <v>45900</v>
      </c>
      <c r="C1580">
        <v>243002</v>
      </c>
      <c r="D1580">
        <v>-8336.1280000000006</v>
      </c>
      <c r="E1580" t="s">
        <v>4</v>
      </c>
      <c r="F1580" t="s">
        <v>43</v>
      </c>
      <c r="G1580" t="s">
        <v>8</v>
      </c>
    </row>
    <row r="1581" spans="1:7" x14ac:dyDescent="0.3">
      <c r="A1581" t="s">
        <v>31</v>
      </c>
      <c r="B1581" s="1">
        <v>45900</v>
      </c>
      <c r="C1581">
        <v>243010</v>
      </c>
      <c r="D1581">
        <v>-243.78100000000001</v>
      </c>
      <c r="E1581" t="s">
        <v>4</v>
      </c>
      <c r="F1581" t="s">
        <v>43</v>
      </c>
      <c r="G1581" t="s">
        <v>8</v>
      </c>
    </row>
    <row r="1582" spans="1:7" x14ac:dyDescent="0.3">
      <c r="A1582" t="s">
        <v>31</v>
      </c>
      <c r="B1582" s="1">
        <v>45900</v>
      </c>
      <c r="C1582">
        <v>245010</v>
      </c>
      <c r="D1582">
        <v>-12005.243</v>
      </c>
      <c r="E1582" t="s">
        <v>4</v>
      </c>
      <c r="F1582" t="s">
        <v>44</v>
      </c>
      <c r="G1582" t="s">
        <v>8</v>
      </c>
    </row>
    <row r="1583" spans="1:7" x14ac:dyDescent="0.3">
      <c r="A1583" t="s">
        <v>31</v>
      </c>
      <c r="B1583" s="1">
        <v>45900</v>
      </c>
      <c r="C1583">
        <v>245018</v>
      </c>
      <c r="D1583">
        <v>-7856.3620000000001</v>
      </c>
      <c r="E1583" t="s">
        <v>4</v>
      </c>
      <c r="F1583" t="s">
        <v>43</v>
      </c>
      <c r="G1583" t="s">
        <v>8</v>
      </c>
    </row>
    <row r="1584" spans="1:7" x14ac:dyDescent="0.3">
      <c r="A1584" t="s">
        <v>31</v>
      </c>
      <c r="B1584" s="1">
        <v>45900</v>
      </c>
      <c r="C1584">
        <v>245049</v>
      </c>
      <c r="D1584">
        <v>-0.34300000000000003</v>
      </c>
      <c r="E1584" t="s">
        <v>4</v>
      </c>
      <c r="F1584" t="s">
        <v>43</v>
      </c>
      <c r="G1584" t="s">
        <v>8</v>
      </c>
    </row>
    <row r="1585" spans="1:7" x14ac:dyDescent="0.3">
      <c r="A1585" t="s">
        <v>31</v>
      </c>
      <c r="B1585" s="1">
        <v>45900</v>
      </c>
      <c r="C1585">
        <v>245055</v>
      </c>
      <c r="D1585">
        <v>-1409.443</v>
      </c>
      <c r="E1585" t="s">
        <v>4</v>
      </c>
      <c r="F1585" t="s">
        <v>43</v>
      </c>
      <c r="G1585" t="s">
        <v>8</v>
      </c>
    </row>
    <row r="1586" spans="1:7" x14ac:dyDescent="0.3">
      <c r="A1586" t="s">
        <v>31</v>
      </c>
      <c r="B1586" s="1">
        <v>45900</v>
      </c>
      <c r="C1586">
        <v>245062</v>
      </c>
      <c r="D1586">
        <v>-9934.6470000000008</v>
      </c>
      <c r="E1586" t="s">
        <v>4</v>
      </c>
      <c r="F1586" t="s">
        <v>43</v>
      </c>
      <c r="G1586" t="s">
        <v>8</v>
      </c>
    </row>
    <row r="1587" spans="1:7" x14ac:dyDescent="0.3">
      <c r="A1587" t="s">
        <v>31</v>
      </c>
      <c r="B1587" s="1">
        <v>45900</v>
      </c>
      <c r="C1587">
        <v>250003</v>
      </c>
      <c r="D1587">
        <v>-894.66700000000003</v>
      </c>
      <c r="E1587" t="s">
        <v>4</v>
      </c>
      <c r="F1587" t="s">
        <v>45</v>
      </c>
      <c r="G1587" t="s">
        <v>8</v>
      </c>
    </row>
    <row r="1588" spans="1:7" x14ac:dyDescent="0.3">
      <c r="A1588" t="s">
        <v>31</v>
      </c>
      <c r="B1588" s="1">
        <v>45900</v>
      </c>
      <c r="C1588">
        <v>251002</v>
      </c>
      <c r="D1588">
        <v>-59907.739000000001</v>
      </c>
      <c r="E1588" t="s">
        <v>4</v>
      </c>
      <c r="F1588" t="s">
        <v>45</v>
      </c>
      <c r="G1588" t="s">
        <v>8</v>
      </c>
    </row>
    <row r="1589" spans="1:7" x14ac:dyDescent="0.3">
      <c r="A1589" t="s">
        <v>31</v>
      </c>
      <c r="B1589" s="1">
        <v>45900</v>
      </c>
      <c r="C1589">
        <v>251003</v>
      </c>
      <c r="D1589">
        <v>-3809.078</v>
      </c>
      <c r="E1589" t="s">
        <v>4</v>
      </c>
      <c r="F1589" t="s">
        <v>45</v>
      </c>
      <c r="G1589" t="s">
        <v>8</v>
      </c>
    </row>
    <row r="1590" spans="1:7" x14ac:dyDescent="0.3">
      <c r="A1590" t="s">
        <v>31</v>
      </c>
      <c r="B1590" s="1">
        <v>45900</v>
      </c>
      <c r="C1590">
        <v>251005</v>
      </c>
      <c r="D1590">
        <v>2438.828</v>
      </c>
      <c r="E1590" t="s">
        <v>4</v>
      </c>
      <c r="F1590" t="s">
        <v>46</v>
      </c>
      <c r="G1590" t="s">
        <v>8</v>
      </c>
    </row>
    <row r="1591" spans="1:7" x14ac:dyDescent="0.3">
      <c r="A1591" t="s">
        <v>31</v>
      </c>
      <c r="B1591" s="1">
        <v>45900</v>
      </c>
      <c r="C1591">
        <v>257005</v>
      </c>
      <c r="D1591">
        <v>1248.7190000000001</v>
      </c>
      <c r="E1591" t="s">
        <v>4</v>
      </c>
      <c r="F1591" t="s">
        <v>45</v>
      </c>
      <c r="G1591" t="s">
        <v>8</v>
      </c>
    </row>
    <row r="1592" spans="1:7" x14ac:dyDescent="0.3">
      <c r="A1592" t="s">
        <v>31</v>
      </c>
      <c r="B1592" s="1">
        <v>45900</v>
      </c>
      <c r="C1592">
        <v>257027</v>
      </c>
      <c r="D1592">
        <v>-20324.739000000001</v>
      </c>
      <c r="E1592" t="s">
        <v>4</v>
      </c>
      <c r="F1592" t="s">
        <v>45</v>
      </c>
      <c r="G1592" t="s">
        <v>8</v>
      </c>
    </row>
    <row r="1593" spans="1:7" x14ac:dyDescent="0.3">
      <c r="A1593" t="s">
        <v>31</v>
      </c>
      <c r="B1593" s="1">
        <v>45900</v>
      </c>
      <c r="C1593">
        <v>260004</v>
      </c>
      <c r="D1593">
        <v>-74748.233999999997</v>
      </c>
      <c r="E1593" t="s">
        <v>4</v>
      </c>
      <c r="F1593" t="s">
        <v>45</v>
      </c>
      <c r="G1593" t="s">
        <v>8</v>
      </c>
    </row>
    <row r="1594" spans="1:7" x14ac:dyDescent="0.3">
      <c r="A1594" t="s">
        <v>31</v>
      </c>
      <c r="B1594" s="1">
        <v>45900</v>
      </c>
      <c r="C1594">
        <v>270027</v>
      </c>
      <c r="D1594">
        <v>-6644.0169999999998</v>
      </c>
      <c r="E1594" t="s">
        <v>4</v>
      </c>
      <c r="F1594" t="s">
        <v>58</v>
      </c>
      <c r="G1594" t="s">
        <v>8</v>
      </c>
    </row>
    <row r="1595" spans="1:7" x14ac:dyDescent="0.3">
      <c r="A1595" t="s">
        <v>31</v>
      </c>
      <c r="B1595" s="1">
        <v>45900</v>
      </c>
      <c r="C1595">
        <v>300008</v>
      </c>
      <c r="D1595">
        <v>5371.2690000000002</v>
      </c>
      <c r="E1595" t="s">
        <v>4</v>
      </c>
      <c r="F1595" t="s">
        <v>65</v>
      </c>
      <c r="G1595" t="s">
        <v>8</v>
      </c>
    </row>
    <row r="1596" spans="1:7" x14ac:dyDescent="0.3">
      <c r="A1596" t="s">
        <v>31</v>
      </c>
      <c r="B1596" s="1">
        <v>45900</v>
      </c>
      <c r="C1596">
        <v>300011</v>
      </c>
      <c r="D1596">
        <v>33.79</v>
      </c>
      <c r="E1596" t="s">
        <v>4</v>
      </c>
      <c r="F1596" t="s">
        <v>65</v>
      </c>
      <c r="G1596" t="s">
        <v>8</v>
      </c>
    </row>
    <row r="1597" spans="1:7" x14ac:dyDescent="0.3">
      <c r="A1597" t="s">
        <v>31</v>
      </c>
      <c r="B1597" s="1">
        <v>45900</v>
      </c>
      <c r="C1597">
        <v>300012</v>
      </c>
      <c r="D1597">
        <v>1619.6769999999999</v>
      </c>
      <c r="E1597" t="s">
        <v>4</v>
      </c>
      <c r="F1597" t="s">
        <v>65</v>
      </c>
      <c r="G1597" t="s">
        <v>8</v>
      </c>
    </row>
    <row r="1598" spans="1:7" x14ac:dyDescent="0.3">
      <c r="A1598" t="s">
        <v>31</v>
      </c>
      <c r="B1598" s="1">
        <v>45900</v>
      </c>
      <c r="C1598">
        <v>300508</v>
      </c>
      <c r="D1598">
        <v>-3343.7049999999999</v>
      </c>
      <c r="E1598" t="s">
        <v>4</v>
      </c>
      <c r="F1598" t="s">
        <v>65</v>
      </c>
      <c r="G1598" t="s">
        <v>8</v>
      </c>
    </row>
    <row r="1599" spans="1:7" x14ac:dyDescent="0.3">
      <c r="A1599" t="s">
        <v>31</v>
      </c>
      <c r="B1599" s="1">
        <v>45900</v>
      </c>
      <c r="C1599">
        <v>300511</v>
      </c>
      <c r="D1599">
        <v>-33.79</v>
      </c>
      <c r="E1599" t="s">
        <v>4</v>
      </c>
      <c r="F1599" t="s">
        <v>65</v>
      </c>
      <c r="G1599" t="s">
        <v>8</v>
      </c>
    </row>
    <row r="1600" spans="1:7" x14ac:dyDescent="0.3">
      <c r="A1600" t="s">
        <v>31</v>
      </c>
      <c r="B1600" s="1">
        <v>45900</v>
      </c>
      <c r="C1600">
        <v>300512</v>
      </c>
      <c r="D1600">
        <v>-1619.6769999999999</v>
      </c>
      <c r="E1600" t="s">
        <v>4</v>
      </c>
      <c r="F1600" t="s">
        <v>65</v>
      </c>
      <c r="G1600" t="s">
        <v>8</v>
      </c>
    </row>
    <row r="1601" spans="1:7" x14ac:dyDescent="0.3">
      <c r="A1601" t="s">
        <v>31</v>
      </c>
      <c r="B1601" s="1">
        <v>45900</v>
      </c>
      <c r="C1601">
        <v>320002</v>
      </c>
      <c r="D1601">
        <v>20838.452000000001</v>
      </c>
      <c r="E1601" t="s">
        <v>4</v>
      </c>
      <c r="F1601" t="s">
        <v>46</v>
      </c>
      <c r="G1601" t="s">
        <v>8</v>
      </c>
    </row>
    <row r="1602" spans="1:7" x14ac:dyDescent="0.3">
      <c r="A1602" t="s">
        <v>31</v>
      </c>
      <c r="B1602" s="1">
        <v>45900</v>
      </c>
      <c r="C1602">
        <v>320003</v>
      </c>
      <c r="D1602">
        <v>210702.21</v>
      </c>
      <c r="E1602" t="s">
        <v>4</v>
      </c>
      <c r="F1602" t="s">
        <v>46</v>
      </c>
      <c r="G1602" t="s">
        <v>8</v>
      </c>
    </row>
    <row r="1603" spans="1:7" x14ac:dyDescent="0.3">
      <c r="A1603" t="s">
        <v>31</v>
      </c>
      <c r="B1603" s="1">
        <v>45900</v>
      </c>
      <c r="C1603">
        <v>320004</v>
      </c>
      <c r="D1603">
        <v>3331.4960000000001</v>
      </c>
      <c r="E1603" t="s">
        <v>4</v>
      </c>
      <c r="F1603" t="s">
        <v>46</v>
      </c>
      <c r="G1603" t="s">
        <v>8</v>
      </c>
    </row>
    <row r="1604" spans="1:7" x14ac:dyDescent="0.3">
      <c r="A1604" t="s">
        <v>31</v>
      </c>
      <c r="B1604" s="1">
        <v>45900</v>
      </c>
      <c r="C1604">
        <v>320023</v>
      </c>
      <c r="D1604">
        <v>-1323.1030000000001</v>
      </c>
      <c r="E1604" t="s">
        <v>4</v>
      </c>
      <c r="F1604" t="s">
        <v>46</v>
      </c>
      <c r="G1604" t="s">
        <v>8</v>
      </c>
    </row>
    <row r="1605" spans="1:7" x14ac:dyDescent="0.3">
      <c r="A1605" t="s">
        <v>31</v>
      </c>
      <c r="B1605" s="1">
        <v>45900</v>
      </c>
      <c r="C1605">
        <v>321002</v>
      </c>
      <c r="D1605">
        <v>27900.560000000001</v>
      </c>
      <c r="E1605" t="s">
        <v>4</v>
      </c>
      <c r="F1605" t="s">
        <v>46</v>
      </c>
      <c r="G1605" t="s">
        <v>8</v>
      </c>
    </row>
    <row r="1606" spans="1:7" x14ac:dyDescent="0.3">
      <c r="A1606" t="s">
        <v>31</v>
      </c>
      <c r="B1606" s="1">
        <v>45900</v>
      </c>
      <c r="C1606">
        <v>321004</v>
      </c>
      <c r="D1606">
        <v>2133.9520000000002</v>
      </c>
      <c r="E1606" t="s">
        <v>4</v>
      </c>
      <c r="F1606" t="s">
        <v>46</v>
      </c>
      <c r="G1606" t="s">
        <v>8</v>
      </c>
    </row>
    <row r="1607" spans="1:7" x14ac:dyDescent="0.3">
      <c r="A1607" t="s">
        <v>31</v>
      </c>
      <c r="B1607" s="1">
        <v>45900</v>
      </c>
      <c r="C1607">
        <v>321012</v>
      </c>
      <c r="D1607">
        <v>1378.1679999999999</v>
      </c>
      <c r="E1607" t="s">
        <v>4</v>
      </c>
      <c r="F1607" t="s">
        <v>46</v>
      </c>
      <c r="G1607" t="s">
        <v>8</v>
      </c>
    </row>
    <row r="1608" spans="1:7" x14ac:dyDescent="0.3">
      <c r="A1608" t="s">
        <v>31</v>
      </c>
      <c r="B1608" s="1">
        <v>45900</v>
      </c>
      <c r="C1608">
        <v>321014</v>
      </c>
      <c r="D1608">
        <v>254.857</v>
      </c>
      <c r="E1608" t="s">
        <v>4</v>
      </c>
      <c r="F1608" t="s">
        <v>46</v>
      </c>
      <c r="G1608" t="s">
        <v>8</v>
      </c>
    </row>
    <row r="1609" spans="1:7" x14ac:dyDescent="0.3">
      <c r="A1609" t="s">
        <v>31</v>
      </c>
      <c r="B1609" s="1">
        <v>45900</v>
      </c>
      <c r="C1609">
        <v>321025</v>
      </c>
      <c r="D1609">
        <v>97019.244000000006</v>
      </c>
      <c r="E1609" t="s">
        <v>4</v>
      </c>
      <c r="F1609" t="s">
        <v>46</v>
      </c>
      <c r="G1609" t="s">
        <v>8</v>
      </c>
    </row>
    <row r="1610" spans="1:7" x14ac:dyDescent="0.3">
      <c r="A1610" t="s">
        <v>31</v>
      </c>
      <c r="B1610" s="1">
        <v>45900</v>
      </c>
      <c r="C1610">
        <v>321028</v>
      </c>
      <c r="D1610">
        <v>6796.1440000000002</v>
      </c>
      <c r="E1610" t="s">
        <v>4</v>
      </c>
      <c r="F1610" t="s">
        <v>46</v>
      </c>
      <c r="G1610" t="s">
        <v>8</v>
      </c>
    </row>
    <row r="1611" spans="1:7" x14ac:dyDescent="0.3">
      <c r="A1611" t="s">
        <v>31</v>
      </c>
      <c r="B1611" s="1">
        <v>45900</v>
      </c>
      <c r="C1611">
        <v>321029</v>
      </c>
      <c r="D1611">
        <v>11204.632</v>
      </c>
      <c r="E1611" t="s">
        <v>4</v>
      </c>
      <c r="F1611" t="s">
        <v>46</v>
      </c>
      <c r="G1611" t="s">
        <v>8</v>
      </c>
    </row>
    <row r="1612" spans="1:7" x14ac:dyDescent="0.3">
      <c r="A1612" t="s">
        <v>31</v>
      </c>
      <c r="B1612" s="1">
        <v>45900</v>
      </c>
      <c r="C1612">
        <v>321030</v>
      </c>
      <c r="D1612">
        <v>82.055000000000007</v>
      </c>
      <c r="E1612" t="s">
        <v>4</v>
      </c>
      <c r="F1612" t="s">
        <v>46</v>
      </c>
      <c r="G1612" t="s">
        <v>8</v>
      </c>
    </row>
    <row r="1613" spans="1:7" x14ac:dyDescent="0.3">
      <c r="A1613" t="s">
        <v>31</v>
      </c>
      <c r="B1613" s="1">
        <v>45900</v>
      </c>
      <c r="C1613">
        <v>321042</v>
      </c>
      <c r="D1613">
        <v>2.294</v>
      </c>
      <c r="E1613" t="s">
        <v>4</v>
      </c>
      <c r="F1613" t="s">
        <v>46</v>
      </c>
      <c r="G1613" t="s">
        <v>8</v>
      </c>
    </row>
    <row r="1614" spans="1:7" x14ac:dyDescent="0.3">
      <c r="A1614" t="s">
        <v>31</v>
      </c>
      <c r="B1614" s="1">
        <v>45900</v>
      </c>
      <c r="C1614">
        <v>330113</v>
      </c>
      <c r="D1614">
        <v>596.33500000000004</v>
      </c>
      <c r="E1614" t="s">
        <v>4</v>
      </c>
      <c r="F1614" t="s">
        <v>43</v>
      </c>
      <c r="G1614" t="s">
        <v>8</v>
      </c>
    </row>
    <row r="1615" spans="1:7" x14ac:dyDescent="0.3">
      <c r="A1615" t="s">
        <v>31</v>
      </c>
      <c r="B1615" s="1">
        <v>45900</v>
      </c>
      <c r="C1615">
        <v>330116</v>
      </c>
      <c r="D1615">
        <v>-1940.877</v>
      </c>
      <c r="E1615" t="s">
        <v>4</v>
      </c>
      <c r="F1615" t="s">
        <v>43</v>
      </c>
      <c r="G1615" t="s">
        <v>8</v>
      </c>
    </row>
    <row r="1616" spans="1:7" x14ac:dyDescent="0.3">
      <c r="A1616" t="s">
        <v>31</v>
      </c>
      <c r="B1616" s="1">
        <v>45900</v>
      </c>
      <c r="C1616">
        <v>330124</v>
      </c>
      <c r="D1616">
        <v>1975.713</v>
      </c>
      <c r="E1616" t="s">
        <v>4</v>
      </c>
      <c r="F1616" t="s">
        <v>43</v>
      </c>
      <c r="G1616" t="s">
        <v>8</v>
      </c>
    </row>
    <row r="1617" spans="1:7" x14ac:dyDescent="0.3">
      <c r="A1617" t="s">
        <v>31</v>
      </c>
      <c r="B1617" s="1">
        <v>45900</v>
      </c>
      <c r="C1617">
        <v>330126</v>
      </c>
      <c r="D1617">
        <v>-4350.7889999999998</v>
      </c>
      <c r="E1617" t="s">
        <v>4</v>
      </c>
      <c r="F1617" t="s">
        <v>43</v>
      </c>
      <c r="G1617" t="s">
        <v>8</v>
      </c>
    </row>
    <row r="1618" spans="1:7" x14ac:dyDescent="0.3">
      <c r="A1618" t="s">
        <v>31</v>
      </c>
      <c r="B1618" s="1">
        <v>45900</v>
      </c>
      <c r="C1618">
        <v>340210</v>
      </c>
      <c r="D1618">
        <v>155195.231</v>
      </c>
      <c r="E1618" t="s">
        <v>4</v>
      </c>
      <c r="F1618" t="s">
        <v>47</v>
      </c>
      <c r="G1618" t="s">
        <v>8</v>
      </c>
    </row>
    <row r="1619" spans="1:7" x14ac:dyDescent="0.3">
      <c r="A1619" t="s">
        <v>31</v>
      </c>
      <c r="B1619" s="1">
        <v>45900</v>
      </c>
      <c r="C1619">
        <v>340211</v>
      </c>
      <c r="D1619">
        <v>595015.64199999999</v>
      </c>
      <c r="E1619" t="s">
        <v>4</v>
      </c>
      <c r="F1619" t="s">
        <v>47</v>
      </c>
      <c r="G1619" t="s">
        <v>8</v>
      </c>
    </row>
    <row r="1620" spans="1:7" x14ac:dyDescent="0.3">
      <c r="A1620" t="s">
        <v>31</v>
      </c>
      <c r="B1620" s="1">
        <v>45900</v>
      </c>
      <c r="C1620">
        <v>340212</v>
      </c>
      <c r="D1620">
        <v>-750210.87399999995</v>
      </c>
      <c r="E1620" t="s">
        <v>4</v>
      </c>
      <c r="F1620" t="s">
        <v>47</v>
      </c>
      <c r="G1620" t="s">
        <v>8</v>
      </c>
    </row>
    <row r="1621" spans="1:7" x14ac:dyDescent="0.3">
      <c r="A1621" t="s">
        <v>31</v>
      </c>
      <c r="B1621" s="1">
        <v>45900</v>
      </c>
      <c r="C1621">
        <v>340213</v>
      </c>
      <c r="D1621">
        <v>-51.715000000000003</v>
      </c>
      <c r="E1621" t="s">
        <v>4</v>
      </c>
      <c r="F1621" t="s">
        <v>47</v>
      </c>
      <c r="G1621" t="s">
        <v>8</v>
      </c>
    </row>
    <row r="1622" spans="1:7" x14ac:dyDescent="0.3">
      <c r="A1622" t="s">
        <v>31</v>
      </c>
      <c r="B1622" s="1">
        <v>45900</v>
      </c>
      <c r="C1622">
        <v>340214</v>
      </c>
      <c r="D1622">
        <v>53.85</v>
      </c>
      <c r="E1622" t="s">
        <v>4</v>
      </c>
      <c r="F1622" t="s">
        <v>47</v>
      </c>
      <c r="G1622" t="s">
        <v>8</v>
      </c>
    </row>
    <row r="1623" spans="1:7" x14ac:dyDescent="0.3">
      <c r="A1623" t="s">
        <v>31</v>
      </c>
      <c r="B1623" s="1">
        <v>45900</v>
      </c>
      <c r="C1623">
        <v>340215</v>
      </c>
      <c r="D1623">
        <v>-2.1349999999999998</v>
      </c>
      <c r="E1623" t="s">
        <v>4</v>
      </c>
      <c r="F1623" t="s">
        <v>47</v>
      </c>
      <c r="G1623" t="s">
        <v>8</v>
      </c>
    </row>
    <row r="1624" spans="1:7" x14ac:dyDescent="0.3">
      <c r="A1624" t="s">
        <v>31</v>
      </c>
      <c r="B1624" s="1">
        <v>45900</v>
      </c>
      <c r="C1624">
        <v>340216</v>
      </c>
      <c r="D1624">
        <v>16424.912</v>
      </c>
      <c r="E1624" t="s">
        <v>4</v>
      </c>
      <c r="F1624" t="s">
        <v>47</v>
      </c>
      <c r="G1624" t="s">
        <v>8</v>
      </c>
    </row>
    <row r="1625" spans="1:7" x14ac:dyDescent="0.3">
      <c r="A1625" t="s">
        <v>31</v>
      </c>
      <c r="B1625" s="1">
        <v>45900</v>
      </c>
      <c r="C1625">
        <v>340218</v>
      </c>
      <c r="D1625">
        <v>-16047.413</v>
      </c>
      <c r="E1625" t="s">
        <v>4</v>
      </c>
      <c r="F1625" t="s">
        <v>47</v>
      </c>
      <c r="G1625" t="s">
        <v>8</v>
      </c>
    </row>
    <row r="1626" spans="1:7" x14ac:dyDescent="0.3">
      <c r="A1626" t="s">
        <v>31</v>
      </c>
      <c r="B1626" s="1">
        <v>45900</v>
      </c>
      <c r="C1626">
        <v>340219</v>
      </c>
      <c r="D1626">
        <v>34609.957000000002</v>
      </c>
      <c r="E1626" t="s">
        <v>4</v>
      </c>
      <c r="F1626" t="s">
        <v>47</v>
      </c>
      <c r="G1626" t="s">
        <v>8</v>
      </c>
    </row>
    <row r="1627" spans="1:7" x14ac:dyDescent="0.3">
      <c r="A1627" t="s">
        <v>31</v>
      </c>
      <c r="B1627" s="1">
        <v>45900</v>
      </c>
      <c r="C1627">
        <v>340220</v>
      </c>
      <c r="D1627">
        <v>1827451.862</v>
      </c>
      <c r="E1627" t="s">
        <v>4</v>
      </c>
      <c r="F1627" t="s">
        <v>47</v>
      </c>
      <c r="G1627" t="s">
        <v>8</v>
      </c>
    </row>
    <row r="1628" spans="1:7" x14ac:dyDescent="0.3">
      <c r="A1628" t="s">
        <v>31</v>
      </c>
      <c r="B1628" s="1">
        <v>45900</v>
      </c>
      <c r="C1628">
        <v>340221</v>
      </c>
      <c r="D1628">
        <v>-1765130.2390000001</v>
      </c>
      <c r="E1628" t="s">
        <v>4</v>
      </c>
      <c r="F1628" t="s">
        <v>47</v>
      </c>
      <c r="G1628" t="s">
        <v>8</v>
      </c>
    </row>
    <row r="1629" spans="1:7" x14ac:dyDescent="0.3">
      <c r="A1629" t="s">
        <v>31</v>
      </c>
      <c r="B1629" s="1">
        <v>45900</v>
      </c>
      <c r="C1629">
        <v>340222</v>
      </c>
      <c r="D1629">
        <v>617.35500000000002</v>
      </c>
      <c r="E1629" t="s">
        <v>4</v>
      </c>
      <c r="F1629" t="s">
        <v>47</v>
      </c>
      <c r="G1629" t="s">
        <v>8</v>
      </c>
    </row>
    <row r="1630" spans="1:7" x14ac:dyDescent="0.3">
      <c r="A1630" t="s">
        <v>31</v>
      </c>
      <c r="B1630" s="1">
        <v>45900</v>
      </c>
      <c r="C1630">
        <v>340223</v>
      </c>
      <c r="D1630">
        <v>1490514.773</v>
      </c>
      <c r="E1630" t="s">
        <v>4</v>
      </c>
      <c r="F1630" t="s">
        <v>47</v>
      </c>
      <c r="G1630" t="s">
        <v>8</v>
      </c>
    </row>
    <row r="1631" spans="1:7" x14ac:dyDescent="0.3">
      <c r="A1631" t="s">
        <v>31</v>
      </c>
      <c r="B1631" s="1">
        <v>45900</v>
      </c>
      <c r="C1631">
        <v>340224</v>
      </c>
      <c r="D1631">
        <v>-1490514.773</v>
      </c>
      <c r="E1631" t="s">
        <v>4</v>
      </c>
      <c r="F1631" t="s">
        <v>47</v>
      </c>
      <c r="G1631" t="s">
        <v>8</v>
      </c>
    </row>
    <row r="1632" spans="1:7" x14ac:dyDescent="0.3">
      <c r="A1632" t="s">
        <v>31</v>
      </c>
      <c r="B1632" s="1">
        <v>45900</v>
      </c>
      <c r="C1632">
        <v>340225</v>
      </c>
      <c r="D1632">
        <v>618.34100000000001</v>
      </c>
      <c r="E1632" t="s">
        <v>4</v>
      </c>
      <c r="F1632" t="s">
        <v>47</v>
      </c>
      <c r="G1632" t="s">
        <v>8</v>
      </c>
    </row>
    <row r="1633" spans="1:7" x14ac:dyDescent="0.3">
      <c r="A1633" t="s">
        <v>31</v>
      </c>
      <c r="B1633" s="1">
        <v>45900</v>
      </c>
      <c r="C1633">
        <v>340226</v>
      </c>
      <c r="D1633">
        <v>494760.73700000002</v>
      </c>
      <c r="E1633" t="s">
        <v>4</v>
      </c>
      <c r="F1633" t="s">
        <v>47</v>
      </c>
      <c r="G1633" t="s">
        <v>8</v>
      </c>
    </row>
    <row r="1634" spans="1:7" x14ac:dyDescent="0.3">
      <c r="A1634" t="s">
        <v>31</v>
      </c>
      <c r="B1634" s="1">
        <v>45900</v>
      </c>
      <c r="C1634">
        <v>340227</v>
      </c>
      <c r="D1634">
        <v>-494760.73700000002</v>
      </c>
      <c r="E1634" t="s">
        <v>4</v>
      </c>
      <c r="F1634" t="s">
        <v>47</v>
      </c>
      <c r="G1634" t="s">
        <v>8</v>
      </c>
    </row>
    <row r="1635" spans="1:7" x14ac:dyDescent="0.3">
      <c r="A1635" t="s">
        <v>31</v>
      </c>
      <c r="B1635" s="1">
        <v>45900</v>
      </c>
      <c r="C1635">
        <v>340228</v>
      </c>
      <c r="D1635">
        <v>106187.31200000001</v>
      </c>
      <c r="E1635" t="s">
        <v>4</v>
      </c>
      <c r="F1635" t="s">
        <v>47</v>
      </c>
      <c r="G1635" t="s">
        <v>8</v>
      </c>
    </row>
    <row r="1636" spans="1:7" x14ac:dyDescent="0.3">
      <c r="A1636" t="s">
        <v>31</v>
      </c>
      <c r="B1636" s="1">
        <v>45900</v>
      </c>
      <c r="C1636">
        <v>340229</v>
      </c>
      <c r="D1636">
        <v>975524.85199999996</v>
      </c>
      <c r="E1636" t="s">
        <v>4</v>
      </c>
      <c r="F1636" t="s">
        <v>47</v>
      </c>
      <c r="G1636" t="s">
        <v>8</v>
      </c>
    </row>
    <row r="1637" spans="1:7" x14ac:dyDescent="0.3">
      <c r="A1637" t="s">
        <v>31</v>
      </c>
      <c r="B1637" s="1">
        <v>45900</v>
      </c>
      <c r="C1637">
        <v>340230</v>
      </c>
      <c r="D1637">
        <v>-917341.93500000006</v>
      </c>
      <c r="E1637" t="s">
        <v>4</v>
      </c>
      <c r="F1637" t="s">
        <v>47</v>
      </c>
      <c r="G1637" t="s">
        <v>8</v>
      </c>
    </row>
    <row r="1638" spans="1:7" x14ac:dyDescent="0.3">
      <c r="A1638" t="s">
        <v>31</v>
      </c>
      <c r="B1638" s="1">
        <v>45900</v>
      </c>
      <c r="C1638">
        <v>340231</v>
      </c>
      <c r="D1638">
        <v>90284.968999999997</v>
      </c>
      <c r="E1638" t="s">
        <v>4</v>
      </c>
      <c r="F1638" t="s">
        <v>47</v>
      </c>
      <c r="G1638" t="s">
        <v>8</v>
      </c>
    </row>
    <row r="1639" spans="1:7" x14ac:dyDescent="0.3">
      <c r="A1639" t="s">
        <v>31</v>
      </c>
      <c r="B1639" s="1">
        <v>45900</v>
      </c>
      <c r="C1639">
        <v>340232</v>
      </c>
      <c r="D1639">
        <v>460510.64199999999</v>
      </c>
      <c r="E1639" t="s">
        <v>4</v>
      </c>
      <c r="F1639" t="s">
        <v>47</v>
      </c>
      <c r="G1639" t="s">
        <v>8</v>
      </c>
    </row>
    <row r="1640" spans="1:7" x14ac:dyDescent="0.3">
      <c r="A1640" t="s">
        <v>31</v>
      </c>
      <c r="B1640" s="1">
        <v>45900</v>
      </c>
      <c r="C1640">
        <v>340233</v>
      </c>
      <c r="D1640">
        <v>-508930.734</v>
      </c>
      <c r="E1640" t="s">
        <v>4</v>
      </c>
      <c r="F1640" t="s">
        <v>47</v>
      </c>
      <c r="G1640" t="s">
        <v>8</v>
      </c>
    </row>
    <row r="1641" spans="1:7" x14ac:dyDescent="0.3">
      <c r="A1641" t="s">
        <v>31</v>
      </c>
      <c r="B1641" s="1">
        <v>45900</v>
      </c>
      <c r="C1641">
        <v>350002</v>
      </c>
      <c r="D1641">
        <v>1401.9829999999999</v>
      </c>
      <c r="E1641" t="s">
        <v>4</v>
      </c>
      <c r="F1641" t="s">
        <v>49</v>
      </c>
      <c r="G1641" t="s">
        <v>8</v>
      </c>
    </row>
    <row r="1642" spans="1:7" x14ac:dyDescent="0.3">
      <c r="A1642" t="s">
        <v>31</v>
      </c>
      <c r="B1642" s="1">
        <v>45900</v>
      </c>
      <c r="C1642">
        <v>350003</v>
      </c>
      <c r="D1642">
        <v>-351.649</v>
      </c>
      <c r="E1642" t="s">
        <v>4</v>
      </c>
      <c r="F1642" t="s">
        <v>49</v>
      </c>
      <c r="G1642" t="s">
        <v>8</v>
      </c>
    </row>
    <row r="1643" spans="1:7" x14ac:dyDescent="0.3">
      <c r="A1643" t="s">
        <v>31</v>
      </c>
      <c r="B1643" s="1">
        <v>45900</v>
      </c>
      <c r="C1643">
        <v>350031</v>
      </c>
      <c r="D1643">
        <v>2438.9569999999999</v>
      </c>
      <c r="E1643" t="s">
        <v>4</v>
      </c>
      <c r="F1643" t="s">
        <v>43</v>
      </c>
      <c r="G1643" t="s">
        <v>8</v>
      </c>
    </row>
    <row r="1644" spans="1:7" x14ac:dyDescent="0.3">
      <c r="A1644" t="s">
        <v>31</v>
      </c>
      <c r="B1644" s="1">
        <v>45900</v>
      </c>
      <c r="C1644">
        <v>354012</v>
      </c>
      <c r="D1644">
        <v>6652.6980000000003</v>
      </c>
      <c r="E1644" t="s">
        <v>4</v>
      </c>
      <c r="F1644" t="s">
        <v>46</v>
      </c>
      <c r="G1644" t="s">
        <v>8</v>
      </c>
    </row>
    <row r="1645" spans="1:7" x14ac:dyDescent="0.3">
      <c r="A1645" t="s">
        <v>31</v>
      </c>
      <c r="B1645" s="1">
        <v>45900</v>
      </c>
      <c r="C1645">
        <v>354014</v>
      </c>
      <c r="D1645">
        <v>40435.154999999999</v>
      </c>
      <c r="E1645" t="s">
        <v>4</v>
      </c>
      <c r="F1645" t="s">
        <v>46</v>
      </c>
      <c r="G1645" t="s">
        <v>8</v>
      </c>
    </row>
    <row r="1646" spans="1:7" x14ac:dyDescent="0.3">
      <c r="A1646" t="s">
        <v>31</v>
      </c>
      <c r="B1646" s="1">
        <v>45900</v>
      </c>
      <c r="C1646">
        <v>354015</v>
      </c>
      <c r="D1646">
        <v>3144.0160000000001</v>
      </c>
      <c r="E1646" t="s">
        <v>4</v>
      </c>
      <c r="F1646" t="s">
        <v>46</v>
      </c>
      <c r="G1646" t="s">
        <v>8</v>
      </c>
    </row>
    <row r="1647" spans="1:7" x14ac:dyDescent="0.3">
      <c r="A1647" t="s">
        <v>31</v>
      </c>
      <c r="B1647" s="1">
        <v>45900</v>
      </c>
      <c r="C1647">
        <v>355002</v>
      </c>
      <c r="D1647">
        <v>1161.068</v>
      </c>
      <c r="E1647" t="s">
        <v>4</v>
      </c>
      <c r="F1647" t="s">
        <v>49</v>
      </c>
      <c r="G1647" t="s">
        <v>8</v>
      </c>
    </row>
    <row r="1648" spans="1:7" x14ac:dyDescent="0.3">
      <c r="A1648" t="s">
        <v>31</v>
      </c>
      <c r="B1648" s="1">
        <v>45900</v>
      </c>
      <c r="C1648">
        <v>355013</v>
      </c>
      <c r="D1648">
        <v>1167.748</v>
      </c>
      <c r="E1648" t="s">
        <v>4</v>
      </c>
      <c r="F1648" t="s">
        <v>49</v>
      </c>
      <c r="G1648" t="s">
        <v>8</v>
      </c>
    </row>
    <row r="1649" spans="1:7" x14ac:dyDescent="0.3">
      <c r="A1649" t="s">
        <v>31</v>
      </c>
      <c r="B1649" s="1">
        <v>45900</v>
      </c>
      <c r="C1649">
        <v>355014</v>
      </c>
      <c r="D1649">
        <v>158.05799999999999</v>
      </c>
      <c r="E1649" t="s">
        <v>4</v>
      </c>
      <c r="F1649" t="s">
        <v>49</v>
      </c>
      <c r="G1649" t="s">
        <v>8</v>
      </c>
    </row>
    <row r="1650" spans="1:7" x14ac:dyDescent="0.3">
      <c r="A1650" t="s">
        <v>31</v>
      </c>
      <c r="B1650" s="1">
        <v>45900</v>
      </c>
      <c r="C1650">
        <v>360022</v>
      </c>
      <c r="D1650">
        <v>3855.06</v>
      </c>
      <c r="E1650" t="s">
        <v>4</v>
      </c>
      <c r="F1650" t="s">
        <v>58</v>
      </c>
      <c r="G1650" t="s">
        <v>8</v>
      </c>
    </row>
    <row r="1651" spans="1:7" x14ac:dyDescent="0.3">
      <c r="A1651" t="s">
        <v>31</v>
      </c>
      <c r="B1651" s="1">
        <v>45900</v>
      </c>
      <c r="C1651">
        <v>372004</v>
      </c>
      <c r="D1651">
        <v>10092.302</v>
      </c>
      <c r="E1651" t="s">
        <v>4</v>
      </c>
      <c r="F1651" t="s">
        <v>45</v>
      </c>
      <c r="G1651" t="s">
        <v>8</v>
      </c>
    </row>
    <row r="1652" spans="1:7" x14ac:dyDescent="0.3">
      <c r="A1652" t="s">
        <v>31</v>
      </c>
      <c r="B1652" s="1">
        <v>45900</v>
      </c>
      <c r="C1652">
        <v>400002</v>
      </c>
      <c r="D1652">
        <v>-11076.816000000001</v>
      </c>
      <c r="E1652" t="s">
        <v>6</v>
      </c>
      <c r="F1652" t="s">
        <v>50</v>
      </c>
      <c r="G1652" t="s">
        <v>8</v>
      </c>
    </row>
    <row r="1653" spans="1:7" x14ac:dyDescent="0.3">
      <c r="A1653" t="s">
        <v>31</v>
      </c>
      <c r="B1653" s="1">
        <v>45900</v>
      </c>
      <c r="C1653">
        <v>400004</v>
      </c>
      <c r="D1653">
        <v>-63860.103999999999</v>
      </c>
      <c r="E1653" t="s">
        <v>6</v>
      </c>
      <c r="F1653" t="s">
        <v>50</v>
      </c>
      <c r="G1653" t="s">
        <v>8</v>
      </c>
    </row>
    <row r="1654" spans="1:7" x14ac:dyDescent="0.3">
      <c r="A1654" t="s">
        <v>31</v>
      </c>
      <c r="B1654" s="1">
        <v>45900</v>
      </c>
      <c r="C1654">
        <v>410002</v>
      </c>
      <c r="D1654">
        <v>-17432.238000000001</v>
      </c>
      <c r="E1654" t="s">
        <v>6</v>
      </c>
      <c r="F1654" t="s">
        <v>51</v>
      </c>
      <c r="G1654" t="s">
        <v>8</v>
      </c>
    </row>
    <row r="1655" spans="1:7" x14ac:dyDescent="0.3">
      <c r="A1655" t="s">
        <v>31</v>
      </c>
      <c r="B1655" s="1">
        <v>45900</v>
      </c>
      <c r="C1655">
        <v>410005</v>
      </c>
      <c r="D1655">
        <v>-1265.78</v>
      </c>
      <c r="E1655" t="s">
        <v>6</v>
      </c>
      <c r="F1655" t="s">
        <v>51</v>
      </c>
      <c r="G1655" t="s">
        <v>8</v>
      </c>
    </row>
    <row r="1656" spans="1:7" x14ac:dyDescent="0.3">
      <c r="A1656" t="s">
        <v>31</v>
      </c>
      <c r="B1656" s="1">
        <v>45900</v>
      </c>
      <c r="C1656">
        <v>410006</v>
      </c>
      <c r="D1656">
        <v>-1423.0540000000001</v>
      </c>
      <c r="E1656" t="s">
        <v>6</v>
      </c>
      <c r="F1656" t="s">
        <v>51</v>
      </c>
      <c r="G1656" t="s">
        <v>8</v>
      </c>
    </row>
    <row r="1657" spans="1:7" x14ac:dyDescent="0.3">
      <c r="A1657" t="s">
        <v>31</v>
      </c>
      <c r="B1657" s="1">
        <v>45900</v>
      </c>
      <c r="C1657">
        <v>410009</v>
      </c>
      <c r="D1657">
        <v>-263.15800000000002</v>
      </c>
      <c r="E1657" t="s">
        <v>6</v>
      </c>
      <c r="F1657" t="s">
        <v>51</v>
      </c>
      <c r="G1657" t="s">
        <v>8</v>
      </c>
    </row>
    <row r="1658" spans="1:7" x14ac:dyDescent="0.3">
      <c r="A1658" t="s">
        <v>31</v>
      </c>
      <c r="B1658" s="1">
        <v>45900</v>
      </c>
      <c r="C1658">
        <v>410032</v>
      </c>
      <c r="D1658">
        <v>-34844.303999999996</v>
      </c>
      <c r="E1658" t="s">
        <v>6</v>
      </c>
      <c r="F1658" t="s">
        <v>51</v>
      </c>
      <c r="G1658" t="s">
        <v>8</v>
      </c>
    </row>
    <row r="1659" spans="1:7" x14ac:dyDescent="0.3">
      <c r="A1659" t="s">
        <v>31</v>
      </c>
      <c r="B1659" s="1">
        <v>45900</v>
      </c>
      <c r="C1659">
        <v>410036</v>
      </c>
      <c r="D1659">
        <v>-236.899</v>
      </c>
      <c r="E1659" t="s">
        <v>6</v>
      </c>
      <c r="F1659" t="s">
        <v>51</v>
      </c>
      <c r="G1659" t="s">
        <v>8</v>
      </c>
    </row>
    <row r="1660" spans="1:7" x14ac:dyDescent="0.3">
      <c r="A1660" t="s">
        <v>31</v>
      </c>
      <c r="B1660" s="1">
        <v>45900</v>
      </c>
      <c r="C1660">
        <v>410037</v>
      </c>
      <c r="D1660">
        <v>-24861.81</v>
      </c>
      <c r="E1660" t="s">
        <v>6</v>
      </c>
      <c r="F1660" t="s">
        <v>51</v>
      </c>
      <c r="G1660" t="s">
        <v>8</v>
      </c>
    </row>
    <row r="1661" spans="1:7" x14ac:dyDescent="0.3">
      <c r="A1661" t="s">
        <v>31</v>
      </c>
      <c r="B1661" s="1">
        <v>45900</v>
      </c>
      <c r="C1661">
        <v>410040</v>
      </c>
      <c r="D1661">
        <v>-261.29199999999997</v>
      </c>
      <c r="E1661" t="s">
        <v>6</v>
      </c>
      <c r="F1661" t="s">
        <v>51</v>
      </c>
      <c r="G1661" t="s">
        <v>8</v>
      </c>
    </row>
    <row r="1662" spans="1:7" x14ac:dyDescent="0.3">
      <c r="A1662" t="s">
        <v>31</v>
      </c>
      <c r="B1662" s="1">
        <v>45900</v>
      </c>
      <c r="C1662">
        <v>415002</v>
      </c>
      <c r="D1662">
        <v>-116348.412</v>
      </c>
      <c r="E1662" t="s">
        <v>6</v>
      </c>
      <c r="F1662" t="s">
        <v>50</v>
      </c>
      <c r="G1662" t="s">
        <v>8</v>
      </c>
    </row>
    <row r="1663" spans="1:7" x14ac:dyDescent="0.3">
      <c r="A1663" t="s">
        <v>31</v>
      </c>
      <c r="B1663" s="1">
        <v>45900</v>
      </c>
      <c r="C1663">
        <v>415004</v>
      </c>
      <c r="D1663">
        <v>-373365.33500000002</v>
      </c>
      <c r="E1663" t="s">
        <v>6</v>
      </c>
      <c r="F1663" t="s">
        <v>50</v>
      </c>
      <c r="G1663" t="s">
        <v>8</v>
      </c>
    </row>
    <row r="1664" spans="1:7" x14ac:dyDescent="0.3">
      <c r="A1664" t="s">
        <v>31</v>
      </c>
      <c r="B1664" s="1">
        <v>45900</v>
      </c>
      <c r="C1664">
        <v>418003</v>
      </c>
      <c r="D1664">
        <v>48.639000000000003</v>
      </c>
      <c r="E1664" t="s">
        <v>6</v>
      </c>
      <c r="F1664" t="s">
        <v>51</v>
      </c>
      <c r="G1664" t="s">
        <v>8</v>
      </c>
    </row>
    <row r="1665" spans="1:7" x14ac:dyDescent="0.3">
      <c r="A1665" t="s">
        <v>31</v>
      </c>
      <c r="B1665" s="1">
        <v>45900</v>
      </c>
      <c r="C1665">
        <v>421002</v>
      </c>
      <c r="D1665">
        <v>-10746.974</v>
      </c>
      <c r="E1665" t="s">
        <v>6</v>
      </c>
      <c r="F1665" t="s">
        <v>52</v>
      </c>
      <c r="G1665" t="s">
        <v>8</v>
      </c>
    </row>
    <row r="1666" spans="1:7" x14ac:dyDescent="0.3">
      <c r="A1666" t="s">
        <v>31</v>
      </c>
      <c r="B1666" s="1">
        <v>45900</v>
      </c>
      <c r="C1666">
        <v>421003</v>
      </c>
      <c r="D1666">
        <v>10088.543</v>
      </c>
      <c r="E1666" t="s">
        <v>6</v>
      </c>
      <c r="F1666" t="s">
        <v>52</v>
      </c>
      <c r="G1666" t="s">
        <v>8</v>
      </c>
    </row>
    <row r="1667" spans="1:7" x14ac:dyDescent="0.3">
      <c r="A1667" t="s">
        <v>31</v>
      </c>
      <c r="B1667" s="1">
        <v>45900</v>
      </c>
      <c r="C1667">
        <v>421004</v>
      </c>
      <c r="D1667">
        <v>-15792.491</v>
      </c>
      <c r="E1667" t="s">
        <v>6</v>
      </c>
      <c r="F1667" t="s">
        <v>52</v>
      </c>
      <c r="G1667" t="s">
        <v>8</v>
      </c>
    </row>
    <row r="1668" spans="1:7" x14ac:dyDescent="0.3">
      <c r="A1668" t="s">
        <v>31</v>
      </c>
      <c r="B1668" s="1">
        <v>45900</v>
      </c>
      <c r="C1668">
        <v>421007</v>
      </c>
      <c r="D1668">
        <v>-2606.3159999999998</v>
      </c>
      <c r="E1668" t="s">
        <v>6</v>
      </c>
      <c r="F1668" t="s">
        <v>52</v>
      </c>
      <c r="G1668" t="s">
        <v>8</v>
      </c>
    </row>
    <row r="1669" spans="1:7" x14ac:dyDescent="0.3">
      <c r="A1669" t="s">
        <v>31</v>
      </c>
      <c r="B1669" s="1">
        <v>45900</v>
      </c>
      <c r="C1669">
        <v>510002</v>
      </c>
      <c r="D1669">
        <v>119119.13499999999</v>
      </c>
      <c r="E1669" t="s">
        <v>6</v>
      </c>
      <c r="F1669" t="s">
        <v>53</v>
      </c>
      <c r="G1669" t="s">
        <v>8</v>
      </c>
    </row>
    <row r="1670" spans="1:7" x14ac:dyDescent="0.3">
      <c r="A1670" t="s">
        <v>31</v>
      </c>
      <c r="B1670" s="1">
        <v>45900</v>
      </c>
      <c r="C1670">
        <v>510005</v>
      </c>
      <c r="D1670">
        <v>1429.5219999999999</v>
      </c>
      <c r="E1670" t="s">
        <v>6</v>
      </c>
      <c r="F1670" t="s">
        <v>53</v>
      </c>
      <c r="G1670" t="s">
        <v>8</v>
      </c>
    </row>
    <row r="1671" spans="1:7" x14ac:dyDescent="0.3">
      <c r="A1671" t="s">
        <v>31</v>
      </c>
      <c r="B1671" s="1">
        <v>45900</v>
      </c>
      <c r="C1671">
        <v>510007</v>
      </c>
      <c r="D1671">
        <v>9826.3819999999996</v>
      </c>
      <c r="E1671" t="s">
        <v>6</v>
      </c>
      <c r="F1671" t="s">
        <v>53</v>
      </c>
      <c r="G1671" t="s">
        <v>8</v>
      </c>
    </row>
    <row r="1672" spans="1:7" x14ac:dyDescent="0.3">
      <c r="A1672" t="s">
        <v>31</v>
      </c>
      <c r="B1672" s="1">
        <v>45900</v>
      </c>
      <c r="C1672">
        <v>510012</v>
      </c>
      <c r="D1672">
        <v>4067.3530000000001</v>
      </c>
      <c r="E1672" t="s">
        <v>6</v>
      </c>
      <c r="F1672" t="s">
        <v>53</v>
      </c>
      <c r="G1672" t="s">
        <v>8</v>
      </c>
    </row>
    <row r="1673" spans="1:7" x14ac:dyDescent="0.3">
      <c r="A1673" t="s">
        <v>31</v>
      </c>
      <c r="B1673" s="1">
        <v>45900</v>
      </c>
      <c r="C1673">
        <v>510018</v>
      </c>
      <c r="D1673">
        <v>886.125</v>
      </c>
      <c r="E1673" t="s">
        <v>6</v>
      </c>
      <c r="F1673" t="s">
        <v>53</v>
      </c>
      <c r="G1673" t="s">
        <v>8</v>
      </c>
    </row>
    <row r="1674" spans="1:7" x14ac:dyDescent="0.3">
      <c r="A1674" t="s">
        <v>31</v>
      </c>
      <c r="B1674" s="1">
        <v>45900</v>
      </c>
      <c r="C1674">
        <v>510059</v>
      </c>
      <c r="D1674">
        <v>2576.4110000000001</v>
      </c>
      <c r="E1674" t="s">
        <v>6</v>
      </c>
      <c r="F1674" t="s">
        <v>53</v>
      </c>
      <c r="G1674" t="s">
        <v>8</v>
      </c>
    </row>
    <row r="1675" spans="1:7" x14ac:dyDescent="0.3">
      <c r="A1675" t="s">
        <v>31</v>
      </c>
      <c r="B1675" s="1">
        <v>45900</v>
      </c>
      <c r="C1675">
        <v>510060</v>
      </c>
      <c r="D1675">
        <v>147.33699999999999</v>
      </c>
      <c r="E1675" t="s">
        <v>6</v>
      </c>
      <c r="F1675" t="s">
        <v>53</v>
      </c>
      <c r="G1675" t="s">
        <v>8</v>
      </c>
    </row>
    <row r="1676" spans="1:7" x14ac:dyDescent="0.3">
      <c r="A1676" t="s">
        <v>31</v>
      </c>
      <c r="B1676" s="1">
        <v>45900</v>
      </c>
      <c r="C1676">
        <v>510062</v>
      </c>
      <c r="D1676">
        <v>12195.581</v>
      </c>
      <c r="E1676" t="s">
        <v>6</v>
      </c>
      <c r="F1676" t="s">
        <v>53</v>
      </c>
      <c r="G1676" t="s">
        <v>8</v>
      </c>
    </row>
    <row r="1677" spans="1:7" x14ac:dyDescent="0.3">
      <c r="A1677" t="s">
        <v>31</v>
      </c>
      <c r="B1677" s="1">
        <v>45900</v>
      </c>
      <c r="C1677">
        <v>510064</v>
      </c>
      <c r="D1677">
        <v>1279.479</v>
      </c>
      <c r="E1677" t="s">
        <v>6</v>
      </c>
      <c r="F1677" t="s">
        <v>53</v>
      </c>
      <c r="G1677" t="s">
        <v>8</v>
      </c>
    </row>
    <row r="1678" spans="1:7" x14ac:dyDescent="0.3">
      <c r="A1678" t="s">
        <v>31</v>
      </c>
      <c r="B1678" s="1">
        <v>45900</v>
      </c>
      <c r="C1678">
        <v>510065</v>
      </c>
      <c r="D1678">
        <v>1021.826</v>
      </c>
      <c r="E1678" t="s">
        <v>6</v>
      </c>
      <c r="F1678" t="s">
        <v>53</v>
      </c>
      <c r="G1678" t="s">
        <v>8</v>
      </c>
    </row>
    <row r="1679" spans="1:7" x14ac:dyDescent="0.3">
      <c r="A1679" t="s">
        <v>31</v>
      </c>
      <c r="B1679" s="1">
        <v>45900</v>
      </c>
      <c r="C1679">
        <v>520011</v>
      </c>
      <c r="D1679">
        <v>28615.557000000001</v>
      </c>
      <c r="E1679" t="s">
        <v>6</v>
      </c>
      <c r="F1679" t="s">
        <v>53</v>
      </c>
      <c r="G1679" t="s">
        <v>8</v>
      </c>
    </row>
    <row r="1680" spans="1:7" x14ac:dyDescent="0.3">
      <c r="A1680" t="s">
        <v>31</v>
      </c>
      <c r="B1680" s="1">
        <v>45900</v>
      </c>
      <c r="C1680">
        <v>520020</v>
      </c>
      <c r="D1680">
        <v>-1032.0989999999999</v>
      </c>
      <c r="E1680" t="s">
        <v>6</v>
      </c>
      <c r="F1680" t="s">
        <v>53</v>
      </c>
      <c r="G1680" t="s">
        <v>8</v>
      </c>
    </row>
    <row r="1681" spans="1:7" x14ac:dyDescent="0.3">
      <c r="A1681" t="s">
        <v>31</v>
      </c>
      <c r="B1681" s="1">
        <v>45900</v>
      </c>
      <c r="C1681">
        <v>520021</v>
      </c>
      <c r="D1681">
        <v>123.136</v>
      </c>
      <c r="E1681" t="s">
        <v>6</v>
      </c>
      <c r="F1681" t="s">
        <v>60</v>
      </c>
      <c r="G1681" t="s">
        <v>8</v>
      </c>
    </row>
    <row r="1682" spans="1:7" x14ac:dyDescent="0.3">
      <c r="A1682" t="s">
        <v>31</v>
      </c>
      <c r="B1682" s="1">
        <v>45900</v>
      </c>
      <c r="C1682">
        <v>530012</v>
      </c>
      <c r="D1682">
        <v>5036.4480000000003</v>
      </c>
      <c r="E1682" t="s">
        <v>6</v>
      </c>
      <c r="F1682" t="s">
        <v>53</v>
      </c>
      <c r="G1682" t="s">
        <v>8</v>
      </c>
    </row>
    <row r="1683" spans="1:7" x14ac:dyDescent="0.3">
      <c r="A1683" t="s">
        <v>31</v>
      </c>
      <c r="B1683" s="1">
        <v>45900</v>
      </c>
      <c r="C1683">
        <v>541003</v>
      </c>
      <c r="D1683">
        <v>2704.6889999999999</v>
      </c>
      <c r="E1683" t="s">
        <v>6</v>
      </c>
      <c r="F1683" t="s">
        <v>61</v>
      </c>
      <c r="G1683" t="s">
        <v>8</v>
      </c>
    </row>
    <row r="1684" spans="1:7" x14ac:dyDescent="0.3">
      <c r="A1684" t="s">
        <v>31</v>
      </c>
      <c r="B1684" s="1">
        <v>45900</v>
      </c>
      <c r="C1684">
        <v>541004</v>
      </c>
      <c r="D1684">
        <v>802.952</v>
      </c>
      <c r="E1684" t="s">
        <v>6</v>
      </c>
      <c r="F1684" t="s">
        <v>61</v>
      </c>
      <c r="G1684" t="s">
        <v>8</v>
      </c>
    </row>
    <row r="1685" spans="1:7" x14ac:dyDescent="0.3">
      <c r="A1685" t="s">
        <v>31</v>
      </c>
      <c r="B1685" s="1">
        <v>45900</v>
      </c>
      <c r="C1685">
        <v>541009</v>
      </c>
      <c r="D1685">
        <v>829.23099999999999</v>
      </c>
      <c r="E1685" t="s">
        <v>6</v>
      </c>
      <c r="F1685" t="s">
        <v>61</v>
      </c>
      <c r="G1685" t="s">
        <v>8</v>
      </c>
    </row>
    <row r="1686" spans="1:7" x14ac:dyDescent="0.3">
      <c r="A1686" t="s">
        <v>31</v>
      </c>
      <c r="B1686" s="1">
        <v>45900</v>
      </c>
      <c r="C1686">
        <v>541010</v>
      </c>
      <c r="D1686">
        <v>4205.9799999999996</v>
      </c>
      <c r="E1686" t="s">
        <v>6</v>
      </c>
      <c r="F1686" t="s">
        <v>61</v>
      </c>
      <c r="G1686" t="s">
        <v>8</v>
      </c>
    </row>
    <row r="1687" spans="1:7" x14ac:dyDescent="0.3">
      <c r="A1687" t="s">
        <v>31</v>
      </c>
      <c r="B1687" s="1">
        <v>45900</v>
      </c>
      <c r="C1687">
        <v>541012</v>
      </c>
      <c r="D1687">
        <v>277.93599999999998</v>
      </c>
      <c r="E1687" t="s">
        <v>6</v>
      </c>
      <c r="F1687" t="s">
        <v>61</v>
      </c>
      <c r="G1687" t="s">
        <v>8</v>
      </c>
    </row>
    <row r="1688" spans="1:7" x14ac:dyDescent="0.3">
      <c r="A1688" t="s">
        <v>31</v>
      </c>
      <c r="B1688" s="1">
        <v>45900</v>
      </c>
      <c r="C1688">
        <v>541013</v>
      </c>
      <c r="D1688">
        <v>57.145000000000003</v>
      </c>
      <c r="E1688" t="s">
        <v>6</v>
      </c>
      <c r="F1688" t="s">
        <v>61</v>
      </c>
      <c r="G1688" t="s">
        <v>8</v>
      </c>
    </row>
    <row r="1689" spans="1:7" x14ac:dyDescent="0.3">
      <c r="A1689" t="s">
        <v>31</v>
      </c>
      <c r="B1689" s="1">
        <v>45900</v>
      </c>
      <c r="C1689">
        <v>544006</v>
      </c>
      <c r="D1689">
        <v>84.728999999999999</v>
      </c>
      <c r="E1689" t="s">
        <v>6</v>
      </c>
      <c r="F1689" t="s">
        <v>61</v>
      </c>
      <c r="G1689" t="s">
        <v>8</v>
      </c>
    </row>
    <row r="1690" spans="1:7" x14ac:dyDescent="0.3">
      <c r="A1690" t="s">
        <v>31</v>
      </c>
      <c r="B1690" s="1">
        <v>45900</v>
      </c>
      <c r="C1690">
        <v>546002</v>
      </c>
      <c r="D1690">
        <v>384758.39</v>
      </c>
      <c r="E1690" t="s">
        <v>6</v>
      </c>
      <c r="F1690" t="s">
        <v>51</v>
      </c>
      <c r="G1690" t="s">
        <v>8</v>
      </c>
    </row>
    <row r="1691" spans="1:7" x14ac:dyDescent="0.3">
      <c r="A1691" t="s">
        <v>31</v>
      </c>
      <c r="B1691" s="1">
        <v>45900</v>
      </c>
      <c r="C1691">
        <v>546008</v>
      </c>
      <c r="D1691">
        <v>11.086</v>
      </c>
      <c r="E1691" t="s">
        <v>6</v>
      </c>
      <c r="F1691" t="s">
        <v>51</v>
      </c>
      <c r="G1691" t="s">
        <v>8</v>
      </c>
    </row>
    <row r="1692" spans="1:7" x14ac:dyDescent="0.3">
      <c r="A1692" t="s">
        <v>31</v>
      </c>
      <c r="B1692" s="1">
        <v>45900</v>
      </c>
      <c r="C1692">
        <v>546013</v>
      </c>
      <c r="D1692">
        <v>27101.285</v>
      </c>
      <c r="E1692" t="s">
        <v>6</v>
      </c>
      <c r="F1692" t="s">
        <v>51</v>
      </c>
      <c r="G1692" t="s">
        <v>8</v>
      </c>
    </row>
    <row r="1693" spans="1:7" x14ac:dyDescent="0.3">
      <c r="A1693" t="s">
        <v>31</v>
      </c>
      <c r="B1693" s="1">
        <v>45900</v>
      </c>
      <c r="C1693">
        <v>546019</v>
      </c>
      <c r="D1693">
        <v>3883.9490000000001</v>
      </c>
      <c r="E1693" t="s">
        <v>6</v>
      </c>
      <c r="F1693" t="s">
        <v>51</v>
      </c>
      <c r="G1693" t="s">
        <v>8</v>
      </c>
    </row>
    <row r="1694" spans="1:7" x14ac:dyDescent="0.3">
      <c r="A1694" t="s">
        <v>31</v>
      </c>
      <c r="B1694" s="1">
        <v>45900</v>
      </c>
      <c r="C1694">
        <v>546035</v>
      </c>
      <c r="D1694">
        <v>22849.192999999999</v>
      </c>
      <c r="E1694" t="s">
        <v>6</v>
      </c>
      <c r="F1694" t="s">
        <v>51</v>
      </c>
      <c r="G1694" t="s">
        <v>8</v>
      </c>
    </row>
    <row r="1695" spans="1:7" x14ac:dyDescent="0.3">
      <c r="A1695" t="s">
        <v>31</v>
      </c>
      <c r="B1695" s="1">
        <v>45900</v>
      </c>
      <c r="C1695">
        <v>546040</v>
      </c>
      <c r="D1695">
        <v>6836.95</v>
      </c>
      <c r="E1695" t="s">
        <v>6</v>
      </c>
      <c r="F1695" t="s">
        <v>51</v>
      </c>
      <c r="G1695" t="s">
        <v>8</v>
      </c>
    </row>
    <row r="1696" spans="1:7" x14ac:dyDescent="0.3">
      <c r="A1696" t="s">
        <v>31</v>
      </c>
      <c r="B1696" s="1">
        <v>45900</v>
      </c>
      <c r="C1696">
        <v>546047</v>
      </c>
      <c r="D1696">
        <v>742.80499999999995</v>
      </c>
      <c r="E1696" t="s">
        <v>6</v>
      </c>
      <c r="F1696" t="s">
        <v>51</v>
      </c>
      <c r="G1696" t="s">
        <v>8</v>
      </c>
    </row>
    <row r="1697" spans="1:7" x14ac:dyDescent="0.3">
      <c r="A1697" t="s">
        <v>31</v>
      </c>
      <c r="B1697" s="1">
        <v>45900</v>
      </c>
      <c r="C1697">
        <v>547002</v>
      </c>
      <c r="D1697">
        <v>5262.9719999999998</v>
      </c>
      <c r="E1697" t="s">
        <v>6</v>
      </c>
      <c r="F1697" t="s">
        <v>54</v>
      </c>
      <c r="G1697" t="s">
        <v>8</v>
      </c>
    </row>
    <row r="1698" spans="1:7" x14ac:dyDescent="0.3">
      <c r="A1698" t="s">
        <v>31</v>
      </c>
      <c r="B1698" s="1">
        <v>45900</v>
      </c>
      <c r="C1698">
        <v>547006</v>
      </c>
      <c r="D1698">
        <v>273.47699999999998</v>
      </c>
      <c r="E1698" t="s">
        <v>6</v>
      </c>
      <c r="F1698" t="s">
        <v>54</v>
      </c>
      <c r="G1698" t="s">
        <v>8</v>
      </c>
    </row>
    <row r="1699" spans="1:7" x14ac:dyDescent="0.3">
      <c r="A1699" t="s">
        <v>31</v>
      </c>
      <c r="B1699" s="1">
        <v>45900</v>
      </c>
      <c r="C1699">
        <v>547011</v>
      </c>
      <c r="D1699">
        <v>79.494</v>
      </c>
      <c r="E1699" t="s">
        <v>6</v>
      </c>
      <c r="F1699" t="s">
        <v>54</v>
      </c>
      <c r="G1699" t="s">
        <v>8</v>
      </c>
    </row>
    <row r="1700" spans="1:7" x14ac:dyDescent="0.3">
      <c r="A1700" t="s">
        <v>31</v>
      </c>
      <c r="B1700" s="1">
        <v>45900</v>
      </c>
      <c r="C1700">
        <v>551003</v>
      </c>
      <c r="D1700">
        <v>17420.726999999999</v>
      </c>
      <c r="E1700" t="s">
        <v>6</v>
      </c>
      <c r="F1700" t="s">
        <v>63</v>
      </c>
      <c r="G1700" t="s">
        <v>8</v>
      </c>
    </row>
    <row r="1701" spans="1:7" x14ac:dyDescent="0.3">
      <c r="A1701" t="s">
        <v>31</v>
      </c>
      <c r="B1701" s="1">
        <v>45900</v>
      </c>
      <c r="C1701">
        <v>551008</v>
      </c>
      <c r="D1701">
        <v>28.521999999999998</v>
      </c>
      <c r="E1701" t="s">
        <v>6</v>
      </c>
      <c r="F1701" t="s">
        <v>63</v>
      </c>
      <c r="G1701" t="s">
        <v>8</v>
      </c>
    </row>
    <row r="1702" spans="1:7" x14ac:dyDescent="0.3">
      <c r="A1702" t="s">
        <v>31</v>
      </c>
      <c r="B1702" s="1">
        <v>45900</v>
      </c>
      <c r="C1702">
        <v>552502</v>
      </c>
      <c r="D1702">
        <v>2730.5630000000001</v>
      </c>
      <c r="E1702" t="s">
        <v>6</v>
      </c>
      <c r="F1702" t="s">
        <v>55</v>
      </c>
      <c r="G1702" t="s">
        <v>8</v>
      </c>
    </row>
    <row r="1703" spans="1:7" x14ac:dyDescent="0.3">
      <c r="A1703" t="s">
        <v>31</v>
      </c>
      <c r="B1703" s="1">
        <v>45900</v>
      </c>
      <c r="C1703">
        <v>555007</v>
      </c>
      <c r="D1703">
        <v>593.423</v>
      </c>
      <c r="E1703" t="s">
        <v>6</v>
      </c>
      <c r="F1703" t="s">
        <v>55</v>
      </c>
      <c r="G1703" t="s">
        <v>8</v>
      </c>
    </row>
    <row r="1704" spans="1:7" x14ac:dyDescent="0.3">
      <c r="A1704" t="s">
        <v>31</v>
      </c>
      <c r="B1704" s="1">
        <v>45900</v>
      </c>
      <c r="C1704">
        <v>556002</v>
      </c>
      <c r="D1704">
        <v>441.55700000000002</v>
      </c>
      <c r="E1704" t="s">
        <v>6</v>
      </c>
      <c r="F1704" t="s">
        <v>60</v>
      </c>
      <c r="G1704" t="s">
        <v>8</v>
      </c>
    </row>
    <row r="1705" spans="1:7" x14ac:dyDescent="0.3">
      <c r="A1705" t="s">
        <v>31</v>
      </c>
      <c r="B1705" s="1">
        <v>45900</v>
      </c>
      <c r="C1705">
        <v>556004</v>
      </c>
      <c r="D1705">
        <v>19.536000000000001</v>
      </c>
      <c r="E1705" t="s">
        <v>6</v>
      </c>
      <c r="F1705" t="s">
        <v>55</v>
      </c>
      <c r="G1705" t="s">
        <v>8</v>
      </c>
    </row>
    <row r="1706" spans="1:7" x14ac:dyDescent="0.3">
      <c r="A1706" t="s">
        <v>31</v>
      </c>
      <c r="B1706" s="1">
        <v>45900</v>
      </c>
      <c r="C1706">
        <v>557002</v>
      </c>
      <c r="D1706">
        <v>2636.4079999999999</v>
      </c>
      <c r="E1706" t="s">
        <v>6</v>
      </c>
      <c r="F1706" t="s">
        <v>56</v>
      </c>
      <c r="G1706" t="s">
        <v>8</v>
      </c>
    </row>
    <row r="1707" spans="1:7" x14ac:dyDescent="0.3">
      <c r="A1707" t="s">
        <v>31</v>
      </c>
      <c r="B1707" s="1">
        <v>45900</v>
      </c>
      <c r="C1707">
        <v>558003</v>
      </c>
      <c r="D1707">
        <v>2378.0610000000001</v>
      </c>
      <c r="E1707" t="s">
        <v>6</v>
      </c>
      <c r="F1707" t="s">
        <v>57</v>
      </c>
      <c r="G1707" t="s">
        <v>8</v>
      </c>
    </row>
    <row r="1708" spans="1:7" x14ac:dyDescent="0.3">
      <c r="A1708" t="s">
        <v>31</v>
      </c>
      <c r="B1708" s="1">
        <v>45900</v>
      </c>
      <c r="C1708">
        <v>558006</v>
      </c>
      <c r="D1708">
        <v>362.16500000000002</v>
      </c>
      <c r="E1708" t="s">
        <v>6</v>
      </c>
      <c r="F1708" t="s">
        <v>57</v>
      </c>
      <c r="G1708" t="s">
        <v>8</v>
      </c>
    </row>
    <row r="1709" spans="1:7" x14ac:dyDescent="0.3">
      <c r="A1709" t="s">
        <v>31</v>
      </c>
      <c r="B1709" s="1">
        <v>45900</v>
      </c>
      <c r="C1709">
        <v>558012</v>
      </c>
      <c r="D1709">
        <v>317.39499999999998</v>
      </c>
      <c r="E1709" t="s">
        <v>6</v>
      </c>
      <c r="F1709" t="s">
        <v>60</v>
      </c>
      <c r="G1709" t="s">
        <v>8</v>
      </c>
    </row>
    <row r="1710" spans="1:7" x14ac:dyDescent="0.3">
      <c r="A1710" t="s">
        <v>31</v>
      </c>
      <c r="B1710" s="1">
        <v>45900</v>
      </c>
      <c r="C1710">
        <v>559002</v>
      </c>
      <c r="D1710">
        <v>273.49200000000002</v>
      </c>
      <c r="E1710" t="s">
        <v>6</v>
      </c>
      <c r="F1710" t="s">
        <v>60</v>
      </c>
      <c r="G1710" t="s">
        <v>8</v>
      </c>
    </row>
    <row r="1711" spans="1:7" x14ac:dyDescent="0.3">
      <c r="A1711" t="s">
        <v>31</v>
      </c>
      <c r="B1711" s="1">
        <v>45900</v>
      </c>
      <c r="C1711">
        <v>560008</v>
      </c>
      <c r="D1711">
        <v>954.82600000000002</v>
      </c>
      <c r="E1711" t="s">
        <v>6</v>
      </c>
      <c r="F1711" t="s">
        <v>56</v>
      </c>
      <c r="G1711" t="s">
        <v>8</v>
      </c>
    </row>
    <row r="1712" spans="1:7" x14ac:dyDescent="0.3">
      <c r="A1712" t="s">
        <v>31</v>
      </c>
      <c r="B1712" s="1">
        <v>45900</v>
      </c>
      <c r="C1712">
        <v>564004</v>
      </c>
      <c r="D1712">
        <v>4487.1040000000003</v>
      </c>
      <c r="E1712" t="s">
        <v>6</v>
      </c>
      <c r="F1712" t="s">
        <v>51</v>
      </c>
      <c r="G1712" t="s">
        <v>8</v>
      </c>
    </row>
    <row r="1713" spans="1:7" x14ac:dyDescent="0.3">
      <c r="A1713" t="s">
        <v>31</v>
      </c>
      <c r="B1713" s="1">
        <v>45900</v>
      </c>
      <c r="C1713">
        <v>564006</v>
      </c>
      <c r="D1713">
        <v>-4.4999999999999998E-2</v>
      </c>
      <c r="E1713" t="s">
        <v>6</v>
      </c>
      <c r="F1713" t="s">
        <v>57</v>
      </c>
      <c r="G1713" t="s">
        <v>8</v>
      </c>
    </row>
    <row r="1714" spans="1:7" x14ac:dyDescent="0.3">
      <c r="A1714" t="s">
        <v>31</v>
      </c>
      <c r="B1714" s="1">
        <v>45900</v>
      </c>
      <c r="C1714">
        <v>564020</v>
      </c>
      <c r="D1714">
        <v>275.33300000000003</v>
      </c>
      <c r="E1714" t="s">
        <v>6</v>
      </c>
      <c r="F1714" t="s">
        <v>57</v>
      </c>
      <c r="G1714" t="s">
        <v>8</v>
      </c>
    </row>
    <row r="1715" spans="1:7" x14ac:dyDescent="0.3">
      <c r="A1715" t="s">
        <v>31</v>
      </c>
      <c r="B1715" s="1">
        <v>45900</v>
      </c>
      <c r="C1715">
        <v>570002</v>
      </c>
      <c r="D1715">
        <v>338.27300000000002</v>
      </c>
      <c r="E1715" t="s">
        <v>6</v>
      </c>
      <c r="F1715" t="s">
        <v>66</v>
      </c>
      <c r="G1715" t="s">
        <v>8</v>
      </c>
    </row>
    <row r="1716" spans="1:7" x14ac:dyDescent="0.3">
      <c r="A1716" t="s">
        <v>31</v>
      </c>
      <c r="B1716" s="1">
        <v>45900</v>
      </c>
      <c r="C1716">
        <v>580002</v>
      </c>
      <c r="D1716">
        <v>6860.4089999999997</v>
      </c>
      <c r="E1716" t="s">
        <v>6</v>
      </c>
      <c r="F1716" t="s">
        <v>64</v>
      </c>
      <c r="G1716" t="s">
        <v>8</v>
      </c>
    </row>
    <row r="1717" spans="1:7" x14ac:dyDescent="0.3">
      <c r="A1717" t="s">
        <v>32</v>
      </c>
      <c r="B1717" s="1">
        <v>45900</v>
      </c>
      <c r="C1717">
        <v>210002</v>
      </c>
      <c r="D1717">
        <v>-6880916.5449999999</v>
      </c>
      <c r="E1717" t="s">
        <v>4</v>
      </c>
      <c r="F1717" t="s">
        <v>42</v>
      </c>
      <c r="G1717" t="s">
        <v>7</v>
      </c>
    </row>
    <row r="1718" spans="1:7" x14ac:dyDescent="0.3">
      <c r="A1718" t="s">
        <v>32</v>
      </c>
      <c r="B1718" s="1">
        <v>45900</v>
      </c>
      <c r="C1718">
        <v>220003</v>
      </c>
      <c r="D1718">
        <v>4195170.7949999999</v>
      </c>
      <c r="E1718" t="s">
        <v>4</v>
      </c>
      <c r="F1718" t="s">
        <v>42</v>
      </c>
      <c r="G1718" t="s">
        <v>7</v>
      </c>
    </row>
    <row r="1719" spans="1:7" x14ac:dyDescent="0.3">
      <c r="A1719" t="s">
        <v>32</v>
      </c>
      <c r="B1719" s="1">
        <v>45900</v>
      </c>
      <c r="C1719">
        <v>220004</v>
      </c>
      <c r="D1719">
        <v>-3925.2579999999998</v>
      </c>
      <c r="E1719" t="s">
        <v>4</v>
      </c>
      <c r="F1719" t="s">
        <v>42</v>
      </c>
      <c r="G1719" t="s">
        <v>7</v>
      </c>
    </row>
    <row r="1720" spans="1:7" x14ac:dyDescent="0.3">
      <c r="A1720" t="s">
        <v>32</v>
      </c>
      <c r="B1720" s="1">
        <v>45900</v>
      </c>
      <c r="C1720">
        <v>220006</v>
      </c>
      <c r="D1720">
        <v>-7065983.3159999996</v>
      </c>
      <c r="E1720" t="s">
        <v>4</v>
      </c>
      <c r="F1720" t="s">
        <v>42</v>
      </c>
      <c r="G1720" t="s">
        <v>7</v>
      </c>
    </row>
    <row r="1721" spans="1:7" x14ac:dyDescent="0.3">
      <c r="A1721" t="s">
        <v>32</v>
      </c>
      <c r="B1721" s="1">
        <v>45900</v>
      </c>
      <c r="C1721">
        <v>234003</v>
      </c>
      <c r="D1721">
        <v>-207069.96400000001</v>
      </c>
      <c r="E1721" t="s">
        <v>4</v>
      </c>
      <c r="F1721" t="s">
        <v>43</v>
      </c>
      <c r="G1721" t="s">
        <v>7</v>
      </c>
    </row>
    <row r="1722" spans="1:7" x14ac:dyDescent="0.3">
      <c r="A1722" t="s">
        <v>32</v>
      </c>
      <c r="B1722" s="1">
        <v>45900</v>
      </c>
      <c r="C1722">
        <v>240002</v>
      </c>
      <c r="D1722">
        <v>-25992.082999999999</v>
      </c>
      <c r="E1722" t="s">
        <v>4</v>
      </c>
      <c r="F1722" t="s">
        <v>43</v>
      </c>
      <c r="G1722" t="s">
        <v>7</v>
      </c>
    </row>
    <row r="1723" spans="1:7" x14ac:dyDescent="0.3">
      <c r="A1723" t="s">
        <v>32</v>
      </c>
      <c r="B1723" s="1">
        <v>45900</v>
      </c>
      <c r="C1723">
        <v>240009</v>
      </c>
      <c r="D1723">
        <v>-18955.595000000001</v>
      </c>
      <c r="E1723" t="s">
        <v>4</v>
      </c>
      <c r="F1723" t="s">
        <v>43</v>
      </c>
      <c r="G1723" t="s">
        <v>7</v>
      </c>
    </row>
    <row r="1724" spans="1:7" x14ac:dyDescent="0.3">
      <c r="A1724" t="s">
        <v>32</v>
      </c>
      <c r="B1724" s="1">
        <v>45900</v>
      </c>
      <c r="C1724">
        <v>242003</v>
      </c>
      <c r="D1724">
        <v>-1850494.064</v>
      </c>
      <c r="E1724" t="s">
        <v>4</v>
      </c>
      <c r="F1724" t="s">
        <v>43</v>
      </c>
      <c r="G1724" t="s">
        <v>7</v>
      </c>
    </row>
    <row r="1725" spans="1:7" x14ac:dyDescent="0.3">
      <c r="A1725" t="s">
        <v>32</v>
      </c>
      <c r="B1725" s="1">
        <v>45900</v>
      </c>
      <c r="C1725">
        <v>242007</v>
      </c>
      <c r="D1725">
        <v>-21675.258000000002</v>
      </c>
      <c r="E1725" t="s">
        <v>4</v>
      </c>
      <c r="F1725" t="s">
        <v>43</v>
      </c>
      <c r="G1725" t="s">
        <v>7</v>
      </c>
    </row>
    <row r="1726" spans="1:7" x14ac:dyDescent="0.3">
      <c r="A1726" t="s">
        <v>32</v>
      </c>
      <c r="B1726" s="1">
        <v>45900</v>
      </c>
      <c r="C1726">
        <v>242012</v>
      </c>
      <c r="D1726">
        <v>-1264532.8740000001</v>
      </c>
      <c r="E1726" t="s">
        <v>4</v>
      </c>
      <c r="F1726" t="s">
        <v>43</v>
      </c>
      <c r="G1726" t="s">
        <v>7</v>
      </c>
    </row>
    <row r="1727" spans="1:7" x14ac:dyDescent="0.3">
      <c r="A1727" t="s">
        <v>32</v>
      </c>
      <c r="B1727" s="1">
        <v>45900</v>
      </c>
      <c r="C1727">
        <v>242013</v>
      </c>
      <c r="D1727">
        <v>-270179.40299999999</v>
      </c>
      <c r="E1727" t="s">
        <v>4</v>
      </c>
      <c r="F1727" t="s">
        <v>43</v>
      </c>
      <c r="G1727" t="s">
        <v>7</v>
      </c>
    </row>
    <row r="1728" spans="1:7" x14ac:dyDescent="0.3">
      <c r="A1728" t="s">
        <v>32</v>
      </c>
      <c r="B1728" s="1">
        <v>45900</v>
      </c>
      <c r="C1728">
        <v>242014</v>
      </c>
      <c r="D1728">
        <v>-296610.47600000002</v>
      </c>
      <c r="E1728" t="s">
        <v>4</v>
      </c>
      <c r="F1728" t="s">
        <v>43</v>
      </c>
      <c r="G1728" t="s">
        <v>7</v>
      </c>
    </row>
    <row r="1729" spans="1:7" x14ac:dyDescent="0.3">
      <c r="A1729" t="s">
        <v>32</v>
      </c>
      <c r="B1729" s="1">
        <v>45900</v>
      </c>
      <c r="C1729">
        <v>242017</v>
      </c>
      <c r="D1729">
        <v>-99027.236999999994</v>
      </c>
      <c r="E1729" t="s">
        <v>4</v>
      </c>
      <c r="F1729" t="s">
        <v>43</v>
      </c>
      <c r="G1729" t="s">
        <v>7</v>
      </c>
    </row>
    <row r="1730" spans="1:7" x14ac:dyDescent="0.3">
      <c r="A1730" t="s">
        <v>32</v>
      </c>
      <c r="B1730" s="1">
        <v>45900</v>
      </c>
      <c r="C1730">
        <v>242019</v>
      </c>
      <c r="D1730">
        <v>-6332.6670000000004</v>
      </c>
      <c r="E1730" t="s">
        <v>4</v>
      </c>
      <c r="F1730" t="s">
        <v>43</v>
      </c>
      <c r="G1730" t="s">
        <v>7</v>
      </c>
    </row>
    <row r="1731" spans="1:7" x14ac:dyDescent="0.3">
      <c r="A1731" t="s">
        <v>32</v>
      </c>
      <c r="B1731" s="1">
        <v>45900</v>
      </c>
      <c r="C1731">
        <v>242022</v>
      </c>
      <c r="D1731">
        <v>-11931.022999999999</v>
      </c>
      <c r="E1731" t="s">
        <v>4</v>
      </c>
      <c r="F1731" t="s">
        <v>43</v>
      </c>
      <c r="G1731" t="s">
        <v>7</v>
      </c>
    </row>
    <row r="1732" spans="1:7" x14ac:dyDescent="0.3">
      <c r="A1732" t="s">
        <v>32</v>
      </c>
      <c r="B1732" s="1">
        <v>45900</v>
      </c>
      <c r="C1732">
        <v>242023</v>
      </c>
      <c r="D1732">
        <v>-5074.5630000000001</v>
      </c>
      <c r="E1732" t="s">
        <v>4</v>
      </c>
      <c r="F1732" t="s">
        <v>43</v>
      </c>
      <c r="G1732" t="s">
        <v>7</v>
      </c>
    </row>
    <row r="1733" spans="1:7" x14ac:dyDescent="0.3">
      <c r="A1733" t="s">
        <v>32</v>
      </c>
      <c r="B1733" s="1">
        <v>45900</v>
      </c>
      <c r="C1733">
        <v>242027</v>
      </c>
      <c r="D1733">
        <v>-99557.902000000002</v>
      </c>
      <c r="E1733" t="s">
        <v>4</v>
      </c>
      <c r="F1733" t="s">
        <v>43</v>
      </c>
      <c r="G1733" t="s">
        <v>7</v>
      </c>
    </row>
    <row r="1734" spans="1:7" x14ac:dyDescent="0.3">
      <c r="A1734" t="s">
        <v>32</v>
      </c>
      <c r="B1734" s="1">
        <v>45900</v>
      </c>
      <c r="C1734">
        <v>242030</v>
      </c>
      <c r="D1734">
        <v>-213831.696</v>
      </c>
      <c r="E1734" t="s">
        <v>4</v>
      </c>
      <c r="F1734" t="s">
        <v>43</v>
      </c>
      <c r="G1734" t="s">
        <v>7</v>
      </c>
    </row>
    <row r="1735" spans="1:7" x14ac:dyDescent="0.3">
      <c r="A1735" t="s">
        <v>32</v>
      </c>
      <c r="B1735" s="1">
        <v>45900</v>
      </c>
      <c r="C1735">
        <v>242032</v>
      </c>
      <c r="D1735">
        <v>-1966.1369999999999</v>
      </c>
      <c r="E1735" t="s">
        <v>4</v>
      </c>
      <c r="F1735" t="s">
        <v>43</v>
      </c>
      <c r="G1735" t="s">
        <v>7</v>
      </c>
    </row>
    <row r="1736" spans="1:7" x14ac:dyDescent="0.3">
      <c r="A1736" t="s">
        <v>32</v>
      </c>
      <c r="B1736" s="1">
        <v>45900</v>
      </c>
      <c r="C1736">
        <v>242036</v>
      </c>
      <c r="D1736">
        <v>-20189.885999999999</v>
      </c>
      <c r="E1736" t="s">
        <v>4</v>
      </c>
      <c r="F1736" t="s">
        <v>43</v>
      </c>
      <c r="G1736" t="s">
        <v>7</v>
      </c>
    </row>
    <row r="1737" spans="1:7" x14ac:dyDescent="0.3">
      <c r="A1737" t="s">
        <v>32</v>
      </c>
      <c r="B1737" s="1">
        <v>45900</v>
      </c>
      <c r="C1737">
        <v>242037</v>
      </c>
      <c r="D1737">
        <v>-26554.085999999999</v>
      </c>
      <c r="E1737" t="s">
        <v>4</v>
      </c>
      <c r="F1737" t="s">
        <v>43</v>
      </c>
      <c r="G1737" t="s">
        <v>7</v>
      </c>
    </row>
    <row r="1738" spans="1:7" x14ac:dyDescent="0.3">
      <c r="A1738" t="s">
        <v>32</v>
      </c>
      <c r="B1738" s="1">
        <v>45900</v>
      </c>
      <c r="C1738">
        <v>242038</v>
      </c>
      <c r="D1738">
        <v>-8582.0840000000007</v>
      </c>
      <c r="E1738" t="s">
        <v>4</v>
      </c>
      <c r="F1738" t="s">
        <v>43</v>
      </c>
      <c r="G1738" t="s">
        <v>7</v>
      </c>
    </row>
    <row r="1739" spans="1:7" x14ac:dyDescent="0.3">
      <c r="A1739" t="s">
        <v>32</v>
      </c>
      <c r="B1739" s="1">
        <v>45900</v>
      </c>
      <c r="C1739">
        <v>242039</v>
      </c>
      <c r="D1739">
        <v>-30972.547999999999</v>
      </c>
      <c r="E1739" t="s">
        <v>4</v>
      </c>
      <c r="F1739" t="s">
        <v>43</v>
      </c>
      <c r="G1739" t="s">
        <v>7</v>
      </c>
    </row>
    <row r="1740" spans="1:7" x14ac:dyDescent="0.3">
      <c r="A1740" t="s">
        <v>32</v>
      </c>
      <c r="B1740" s="1">
        <v>45900</v>
      </c>
      <c r="C1740">
        <v>242041</v>
      </c>
      <c r="D1740">
        <v>45425.023000000001</v>
      </c>
      <c r="E1740" t="s">
        <v>4</v>
      </c>
      <c r="F1740" t="s">
        <v>43</v>
      </c>
      <c r="G1740" t="s">
        <v>7</v>
      </c>
    </row>
    <row r="1741" spans="1:7" x14ac:dyDescent="0.3">
      <c r="A1741" t="s">
        <v>32</v>
      </c>
      <c r="B1741" s="1">
        <v>45900</v>
      </c>
      <c r="C1741">
        <v>242044</v>
      </c>
      <c r="D1741">
        <v>-41525.868000000002</v>
      </c>
      <c r="E1741" t="s">
        <v>4</v>
      </c>
      <c r="F1741" t="s">
        <v>43</v>
      </c>
      <c r="G1741" t="s">
        <v>7</v>
      </c>
    </row>
    <row r="1742" spans="1:7" x14ac:dyDescent="0.3">
      <c r="A1742" t="s">
        <v>32</v>
      </c>
      <c r="B1742" s="1">
        <v>45900</v>
      </c>
      <c r="C1742">
        <v>243002</v>
      </c>
      <c r="D1742">
        <v>-192996.13800000001</v>
      </c>
      <c r="E1742" t="s">
        <v>4</v>
      </c>
      <c r="F1742" t="s">
        <v>43</v>
      </c>
      <c r="G1742" t="s">
        <v>7</v>
      </c>
    </row>
    <row r="1743" spans="1:7" x14ac:dyDescent="0.3">
      <c r="A1743" t="s">
        <v>32</v>
      </c>
      <c r="B1743" s="1">
        <v>45900</v>
      </c>
      <c r="C1743">
        <v>243003</v>
      </c>
      <c r="D1743">
        <v>-438996.739</v>
      </c>
      <c r="E1743" t="s">
        <v>4</v>
      </c>
      <c r="F1743" t="s">
        <v>43</v>
      </c>
      <c r="G1743" t="s">
        <v>7</v>
      </c>
    </row>
    <row r="1744" spans="1:7" x14ac:dyDescent="0.3">
      <c r="A1744" t="s">
        <v>32</v>
      </c>
      <c r="B1744" s="1">
        <v>45900</v>
      </c>
      <c r="C1744">
        <v>243009</v>
      </c>
      <c r="D1744">
        <v>-2527.5790000000002</v>
      </c>
      <c r="E1744" t="s">
        <v>4</v>
      </c>
      <c r="F1744" t="s">
        <v>43</v>
      </c>
      <c r="G1744" t="s">
        <v>7</v>
      </c>
    </row>
    <row r="1745" spans="1:7" x14ac:dyDescent="0.3">
      <c r="A1745" t="s">
        <v>32</v>
      </c>
      <c r="B1745" s="1">
        <v>45900</v>
      </c>
      <c r="C1745">
        <v>245010</v>
      </c>
      <c r="D1745">
        <v>-167217.94099999999</v>
      </c>
      <c r="E1745" t="s">
        <v>4</v>
      </c>
      <c r="F1745" t="s">
        <v>44</v>
      </c>
      <c r="G1745" t="s">
        <v>7</v>
      </c>
    </row>
    <row r="1746" spans="1:7" x14ac:dyDescent="0.3">
      <c r="A1746" t="s">
        <v>32</v>
      </c>
      <c r="B1746" s="1">
        <v>45900</v>
      </c>
      <c r="C1746">
        <v>245018</v>
      </c>
      <c r="D1746">
        <v>-29740.804</v>
      </c>
      <c r="E1746" t="s">
        <v>4</v>
      </c>
      <c r="F1746" t="s">
        <v>43</v>
      </c>
      <c r="G1746" t="s">
        <v>7</v>
      </c>
    </row>
    <row r="1747" spans="1:7" x14ac:dyDescent="0.3">
      <c r="A1747" t="s">
        <v>32</v>
      </c>
      <c r="B1747" s="1">
        <v>45900</v>
      </c>
      <c r="C1747">
        <v>245049</v>
      </c>
      <c r="D1747">
        <v>-137964.52900000001</v>
      </c>
      <c r="E1747" t="s">
        <v>4</v>
      </c>
      <c r="F1747" t="s">
        <v>43</v>
      </c>
      <c r="G1747" t="s">
        <v>7</v>
      </c>
    </row>
    <row r="1748" spans="1:7" x14ac:dyDescent="0.3">
      <c r="A1748" t="s">
        <v>32</v>
      </c>
      <c r="B1748" s="1">
        <v>45900</v>
      </c>
      <c r="C1748">
        <v>245055</v>
      </c>
      <c r="D1748">
        <v>899.30100000000004</v>
      </c>
      <c r="E1748" t="s">
        <v>4</v>
      </c>
      <c r="F1748" t="s">
        <v>43</v>
      </c>
      <c r="G1748" t="s">
        <v>7</v>
      </c>
    </row>
    <row r="1749" spans="1:7" x14ac:dyDescent="0.3">
      <c r="A1749" t="s">
        <v>32</v>
      </c>
      <c r="B1749" s="1">
        <v>45900</v>
      </c>
      <c r="C1749">
        <v>245062</v>
      </c>
      <c r="D1749">
        <v>-141882.99400000001</v>
      </c>
      <c r="E1749" t="s">
        <v>4</v>
      </c>
      <c r="F1749" t="s">
        <v>43</v>
      </c>
      <c r="G1749" t="s">
        <v>7</v>
      </c>
    </row>
    <row r="1750" spans="1:7" x14ac:dyDescent="0.3">
      <c r="A1750" t="s">
        <v>32</v>
      </c>
      <c r="B1750" s="1">
        <v>45900</v>
      </c>
      <c r="C1750">
        <v>250003</v>
      </c>
      <c r="D1750">
        <v>-60616.845000000001</v>
      </c>
      <c r="E1750" t="s">
        <v>4</v>
      </c>
      <c r="F1750" t="s">
        <v>45</v>
      </c>
      <c r="G1750" t="s">
        <v>7</v>
      </c>
    </row>
    <row r="1751" spans="1:7" x14ac:dyDescent="0.3">
      <c r="A1751" t="s">
        <v>32</v>
      </c>
      <c r="B1751" s="1">
        <v>45900</v>
      </c>
      <c r="C1751">
        <v>250007</v>
      </c>
      <c r="D1751">
        <v>-119996.731</v>
      </c>
      <c r="E1751" t="s">
        <v>4</v>
      </c>
      <c r="F1751" t="s">
        <v>43</v>
      </c>
      <c r="G1751" t="s">
        <v>7</v>
      </c>
    </row>
    <row r="1752" spans="1:7" x14ac:dyDescent="0.3">
      <c r="A1752" t="s">
        <v>32</v>
      </c>
      <c r="B1752" s="1">
        <v>45900</v>
      </c>
      <c r="C1752">
        <v>250009</v>
      </c>
      <c r="D1752">
        <v>-1104.951</v>
      </c>
      <c r="E1752" t="s">
        <v>4</v>
      </c>
      <c r="F1752" t="s">
        <v>43</v>
      </c>
      <c r="G1752" t="s">
        <v>7</v>
      </c>
    </row>
    <row r="1753" spans="1:7" x14ac:dyDescent="0.3">
      <c r="A1753" t="s">
        <v>32</v>
      </c>
      <c r="B1753" s="1">
        <v>45900</v>
      </c>
      <c r="C1753">
        <v>251002</v>
      </c>
      <c r="D1753">
        <v>-19224.767</v>
      </c>
      <c r="E1753" t="s">
        <v>4</v>
      </c>
      <c r="F1753" t="s">
        <v>45</v>
      </c>
      <c r="G1753" t="s">
        <v>7</v>
      </c>
    </row>
    <row r="1754" spans="1:7" x14ac:dyDescent="0.3">
      <c r="A1754" t="s">
        <v>32</v>
      </c>
      <c r="B1754" s="1">
        <v>45900</v>
      </c>
      <c r="C1754">
        <v>251003</v>
      </c>
      <c r="D1754">
        <v>-1455107.578</v>
      </c>
      <c r="E1754" t="s">
        <v>4</v>
      </c>
      <c r="F1754" t="s">
        <v>45</v>
      </c>
      <c r="G1754" t="s">
        <v>7</v>
      </c>
    </row>
    <row r="1755" spans="1:7" x14ac:dyDescent="0.3">
      <c r="A1755" t="s">
        <v>32</v>
      </c>
      <c r="B1755" s="1">
        <v>45900</v>
      </c>
      <c r="C1755">
        <v>257008</v>
      </c>
      <c r="D1755">
        <v>-9996.0949999999993</v>
      </c>
      <c r="E1755" t="s">
        <v>4</v>
      </c>
      <c r="F1755" t="s">
        <v>45</v>
      </c>
      <c r="G1755" t="s">
        <v>7</v>
      </c>
    </row>
    <row r="1756" spans="1:7" x14ac:dyDescent="0.3">
      <c r="A1756" t="s">
        <v>32</v>
      </c>
      <c r="B1756" s="1">
        <v>45900</v>
      </c>
      <c r="C1756">
        <v>257009</v>
      </c>
      <c r="D1756">
        <v>-28133.901999999998</v>
      </c>
      <c r="E1756" t="s">
        <v>4</v>
      </c>
      <c r="F1756" t="s">
        <v>45</v>
      </c>
      <c r="G1756" t="s">
        <v>7</v>
      </c>
    </row>
    <row r="1757" spans="1:7" x14ac:dyDescent="0.3">
      <c r="A1757" t="s">
        <v>32</v>
      </c>
      <c r="B1757" s="1">
        <v>45900</v>
      </c>
      <c r="C1757">
        <v>257011</v>
      </c>
      <c r="D1757">
        <v>-11334.016</v>
      </c>
      <c r="E1757" t="s">
        <v>4</v>
      </c>
      <c r="F1757" t="s">
        <v>45</v>
      </c>
      <c r="G1757" t="s">
        <v>7</v>
      </c>
    </row>
    <row r="1758" spans="1:7" x14ac:dyDescent="0.3">
      <c r="A1758" t="s">
        <v>32</v>
      </c>
      <c r="B1758" s="1">
        <v>45900</v>
      </c>
      <c r="C1758">
        <v>257022</v>
      </c>
      <c r="D1758">
        <v>6045.49</v>
      </c>
      <c r="E1758" t="s">
        <v>4</v>
      </c>
      <c r="F1758" t="s">
        <v>45</v>
      </c>
      <c r="G1758" t="s">
        <v>7</v>
      </c>
    </row>
    <row r="1759" spans="1:7" x14ac:dyDescent="0.3">
      <c r="A1759" t="s">
        <v>32</v>
      </c>
      <c r="B1759" s="1">
        <v>45900</v>
      </c>
      <c r="C1759">
        <v>257028</v>
      </c>
      <c r="D1759">
        <v>-119645.787</v>
      </c>
      <c r="E1759" t="s">
        <v>4</v>
      </c>
      <c r="F1759" t="s">
        <v>45</v>
      </c>
      <c r="G1759" t="s">
        <v>7</v>
      </c>
    </row>
    <row r="1760" spans="1:7" x14ac:dyDescent="0.3">
      <c r="A1760" t="s">
        <v>32</v>
      </c>
      <c r="B1760" s="1">
        <v>45900</v>
      </c>
      <c r="C1760">
        <v>260004</v>
      </c>
      <c r="D1760">
        <v>-2651.8560000000002</v>
      </c>
      <c r="E1760" t="s">
        <v>4</v>
      </c>
      <c r="F1760" t="s">
        <v>45</v>
      </c>
      <c r="G1760" t="s">
        <v>7</v>
      </c>
    </row>
    <row r="1761" spans="1:7" x14ac:dyDescent="0.3">
      <c r="A1761" t="s">
        <v>32</v>
      </c>
      <c r="B1761" s="1">
        <v>45900</v>
      </c>
      <c r="C1761">
        <v>270024</v>
      </c>
      <c r="D1761">
        <v>-28675.871999999999</v>
      </c>
      <c r="E1761" t="s">
        <v>4</v>
      </c>
      <c r="F1761" t="s">
        <v>58</v>
      </c>
      <c r="G1761" t="s">
        <v>7</v>
      </c>
    </row>
    <row r="1762" spans="1:7" x14ac:dyDescent="0.3">
      <c r="A1762" t="s">
        <v>32</v>
      </c>
      <c r="B1762" s="1">
        <v>45900</v>
      </c>
      <c r="C1762">
        <v>270025</v>
      </c>
      <c r="D1762">
        <v>-213491.52499999999</v>
      </c>
      <c r="E1762" t="s">
        <v>4</v>
      </c>
      <c r="F1762" t="s">
        <v>58</v>
      </c>
      <c r="G1762" t="s">
        <v>7</v>
      </c>
    </row>
    <row r="1763" spans="1:7" x14ac:dyDescent="0.3">
      <c r="A1763" t="s">
        <v>32</v>
      </c>
      <c r="B1763" s="1">
        <v>45900</v>
      </c>
      <c r="C1763">
        <v>270026</v>
      </c>
      <c r="D1763">
        <v>-85094.595000000001</v>
      </c>
      <c r="E1763" t="s">
        <v>4</v>
      </c>
      <c r="F1763" t="s">
        <v>58</v>
      </c>
      <c r="G1763" t="s">
        <v>7</v>
      </c>
    </row>
    <row r="1764" spans="1:7" x14ac:dyDescent="0.3">
      <c r="A1764" t="s">
        <v>32</v>
      </c>
      <c r="B1764" s="1">
        <v>45900</v>
      </c>
      <c r="C1764">
        <v>270027</v>
      </c>
      <c r="D1764">
        <v>-28542.107</v>
      </c>
      <c r="E1764" t="s">
        <v>4</v>
      </c>
      <c r="F1764" t="s">
        <v>58</v>
      </c>
      <c r="G1764" t="s">
        <v>7</v>
      </c>
    </row>
    <row r="1765" spans="1:7" x14ac:dyDescent="0.3">
      <c r="A1765" t="s">
        <v>32</v>
      </c>
      <c r="B1765" s="1">
        <v>45900</v>
      </c>
      <c r="C1765">
        <v>300004</v>
      </c>
      <c r="D1765">
        <v>13687.239</v>
      </c>
      <c r="E1765" t="s">
        <v>4</v>
      </c>
      <c r="F1765" t="s">
        <v>65</v>
      </c>
      <c r="G1765" t="s">
        <v>7</v>
      </c>
    </row>
    <row r="1766" spans="1:7" x14ac:dyDescent="0.3">
      <c r="A1766" t="s">
        <v>32</v>
      </c>
      <c r="B1766" s="1">
        <v>45900</v>
      </c>
      <c r="C1766">
        <v>300005</v>
      </c>
      <c r="D1766">
        <v>59677.631999999998</v>
      </c>
      <c r="E1766" t="s">
        <v>4</v>
      </c>
      <c r="F1766" t="s">
        <v>65</v>
      </c>
      <c r="G1766" t="s">
        <v>7</v>
      </c>
    </row>
    <row r="1767" spans="1:7" x14ac:dyDescent="0.3">
      <c r="A1767" t="s">
        <v>32</v>
      </c>
      <c r="B1767" s="1">
        <v>45900</v>
      </c>
      <c r="C1767">
        <v>300008</v>
      </c>
      <c r="D1767">
        <v>228311.93900000001</v>
      </c>
      <c r="E1767" t="s">
        <v>4</v>
      </c>
      <c r="F1767" t="s">
        <v>65</v>
      </c>
      <c r="G1767" t="s">
        <v>7</v>
      </c>
    </row>
    <row r="1768" spans="1:7" x14ac:dyDescent="0.3">
      <c r="A1768" t="s">
        <v>32</v>
      </c>
      <c r="B1768" s="1">
        <v>45900</v>
      </c>
      <c r="C1768">
        <v>300009</v>
      </c>
      <c r="D1768">
        <v>4995.9809999999998</v>
      </c>
      <c r="E1768" t="s">
        <v>4</v>
      </c>
      <c r="F1768" t="s">
        <v>65</v>
      </c>
      <c r="G1768" t="s">
        <v>7</v>
      </c>
    </row>
    <row r="1769" spans="1:7" x14ac:dyDescent="0.3">
      <c r="A1769" t="s">
        <v>32</v>
      </c>
      <c r="B1769" s="1">
        <v>45900</v>
      </c>
      <c r="C1769">
        <v>300011</v>
      </c>
      <c r="D1769">
        <v>1063.8789999999999</v>
      </c>
      <c r="E1769" t="s">
        <v>4</v>
      </c>
      <c r="F1769" t="s">
        <v>65</v>
      </c>
      <c r="G1769" t="s">
        <v>7</v>
      </c>
    </row>
    <row r="1770" spans="1:7" x14ac:dyDescent="0.3">
      <c r="A1770" t="s">
        <v>32</v>
      </c>
      <c r="B1770" s="1">
        <v>45900</v>
      </c>
      <c r="C1770">
        <v>300012</v>
      </c>
      <c r="D1770">
        <v>61810.576000000001</v>
      </c>
      <c r="E1770" t="s">
        <v>4</v>
      </c>
      <c r="F1770" t="s">
        <v>65</v>
      </c>
      <c r="G1770" t="s">
        <v>7</v>
      </c>
    </row>
    <row r="1771" spans="1:7" x14ac:dyDescent="0.3">
      <c r="A1771" t="s">
        <v>32</v>
      </c>
      <c r="B1771" s="1">
        <v>45900</v>
      </c>
      <c r="C1771">
        <v>300014</v>
      </c>
      <c r="D1771">
        <v>22603.947</v>
      </c>
      <c r="E1771" t="s">
        <v>4</v>
      </c>
      <c r="F1771" t="s">
        <v>65</v>
      </c>
      <c r="G1771" t="s">
        <v>7</v>
      </c>
    </row>
    <row r="1772" spans="1:7" x14ac:dyDescent="0.3">
      <c r="A1772" t="s">
        <v>32</v>
      </c>
      <c r="B1772" s="1">
        <v>45900</v>
      </c>
      <c r="C1772">
        <v>300504</v>
      </c>
      <c r="D1772">
        <v>-12774.485000000001</v>
      </c>
      <c r="E1772" t="s">
        <v>4</v>
      </c>
      <c r="F1772" t="s">
        <v>65</v>
      </c>
      <c r="G1772" t="s">
        <v>7</v>
      </c>
    </row>
    <row r="1773" spans="1:7" x14ac:dyDescent="0.3">
      <c r="A1773" t="s">
        <v>32</v>
      </c>
      <c r="B1773" s="1">
        <v>45900</v>
      </c>
      <c r="C1773">
        <v>300505</v>
      </c>
      <c r="D1773">
        <v>-51126.508999999998</v>
      </c>
      <c r="E1773" t="s">
        <v>4</v>
      </c>
      <c r="F1773" t="s">
        <v>65</v>
      </c>
      <c r="G1773" t="s">
        <v>7</v>
      </c>
    </row>
    <row r="1774" spans="1:7" x14ac:dyDescent="0.3">
      <c r="A1774" t="s">
        <v>32</v>
      </c>
      <c r="B1774" s="1">
        <v>45900</v>
      </c>
      <c r="C1774">
        <v>300508</v>
      </c>
      <c r="D1774">
        <v>-165307.79199999999</v>
      </c>
      <c r="E1774" t="s">
        <v>4</v>
      </c>
      <c r="F1774" t="s">
        <v>65</v>
      </c>
      <c r="G1774" t="s">
        <v>7</v>
      </c>
    </row>
    <row r="1775" spans="1:7" x14ac:dyDescent="0.3">
      <c r="A1775" t="s">
        <v>32</v>
      </c>
      <c r="B1775" s="1">
        <v>45900</v>
      </c>
      <c r="C1775">
        <v>300509</v>
      </c>
      <c r="D1775">
        <v>-4984.6570000000002</v>
      </c>
      <c r="E1775" t="s">
        <v>4</v>
      </c>
      <c r="F1775" t="s">
        <v>65</v>
      </c>
      <c r="G1775" t="s">
        <v>7</v>
      </c>
    </row>
    <row r="1776" spans="1:7" x14ac:dyDescent="0.3">
      <c r="A1776" t="s">
        <v>32</v>
      </c>
      <c r="B1776" s="1">
        <v>45900</v>
      </c>
      <c r="C1776">
        <v>300511</v>
      </c>
      <c r="D1776">
        <v>-1054.704</v>
      </c>
      <c r="E1776" t="s">
        <v>4</v>
      </c>
      <c r="F1776" t="s">
        <v>65</v>
      </c>
      <c r="G1776" t="s">
        <v>7</v>
      </c>
    </row>
    <row r="1777" spans="1:7" x14ac:dyDescent="0.3">
      <c r="A1777" t="s">
        <v>32</v>
      </c>
      <c r="B1777" s="1">
        <v>45900</v>
      </c>
      <c r="C1777">
        <v>300512</v>
      </c>
      <c r="D1777">
        <v>-55001.105000000003</v>
      </c>
      <c r="E1777" t="s">
        <v>4</v>
      </c>
      <c r="F1777" t="s">
        <v>65</v>
      </c>
      <c r="G1777" t="s">
        <v>7</v>
      </c>
    </row>
    <row r="1778" spans="1:7" x14ac:dyDescent="0.3">
      <c r="A1778" t="s">
        <v>32</v>
      </c>
      <c r="B1778" s="1">
        <v>45900</v>
      </c>
      <c r="C1778">
        <v>300514</v>
      </c>
      <c r="D1778">
        <v>-22154.429</v>
      </c>
      <c r="E1778" t="s">
        <v>4</v>
      </c>
      <c r="F1778" t="s">
        <v>65</v>
      </c>
      <c r="G1778" t="s">
        <v>7</v>
      </c>
    </row>
    <row r="1779" spans="1:7" x14ac:dyDescent="0.3">
      <c r="A1779" t="s">
        <v>32</v>
      </c>
      <c r="B1779" s="1">
        <v>45900</v>
      </c>
      <c r="C1779">
        <v>301002</v>
      </c>
      <c r="D1779">
        <v>38044.082000000002</v>
      </c>
      <c r="E1779" t="s">
        <v>4</v>
      </c>
      <c r="F1779" t="s">
        <v>68</v>
      </c>
      <c r="G1779" t="s">
        <v>7</v>
      </c>
    </row>
    <row r="1780" spans="1:7" x14ac:dyDescent="0.3">
      <c r="A1780" t="s">
        <v>32</v>
      </c>
      <c r="B1780" s="1">
        <v>45900</v>
      </c>
      <c r="C1780">
        <v>301004</v>
      </c>
      <c r="D1780">
        <v>79784.092000000004</v>
      </c>
      <c r="E1780" t="s">
        <v>4</v>
      </c>
      <c r="F1780" t="s">
        <v>65</v>
      </c>
      <c r="G1780" t="s">
        <v>7</v>
      </c>
    </row>
    <row r="1781" spans="1:7" x14ac:dyDescent="0.3">
      <c r="A1781" t="s">
        <v>32</v>
      </c>
      <c r="B1781" s="1">
        <v>45900</v>
      </c>
      <c r="C1781">
        <v>301005</v>
      </c>
      <c r="D1781">
        <v>30923.23</v>
      </c>
      <c r="E1781" t="s">
        <v>4</v>
      </c>
      <c r="F1781" t="s">
        <v>65</v>
      </c>
      <c r="G1781" t="s">
        <v>7</v>
      </c>
    </row>
    <row r="1782" spans="1:7" x14ac:dyDescent="0.3">
      <c r="A1782" t="s">
        <v>32</v>
      </c>
      <c r="B1782" s="1">
        <v>45900</v>
      </c>
      <c r="C1782">
        <v>301502</v>
      </c>
      <c r="D1782">
        <v>-38044.082000000002</v>
      </c>
      <c r="E1782" t="s">
        <v>4</v>
      </c>
      <c r="F1782" t="s">
        <v>68</v>
      </c>
      <c r="G1782" t="s">
        <v>7</v>
      </c>
    </row>
    <row r="1783" spans="1:7" x14ac:dyDescent="0.3">
      <c r="A1783" t="s">
        <v>32</v>
      </c>
      <c r="B1783" s="1">
        <v>45900</v>
      </c>
      <c r="C1783">
        <v>301504</v>
      </c>
      <c r="D1783">
        <v>-79784.092000000004</v>
      </c>
      <c r="E1783" t="s">
        <v>4</v>
      </c>
      <c r="F1783" t="s">
        <v>65</v>
      </c>
      <c r="G1783" t="s">
        <v>7</v>
      </c>
    </row>
    <row r="1784" spans="1:7" x14ac:dyDescent="0.3">
      <c r="A1784" t="s">
        <v>32</v>
      </c>
      <c r="B1784" s="1">
        <v>45900</v>
      </c>
      <c r="C1784">
        <v>301505</v>
      </c>
      <c r="D1784">
        <v>-30923.23</v>
      </c>
      <c r="E1784" t="s">
        <v>4</v>
      </c>
      <c r="F1784" t="s">
        <v>65</v>
      </c>
      <c r="G1784" t="s">
        <v>7</v>
      </c>
    </row>
    <row r="1785" spans="1:7" x14ac:dyDescent="0.3">
      <c r="A1785" t="s">
        <v>32</v>
      </c>
      <c r="B1785" s="1">
        <v>45900</v>
      </c>
      <c r="C1785">
        <v>304002</v>
      </c>
      <c r="D1785">
        <v>326493.92700000003</v>
      </c>
      <c r="E1785" t="s">
        <v>4</v>
      </c>
      <c r="F1785" t="s">
        <v>65</v>
      </c>
      <c r="G1785" t="s">
        <v>7</v>
      </c>
    </row>
    <row r="1786" spans="1:7" x14ac:dyDescent="0.3">
      <c r="A1786" t="s">
        <v>32</v>
      </c>
      <c r="B1786" s="1">
        <v>45900</v>
      </c>
      <c r="C1786">
        <v>304502</v>
      </c>
      <c r="D1786">
        <v>-143574.429</v>
      </c>
      <c r="E1786" t="s">
        <v>4</v>
      </c>
      <c r="F1786" t="s">
        <v>65</v>
      </c>
      <c r="G1786" t="s">
        <v>7</v>
      </c>
    </row>
    <row r="1787" spans="1:7" x14ac:dyDescent="0.3">
      <c r="A1787" t="s">
        <v>32</v>
      </c>
      <c r="B1787" s="1">
        <v>45900</v>
      </c>
      <c r="C1787">
        <v>310010</v>
      </c>
      <c r="D1787">
        <v>4705718.33</v>
      </c>
      <c r="E1787" t="s">
        <v>4</v>
      </c>
      <c r="F1787" t="s">
        <v>42</v>
      </c>
      <c r="G1787" t="s">
        <v>7</v>
      </c>
    </row>
    <row r="1788" spans="1:7" x14ac:dyDescent="0.3">
      <c r="A1788" t="s">
        <v>32</v>
      </c>
      <c r="B1788" s="1">
        <v>45900</v>
      </c>
      <c r="C1788">
        <v>310021</v>
      </c>
      <c r="D1788">
        <v>181564.77900000001</v>
      </c>
      <c r="E1788" t="s">
        <v>4</v>
      </c>
      <c r="F1788" t="s">
        <v>42</v>
      </c>
      <c r="G1788" t="s">
        <v>7</v>
      </c>
    </row>
    <row r="1789" spans="1:7" x14ac:dyDescent="0.3">
      <c r="A1789" t="s">
        <v>32</v>
      </c>
      <c r="B1789" s="1">
        <v>45900</v>
      </c>
      <c r="C1789">
        <v>310032</v>
      </c>
      <c r="D1789">
        <v>305.81599999999997</v>
      </c>
      <c r="E1789" t="s">
        <v>4</v>
      </c>
      <c r="F1789" t="s">
        <v>42</v>
      </c>
      <c r="G1789" t="s">
        <v>7</v>
      </c>
    </row>
    <row r="1790" spans="1:7" x14ac:dyDescent="0.3">
      <c r="A1790" t="s">
        <v>32</v>
      </c>
      <c r="B1790" s="1">
        <v>45900</v>
      </c>
      <c r="C1790">
        <v>320002</v>
      </c>
      <c r="D1790">
        <v>127683.508</v>
      </c>
      <c r="E1790" t="s">
        <v>4</v>
      </c>
      <c r="F1790" t="s">
        <v>46</v>
      </c>
      <c r="G1790" t="s">
        <v>7</v>
      </c>
    </row>
    <row r="1791" spans="1:7" x14ac:dyDescent="0.3">
      <c r="A1791" t="s">
        <v>32</v>
      </c>
      <c r="B1791" s="1">
        <v>45900</v>
      </c>
      <c r="C1791">
        <v>320003</v>
      </c>
      <c r="D1791">
        <v>4585103.5130000003</v>
      </c>
      <c r="E1791" t="s">
        <v>4</v>
      </c>
      <c r="F1791" t="s">
        <v>46</v>
      </c>
      <c r="G1791" t="s">
        <v>7</v>
      </c>
    </row>
    <row r="1792" spans="1:7" x14ac:dyDescent="0.3">
      <c r="A1792" t="s">
        <v>32</v>
      </c>
      <c r="B1792" s="1">
        <v>45900</v>
      </c>
      <c r="C1792">
        <v>320013</v>
      </c>
      <c r="D1792">
        <v>36815.127</v>
      </c>
      <c r="E1792" t="s">
        <v>4</v>
      </c>
      <c r="F1792" t="s">
        <v>46</v>
      </c>
      <c r="G1792" t="s">
        <v>7</v>
      </c>
    </row>
    <row r="1793" spans="1:7" x14ac:dyDescent="0.3">
      <c r="A1793" t="s">
        <v>32</v>
      </c>
      <c r="B1793" s="1">
        <v>45900</v>
      </c>
      <c r="C1793">
        <v>320023</v>
      </c>
      <c r="D1793">
        <v>-82060.801999999996</v>
      </c>
      <c r="E1793" t="s">
        <v>4</v>
      </c>
      <c r="F1793" t="s">
        <v>46</v>
      </c>
      <c r="G1793" t="s">
        <v>7</v>
      </c>
    </row>
    <row r="1794" spans="1:7" x14ac:dyDescent="0.3">
      <c r="A1794" t="s">
        <v>32</v>
      </c>
      <c r="B1794" s="1">
        <v>45900</v>
      </c>
      <c r="C1794">
        <v>321004</v>
      </c>
      <c r="D1794">
        <v>847.40499999999997</v>
      </c>
      <c r="E1794" t="s">
        <v>4</v>
      </c>
      <c r="F1794" t="s">
        <v>46</v>
      </c>
      <c r="G1794" t="s">
        <v>7</v>
      </c>
    </row>
    <row r="1795" spans="1:7" x14ac:dyDescent="0.3">
      <c r="A1795" t="s">
        <v>32</v>
      </c>
      <c r="B1795" s="1">
        <v>45900</v>
      </c>
      <c r="C1795">
        <v>321010</v>
      </c>
      <c r="D1795">
        <v>3645.7959999999998</v>
      </c>
      <c r="E1795" t="s">
        <v>4</v>
      </c>
      <c r="F1795" t="s">
        <v>46</v>
      </c>
      <c r="G1795" t="s">
        <v>7</v>
      </c>
    </row>
    <row r="1796" spans="1:7" x14ac:dyDescent="0.3">
      <c r="A1796" t="s">
        <v>32</v>
      </c>
      <c r="B1796" s="1">
        <v>45900</v>
      </c>
      <c r="C1796">
        <v>321012</v>
      </c>
      <c r="D1796">
        <v>513243.74900000001</v>
      </c>
      <c r="E1796" t="s">
        <v>4</v>
      </c>
      <c r="F1796" t="s">
        <v>46</v>
      </c>
      <c r="G1796" t="s">
        <v>7</v>
      </c>
    </row>
    <row r="1797" spans="1:7" x14ac:dyDescent="0.3">
      <c r="A1797" t="s">
        <v>32</v>
      </c>
      <c r="B1797" s="1">
        <v>45900</v>
      </c>
      <c r="C1797">
        <v>321013</v>
      </c>
      <c r="D1797">
        <v>79407.592000000004</v>
      </c>
      <c r="E1797" t="s">
        <v>4</v>
      </c>
      <c r="F1797" t="s">
        <v>46</v>
      </c>
      <c r="G1797" t="s">
        <v>7</v>
      </c>
    </row>
    <row r="1798" spans="1:7" x14ac:dyDescent="0.3">
      <c r="A1798" t="s">
        <v>32</v>
      </c>
      <c r="B1798" s="1">
        <v>45900</v>
      </c>
      <c r="C1798">
        <v>321014</v>
      </c>
      <c r="D1798">
        <v>42428.701000000001</v>
      </c>
      <c r="E1798" t="s">
        <v>4</v>
      </c>
      <c r="F1798" t="s">
        <v>46</v>
      </c>
      <c r="G1798" t="s">
        <v>7</v>
      </c>
    </row>
    <row r="1799" spans="1:7" x14ac:dyDescent="0.3">
      <c r="A1799" t="s">
        <v>32</v>
      </c>
      <c r="B1799" s="1">
        <v>45900</v>
      </c>
      <c r="C1799">
        <v>321021</v>
      </c>
      <c r="D1799">
        <v>3554.72</v>
      </c>
      <c r="E1799" t="s">
        <v>4</v>
      </c>
      <c r="F1799" t="s">
        <v>46</v>
      </c>
      <c r="G1799" t="s">
        <v>7</v>
      </c>
    </row>
    <row r="1800" spans="1:7" x14ac:dyDescent="0.3">
      <c r="A1800" t="s">
        <v>32</v>
      </c>
      <c r="B1800" s="1">
        <v>45900</v>
      </c>
      <c r="C1800">
        <v>321025</v>
      </c>
      <c r="D1800">
        <v>175095.51300000001</v>
      </c>
      <c r="E1800" t="s">
        <v>4</v>
      </c>
      <c r="F1800" t="s">
        <v>46</v>
      </c>
      <c r="G1800" t="s">
        <v>7</v>
      </c>
    </row>
    <row r="1801" spans="1:7" x14ac:dyDescent="0.3">
      <c r="A1801" t="s">
        <v>32</v>
      </c>
      <c r="B1801" s="1">
        <v>45900</v>
      </c>
      <c r="C1801">
        <v>321029</v>
      </c>
      <c r="D1801">
        <v>303365.62699999998</v>
      </c>
      <c r="E1801" t="s">
        <v>4</v>
      </c>
      <c r="F1801" t="s">
        <v>46</v>
      </c>
      <c r="G1801" t="s">
        <v>7</v>
      </c>
    </row>
    <row r="1802" spans="1:7" x14ac:dyDescent="0.3">
      <c r="A1802" t="s">
        <v>32</v>
      </c>
      <c r="B1802" s="1">
        <v>45900</v>
      </c>
      <c r="C1802">
        <v>321030</v>
      </c>
      <c r="D1802">
        <v>-0.60399999999999998</v>
      </c>
      <c r="E1802" t="s">
        <v>4</v>
      </c>
      <c r="F1802" t="s">
        <v>46</v>
      </c>
      <c r="G1802" t="s">
        <v>7</v>
      </c>
    </row>
    <row r="1803" spans="1:7" x14ac:dyDescent="0.3">
      <c r="A1803" t="s">
        <v>32</v>
      </c>
      <c r="B1803" s="1">
        <v>45900</v>
      </c>
      <c r="C1803">
        <v>321031</v>
      </c>
      <c r="D1803">
        <v>53480.06</v>
      </c>
      <c r="E1803" t="s">
        <v>4</v>
      </c>
      <c r="F1803" t="s">
        <v>46</v>
      </c>
      <c r="G1803" t="s">
        <v>7</v>
      </c>
    </row>
    <row r="1804" spans="1:7" x14ac:dyDescent="0.3">
      <c r="A1804" t="s">
        <v>32</v>
      </c>
      <c r="B1804" s="1">
        <v>45900</v>
      </c>
      <c r="C1804">
        <v>321036</v>
      </c>
      <c r="D1804">
        <v>201.08099999999999</v>
      </c>
      <c r="E1804" t="s">
        <v>4</v>
      </c>
      <c r="F1804" t="s">
        <v>46</v>
      </c>
      <c r="G1804" t="s">
        <v>7</v>
      </c>
    </row>
    <row r="1805" spans="1:7" x14ac:dyDescent="0.3">
      <c r="A1805" t="s">
        <v>32</v>
      </c>
      <c r="B1805" s="1">
        <v>45900</v>
      </c>
      <c r="C1805">
        <v>321041</v>
      </c>
      <c r="D1805">
        <v>17466.027999999998</v>
      </c>
      <c r="E1805" t="s">
        <v>4</v>
      </c>
      <c r="F1805" t="s">
        <v>46</v>
      </c>
      <c r="G1805" t="s">
        <v>7</v>
      </c>
    </row>
    <row r="1806" spans="1:7" x14ac:dyDescent="0.3">
      <c r="A1806" t="s">
        <v>32</v>
      </c>
      <c r="B1806" s="1">
        <v>45900</v>
      </c>
      <c r="C1806">
        <v>321042</v>
      </c>
      <c r="D1806">
        <v>-49.881999999999998</v>
      </c>
      <c r="E1806" t="s">
        <v>4</v>
      </c>
      <c r="F1806" t="s">
        <v>46</v>
      </c>
      <c r="G1806" t="s">
        <v>7</v>
      </c>
    </row>
    <row r="1807" spans="1:7" x14ac:dyDescent="0.3">
      <c r="A1807" t="s">
        <v>32</v>
      </c>
      <c r="B1807" s="1">
        <v>45900</v>
      </c>
      <c r="C1807">
        <v>330002</v>
      </c>
      <c r="D1807">
        <v>-23052.013999999999</v>
      </c>
      <c r="E1807" t="s">
        <v>4</v>
      </c>
      <c r="F1807" t="s">
        <v>43</v>
      </c>
      <c r="G1807" t="s">
        <v>7</v>
      </c>
    </row>
    <row r="1808" spans="1:7" x14ac:dyDescent="0.3">
      <c r="A1808" t="s">
        <v>32</v>
      </c>
      <c r="B1808" s="1">
        <v>45900</v>
      </c>
      <c r="C1808">
        <v>330034</v>
      </c>
      <c r="D1808">
        <v>1579.954</v>
      </c>
      <c r="E1808" t="s">
        <v>4</v>
      </c>
      <c r="F1808" t="s">
        <v>43</v>
      </c>
      <c r="G1808" t="s">
        <v>7</v>
      </c>
    </row>
    <row r="1809" spans="1:7" x14ac:dyDescent="0.3">
      <c r="A1809" t="s">
        <v>32</v>
      </c>
      <c r="B1809" s="1">
        <v>45900</v>
      </c>
      <c r="C1809">
        <v>330040</v>
      </c>
      <c r="D1809">
        <v>-10038.433000000001</v>
      </c>
      <c r="E1809" t="s">
        <v>4</v>
      </c>
      <c r="F1809" t="s">
        <v>43</v>
      </c>
      <c r="G1809" t="s">
        <v>7</v>
      </c>
    </row>
    <row r="1810" spans="1:7" x14ac:dyDescent="0.3">
      <c r="A1810" t="s">
        <v>32</v>
      </c>
      <c r="B1810" s="1">
        <v>45900</v>
      </c>
      <c r="C1810">
        <v>330115</v>
      </c>
      <c r="D1810">
        <v>-38035.892999999996</v>
      </c>
      <c r="E1810" t="s">
        <v>4</v>
      </c>
      <c r="F1810" t="s">
        <v>43</v>
      </c>
      <c r="G1810" t="s">
        <v>7</v>
      </c>
    </row>
    <row r="1811" spans="1:7" x14ac:dyDescent="0.3">
      <c r="A1811" t="s">
        <v>32</v>
      </c>
      <c r="B1811" s="1">
        <v>45900</v>
      </c>
      <c r="C1811">
        <v>340053</v>
      </c>
      <c r="D1811">
        <v>2864465.3280000002</v>
      </c>
      <c r="E1811" t="s">
        <v>4</v>
      </c>
      <c r="F1811" t="s">
        <v>47</v>
      </c>
      <c r="G1811" t="s">
        <v>7</v>
      </c>
    </row>
    <row r="1812" spans="1:7" x14ac:dyDescent="0.3">
      <c r="A1812" t="s">
        <v>32</v>
      </c>
      <c r="B1812" s="1">
        <v>45900</v>
      </c>
      <c r="C1812">
        <v>340054</v>
      </c>
      <c r="D1812">
        <v>-2852113.9819999998</v>
      </c>
      <c r="E1812" t="s">
        <v>4</v>
      </c>
      <c r="F1812" t="s">
        <v>47</v>
      </c>
      <c r="G1812" t="s">
        <v>7</v>
      </c>
    </row>
    <row r="1813" spans="1:7" x14ac:dyDescent="0.3">
      <c r="A1813" t="s">
        <v>32</v>
      </c>
      <c r="B1813" s="1">
        <v>45900</v>
      </c>
      <c r="C1813">
        <v>340102</v>
      </c>
      <c r="D1813">
        <v>500523.88500000001</v>
      </c>
      <c r="E1813" t="s">
        <v>4</v>
      </c>
      <c r="F1813" t="s">
        <v>47</v>
      </c>
      <c r="G1813" t="s">
        <v>7</v>
      </c>
    </row>
    <row r="1814" spans="1:7" x14ac:dyDescent="0.3">
      <c r="A1814" t="s">
        <v>32</v>
      </c>
      <c r="B1814" s="1">
        <v>45900</v>
      </c>
      <c r="C1814">
        <v>340103</v>
      </c>
      <c r="D1814">
        <v>96570646.609999999</v>
      </c>
      <c r="E1814" t="s">
        <v>4</v>
      </c>
      <c r="F1814" t="s">
        <v>47</v>
      </c>
      <c r="G1814" t="s">
        <v>7</v>
      </c>
    </row>
    <row r="1815" spans="1:7" x14ac:dyDescent="0.3">
      <c r="A1815" t="s">
        <v>32</v>
      </c>
      <c r="B1815" s="1">
        <v>45900</v>
      </c>
      <c r="C1815">
        <v>340104</v>
      </c>
      <c r="D1815">
        <v>-95717858.923999995</v>
      </c>
      <c r="E1815" t="s">
        <v>4</v>
      </c>
      <c r="F1815" t="s">
        <v>47</v>
      </c>
      <c r="G1815" t="s">
        <v>7</v>
      </c>
    </row>
    <row r="1816" spans="1:7" x14ac:dyDescent="0.3">
      <c r="A1816" t="s">
        <v>32</v>
      </c>
      <c r="B1816" s="1">
        <v>45900</v>
      </c>
      <c r="C1816">
        <v>345019</v>
      </c>
      <c r="D1816">
        <v>50645.324999999997</v>
      </c>
      <c r="E1816" t="s">
        <v>4</v>
      </c>
      <c r="F1816" t="s">
        <v>47</v>
      </c>
      <c r="G1816" t="s">
        <v>7</v>
      </c>
    </row>
    <row r="1817" spans="1:7" x14ac:dyDescent="0.3">
      <c r="A1817" t="s">
        <v>32</v>
      </c>
      <c r="B1817" s="1">
        <v>45900</v>
      </c>
      <c r="C1817">
        <v>345020</v>
      </c>
      <c r="D1817">
        <v>5860809.9479999999</v>
      </c>
      <c r="E1817" t="s">
        <v>4</v>
      </c>
      <c r="F1817" t="s">
        <v>47</v>
      </c>
      <c r="G1817" t="s">
        <v>7</v>
      </c>
    </row>
    <row r="1818" spans="1:7" x14ac:dyDescent="0.3">
      <c r="A1818" t="s">
        <v>32</v>
      </c>
      <c r="B1818" s="1">
        <v>45900</v>
      </c>
      <c r="C1818">
        <v>345021</v>
      </c>
      <c r="D1818">
        <v>-5813094.0779999997</v>
      </c>
      <c r="E1818" t="s">
        <v>4</v>
      </c>
      <c r="F1818" t="s">
        <v>47</v>
      </c>
      <c r="G1818" t="s">
        <v>7</v>
      </c>
    </row>
    <row r="1819" spans="1:7" x14ac:dyDescent="0.3">
      <c r="A1819" t="s">
        <v>32</v>
      </c>
      <c r="B1819" s="1">
        <v>45900</v>
      </c>
      <c r="C1819">
        <v>345022</v>
      </c>
      <c r="D1819">
        <v>12181.802</v>
      </c>
      <c r="E1819" t="s">
        <v>4</v>
      </c>
      <c r="F1819" t="s">
        <v>47</v>
      </c>
      <c r="G1819" t="s">
        <v>7</v>
      </c>
    </row>
    <row r="1820" spans="1:7" x14ac:dyDescent="0.3">
      <c r="A1820" t="s">
        <v>32</v>
      </c>
      <c r="B1820" s="1">
        <v>45900</v>
      </c>
      <c r="C1820">
        <v>350002</v>
      </c>
      <c r="D1820">
        <v>9479.0020000000004</v>
      </c>
      <c r="E1820" t="s">
        <v>4</v>
      </c>
      <c r="F1820" t="s">
        <v>49</v>
      </c>
      <c r="G1820" t="s">
        <v>7</v>
      </c>
    </row>
    <row r="1821" spans="1:7" x14ac:dyDescent="0.3">
      <c r="A1821" t="s">
        <v>32</v>
      </c>
      <c r="B1821" s="1">
        <v>45900</v>
      </c>
      <c r="C1821">
        <v>350003</v>
      </c>
      <c r="D1821">
        <v>-2964.63</v>
      </c>
      <c r="E1821" t="s">
        <v>4</v>
      </c>
      <c r="F1821" t="s">
        <v>49</v>
      </c>
      <c r="G1821" t="s">
        <v>7</v>
      </c>
    </row>
    <row r="1822" spans="1:7" x14ac:dyDescent="0.3">
      <c r="A1822" t="s">
        <v>32</v>
      </c>
      <c r="B1822" s="1">
        <v>45900</v>
      </c>
      <c r="C1822">
        <v>350031</v>
      </c>
      <c r="D1822">
        <v>18955.595000000001</v>
      </c>
      <c r="E1822" t="s">
        <v>4</v>
      </c>
      <c r="F1822" t="s">
        <v>43</v>
      </c>
      <c r="G1822" t="s">
        <v>7</v>
      </c>
    </row>
    <row r="1823" spans="1:7" x14ac:dyDescent="0.3">
      <c r="A1823" t="s">
        <v>32</v>
      </c>
      <c r="B1823" s="1">
        <v>45900</v>
      </c>
      <c r="C1823">
        <v>351004</v>
      </c>
      <c r="D1823">
        <v>4997.9610000000002</v>
      </c>
      <c r="E1823" t="s">
        <v>4</v>
      </c>
      <c r="F1823" t="s">
        <v>45</v>
      </c>
      <c r="G1823" t="s">
        <v>7</v>
      </c>
    </row>
    <row r="1824" spans="1:7" x14ac:dyDescent="0.3">
      <c r="A1824" t="s">
        <v>32</v>
      </c>
      <c r="B1824" s="1">
        <v>45900</v>
      </c>
      <c r="C1824">
        <v>352002</v>
      </c>
      <c r="D1824">
        <v>1627.537</v>
      </c>
      <c r="E1824" t="s">
        <v>4</v>
      </c>
      <c r="F1824" t="s">
        <v>48</v>
      </c>
      <c r="G1824" t="s">
        <v>7</v>
      </c>
    </row>
    <row r="1825" spans="1:7" x14ac:dyDescent="0.3">
      <c r="A1825" t="s">
        <v>32</v>
      </c>
      <c r="B1825" s="1">
        <v>45900</v>
      </c>
      <c r="C1825">
        <v>352006</v>
      </c>
      <c r="D1825">
        <v>-3.2189999999999999</v>
      </c>
      <c r="E1825" t="s">
        <v>4</v>
      </c>
      <c r="F1825" t="s">
        <v>48</v>
      </c>
      <c r="G1825" t="s">
        <v>7</v>
      </c>
    </row>
    <row r="1826" spans="1:7" x14ac:dyDescent="0.3">
      <c r="A1826" t="s">
        <v>32</v>
      </c>
      <c r="B1826" s="1">
        <v>45900</v>
      </c>
      <c r="C1826">
        <v>354012</v>
      </c>
      <c r="D1826">
        <v>3449555.68</v>
      </c>
      <c r="E1826" t="s">
        <v>4</v>
      </c>
      <c r="F1826" t="s">
        <v>46</v>
      </c>
      <c r="G1826" t="s">
        <v>7</v>
      </c>
    </row>
    <row r="1827" spans="1:7" x14ac:dyDescent="0.3">
      <c r="A1827" t="s">
        <v>32</v>
      </c>
      <c r="B1827" s="1">
        <v>45900</v>
      </c>
      <c r="C1827">
        <v>354013</v>
      </c>
      <c r="D1827">
        <v>57452.542000000001</v>
      </c>
      <c r="E1827" t="s">
        <v>4</v>
      </c>
      <c r="F1827" t="s">
        <v>46</v>
      </c>
      <c r="G1827" t="s">
        <v>7</v>
      </c>
    </row>
    <row r="1828" spans="1:7" x14ac:dyDescent="0.3">
      <c r="A1828" t="s">
        <v>32</v>
      </c>
      <c r="B1828" s="1">
        <v>45900</v>
      </c>
      <c r="C1828">
        <v>354014</v>
      </c>
      <c r="D1828">
        <v>372986.98300000001</v>
      </c>
      <c r="E1828" t="s">
        <v>4</v>
      </c>
      <c r="F1828" t="s">
        <v>46</v>
      </c>
      <c r="G1828" t="s">
        <v>7</v>
      </c>
    </row>
    <row r="1829" spans="1:7" x14ac:dyDescent="0.3">
      <c r="A1829" t="s">
        <v>32</v>
      </c>
      <c r="B1829" s="1">
        <v>45900</v>
      </c>
      <c r="C1829">
        <v>355002</v>
      </c>
      <c r="D1829">
        <v>10991.071</v>
      </c>
      <c r="E1829" t="s">
        <v>4</v>
      </c>
      <c r="F1829" t="s">
        <v>49</v>
      </c>
      <c r="G1829" t="s">
        <v>7</v>
      </c>
    </row>
    <row r="1830" spans="1:7" x14ac:dyDescent="0.3">
      <c r="A1830" t="s">
        <v>32</v>
      </c>
      <c r="B1830" s="1">
        <v>45900</v>
      </c>
      <c r="C1830">
        <v>355013</v>
      </c>
      <c r="D1830">
        <v>195834.00399999999</v>
      </c>
      <c r="E1830" t="s">
        <v>4</v>
      </c>
      <c r="F1830" t="s">
        <v>49</v>
      </c>
      <c r="G1830" t="s">
        <v>7</v>
      </c>
    </row>
    <row r="1831" spans="1:7" x14ac:dyDescent="0.3">
      <c r="A1831" t="s">
        <v>32</v>
      </c>
      <c r="B1831" s="1">
        <v>45900</v>
      </c>
      <c r="C1831">
        <v>355014</v>
      </c>
      <c r="D1831">
        <v>104970.061</v>
      </c>
      <c r="E1831" t="s">
        <v>4</v>
      </c>
      <c r="F1831" t="s">
        <v>49</v>
      </c>
      <c r="G1831" t="s">
        <v>7</v>
      </c>
    </row>
    <row r="1832" spans="1:7" x14ac:dyDescent="0.3">
      <c r="A1832" t="s">
        <v>32</v>
      </c>
      <c r="B1832" s="1">
        <v>45900</v>
      </c>
      <c r="C1832">
        <v>360021</v>
      </c>
      <c r="D1832">
        <v>-54.469000000000001</v>
      </c>
      <c r="E1832" t="s">
        <v>4</v>
      </c>
      <c r="F1832" t="s">
        <v>45</v>
      </c>
      <c r="G1832" t="s">
        <v>7</v>
      </c>
    </row>
    <row r="1833" spans="1:7" x14ac:dyDescent="0.3">
      <c r="A1833" t="s">
        <v>32</v>
      </c>
      <c r="B1833" s="1">
        <v>45900</v>
      </c>
      <c r="C1833">
        <v>360026</v>
      </c>
      <c r="D1833">
        <v>316955.03600000002</v>
      </c>
      <c r="E1833" t="s">
        <v>4</v>
      </c>
      <c r="F1833" t="s">
        <v>58</v>
      </c>
      <c r="G1833" t="s">
        <v>7</v>
      </c>
    </row>
    <row r="1834" spans="1:7" x14ac:dyDescent="0.3">
      <c r="A1834" t="s">
        <v>32</v>
      </c>
      <c r="B1834" s="1">
        <v>45900</v>
      </c>
      <c r="C1834">
        <v>360028</v>
      </c>
      <c r="D1834">
        <v>116435.497</v>
      </c>
      <c r="E1834" t="s">
        <v>4</v>
      </c>
      <c r="F1834" t="s">
        <v>58</v>
      </c>
      <c r="G1834" t="s">
        <v>7</v>
      </c>
    </row>
    <row r="1835" spans="1:7" x14ac:dyDescent="0.3">
      <c r="A1835" t="s">
        <v>32</v>
      </c>
      <c r="B1835" s="1">
        <v>45900</v>
      </c>
      <c r="C1835">
        <v>360030</v>
      </c>
      <c r="D1835">
        <v>73255.83</v>
      </c>
      <c r="E1835" t="s">
        <v>4</v>
      </c>
      <c r="F1835" t="s">
        <v>58</v>
      </c>
      <c r="G1835" t="s">
        <v>7</v>
      </c>
    </row>
    <row r="1836" spans="1:7" x14ac:dyDescent="0.3">
      <c r="A1836" t="s">
        <v>32</v>
      </c>
      <c r="B1836" s="1">
        <v>45900</v>
      </c>
      <c r="C1836">
        <v>360032</v>
      </c>
      <c r="D1836">
        <v>20293.260999999999</v>
      </c>
      <c r="E1836" t="s">
        <v>4</v>
      </c>
      <c r="F1836" t="s">
        <v>58</v>
      </c>
      <c r="G1836" t="s">
        <v>7</v>
      </c>
    </row>
    <row r="1837" spans="1:7" x14ac:dyDescent="0.3">
      <c r="A1837" t="s">
        <v>32</v>
      </c>
      <c r="B1837" s="1">
        <v>45900</v>
      </c>
      <c r="C1837">
        <v>364502</v>
      </c>
      <c r="D1837">
        <v>143896.20199999999</v>
      </c>
      <c r="E1837" t="s">
        <v>4</v>
      </c>
      <c r="F1837" t="s">
        <v>58</v>
      </c>
      <c r="G1837" t="s">
        <v>7</v>
      </c>
    </row>
    <row r="1838" spans="1:7" x14ac:dyDescent="0.3">
      <c r="A1838" t="s">
        <v>32</v>
      </c>
      <c r="B1838" s="1">
        <v>45900</v>
      </c>
      <c r="C1838">
        <v>400002</v>
      </c>
      <c r="D1838">
        <v>-101871.545</v>
      </c>
      <c r="E1838" t="s">
        <v>6</v>
      </c>
      <c r="F1838" t="s">
        <v>50</v>
      </c>
      <c r="G1838" t="s">
        <v>7</v>
      </c>
    </row>
    <row r="1839" spans="1:7" x14ac:dyDescent="0.3">
      <c r="A1839" t="s">
        <v>32</v>
      </c>
      <c r="B1839" s="1">
        <v>45900</v>
      </c>
      <c r="C1839">
        <v>400004</v>
      </c>
      <c r="D1839">
        <v>-67794.748000000007</v>
      </c>
      <c r="E1839" t="s">
        <v>6</v>
      </c>
      <c r="F1839" t="s">
        <v>50</v>
      </c>
      <c r="G1839" t="s">
        <v>7</v>
      </c>
    </row>
    <row r="1840" spans="1:7" x14ac:dyDescent="0.3">
      <c r="A1840" t="s">
        <v>32</v>
      </c>
      <c r="B1840" s="1">
        <v>45900</v>
      </c>
      <c r="C1840">
        <v>410005</v>
      </c>
      <c r="D1840">
        <v>-833.54700000000003</v>
      </c>
      <c r="E1840" t="s">
        <v>6</v>
      </c>
      <c r="F1840" t="s">
        <v>51</v>
      </c>
      <c r="G1840" t="s">
        <v>7</v>
      </c>
    </row>
    <row r="1841" spans="1:7" x14ac:dyDescent="0.3">
      <c r="A1841" t="s">
        <v>32</v>
      </c>
      <c r="B1841" s="1">
        <v>45900</v>
      </c>
      <c r="C1841">
        <v>410006</v>
      </c>
      <c r="D1841">
        <v>-149348.67300000001</v>
      </c>
      <c r="E1841" t="s">
        <v>6</v>
      </c>
      <c r="F1841" t="s">
        <v>51</v>
      </c>
      <c r="G1841" t="s">
        <v>7</v>
      </c>
    </row>
    <row r="1842" spans="1:7" x14ac:dyDescent="0.3">
      <c r="A1842" t="s">
        <v>32</v>
      </c>
      <c r="B1842" s="1">
        <v>45900</v>
      </c>
      <c r="C1842">
        <v>410009</v>
      </c>
      <c r="D1842">
        <v>-16969.628000000001</v>
      </c>
      <c r="E1842" t="s">
        <v>6</v>
      </c>
      <c r="F1842" t="s">
        <v>51</v>
      </c>
      <c r="G1842" t="s">
        <v>7</v>
      </c>
    </row>
    <row r="1843" spans="1:7" x14ac:dyDescent="0.3">
      <c r="A1843" t="s">
        <v>32</v>
      </c>
      <c r="B1843" s="1">
        <v>45900</v>
      </c>
      <c r="C1843">
        <v>410015</v>
      </c>
      <c r="D1843">
        <v>-128551.13400000001</v>
      </c>
      <c r="E1843" t="s">
        <v>6</v>
      </c>
      <c r="F1843" t="s">
        <v>51</v>
      </c>
      <c r="G1843" t="s">
        <v>7</v>
      </c>
    </row>
    <row r="1844" spans="1:7" x14ac:dyDescent="0.3">
      <c r="A1844" t="s">
        <v>32</v>
      </c>
      <c r="B1844" s="1">
        <v>45900</v>
      </c>
      <c r="C1844">
        <v>410018</v>
      </c>
      <c r="D1844">
        <v>-3718.5369999999998</v>
      </c>
      <c r="E1844" t="s">
        <v>6</v>
      </c>
      <c r="F1844" t="s">
        <v>51</v>
      </c>
      <c r="G1844" t="s">
        <v>7</v>
      </c>
    </row>
    <row r="1845" spans="1:7" x14ac:dyDescent="0.3">
      <c r="A1845" t="s">
        <v>32</v>
      </c>
      <c r="B1845" s="1">
        <v>45900</v>
      </c>
      <c r="C1845">
        <v>410019</v>
      </c>
      <c r="D1845">
        <v>-3138.33</v>
      </c>
      <c r="E1845" t="s">
        <v>6</v>
      </c>
      <c r="F1845" t="s">
        <v>51</v>
      </c>
      <c r="G1845" t="s">
        <v>7</v>
      </c>
    </row>
    <row r="1846" spans="1:7" x14ac:dyDescent="0.3">
      <c r="A1846" t="s">
        <v>32</v>
      </c>
      <c r="B1846" s="1">
        <v>45900</v>
      </c>
      <c r="C1846">
        <v>410032</v>
      </c>
      <c r="D1846">
        <v>-76760.676999999996</v>
      </c>
      <c r="E1846" t="s">
        <v>6</v>
      </c>
      <c r="F1846" t="s">
        <v>51</v>
      </c>
      <c r="G1846" t="s">
        <v>7</v>
      </c>
    </row>
    <row r="1847" spans="1:7" x14ac:dyDescent="0.3">
      <c r="A1847" t="s">
        <v>32</v>
      </c>
      <c r="B1847" s="1">
        <v>45900</v>
      </c>
      <c r="C1847">
        <v>410037</v>
      </c>
      <c r="D1847">
        <v>-702981.35</v>
      </c>
      <c r="E1847" t="s">
        <v>6</v>
      </c>
      <c r="F1847" t="s">
        <v>51</v>
      </c>
      <c r="G1847" t="s">
        <v>7</v>
      </c>
    </row>
    <row r="1848" spans="1:7" x14ac:dyDescent="0.3">
      <c r="A1848" t="s">
        <v>32</v>
      </c>
      <c r="B1848" s="1">
        <v>45900</v>
      </c>
      <c r="C1848">
        <v>410039</v>
      </c>
      <c r="D1848">
        <v>-27508.214</v>
      </c>
      <c r="E1848" t="s">
        <v>6</v>
      </c>
      <c r="F1848" t="s">
        <v>51</v>
      </c>
      <c r="G1848" t="s">
        <v>7</v>
      </c>
    </row>
    <row r="1849" spans="1:7" x14ac:dyDescent="0.3">
      <c r="A1849" t="s">
        <v>32</v>
      </c>
      <c r="B1849" s="1">
        <v>45900</v>
      </c>
      <c r="C1849">
        <v>410040</v>
      </c>
      <c r="D1849">
        <v>-95.081999999999994</v>
      </c>
      <c r="E1849" t="s">
        <v>6</v>
      </c>
      <c r="F1849" t="s">
        <v>51</v>
      </c>
      <c r="G1849" t="s">
        <v>7</v>
      </c>
    </row>
    <row r="1850" spans="1:7" x14ac:dyDescent="0.3">
      <c r="A1850" t="s">
        <v>32</v>
      </c>
      <c r="B1850" s="1">
        <v>45900</v>
      </c>
      <c r="C1850">
        <v>415002</v>
      </c>
      <c r="D1850">
        <v>-4159688.4890000001</v>
      </c>
      <c r="E1850" t="s">
        <v>6</v>
      </c>
      <c r="F1850" t="s">
        <v>50</v>
      </c>
      <c r="G1850" t="s">
        <v>7</v>
      </c>
    </row>
    <row r="1851" spans="1:7" x14ac:dyDescent="0.3">
      <c r="A1851" t="s">
        <v>32</v>
      </c>
      <c r="B1851" s="1">
        <v>45900</v>
      </c>
      <c r="C1851">
        <v>415003</v>
      </c>
      <c r="D1851">
        <v>-14597.424999999999</v>
      </c>
      <c r="E1851" t="s">
        <v>6</v>
      </c>
      <c r="F1851" t="s">
        <v>50</v>
      </c>
      <c r="G1851" t="s">
        <v>7</v>
      </c>
    </row>
    <row r="1852" spans="1:7" x14ac:dyDescent="0.3">
      <c r="A1852" t="s">
        <v>32</v>
      </c>
      <c r="B1852" s="1">
        <v>45900</v>
      </c>
      <c r="C1852">
        <v>415004</v>
      </c>
      <c r="D1852">
        <v>-5079842.148</v>
      </c>
      <c r="E1852" t="s">
        <v>6</v>
      </c>
      <c r="F1852" t="s">
        <v>50</v>
      </c>
      <c r="G1852" t="s">
        <v>7</v>
      </c>
    </row>
    <row r="1853" spans="1:7" x14ac:dyDescent="0.3">
      <c r="A1853" t="s">
        <v>32</v>
      </c>
      <c r="B1853" s="1">
        <v>45900</v>
      </c>
      <c r="C1853">
        <v>415008</v>
      </c>
      <c r="D1853">
        <v>-2593.2809999999999</v>
      </c>
      <c r="E1853" t="s">
        <v>6</v>
      </c>
      <c r="F1853" t="s">
        <v>50</v>
      </c>
      <c r="G1853" t="s">
        <v>7</v>
      </c>
    </row>
    <row r="1854" spans="1:7" x14ac:dyDescent="0.3">
      <c r="A1854" t="s">
        <v>32</v>
      </c>
      <c r="B1854" s="1">
        <v>45900</v>
      </c>
      <c r="C1854">
        <v>420003</v>
      </c>
      <c r="D1854">
        <v>-406.31099999999998</v>
      </c>
      <c r="E1854" t="s">
        <v>6</v>
      </c>
      <c r="F1854" t="s">
        <v>52</v>
      </c>
      <c r="G1854" t="s">
        <v>7</v>
      </c>
    </row>
    <row r="1855" spans="1:7" x14ac:dyDescent="0.3">
      <c r="A1855" t="s">
        <v>32</v>
      </c>
      <c r="B1855" s="1">
        <v>45900</v>
      </c>
      <c r="C1855">
        <v>420004</v>
      </c>
      <c r="D1855">
        <v>-356.09</v>
      </c>
      <c r="E1855" t="s">
        <v>6</v>
      </c>
      <c r="F1855" t="s">
        <v>52</v>
      </c>
      <c r="G1855" t="s">
        <v>7</v>
      </c>
    </row>
    <row r="1856" spans="1:7" x14ac:dyDescent="0.3">
      <c r="A1856" t="s">
        <v>32</v>
      </c>
      <c r="B1856" s="1">
        <v>45900</v>
      </c>
      <c r="C1856">
        <v>421003</v>
      </c>
      <c r="D1856">
        <v>-41974.087</v>
      </c>
      <c r="E1856" t="s">
        <v>6</v>
      </c>
      <c r="F1856" t="s">
        <v>52</v>
      </c>
      <c r="G1856" t="s">
        <v>7</v>
      </c>
    </row>
    <row r="1857" spans="1:7" x14ac:dyDescent="0.3">
      <c r="A1857" t="s">
        <v>32</v>
      </c>
      <c r="B1857" s="1">
        <v>45900</v>
      </c>
      <c r="C1857">
        <v>421007</v>
      </c>
      <c r="D1857">
        <v>49.548999999999999</v>
      </c>
      <c r="E1857" t="s">
        <v>6</v>
      </c>
      <c r="F1857" t="s">
        <v>52</v>
      </c>
      <c r="G1857" t="s">
        <v>7</v>
      </c>
    </row>
    <row r="1858" spans="1:7" x14ac:dyDescent="0.3">
      <c r="A1858" t="s">
        <v>32</v>
      </c>
      <c r="B1858" s="1">
        <v>45900</v>
      </c>
      <c r="C1858">
        <v>423002</v>
      </c>
      <c r="D1858">
        <v>-36.765000000000001</v>
      </c>
      <c r="E1858" t="s">
        <v>6</v>
      </c>
      <c r="F1858" t="s">
        <v>52</v>
      </c>
      <c r="G1858" t="s">
        <v>7</v>
      </c>
    </row>
    <row r="1859" spans="1:7" x14ac:dyDescent="0.3">
      <c r="A1859" t="s">
        <v>32</v>
      </c>
      <c r="B1859" s="1">
        <v>45900</v>
      </c>
      <c r="C1859">
        <v>510002</v>
      </c>
      <c r="D1859">
        <v>1685849.3459999999</v>
      </c>
      <c r="E1859" t="s">
        <v>6</v>
      </c>
      <c r="F1859" t="s">
        <v>53</v>
      </c>
      <c r="G1859" t="s">
        <v>7</v>
      </c>
    </row>
    <row r="1860" spans="1:7" x14ac:dyDescent="0.3">
      <c r="A1860" t="s">
        <v>32</v>
      </c>
      <c r="B1860" s="1">
        <v>45900</v>
      </c>
      <c r="C1860">
        <v>510005</v>
      </c>
      <c r="D1860">
        <v>78121.349000000002</v>
      </c>
      <c r="E1860" t="s">
        <v>6</v>
      </c>
      <c r="F1860" t="s">
        <v>53</v>
      </c>
      <c r="G1860" t="s">
        <v>7</v>
      </c>
    </row>
    <row r="1861" spans="1:7" x14ac:dyDescent="0.3">
      <c r="A1861" t="s">
        <v>32</v>
      </c>
      <c r="B1861" s="1">
        <v>45900</v>
      </c>
      <c r="C1861">
        <v>510007</v>
      </c>
      <c r="D1861">
        <v>127493.898</v>
      </c>
      <c r="E1861" t="s">
        <v>6</v>
      </c>
      <c r="F1861" t="s">
        <v>53</v>
      </c>
      <c r="G1861" t="s">
        <v>7</v>
      </c>
    </row>
    <row r="1862" spans="1:7" x14ac:dyDescent="0.3">
      <c r="A1862" t="s">
        <v>32</v>
      </c>
      <c r="B1862" s="1">
        <v>45900</v>
      </c>
      <c r="C1862">
        <v>510008</v>
      </c>
      <c r="D1862">
        <v>3062.3409999999999</v>
      </c>
      <c r="E1862" t="s">
        <v>6</v>
      </c>
      <c r="F1862" t="s">
        <v>53</v>
      </c>
      <c r="G1862" t="s">
        <v>7</v>
      </c>
    </row>
    <row r="1863" spans="1:7" x14ac:dyDescent="0.3">
      <c r="A1863" t="s">
        <v>32</v>
      </c>
      <c r="B1863" s="1">
        <v>45900</v>
      </c>
      <c r="C1863">
        <v>510010</v>
      </c>
      <c r="D1863">
        <v>16653.133000000002</v>
      </c>
      <c r="E1863" t="s">
        <v>6</v>
      </c>
      <c r="F1863" t="s">
        <v>53</v>
      </c>
      <c r="G1863" t="s">
        <v>7</v>
      </c>
    </row>
    <row r="1864" spans="1:7" x14ac:dyDescent="0.3">
      <c r="A1864" t="s">
        <v>32</v>
      </c>
      <c r="B1864" s="1">
        <v>45900</v>
      </c>
      <c r="C1864">
        <v>510012</v>
      </c>
      <c r="D1864">
        <v>20175.857</v>
      </c>
      <c r="E1864" t="s">
        <v>6</v>
      </c>
      <c r="F1864" t="s">
        <v>53</v>
      </c>
      <c r="G1864" t="s">
        <v>7</v>
      </c>
    </row>
    <row r="1865" spans="1:7" x14ac:dyDescent="0.3">
      <c r="A1865" t="s">
        <v>32</v>
      </c>
      <c r="B1865" s="1">
        <v>45900</v>
      </c>
      <c r="C1865">
        <v>510015</v>
      </c>
      <c r="D1865">
        <v>146049.641</v>
      </c>
      <c r="E1865" t="s">
        <v>6</v>
      </c>
      <c r="F1865" t="s">
        <v>53</v>
      </c>
      <c r="G1865" t="s">
        <v>7</v>
      </c>
    </row>
    <row r="1866" spans="1:7" x14ac:dyDescent="0.3">
      <c r="A1866" t="s">
        <v>32</v>
      </c>
      <c r="B1866" s="1">
        <v>45900</v>
      </c>
      <c r="C1866">
        <v>510018</v>
      </c>
      <c r="D1866">
        <v>156402.59</v>
      </c>
      <c r="E1866" t="s">
        <v>6</v>
      </c>
      <c r="F1866" t="s">
        <v>53</v>
      </c>
      <c r="G1866" t="s">
        <v>7</v>
      </c>
    </row>
    <row r="1867" spans="1:7" x14ac:dyDescent="0.3">
      <c r="A1867" t="s">
        <v>32</v>
      </c>
      <c r="B1867" s="1">
        <v>45900</v>
      </c>
      <c r="C1867">
        <v>510048</v>
      </c>
      <c r="D1867">
        <v>53.067999999999998</v>
      </c>
      <c r="E1867" t="s">
        <v>6</v>
      </c>
      <c r="F1867" t="s">
        <v>61</v>
      </c>
      <c r="G1867" t="s">
        <v>7</v>
      </c>
    </row>
    <row r="1868" spans="1:7" x14ac:dyDescent="0.3">
      <c r="A1868" t="s">
        <v>32</v>
      </c>
      <c r="B1868" s="1">
        <v>45900</v>
      </c>
      <c r="C1868">
        <v>510059</v>
      </c>
      <c r="D1868">
        <v>10722.657999999999</v>
      </c>
      <c r="E1868" t="s">
        <v>6</v>
      </c>
      <c r="F1868" t="s">
        <v>53</v>
      </c>
      <c r="G1868" t="s">
        <v>7</v>
      </c>
    </row>
    <row r="1869" spans="1:7" x14ac:dyDescent="0.3">
      <c r="A1869" t="s">
        <v>32</v>
      </c>
      <c r="B1869" s="1">
        <v>45900</v>
      </c>
      <c r="C1869">
        <v>510062</v>
      </c>
      <c r="D1869">
        <v>28616.253000000001</v>
      </c>
      <c r="E1869" t="s">
        <v>6</v>
      </c>
      <c r="F1869" t="s">
        <v>53</v>
      </c>
      <c r="G1869" t="s">
        <v>7</v>
      </c>
    </row>
    <row r="1870" spans="1:7" x14ac:dyDescent="0.3">
      <c r="A1870" t="s">
        <v>32</v>
      </c>
      <c r="B1870" s="1">
        <v>45900</v>
      </c>
      <c r="C1870">
        <v>510064</v>
      </c>
      <c r="D1870">
        <v>1475.828</v>
      </c>
      <c r="E1870" t="s">
        <v>6</v>
      </c>
      <c r="F1870" t="s">
        <v>53</v>
      </c>
      <c r="G1870" t="s">
        <v>7</v>
      </c>
    </row>
    <row r="1871" spans="1:7" x14ac:dyDescent="0.3">
      <c r="A1871" t="s">
        <v>32</v>
      </c>
      <c r="B1871" s="1">
        <v>45900</v>
      </c>
      <c r="C1871">
        <v>510065</v>
      </c>
      <c r="D1871">
        <v>29870.29</v>
      </c>
      <c r="E1871" t="s">
        <v>6</v>
      </c>
      <c r="F1871" t="s">
        <v>53</v>
      </c>
      <c r="G1871" t="s">
        <v>7</v>
      </c>
    </row>
    <row r="1872" spans="1:7" x14ac:dyDescent="0.3">
      <c r="A1872" t="s">
        <v>32</v>
      </c>
      <c r="B1872" s="1">
        <v>45900</v>
      </c>
      <c r="C1872">
        <v>520020</v>
      </c>
      <c r="D1872">
        <v>2661.424</v>
      </c>
      <c r="E1872" t="s">
        <v>6</v>
      </c>
      <c r="F1872" t="s">
        <v>53</v>
      </c>
      <c r="G1872" t="s">
        <v>7</v>
      </c>
    </row>
    <row r="1873" spans="1:7" x14ac:dyDescent="0.3">
      <c r="A1873" t="s">
        <v>32</v>
      </c>
      <c r="B1873" s="1">
        <v>45900</v>
      </c>
      <c r="C1873">
        <v>520021</v>
      </c>
      <c r="D1873">
        <v>2296.232</v>
      </c>
      <c r="E1873" t="s">
        <v>6</v>
      </c>
      <c r="F1873" t="s">
        <v>60</v>
      </c>
      <c r="G1873" t="s">
        <v>7</v>
      </c>
    </row>
    <row r="1874" spans="1:7" x14ac:dyDescent="0.3">
      <c r="A1874" t="s">
        <v>32</v>
      </c>
      <c r="B1874" s="1">
        <v>45900</v>
      </c>
      <c r="C1874">
        <v>530012</v>
      </c>
      <c r="D1874">
        <v>14034.593000000001</v>
      </c>
      <c r="E1874" t="s">
        <v>6</v>
      </c>
      <c r="F1874" t="s">
        <v>53</v>
      </c>
      <c r="G1874" t="s">
        <v>7</v>
      </c>
    </row>
    <row r="1875" spans="1:7" x14ac:dyDescent="0.3">
      <c r="A1875" t="s">
        <v>32</v>
      </c>
      <c r="B1875" s="1">
        <v>45900</v>
      </c>
      <c r="C1875">
        <v>540004</v>
      </c>
      <c r="D1875">
        <v>68.001999999999995</v>
      </c>
      <c r="E1875" t="s">
        <v>6</v>
      </c>
      <c r="F1875" t="s">
        <v>67</v>
      </c>
      <c r="G1875" t="s">
        <v>7</v>
      </c>
    </row>
    <row r="1876" spans="1:7" x14ac:dyDescent="0.3">
      <c r="A1876" t="s">
        <v>32</v>
      </c>
      <c r="B1876" s="1">
        <v>45900</v>
      </c>
      <c r="C1876">
        <v>540008</v>
      </c>
      <c r="D1876">
        <v>3029.1790000000001</v>
      </c>
      <c r="E1876" t="s">
        <v>6</v>
      </c>
      <c r="F1876" t="s">
        <v>67</v>
      </c>
      <c r="G1876" t="s">
        <v>7</v>
      </c>
    </row>
    <row r="1877" spans="1:7" x14ac:dyDescent="0.3">
      <c r="A1877" t="s">
        <v>32</v>
      </c>
      <c r="B1877" s="1">
        <v>45900</v>
      </c>
      <c r="C1877">
        <v>541002</v>
      </c>
      <c r="D1877">
        <v>4842.6909999999998</v>
      </c>
      <c r="E1877" t="s">
        <v>6</v>
      </c>
      <c r="F1877" t="s">
        <v>61</v>
      </c>
      <c r="G1877" t="s">
        <v>7</v>
      </c>
    </row>
    <row r="1878" spans="1:7" x14ac:dyDescent="0.3">
      <c r="A1878" t="s">
        <v>32</v>
      </c>
      <c r="B1878" s="1">
        <v>45900</v>
      </c>
      <c r="C1878">
        <v>541004</v>
      </c>
      <c r="D1878">
        <v>65869.452999999994</v>
      </c>
      <c r="E1878" t="s">
        <v>6</v>
      </c>
      <c r="F1878" t="s">
        <v>61</v>
      </c>
      <c r="G1878" t="s">
        <v>7</v>
      </c>
    </row>
    <row r="1879" spans="1:7" x14ac:dyDescent="0.3">
      <c r="A1879" t="s">
        <v>32</v>
      </c>
      <c r="B1879" s="1">
        <v>45900</v>
      </c>
      <c r="C1879">
        <v>541008</v>
      </c>
      <c r="D1879">
        <v>8850.268</v>
      </c>
      <c r="E1879" t="s">
        <v>6</v>
      </c>
      <c r="F1879" t="s">
        <v>61</v>
      </c>
      <c r="G1879" t="s">
        <v>7</v>
      </c>
    </row>
    <row r="1880" spans="1:7" x14ac:dyDescent="0.3">
      <c r="A1880" t="s">
        <v>32</v>
      </c>
      <c r="B1880" s="1">
        <v>45900</v>
      </c>
      <c r="C1880">
        <v>541009</v>
      </c>
      <c r="D1880">
        <v>32923.928999999996</v>
      </c>
      <c r="E1880" t="s">
        <v>6</v>
      </c>
      <c r="F1880" t="s">
        <v>61</v>
      </c>
      <c r="G1880" t="s">
        <v>7</v>
      </c>
    </row>
    <row r="1881" spans="1:7" x14ac:dyDescent="0.3">
      <c r="A1881" t="s">
        <v>32</v>
      </c>
      <c r="B1881" s="1">
        <v>45900</v>
      </c>
      <c r="C1881">
        <v>541010</v>
      </c>
      <c r="D1881">
        <v>13759.241</v>
      </c>
      <c r="E1881" t="s">
        <v>6</v>
      </c>
      <c r="F1881" t="s">
        <v>61</v>
      </c>
      <c r="G1881" t="s">
        <v>7</v>
      </c>
    </row>
    <row r="1882" spans="1:7" x14ac:dyDescent="0.3">
      <c r="A1882" t="s">
        <v>32</v>
      </c>
      <c r="B1882" s="1">
        <v>45900</v>
      </c>
      <c r="C1882">
        <v>541013</v>
      </c>
      <c r="D1882">
        <v>6015.4620000000004</v>
      </c>
      <c r="E1882" t="s">
        <v>6</v>
      </c>
      <c r="F1882" t="s">
        <v>61</v>
      </c>
      <c r="G1882" t="s">
        <v>7</v>
      </c>
    </row>
    <row r="1883" spans="1:7" x14ac:dyDescent="0.3">
      <c r="A1883" t="s">
        <v>32</v>
      </c>
      <c r="B1883" s="1">
        <v>45900</v>
      </c>
      <c r="C1883">
        <v>544006</v>
      </c>
      <c r="D1883">
        <v>30487.745999999999</v>
      </c>
      <c r="E1883" t="s">
        <v>6</v>
      </c>
      <c r="F1883" t="s">
        <v>61</v>
      </c>
      <c r="G1883" t="s">
        <v>7</v>
      </c>
    </row>
    <row r="1884" spans="1:7" x14ac:dyDescent="0.3">
      <c r="A1884" t="s">
        <v>32</v>
      </c>
      <c r="B1884" s="1">
        <v>45900</v>
      </c>
      <c r="C1884">
        <v>546002</v>
      </c>
      <c r="D1884">
        <v>4890255.1399999997</v>
      </c>
      <c r="E1884" t="s">
        <v>6</v>
      </c>
      <c r="F1884" t="s">
        <v>51</v>
      </c>
      <c r="G1884" t="s">
        <v>7</v>
      </c>
    </row>
    <row r="1885" spans="1:7" x14ac:dyDescent="0.3">
      <c r="A1885" t="s">
        <v>32</v>
      </c>
      <c r="B1885" s="1">
        <v>45900</v>
      </c>
      <c r="C1885">
        <v>546005</v>
      </c>
      <c r="D1885">
        <v>29272.254000000001</v>
      </c>
      <c r="E1885" t="s">
        <v>6</v>
      </c>
      <c r="F1885" t="s">
        <v>51</v>
      </c>
      <c r="G1885" t="s">
        <v>7</v>
      </c>
    </row>
    <row r="1886" spans="1:7" x14ac:dyDescent="0.3">
      <c r="A1886" t="s">
        <v>32</v>
      </c>
      <c r="B1886" s="1">
        <v>45900</v>
      </c>
      <c r="C1886">
        <v>546008</v>
      </c>
      <c r="D1886">
        <v>108133.94899999999</v>
      </c>
      <c r="E1886" t="s">
        <v>6</v>
      </c>
      <c r="F1886" t="s">
        <v>51</v>
      </c>
      <c r="G1886" t="s">
        <v>7</v>
      </c>
    </row>
    <row r="1887" spans="1:7" x14ac:dyDescent="0.3">
      <c r="A1887" t="s">
        <v>32</v>
      </c>
      <c r="B1887" s="1">
        <v>45900</v>
      </c>
      <c r="C1887">
        <v>546012</v>
      </c>
      <c r="D1887">
        <v>270176.859</v>
      </c>
      <c r="E1887" t="s">
        <v>6</v>
      </c>
      <c r="F1887" t="s">
        <v>51</v>
      </c>
      <c r="G1887" t="s">
        <v>7</v>
      </c>
    </row>
    <row r="1888" spans="1:7" x14ac:dyDescent="0.3">
      <c r="A1888" t="s">
        <v>32</v>
      </c>
      <c r="B1888" s="1">
        <v>45900</v>
      </c>
      <c r="C1888">
        <v>546015</v>
      </c>
      <c r="D1888">
        <v>393848.42099999997</v>
      </c>
      <c r="E1888" t="s">
        <v>6</v>
      </c>
      <c r="F1888" t="s">
        <v>51</v>
      </c>
      <c r="G1888" t="s">
        <v>7</v>
      </c>
    </row>
    <row r="1889" spans="1:7" x14ac:dyDescent="0.3">
      <c r="A1889" t="s">
        <v>32</v>
      </c>
      <c r="B1889" s="1">
        <v>45900</v>
      </c>
      <c r="C1889">
        <v>546016</v>
      </c>
      <c r="D1889">
        <v>209390.57500000001</v>
      </c>
      <c r="E1889" t="s">
        <v>6</v>
      </c>
      <c r="F1889" t="s">
        <v>51</v>
      </c>
      <c r="G1889" t="s">
        <v>7</v>
      </c>
    </row>
    <row r="1890" spans="1:7" x14ac:dyDescent="0.3">
      <c r="A1890" t="s">
        <v>32</v>
      </c>
      <c r="B1890" s="1">
        <v>45900</v>
      </c>
      <c r="C1890">
        <v>546018</v>
      </c>
      <c r="D1890">
        <v>7190.58</v>
      </c>
      <c r="E1890" t="s">
        <v>6</v>
      </c>
      <c r="F1890" t="s">
        <v>51</v>
      </c>
      <c r="G1890" t="s">
        <v>7</v>
      </c>
    </row>
    <row r="1891" spans="1:7" x14ac:dyDescent="0.3">
      <c r="A1891" t="s">
        <v>32</v>
      </c>
      <c r="B1891" s="1">
        <v>45900</v>
      </c>
      <c r="C1891">
        <v>546022</v>
      </c>
      <c r="D1891">
        <v>59902.06</v>
      </c>
      <c r="E1891" t="s">
        <v>6</v>
      </c>
      <c r="F1891" t="s">
        <v>51</v>
      </c>
      <c r="G1891" t="s">
        <v>7</v>
      </c>
    </row>
    <row r="1892" spans="1:7" x14ac:dyDescent="0.3">
      <c r="A1892" t="s">
        <v>32</v>
      </c>
      <c r="B1892" s="1">
        <v>45900</v>
      </c>
      <c r="C1892">
        <v>546024</v>
      </c>
      <c r="D1892">
        <v>4979.4120000000003</v>
      </c>
      <c r="E1892" t="s">
        <v>6</v>
      </c>
      <c r="F1892" t="s">
        <v>51</v>
      </c>
      <c r="G1892" t="s">
        <v>7</v>
      </c>
    </row>
    <row r="1893" spans="1:7" x14ac:dyDescent="0.3">
      <c r="A1893" t="s">
        <v>32</v>
      </c>
      <c r="B1893" s="1">
        <v>45900</v>
      </c>
      <c r="C1893">
        <v>546035</v>
      </c>
      <c r="D1893">
        <v>21217.428</v>
      </c>
      <c r="E1893" t="s">
        <v>6</v>
      </c>
      <c r="F1893" t="s">
        <v>51</v>
      </c>
      <c r="G1893" t="s">
        <v>7</v>
      </c>
    </row>
    <row r="1894" spans="1:7" x14ac:dyDescent="0.3">
      <c r="A1894" t="s">
        <v>32</v>
      </c>
      <c r="B1894" s="1">
        <v>45900</v>
      </c>
      <c r="C1894">
        <v>546038</v>
      </c>
      <c r="D1894">
        <v>5577.8280000000004</v>
      </c>
      <c r="E1894" t="s">
        <v>6</v>
      </c>
      <c r="F1894" t="s">
        <v>51</v>
      </c>
      <c r="G1894" t="s">
        <v>7</v>
      </c>
    </row>
    <row r="1895" spans="1:7" x14ac:dyDescent="0.3">
      <c r="A1895" t="s">
        <v>32</v>
      </c>
      <c r="B1895" s="1">
        <v>45900</v>
      </c>
      <c r="C1895">
        <v>546040</v>
      </c>
      <c r="D1895">
        <v>258629.43799999999</v>
      </c>
      <c r="E1895" t="s">
        <v>6</v>
      </c>
      <c r="F1895" t="s">
        <v>51</v>
      </c>
      <c r="G1895" t="s">
        <v>7</v>
      </c>
    </row>
    <row r="1896" spans="1:7" x14ac:dyDescent="0.3">
      <c r="A1896" t="s">
        <v>32</v>
      </c>
      <c r="B1896" s="1">
        <v>45900</v>
      </c>
      <c r="C1896">
        <v>546042</v>
      </c>
      <c r="D1896">
        <v>1933.9839999999999</v>
      </c>
      <c r="E1896" t="s">
        <v>6</v>
      </c>
      <c r="F1896" t="s">
        <v>51</v>
      </c>
      <c r="G1896" t="s">
        <v>7</v>
      </c>
    </row>
    <row r="1897" spans="1:7" x14ac:dyDescent="0.3">
      <c r="A1897" t="s">
        <v>32</v>
      </c>
      <c r="B1897" s="1">
        <v>45900</v>
      </c>
      <c r="C1897">
        <v>546045</v>
      </c>
      <c r="D1897">
        <v>17901.091</v>
      </c>
      <c r="E1897" t="s">
        <v>6</v>
      </c>
      <c r="F1897" t="s">
        <v>51</v>
      </c>
      <c r="G1897" t="s">
        <v>7</v>
      </c>
    </row>
    <row r="1898" spans="1:7" x14ac:dyDescent="0.3">
      <c r="A1898" t="s">
        <v>32</v>
      </c>
      <c r="B1898" s="1">
        <v>45900</v>
      </c>
      <c r="C1898">
        <v>546046</v>
      </c>
      <c r="D1898">
        <v>19859.712</v>
      </c>
      <c r="E1898" t="s">
        <v>6</v>
      </c>
      <c r="F1898" t="s">
        <v>51</v>
      </c>
      <c r="G1898" t="s">
        <v>7</v>
      </c>
    </row>
    <row r="1899" spans="1:7" x14ac:dyDescent="0.3">
      <c r="A1899" t="s">
        <v>32</v>
      </c>
      <c r="B1899" s="1">
        <v>45900</v>
      </c>
      <c r="C1899">
        <v>546047</v>
      </c>
      <c r="D1899">
        <v>9557.0930000000008</v>
      </c>
      <c r="E1899" t="s">
        <v>6</v>
      </c>
      <c r="F1899" t="s">
        <v>51</v>
      </c>
      <c r="G1899" t="s">
        <v>7</v>
      </c>
    </row>
    <row r="1900" spans="1:7" x14ac:dyDescent="0.3">
      <c r="A1900" t="s">
        <v>32</v>
      </c>
      <c r="B1900" s="1">
        <v>45900</v>
      </c>
      <c r="C1900">
        <v>546050</v>
      </c>
      <c r="D1900">
        <v>30807.732</v>
      </c>
      <c r="E1900" t="s">
        <v>6</v>
      </c>
      <c r="F1900" t="s">
        <v>51</v>
      </c>
      <c r="G1900" t="s">
        <v>7</v>
      </c>
    </row>
    <row r="1901" spans="1:7" x14ac:dyDescent="0.3">
      <c r="A1901" t="s">
        <v>32</v>
      </c>
      <c r="B1901" s="1">
        <v>45900</v>
      </c>
      <c r="C1901">
        <v>547002</v>
      </c>
      <c r="D1901">
        <v>479124.97700000001</v>
      </c>
      <c r="E1901" t="s">
        <v>6</v>
      </c>
      <c r="F1901" t="s">
        <v>54</v>
      </c>
      <c r="G1901" t="s">
        <v>7</v>
      </c>
    </row>
    <row r="1902" spans="1:7" x14ac:dyDescent="0.3">
      <c r="A1902" t="s">
        <v>32</v>
      </c>
      <c r="B1902" s="1">
        <v>45900</v>
      </c>
      <c r="C1902">
        <v>547006</v>
      </c>
      <c r="D1902">
        <v>19864.207999999999</v>
      </c>
      <c r="E1902" t="s">
        <v>6</v>
      </c>
      <c r="F1902" t="s">
        <v>54</v>
      </c>
      <c r="G1902" t="s">
        <v>7</v>
      </c>
    </row>
    <row r="1903" spans="1:7" x14ac:dyDescent="0.3">
      <c r="A1903" t="s">
        <v>32</v>
      </c>
      <c r="B1903" s="1">
        <v>45900</v>
      </c>
      <c r="C1903">
        <v>547011</v>
      </c>
      <c r="D1903">
        <v>1321.0360000000001</v>
      </c>
      <c r="E1903" t="s">
        <v>6</v>
      </c>
      <c r="F1903" t="s">
        <v>54</v>
      </c>
      <c r="G1903" t="s">
        <v>7</v>
      </c>
    </row>
    <row r="1904" spans="1:7" x14ac:dyDescent="0.3">
      <c r="A1904" t="s">
        <v>32</v>
      </c>
      <c r="B1904" s="1">
        <v>45900</v>
      </c>
      <c r="C1904">
        <v>550002</v>
      </c>
      <c r="D1904">
        <v>-4332.7650000000003</v>
      </c>
      <c r="E1904" t="s">
        <v>6</v>
      </c>
      <c r="F1904" t="s">
        <v>62</v>
      </c>
      <c r="G1904" t="s">
        <v>7</v>
      </c>
    </row>
    <row r="1905" spans="1:7" x14ac:dyDescent="0.3">
      <c r="A1905" t="s">
        <v>32</v>
      </c>
      <c r="B1905" s="1">
        <v>45900</v>
      </c>
      <c r="C1905">
        <v>550003</v>
      </c>
      <c r="D1905">
        <v>1170026.273</v>
      </c>
      <c r="E1905" t="s">
        <v>6</v>
      </c>
      <c r="F1905" t="s">
        <v>62</v>
      </c>
      <c r="G1905" t="s">
        <v>7</v>
      </c>
    </row>
    <row r="1906" spans="1:7" x14ac:dyDescent="0.3">
      <c r="A1906" t="s">
        <v>32</v>
      </c>
      <c r="B1906" s="1">
        <v>45900</v>
      </c>
      <c r="C1906">
        <v>551002</v>
      </c>
      <c r="D1906">
        <v>10784.688</v>
      </c>
      <c r="E1906" t="s">
        <v>6</v>
      </c>
      <c r="F1906" t="s">
        <v>63</v>
      </c>
      <c r="G1906" t="s">
        <v>7</v>
      </c>
    </row>
    <row r="1907" spans="1:7" x14ac:dyDescent="0.3">
      <c r="A1907" t="s">
        <v>32</v>
      </c>
      <c r="B1907" s="1">
        <v>45900</v>
      </c>
      <c r="C1907">
        <v>551003</v>
      </c>
      <c r="D1907">
        <v>38406.275999999998</v>
      </c>
      <c r="E1907" t="s">
        <v>6</v>
      </c>
      <c r="F1907" t="s">
        <v>63</v>
      </c>
      <c r="G1907" t="s">
        <v>7</v>
      </c>
    </row>
    <row r="1908" spans="1:7" x14ac:dyDescent="0.3">
      <c r="A1908" t="s">
        <v>32</v>
      </c>
      <c r="B1908" s="1">
        <v>45900</v>
      </c>
      <c r="C1908">
        <v>551008</v>
      </c>
      <c r="D1908">
        <v>527.404</v>
      </c>
      <c r="E1908" t="s">
        <v>6</v>
      </c>
      <c r="F1908" t="s">
        <v>63</v>
      </c>
      <c r="G1908" t="s">
        <v>7</v>
      </c>
    </row>
    <row r="1909" spans="1:7" x14ac:dyDescent="0.3">
      <c r="A1909" t="s">
        <v>32</v>
      </c>
      <c r="B1909" s="1">
        <v>45900</v>
      </c>
      <c r="C1909">
        <v>551011</v>
      </c>
      <c r="D1909">
        <v>280.92700000000002</v>
      </c>
      <c r="E1909" t="s">
        <v>6</v>
      </c>
      <c r="F1909" t="s">
        <v>61</v>
      </c>
      <c r="G1909" t="s">
        <v>7</v>
      </c>
    </row>
    <row r="1910" spans="1:7" x14ac:dyDescent="0.3">
      <c r="A1910" t="s">
        <v>32</v>
      </c>
      <c r="B1910" s="1">
        <v>45900</v>
      </c>
      <c r="C1910">
        <v>552002</v>
      </c>
      <c r="D1910">
        <v>1580.0250000000001</v>
      </c>
      <c r="E1910" t="s">
        <v>6</v>
      </c>
      <c r="F1910" t="s">
        <v>55</v>
      </c>
      <c r="G1910" t="s">
        <v>7</v>
      </c>
    </row>
    <row r="1911" spans="1:7" x14ac:dyDescent="0.3">
      <c r="A1911" t="s">
        <v>32</v>
      </c>
      <c r="B1911" s="1">
        <v>45900</v>
      </c>
      <c r="C1911">
        <v>552502</v>
      </c>
      <c r="D1911">
        <v>1.8819999999999999</v>
      </c>
      <c r="E1911" t="s">
        <v>6</v>
      </c>
      <c r="F1911" t="s">
        <v>55</v>
      </c>
      <c r="G1911" t="s">
        <v>7</v>
      </c>
    </row>
    <row r="1912" spans="1:7" x14ac:dyDescent="0.3">
      <c r="A1912" t="s">
        <v>32</v>
      </c>
      <c r="B1912" s="1">
        <v>45900</v>
      </c>
      <c r="C1912">
        <v>552504</v>
      </c>
      <c r="D1912">
        <v>1695.136</v>
      </c>
      <c r="E1912" t="s">
        <v>6</v>
      </c>
      <c r="F1912" t="s">
        <v>55</v>
      </c>
      <c r="G1912" t="s">
        <v>7</v>
      </c>
    </row>
    <row r="1913" spans="1:7" x14ac:dyDescent="0.3">
      <c r="A1913" t="s">
        <v>32</v>
      </c>
      <c r="B1913" s="1">
        <v>45900</v>
      </c>
      <c r="C1913">
        <v>554005</v>
      </c>
      <c r="D1913">
        <v>1730.846</v>
      </c>
      <c r="E1913" t="s">
        <v>6</v>
      </c>
      <c r="F1913" t="s">
        <v>55</v>
      </c>
      <c r="G1913" t="s">
        <v>7</v>
      </c>
    </row>
    <row r="1914" spans="1:7" x14ac:dyDescent="0.3">
      <c r="A1914" t="s">
        <v>32</v>
      </c>
      <c r="B1914" s="1">
        <v>45900</v>
      </c>
      <c r="C1914">
        <v>554007</v>
      </c>
      <c r="D1914">
        <v>2742.8510000000001</v>
      </c>
      <c r="E1914" t="s">
        <v>6</v>
      </c>
      <c r="F1914" t="s">
        <v>55</v>
      </c>
      <c r="G1914" t="s">
        <v>7</v>
      </c>
    </row>
    <row r="1915" spans="1:7" x14ac:dyDescent="0.3">
      <c r="A1915" t="s">
        <v>32</v>
      </c>
      <c r="B1915" s="1">
        <v>45900</v>
      </c>
      <c r="C1915">
        <v>555007</v>
      </c>
      <c r="D1915">
        <v>9466.07</v>
      </c>
      <c r="E1915" t="s">
        <v>6</v>
      </c>
      <c r="F1915" t="s">
        <v>55</v>
      </c>
      <c r="G1915" t="s">
        <v>7</v>
      </c>
    </row>
    <row r="1916" spans="1:7" x14ac:dyDescent="0.3">
      <c r="A1916" t="s">
        <v>32</v>
      </c>
      <c r="B1916" s="1">
        <v>45900</v>
      </c>
      <c r="C1916">
        <v>555502</v>
      </c>
      <c r="D1916">
        <v>9068.7839999999997</v>
      </c>
      <c r="E1916" t="s">
        <v>6</v>
      </c>
      <c r="F1916" t="s">
        <v>55</v>
      </c>
      <c r="G1916" t="s">
        <v>7</v>
      </c>
    </row>
    <row r="1917" spans="1:7" x14ac:dyDescent="0.3">
      <c r="A1917" t="s">
        <v>32</v>
      </c>
      <c r="B1917" s="1">
        <v>45900</v>
      </c>
      <c r="C1917">
        <v>555508</v>
      </c>
      <c r="D1917">
        <v>1502.32</v>
      </c>
      <c r="E1917" t="s">
        <v>6</v>
      </c>
      <c r="F1917" t="s">
        <v>55</v>
      </c>
      <c r="G1917" t="s">
        <v>7</v>
      </c>
    </row>
    <row r="1918" spans="1:7" x14ac:dyDescent="0.3">
      <c r="A1918" t="s">
        <v>32</v>
      </c>
      <c r="B1918" s="1">
        <v>45900</v>
      </c>
      <c r="C1918">
        <v>556002</v>
      </c>
      <c r="D1918">
        <v>-1577.8789999999999</v>
      </c>
      <c r="E1918" t="s">
        <v>6</v>
      </c>
      <c r="F1918" t="s">
        <v>60</v>
      </c>
      <c r="G1918" t="s">
        <v>7</v>
      </c>
    </row>
    <row r="1919" spans="1:7" x14ac:dyDescent="0.3">
      <c r="A1919" t="s">
        <v>32</v>
      </c>
      <c r="B1919" s="1">
        <v>45900</v>
      </c>
      <c r="C1919">
        <v>556004</v>
      </c>
      <c r="D1919">
        <v>6431.5910000000003</v>
      </c>
      <c r="E1919" t="s">
        <v>6</v>
      </c>
      <c r="F1919" t="s">
        <v>55</v>
      </c>
      <c r="G1919" t="s">
        <v>7</v>
      </c>
    </row>
    <row r="1920" spans="1:7" x14ac:dyDescent="0.3">
      <c r="A1920" t="s">
        <v>32</v>
      </c>
      <c r="B1920" s="1">
        <v>45900</v>
      </c>
      <c r="C1920">
        <v>557002</v>
      </c>
      <c r="D1920">
        <v>59107.82</v>
      </c>
      <c r="E1920" t="s">
        <v>6</v>
      </c>
      <c r="F1920" t="s">
        <v>56</v>
      </c>
      <c r="G1920" t="s">
        <v>7</v>
      </c>
    </row>
    <row r="1921" spans="1:7" x14ac:dyDescent="0.3">
      <c r="A1921" t="s">
        <v>32</v>
      </c>
      <c r="B1921" s="1">
        <v>45900</v>
      </c>
      <c r="C1921">
        <v>557003</v>
      </c>
      <c r="D1921">
        <v>14464.609</v>
      </c>
      <c r="E1921" t="s">
        <v>6</v>
      </c>
      <c r="F1921" t="s">
        <v>56</v>
      </c>
      <c r="G1921" t="s">
        <v>7</v>
      </c>
    </row>
    <row r="1922" spans="1:7" x14ac:dyDescent="0.3">
      <c r="A1922" t="s">
        <v>32</v>
      </c>
      <c r="B1922" s="1">
        <v>45900</v>
      </c>
      <c r="C1922">
        <v>558003</v>
      </c>
      <c r="D1922">
        <v>5588.7049999999999</v>
      </c>
      <c r="E1922" t="s">
        <v>6</v>
      </c>
      <c r="F1922" t="s">
        <v>57</v>
      </c>
      <c r="G1922" t="s">
        <v>7</v>
      </c>
    </row>
    <row r="1923" spans="1:7" x14ac:dyDescent="0.3">
      <c r="A1923" t="s">
        <v>32</v>
      </c>
      <c r="B1923" s="1">
        <v>45900</v>
      </c>
      <c r="C1923">
        <v>558006</v>
      </c>
      <c r="D1923">
        <v>12028.026</v>
      </c>
      <c r="E1923" t="s">
        <v>6</v>
      </c>
      <c r="F1923" t="s">
        <v>57</v>
      </c>
      <c r="G1923" t="s">
        <v>7</v>
      </c>
    </row>
    <row r="1924" spans="1:7" x14ac:dyDescent="0.3">
      <c r="A1924" t="s">
        <v>32</v>
      </c>
      <c r="B1924" s="1">
        <v>45900</v>
      </c>
      <c r="C1924">
        <v>558007</v>
      </c>
      <c r="D1924">
        <v>437.18900000000002</v>
      </c>
      <c r="E1924" t="s">
        <v>6</v>
      </c>
      <c r="F1924" t="s">
        <v>60</v>
      </c>
      <c r="G1924" t="s">
        <v>7</v>
      </c>
    </row>
    <row r="1925" spans="1:7" x14ac:dyDescent="0.3">
      <c r="A1925" t="s">
        <v>32</v>
      </c>
      <c r="B1925" s="1">
        <v>45900</v>
      </c>
      <c r="C1925">
        <v>558012</v>
      </c>
      <c r="D1925">
        <v>3049.2579999999998</v>
      </c>
      <c r="E1925" t="s">
        <v>6</v>
      </c>
      <c r="F1925" t="s">
        <v>60</v>
      </c>
      <c r="G1925" t="s">
        <v>7</v>
      </c>
    </row>
    <row r="1926" spans="1:7" x14ac:dyDescent="0.3">
      <c r="A1926" t="s">
        <v>32</v>
      </c>
      <c r="B1926" s="1">
        <v>45900</v>
      </c>
      <c r="C1926">
        <v>559002</v>
      </c>
      <c r="D1926">
        <v>202.565</v>
      </c>
      <c r="E1926" t="s">
        <v>6</v>
      </c>
      <c r="F1926" t="s">
        <v>60</v>
      </c>
      <c r="G1926" t="s">
        <v>7</v>
      </c>
    </row>
    <row r="1927" spans="1:7" x14ac:dyDescent="0.3">
      <c r="A1927" t="s">
        <v>32</v>
      </c>
      <c r="B1927" s="1">
        <v>45900</v>
      </c>
      <c r="C1927">
        <v>563002</v>
      </c>
      <c r="D1927">
        <v>-5.6619999999999999</v>
      </c>
      <c r="E1927" t="s">
        <v>6</v>
      </c>
      <c r="F1927" t="s">
        <v>57</v>
      </c>
      <c r="G1927" t="s">
        <v>7</v>
      </c>
    </row>
    <row r="1928" spans="1:7" x14ac:dyDescent="0.3">
      <c r="A1928" t="s">
        <v>32</v>
      </c>
      <c r="B1928" s="1">
        <v>45900</v>
      </c>
      <c r="C1928">
        <v>564004</v>
      </c>
      <c r="D1928">
        <v>101479.22</v>
      </c>
      <c r="E1928" t="s">
        <v>6</v>
      </c>
      <c r="F1928" t="s">
        <v>51</v>
      </c>
      <c r="G1928" t="s">
        <v>7</v>
      </c>
    </row>
    <row r="1929" spans="1:7" x14ac:dyDescent="0.3">
      <c r="A1929" t="s">
        <v>32</v>
      </c>
      <c r="B1929" s="1">
        <v>45900</v>
      </c>
      <c r="C1929">
        <v>564006</v>
      </c>
      <c r="D1929">
        <v>-2.0760000000000001</v>
      </c>
      <c r="E1929" t="s">
        <v>6</v>
      </c>
      <c r="F1929" t="s">
        <v>57</v>
      </c>
      <c r="G1929" t="s">
        <v>7</v>
      </c>
    </row>
    <row r="1930" spans="1:7" x14ac:dyDescent="0.3">
      <c r="A1930" t="s">
        <v>32</v>
      </c>
      <c r="B1930" s="1">
        <v>45900</v>
      </c>
      <c r="C1930">
        <v>564007</v>
      </c>
      <c r="D1930">
        <v>1E-3</v>
      </c>
      <c r="E1930" t="s">
        <v>6</v>
      </c>
      <c r="F1930" t="s">
        <v>57</v>
      </c>
      <c r="G1930" t="s">
        <v>7</v>
      </c>
    </row>
    <row r="1931" spans="1:7" x14ac:dyDescent="0.3">
      <c r="A1931" t="s">
        <v>32</v>
      </c>
      <c r="B1931" s="1">
        <v>45900</v>
      </c>
      <c r="C1931">
        <v>564008</v>
      </c>
      <c r="D1931">
        <v>310.923</v>
      </c>
      <c r="E1931" t="s">
        <v>6</v>
      </c>
      <c r="F1931" t="s">
        <v>55</v>
      </c>
      <c r="G1931" t="s">
        <v>7</v>
      </c>
    </row>
    <row r="1932" spans="1:7" x14ac:dyDescent="0.3">
      <c r="A1932" t="s">
        <v>32</v>
      </c>
      <c r="B1932" s="1">
        <v>45900</v>
      </c>
      <c r="C1932">
        <v>564020</v>
      </c>
      <c r="D1932">
        <v>924.71199999999999</v>
      </c>
      <c r="E1932" t="s">
        <v>6</v>
      </c>
      <c r="F1932" t="s">
        <v>57</v>
      </c>
      <c r="G1932" t="s">
        <v>7</v>
      </c>
    </row>
    <row r="1933" spans="1:7" x14ac:dyDescent="0.3">
      <c r="A1933" t="s">
        <v>32</v>
      </c>
      <c r="B1933" s="1">
        <v>45900</v>
      </c>
      <c r="C1933">
        <v>564021</v>
      </c>
      <c r="D1933">
        <v>192.34700000000001</v>
      </c>
      <c r="E1933" t="s">
        <v>6</v>
      </c>
      <c r="F1933" t="s">
        <v>57</v>
      </c>
      <c r="G1933" t="s">
        <v>7</v>
      </c>
    </row>
    <row r="1934" spans="1:7" x14ac:dyDescent="0.3">
      <c r="A1934" t="s">
        <v>32</v>
      </c>
      <c r="B1934" s="1">
        <v>45900</v>
      </c>
      <c r="C1934">
        <v>564022</v>
      </c>
      <c r="D1934">
        <v>8516.7530000000006</v>
      </c>
      <c r="E1934" t="s">
        <v>6</v>
      </c>
      <c r="F1934" t="s">
        <v>67</v>
      </c>
      <c r="G1934" t="s">
        <v>7</v>
      </c>
    </row>
    <row r="1935" spans="1:7" x14ac:dyDescent="0.3">
      <c r="A1935" t="s">
        <v>32</v>
      </c>
      <c r="B1935" s="1">
        <v>45900</v>
      </c>
      <c r="C1935">
        <v>570002</v>
      </c>
      <c r="D1935">
        <v>12883.31</v>
      </c>
      <c r="E1935" t="s">
        <v>6</v>
      </c>
      <c r="F1935" t="s">
        <v>66</v>
      </c>
      <c r="G1935" t="s">
        <v>7</v>
      </c>
    </row>
    <row r="1936" spans="1:7" x14ac:dyDescent="0.3">
      <c r="A1936" t="s">
        <v>32</v>
      </c>
      <c r="B1936" s="1">
        <v>45900</v>
      </c>
      <c r="C1936">
        <v>570004</v>
      </c>
      <c r="D1936">
        <v>20548.066999999999</v>
      </c>
      <c r="E1936" t="s">
        <v>6</v>
      </c>
      <c r="F1936" t="s">
        <v>66</v>
      </c>
      <c r="G1936" t="s">
        <v>7</v>
      </c>
    </row>
    <row r="1937" spans="1:7" x14ac:dyDescent="0.3">
      <c r="A1937" t="s">
        <v>32</v>
      </c>
      <c r="B1937" s="1">
        <v>45900</v>
      </c>
      <c r="C1937">
        <v>580002</v>
      </c>
      <c r="D1937">
        <v>28075.346000000001</v>
      </c>
      <c r="E1937" t="s">
        <v>6</v>
      </c>
      <c r="F1937" t="s">
        <v>64</v>
      </c>
      <c r="G1937" t="s">
        <v>7</v>
      </c>
    </row>
    <row r="1938" spans="1:7" x14ac:dyDescent="0.3">
      <c r="A1938" t="s">
        <v>32</v>
      </c>
      <c r="B1938" s="1">
        <v>45900</v>
      </c>
      <c r="C1938">
        <v>580003</v>
      </c>
      <c r="D1938">
        <v>39081.692999999999</v>
      </c>
      <c r="E1938" t="s">
        <v>6</v>
      </c>
      <c r="F1938" t="s">
        <v>64</v>
      </c>
      <c r="G1938" t="s">
        <v>7</v>
      </c>
    </row>
    <row r="1939" spans="1:7" x14ac:dyDescent="0.3">
      <c r="A1939" t="s">
        <v>32</v>
      </c>
      <c r="B1939" s="1">
        <v>45900</v>
      </c>
      <c r="C1939">
        <v>580005</v>
      </c>
      <c r="D1939">
        <v>-100445.18799999999</v>
      </c>
      <c r="E1939" t="s">
        <v>6</v>
      </c>
      <c r="F1939" t="s">
        <v>64</v>
      </c>
      <c r="G1939" t="s">
        <v>7</v>
      </c>
    </row>
    <row r="1940" spans="1:7" x14ac:dyDescent="0.3">
      <c r="A1940" t="s">
        <v>33</v>
      </c>
      <c r="B1940" s="1">
        <v>45900</v>
      </c>
      <c r="C1940">
        <v>210002</v>
      </c>
      <c r="D1940">
        <v>-630560.89</v>
      </c>
      <c r="E1940" t="s">
        <v>4</v>
      </c>
      <c r="F1940" t="s">
        <v>42</v>
      </c>
      <c r="G1940" t="s">
        <v>7</v>
      </c>
    </row>
    <row r="1941" spans="1:7" x14ac:dyDescent="0.3">
      <c r="A1941" t="s">
        <v>33</v>
      </c>
      <c r="B1941" s="1">
        <v>45900</v>
      </c>
      <c r="C1941">
        <v>220006</v>
      </c>
      <c r="D1941">
        <v>-320168.11499999999</v>
      </c>
      <c r="E1941" t="s">
        <v>4</v>
      </c>
      <c r="F1941" t="s">
        <v>42</v>
      </c>
      <c r="G1941" t="s">
        <v>7</v>
      </c>
    </row>
    <row r="1942" spans="1:7" x14ac:dyDescent="0.3">
      <c r="A1942" t="s">
        <v>33</v>
      </c>
      <c r="B1942" s="1">
        <v>45900</v>
      </c>
      <c r="C1942">
        <v>220011</v>
      </c>
      <c r="D1942">
        <v>657992.72100000002</v>
      </c>
      <c r="E1942" t="s">
        <v>4</v>
      </c>
      <c r="F1942" t="s">
        <v>42</v>
      </c>
      <c r="G1942" t="s">
        <v>7</v>
      </c>
    </row>
    <row r="1943" spans="1:7" x14ac:dyDescent="0.3">
      <c r="A1943" t="s">
        <v>33</v>
      </c>
      <c r="B1943" s="1">
        <v>45900</v>
      </c>
      <c r="C1943">
        <v>240002</v>
      </c>
      <c r="D1943">
        <v>157.13999999999999</v>
      </c>
      <c r="E1943" t="s">
        <v>4</v>
      </c>
      <c r="F1943" t="s">
        <v>43</v>
      </c>
      <c r="G1943" t="s">
        <v>7</v>
      </c>
    </row>
    <row r="1944" spans="1:7" x14ac:dyDescent="0.3">
      <c r="A1944" t="s">
        <v>33</v>
      </c>
      <c r="B1944" s="1">
        <v>45900</v>
      </c>
      <c r="C1944">
        <v>240009</v>
      </c>
      <c r="D1944">
        <v>-157.13999999999999</v>
      </c>
      <c r="E1944" t="s">
        <v>4</v>
      </c>
      <c r="F1944" t="s">
        <v>43</v>
      </c>
      <c r="G1944" t="s">
        <v>7</v>
      </c>
    </row>
    <row r="1945" spans="1:7" x14ac:dyDescent="0.3">
      <c r="A1945" t="s">
        <v>33</v>
      </c>
      <c r="B1945" s="1">
        <v>45900</v>
      </c>
      <c r="C1945">
        <v>242003</v>
      </c>
      <c r="D1945">
        <v>-649335.09100000001</v>
      </c>
      <c r="E1945" t="s">
        <v>4</v>
      </c>
      <c r="F1945" t="s">
        <v>43</v>
      </c>
      <c r="G1945" t="s">
        <v>7</v>
      </c>
    </row>
    <row r="1946" spans="1:7" x14ac:dyDescent="0.3">
      <c r="A1946" t="s">
        <v>33</v>
      </c>
      <c r="B1946" s="1">
        <v>45900</v>
      </c>
      <c r="C1946">
        <v>242007</v>
      </c>
      <c r="D1946">
        <v>663.92399999999998</v>
      </c>
      <c r="E1946" t="s">
        <v>4</v>
      </c>
      <c r="F1946" t="s">
        <v>43</v>
      </c>
      <c r="G1946" t="s">
        <v>7</v>
      </c>
    </row>
    <row r="1947" spans="1:7" x14ac:dyDescent="0.3">
      <c r="A1947" t="s">
        <v>33</v>
      </c>
      <c r="B1947" s="1">
        <v>45900</v>
      </c>
      <c r="C1947">
        <v>242011</v>
      </c>
      <c r="D1947">
        <v>-79407.592000000004</v>
      </c>
      <c r="E1947" t="s">
        <v>4</v>
      </c>
      <c r="F1947" t="s">
        <v>43</v>
      </c>
      <c r="G1947" t="s">
        <v>7</v>
      </c>
    </row>
    <row r="1948" spans="1:7" x14ac:dyDescent="0.3">
      <c r="A1948" t="s">
        <v>33</v>
      </c>
      <c r="B1948" s="1">
        <v>45900</v>
      </c>
      <c r="C1948">
        <v>242012</v>
      </c>
      <c r="D1948">
        <v>-929.11900000000003</v>
      </c>
      <c r="E1948" t="s">
        <v>4</v>
      </c>
      <c r="F1948" t="s">
        <v>43</v>
      </c>
      <c r="G1948" t="s">
        <v>7</v>
      </c>
    </row>
    <row r="1949" spans="1:7" x14ac:dyDescent="0.3">
      <c r="A1949" t="s">
        <v>33</v>
      </c>
      <c r="B1949" s="1">
        <v>45900</v>
      </c>
      <c r="C1949">
        <v>242014</v>
      </c>
      <c r="D1949">
        <v>-27661.072</v>
      </c>
      <c r="E1949" t="s">
        <v>4</v>
      </c>
      <c r="F1949" t="s">
        <v>43</v>
      </c>
      <c r="G1949" t="s">
        <v>7</v>
      </c>
    </row>
    <row r="1950" spans="1:7" x14ac:dyDescent="0.3">
      <c r="A1950" t="s">
        <v>33</v>
      </c>
      <c r="B1950" s="1">
        <v>45900</v>
      </c>
      <c r="C1950">
        <v>242027</v>
      </c>
      <c r="D1950">
        <v>-5443.6</v>
      </c>
      <c r="E1950" t="s">
        <v>4</v>
      </c>
      <c r="F1950" t="s">
        <v>43</v>
      </c>
      <c r="G1950" t="s">
        <v>7</v>
      </c>
    </row>
    <row r="1951" spans="1:7" x14ac:dyDescent="0.3">
      <c r="A1951" t="s">
        <v>33</v>
      </c>
      <c r="B1951" s="1">
        <v>45900</v>
      </c>
      <c r="C1951">
        <v>242030</v>
      </c>
      <c r="D1951">
        <v>-65555.175000000003</v>
      </c>
      <c r="E1951" t="s">
        <v>4</v>
      </c>
      <c r="F1951" t="s">
        <v>43</v>
      </c>
      <c r="G1951" t="s">
        <v>7</v>
      </c>
    </row>
    <row r="1952" spans="1:7" x14ac:dyDescent="0.3">
      <c r="A1952" t="s">
        <v>33</v>
      </c>
      <c r="B1952" s="1">
        <v>45900</v>
      </c>
      <c r="C1952">
        <v>242038</v>
      </c>
      <c r="D1952">
        <v>-26.77</v>
      </c>
      <c r="E1952" t="s">
        <v>4</v>
      </c>
      <c r="F1952" t="s">
        <v>43</v>
      </c>
      <c r="G1952" t="s">
        <v>7</v>
      </c>
    </row>
    <row r="1953" spans="1:7" x14ac:dyDescent="0.3">
      <c r="A1953" t="s">
        <v>33</v>
      </c>
      <c r="B1953" s="1">
        <v>45900</v>
      </c>
      <c r="C1953">
        <v>242041</v>
      </c>
      <c r="D1953">
        <v>1340.6980000000001</v>
      </c>
      <c r="E1953" t="s">
        <v>4</v>
      </c>
      <c r="F1953" t="s">
        <v>43</v>
      </c>
      <c r="G1953" t="s">
        <v>7</v>
      </c>
    </row>
    <row r="1954" spans="1:7" x14ac:dyDescent="0.3">
      <c r="A1954" t="s">
        <v>33</v>
      </c>
      <c r="B1954" s="1">
        <v>45900</v>
      </c>
      <c r="C1954">
        <v>243002</v>
      </c>
      <c r="D1954">
        <v>-2735.8229999999999</v>
      </c>
      <c r="E1954" t="s">
        <v>4</v>
      </c>
      <c r="F1954" t="s">
        <v>43</v>
      </c>
      <c r="G1954" t="s">
        <v>7</v>
      </c>
    </row>
    <row r="1955" spans="1:7" x14ac:dyDescent="0.3">
      <c r="A1955" t="s">
        <v>33</v>
      </c>
      <c r="B1955" s="1">
        <v>45900</v>
      </c>
      <c r="C1955">
        <v>243003</v>
      </c>
      <c r="D1955">
        <v>-25613.725999999999</v>
      </c>
      <c r="E1955" t="s">
        <v>4</v>
      </c>
      <c r="F1955" t="s">
        <v>43</v>
      </c>
      <c r="G1955" t="s">
        <v>7</v>
      </c>
    </row>
    <row r="1956" spans="1:7" x14ac:dyDescent="0.3">
      <c r="A1956" t="s">
        <v>33</v>
      </c>
      <c r="B1956" s="1">
        <v>45900</v>
      </c>
      <c r="C1956">
        <v>243009</v>
      </c>
      <c r="D1956">
        <v>-232.08199999999999</v>
      </c>
      <c r="E1956" t="s">
        <v>4</v>
      </c>
      <c r="F1956" t="s">
        <v>43</v>
      </c>
      <c r="G1956" t="s">
        <v>7</v>
      </c>
    </row>
    <row r="1957" spans="1:7" x14ac:dyDescent="0.3">
      <c r="A1957" t="s">
        <v>33</v>
      </c>
      <c r="B1957" s="1">
        <v>45900</v>
      </c>
      <c r="C1957">
        <v>245010</v>
      </c>
      <c r="D1957">
        <v>-39311.284</v>
      </c>
      <c r="E1957" t="s">
        <v>4</v>
      </c>
      <c r="F1957" t="s">
        <v>44</v>
      </c>
      <c r="G1957" t="s">
        <v>7</v>
      </c>
    </row>
    <row r="1958" spans="1:7" x14ac:dyDescent="0.3">
      <c r="A1958" t="s">
        <v>33</v>
      </c>
      <c r="B1958" s="1">
        <v>45900</v>
      </c>
      <c r="C1958">
        <v>245018</v>
      </c>
      <c r="D1958">
        <v>-9523.2990000000009</v>
      </c>
      <c r="E1958" t="s">
        <v>4</v>
      </c>
      <c r="F1958" t="s">
        <v>43</v>
      </c>
      <c r="G1958" t="s">
        <v>7</v>
      </c>
    </row>
    <row r="1959" spans="1:7" x14ac:dyDescent="0.3">
      <c r="A1959" t="s">
        <v>33</v>
      </c>
      <c r="B1959" s="1">
        <v>45900</v>
      </c>
      <c r="C1959">
        <v>245056</v>
      </c>
      <c r="D1959">
        <v>-151.976</v>
      </c>
      <c r="E1959" t="s">
        <v>4</v>
      </c>
      <c r="F1959" t="s">
        <v>49</v>
      </c>
      <c r="G1959" t="s">
        <v>7</v>
      </c>
    </row>
    <row r="1960" spans="1:7" x14ac:dyDescent="0.3">
      <c r="A1960" t="s">
        <v>33</v>
      </c>
      <c r="B1960" s="1">
        <v>45900</v>
      </c>
      <c r="C1960">
        <v>245062</v>
      </c>
      <c r="D1960">
        <v>-42014.337</v>
      </c>
      <c r="E1960" t="s">
        <v>4</v>
      </c>
      <c r="F1960" t="s">
        <v>43</v>
      </c>
      <c r="G1960" t="s">
        <v>7</v>
      </c>
    </row>
    <row r="1961" spans="1:7" x14ac:dyDescent="0.3">
      <c r="A1961" t="s">
        <v>33</v>
      </c>
      <c r="B1961" s="1">
        <v>45900</v>
      </c>
      <c r="C1961">
        <v>250003</v>
      </c>
      <c r="D1961">
        <v>-10660.688</v>
      </c>
      <c r="E1961" t="s">
        <v>4</v>
      </c>
      <c r="F1961" t="s">
        <v>45</v>
      </c>
      <c r="G1961" t="s">
        <v>7</v>
      </c>
    </row>
    <row r="1962" spans="1:7" x14ac:dyDescent="0.3">
      <c r="A1962" t="s">
        <v>33</v>
      </c>
      <c r="B1962" s="1">
        <v>45900</v>
      </c>
      <c r="C1962">
        <v>250007</v>
      </c>
      <c r="D1962">
        <v>48809.627</v>
      </c>
      <c r="E1962" t="s">
        <v>4</v>
      </c>
      <c r="F1962" t="s">
        <v>43</v>
      </c>
      <c r="G1962" t="s">
        <v>7</v>
      </c>
    </row>
    <row r="1963" spans="1:7" x14ac:dyDescent="0.3">
      <c r="A1963" t="s">
        <v>33</v>
      </c>
      <c r="B1963" s="1">
        <v>45900</v>
      </c>
      <c r="C1963">
        <v>251003</v>
      </c>
      <c r="D1963">
        <v>-2967.375</v>
      </c>
      <c r="E1963" t="s">
        <v>4</v>
      </c>
      <c r="F1963" t="s">
        <v>45</v>
      </c>
      <c r="G1963" t="s">
        <v>7</v>
      </c>
    </row>
    <row r="1964" spans="1:7" x14ac:dyDescent="0.3">
      <c r="A1964" t="s">
        <v>33</v>
      </c>
      <c r="B1964" s="1">
        <v>45900</v>
      </c>
      <c r="C1964">
        <v>251005</v>
      </c>
      <c r="D1964">
        <v>2421.8519999999999</v>
      </c>
      <c r="E1964" t="s">
        <v>4</v>
      </c>
      <c r="F1964" t="s">
        <v>46</v>
      </c>
      <c r="G1964" t="s">
        <v>7</v>
      </c>
    </row>
    <row r="1965" spans="1:7" x14ac:dyDescent="0.3">
      <c r="A1965" t="s">
        <v>33</v>
      </c>
      <c r="B1965" s="1">
        <v>45900</v>
      </c>
      <c r="C1965">
        <v>257008</v>
      </c>
      <c r="D1965">
        <v>-8762.1540000000005</v>
      </c>
      <c r="E1965" t="s">
        <v>4</v>
      </c>
      <c r="F1965" t="s">
        <v>45</v>
      </c>
      <c r="G1965" t="s">
        <v>7</v>
      </c>
    </row>
    <row r="1966" spans="1:7" x14ac:dyDescent="0.3">
      <c r="A1966" t="s">
        <v>33</v>
      </c>
      <c r="B1966" s="1">
        <v>45900</v>
      </c>
      <c r="C1966">
        <v>257009</v>
      </c>
      <c r="D1966">
        <v>-7640.7309999999998</v>
      </c>
      <c r="E1966" t="s">
        <v>4</v>
      </c>
      <c r="F1966" t="s">
        <v>45</v>
      </c>
      <c r="G1966" t="s">
        <v>7</v>
      </c>
    </row>
    <row r="1967" spans="1:7" x14ac:dyDescent="0.3">
      <c r="A1967" t="s">
        <v>33</v>
      </c>
      <c r="B1967" s="1">
        <v>45900</v>
      </c>
      <c r="C1967">
        <v>257011</v>
      </c>
      <c r="D1967">
        <v>-5250.6679999999997</v>
      </c>
      <c r="E1967" t="s">
        <v>4</v>
      </c>
      <c r="F1967" t="s">
        <v>45</v>
      </c>
      <c r="G1967" t="s">
        <v>7</v>
      </c>
    </row>
    <row r="1968" spans="1:7" x14ac:dyDescent="0.3">
      <c r="A1968" t="s">
        <v>33</v>
      </c>
      <c r="B1968" s="1">
        <v>45900</v>
      </c>
      <c r="C1968">
        <v>257028</v>
      </c>
      <c r="D1968">
        <v>-31751.637999999999</v>
      </c>
      <c r="E1968" t="s">
        <v>4</v>
      </c>
      <c r="F1968" t="s">
        <v>45</v>
      </c>
      <c r="G1968" t="s">
        <v>7</v>
      </c>
    </row>
    <row r="1969" spans="1:7" x14ac:dyDescent="0.3">
      <c r="A1969" t="s">
        <v>33</v>
      </c>
      <c r="B1969" s="1">
        <v>45900</v>
      </c>
      <c r="C1969">
        <v>260004</v>
      </c>
      <c r="D1969">
        <v>9533.0249999999996</v>
      </c>
      <c r="E1969" t="s">
        <v>4</v>
      </c>
      <c r="F1969" t="s">
        <v>45</v>
      </c>
      <c r="G1969" t="s">
        <v>7</v>
      </c>
    </row>
    <row r="1970" spans="1:7" x14ac:dyDescent="0.3">
      <c r="A1970" t="s">
        <v>33</v>
      </c>
      <c r="B1970" s="1">
        <v>45900</v>
      </c>
      <c r="C1970">
        <v>270024</v>
      </c>
      <c r="D1970">
        <v>-107.70399999999999</v>
      </c>
      <c r="E1970" t="s">
        <v>4</v>
      </c>
      <c r="F1970" t="s">
        <v>58</v>
      </c>
      <c r="G1970" t="s">
        <v>7</v>
      </c>
    </row>
    <row r="1971" spans="1:7" x14ac:dyDescent="0.3">
      <c r="A1971" t="s">
        <v>33</v>
      </c>
      <c r="B1971" s="1">
        <v>45900</v>
      </c>
      <c r="C1971">
        <v>270025</v>
      </c>
      <c r="D1971">
        <v>-69.242999999999995</v>
      </c>
      <c r="E1971" t="s">
        <v>4</v>
      </c>
      <c r="F1971" t="s">
        <v>58</v>
      </c>
      <c r="G1971" t="s">
        <v>7</v>
      </c>
    </row>
    <row r="1972" spans="1:7" x14ac:dyDescent="0.3">
      <c r="A1972" t="s">
        <v>33</v>
      </c>
      <c r="B1972" s="1">
        <v>45900</v>
      </c>
      <c r="C1972">
        <v>270026</v>
      </c>
      <c r="D1972">
        <v>-76.578000000000003</v>
      </c>
      <c r="E1972" t="s">
        <v>4</v>
      </c>
      <c r="F1972" t="s">
        <v>58</v>
      </c>
      <c r="G1972" t="s">
        <v>7</v>
      </c>
    </row>
    <row r="1973" spans="1:7" x14ac:dyDescent="0.3">
      <c r="A1973" t="s">
        <v>33</v>
      </c>
      <c r="B1973" s="1">
        <v>45900</v>
      </c>
      <c r="C1973">
        <v>270027</v>
      </c>
      <c r="D1973">
        <v>-17.045000000000002</v>
      </c>
      <c r="E1973" t="s">
        <v>4</v>
      </c>
      <c r="F1973" t="s">
        <v>58</v>
      </c>
      <c r="G1973" t="s">
        <v>7</v>
      </c>
    </row>
    <row r="1974" spans="1:7" x14ac:dyDescent="0.3">
      <c r="A1974" t="s">
        <v>33</v>
      </c>
      <c r="B1974" s="1">
        <v>45900</v>
      </c>
      <c r="C1974">
        <v>300004</v>
      </c>
      <c r="D1974">
        <v>92920.248999999996</v>
      </c>
      <c r="E1974" t="s">
        <v>4</v>
      </c>
      <c r="F1974" t="s">
        <v>65</v>
      </c>
      <c r="G1974" t="s">
        <v>7</v>
      </c>
    </row>
    <row r="1975" spans="1:7" x14ac:dyDescent="0.3">
      <c r="A1975" t="s">
        <v>33</v>
      </c>
      <c r="B1975" s="1">
        <v>45900</v>
      </c>
      <c r="C1975">
        <v>300005</v>
      </c>
      <c r="D1975">
        <v>15487.615</v>
      </c>
      <c r="E1975" t="s">
        <v>4</v>
      </c>
      <c r="F1975" t="s">
        <v>65</v>
      </c>
      <c r="G1975" t="s">
        <v>7</v>
      </c>
    </row>
    <row r="1976" spans="1:7" x14ac:dyDescent="0.3">
      <c r="A1976" t="s">
        <v>33</v>
      </c>
      <c r="B1976" s="1">
        <v>45900</v>
      </c>
      <c r="C1976">
        <v>300008</v>
      </c>
      <c r="D1976">
        <v>19723.54</v>
      </c>
      <c r="E1976" t="s">
        <v>4</v>
      </c>
      <c r="F1976" t="s">
        <v>65</v>
      </c>
      <c r="G1976" t="s">
        <v>7</v>
      </c>
    </row>
    <row r="1977" spans="1:7" x14ac:dyDescent="0.3">
      <c r="A1977" t="s">
        <v>33</v>
      </c>
      <c r="B1977" s="1">
        <v>45900</v>
      </c>
      <c r="C1977">
        <v>300009</v>
      </c>
      <c r="D1977">
        <v>1360.692</v>
      </c>
      <c r="E1977" t="s">
        <v>4</v>
      </c>
      <c r="F1977" t="s">
        <v>65</v>
      </c>
      <c r="G1977" t="s">
        <v>7</v>
      </c>
    </row>
    <row r="1978" spans="1:7" x14ac:dyDescent="0.3">
      <c r="A1978" t="s">
        <v>33</v>
      </c>
      <c r="B1978" s="1">
        <v>45900</v>
      </c>
      <c r="C1978">
        <v>300011</v>
      </c>
      <c r="D1978">
        <v>2386.1819999999998</v>
      </c>
      <c r="E1978" t="s">
        <v>4</v>
      </c>
      <c r="F1978" t="s">
        <v>65</v>
      </c>
      <c r="G1978" t="s">
        <v>7</v>
      </c>
    </row>
    <row r="1979" spans="1:7" x14ac:dyDescent="0.3">
      <c r="A1979" t="s">
        <v>33</v>
      </c>
      <c r="B1979" s="1">
        <v>45900</v>
      </c>
      <c r="C1979">
        <v>300012</v>
      </c>
      <c r="D1979">
        <v>23167.455999999998</v>
      </c>
      <c r="E1979" t="s">
        <v>4</v>
      </c>
      <c r="F1979" t="s">
        <v>65</v>
      </c>
      <c r="G1979" t="s">
        <v>7</v>
      </c>
    </row>
    <row r="1980" spans="1:7" x14ac:dyDescent="0.3">
      <c r="A1980" t="s">
        <v>33</v>
      </c>
      <c r="B1980" s="1">
        <v>45900</v>
      </c>
      <c r="C1980">
        <v>300014</v>
      </c>
      <c r="D1980">
        <v>4031.9079999999999</v>
      </c>
      <c r="E1980" t="s">
        <v>4</v>
      </c>
      <c r="F1980" t="s">
        <v>65</v>
      </c>
      <c r="G1980" t="s">
        <v>7</v>
      </c>
    </row>
    <row r="1981" spans="1:7" x14ac:dyDescent="0.3">
      <c r="A1981" t="s">
        <v>33</v>
      </c>
      <c r="B1981" s="1">
        <v>45900</v>
      </c>
      <c r="C1981">
        <v>300504</v>
      </c>
      <c r="D1981">
        <v>-91071.728000000003</v>
      </c>
      <c r="E1981" t="s">
        <v>4</v>
      </c>
      <c r="F1981" t="s">
        <v>65</v>
      </c>
      <c r="G1981" t="s">
        <v>7</v>
      </c>
    </row>
    <row r="1982" spans="1:7" x14ac:dyDescent="0.3">
      <c r="A1982" t="s">
        <v>33</v>
      </c>
      <c r="B1982" s="1">
        <v>45900</v>
      </c>
      <c r="C1982">
        <v>300505</v>
      </c>
      <c r="D1982">
        <v>-15367.958000000001</v>
      </c>
      <c r="E1982" t="s">
        <v>4</v>
      </c>
      <c r="F1982" t="s">
        <v>65</v>
      </c>
      <c r="G1982" t="s">
        <v>7</v>
      </c>
    </row>
    <row r="1983" spans="1:7" x14ac:dyDescent="0.3">
      <c r="A1983" t="s">
        <v>33</v>
      </c>
      <c r="B1983" s="1">
        <v>45900</v>
      </c>
      <c r="C1983">
        <v>300508</v>
      </c>
      <c r="D1983">
        <v>-19723.54</v>
      </c>
      <c r="E1983" t="s">
        <v>4</v>
      </c>
      <c r="F1983" t="s">
        <v>65</v>
      </c>
      <c r="G1983" t="s">
        <v>7</v>
      </c>
    </row>
    <row r="1984" spans="1:7" x14ac:dyDescent="0.3">
      <c r="A1984" t="s">
        <v>33</v>
      </c>
      <c r="B1984" s="1">
        <v>45900</v>
      </c>
      <c r="C1984">
        <v>300509</v>
      </c>
      <c r="D1984">
        <v>-1360.692</v>
      </c>
      <c r="E1984" t="s">
        <v>4</v>
      </c>
      <c r="F1984" t="s">
        <v>65</v>
      </c>
      <c r="G1984" t="s">
        <v>7</v>
      </c>
    </row>
    <row r="1985" spans="1:7" x14ac:dyDescent="0.3">
      <c r="A1985" t="s">
        <v>33</v>
      </c>
      <c r="B1985" s="1">
        <v>45900</v>
      </c>
      <c r="C1985">
        <v>300511</v>
      </c>
      <c r="D1985">
        <v>-2386.1819999999998</v>
      </c>
      <c r="E1985" t="s">
        <v>4</v>
      </c>
      <c r="F1985" t="s">
        <v>65</v>
      </c>
      <c r="G1985" t="s">
        <v>7</v>
      </c>
    </row>
    <row r="1986" spans="1:7" x14ac:dyDescent="0.3">
      <c r="A1986" t="s">
        <v>33</v>
      </c>
      <c r="B1986" s="1">
        <v>45900</v>
      </c>
      <c r="C1986">
        <v>300512</v>
      </c>
      <c r="D1986">
        <v>-23138.94</v>
      </c>
      <c r="E1986" t="s">
        <v>4</v>
      </c>
      <c r="F1986" t="s">
        <v>65</v>
      </c>
      <c r="G1986" t="s">
        <v>7</v>
      </c>
    </row>
    <row r="1987" spans="1:7" x14ac:dyDescent="0.3">
      <c r="A1987" t="s">
        <v>33</v>
      </c>
      <c r="B1987" s="1">
        <v>45900</v>
      </c>
      <c r="C1987">
        <v>300514</v>
      </c>
      <c r="D1987">
        <v>-4031.9079999999999</v>
      </c>
      <c r="E1987" t="s">
        <v>4</v>
      </c>
      <c r="F1987" t="s">
        <v>65</v>
      </c>
      <c r="G1987" t="s">
        <v>7</v>
      </c>
    </row>
    <row r="1988" spans="1:7" x14ac:dyDescent="0.3">
      <c r="A1988" t="s">
        <v>33</v>
      </c>
      <c r="B1988" s="1">
        <v>45900</v>
      </c>
      <c r="C1988">
        <v>301002</v>
      </c>
      <c r="D1988">
        <v>381619.81099999999</v>
      </c>
      <c r="E1988" t="s">
        <v>4</v>
      </c>
      <c r="F1988" t="s">
        <v>68</v>
      </c>
      <c r="G1988" t="s">
        <v>7</v>
      </c>
    </row>
    <row r="1989" spans="1:7" x14ac:dyDescent="0.3">
      <c r="A1989" t="s">
        <v>33</v>
      </c>
      <c r="B1989" s="1">
        <v>45900</v>
      </c>
      <c r="C1989">
        <v>301004</v>
      </c>
      <c r="D1989">
        <v>26602.922999999999</v>
      </c>
      <c r="E1989" t="s">
        <v>4</v>
      </c>
      <c r="F1989" t="s">
        <v>65</v>
      </c>
      <c r="G1989" t="s">
        <v>7</v>
      </c>
    </row>
    <row r="1990" spans="1:7" x14ac:dyDescent="0.3">
      <c r="A1990" t="s">
        <v>33</v>
      </c>
      <c r="B1990" s="1">
        <v>45900</v>
      </c>
      <c r="C1990">
        <v>301005</v>
      </c>
      <c r="D1990">
        <v>460675.12800000003</v>
      </c>
      <c r="E1990" t="s">
        <v>4</v>
      </c>
      <c r="F1990" t="s">
        <v>65</v>
      </c>
      <c r="G1990" t="s">
        <v>7</v>
      </c>
    </row>
    <row r="1991" spans="1:7" x14ac:dyDescent="0.3">
      <c r="A1991" t="s">
        <v>33</v>
      </c>
      <c r="B1991" s="1">
        <v>45900</v>
      </c>
      <c r="C1991">
        <v>301502</v>
      </c>
      <c r="D1991">
        <v>-381619.81099999999</v>
      </c>
      <c r="E1991" t="s">
        <v>4</v>
      </c>
      <c r="F1991" t="s">
        <v>68</v>
      </c>
      <c r="G1991" t="s">
        <v>7</v>
      </c>
    </row>
    <row r="1992" spans="1:7" x14ac:dyDescent="0.3">
      <c r="A1992" t="s">
        <v>33</v>
      </c>
      <c r="B1992" s="1">
        <v>45900</v>
      </c>
      <c r="C1992">
        <v>301504</v>
      </c>
      <c r="D1992">
        <v>-26602.922999999999</v>
      </c>
      <c r="E1992" t="s">
        <v>4</v>
      </c>
      <c r="F1992" t="s">
        <v>65</v>
      </c>
      <c r="G1992" t="s">
        <v>7</v>
      </c>
    </row>
    <row r="1993" spans="1:7" x14ac:dyDescent="0.3">
      <c r="A1993" t="s">
        <v>33</v>
      </c>
      <c r="B1993" s="1">
        <v>45900</v>
      </c>
      <c r="C1993">
        <v>301505</v>
      </c>
      <c r="D1993">
        <v>-460675.12800000003</v>
      </c>
      <c r="E1993" t="s">
        <v>4</v>
      </c>
      <c r="F1993" t="s">
        <v>65</v>
      </c>
      <c r="G1993" t="s">
        <v>7</v>
      </c>
    </row>
    <row r="1994" spans="1:7" x14ac:dyDescent="0.3">
      <c r="A1994" t="s">
        <v>33</v>
      </c>
      <c r="B1994" s="1">
        <v>45900</v>
      </c>
      <c r="C1994">
        <v>310032</v>
      </c>
      <c r="D1994">
        <v>6.2409999999999997</v>
      </c>
      <c r="E1994" t="s">
        <v>4</v>
      </c>
      <c r="F1994" t="s">
        <v>42</v>
      </c>
      <c r="G1994" t="s">
        <v>7</v>
      </c>
    </row>
    <row r="1995" spans="1:7" x14ac:dyDescent="0.3">
      <c r="A1995" t="s">
        <v>33</v>
      </c>
      <c r="B1995" s="1">
        <v>45900</v>
      </c>
      <c r="C1995">
        <v>320003</v>
      </c>
      <c r="D1995">
        <v>693540.92500000005</v>
      </c>
      <c r="E1995" t="s">
        <v>4</v>
      </c>
      <c r="F1995" t="s">
        <v>46</v>
      </c>
      <c r="G1995" t="s">
        <v>7</v>
      </c>
    </row>
    <row r="1996" spans="1:7" x14ac:dyDescent="0.3">
      <c r="A1996" t="s">
        <v>33</v>
      </c>
      <c r="B1996" s="1">
        <v>45900</v>
      </c>
      <c r="C1996">
        <v>320010</v>
      </c>
      <c r="D1996">
        <v>83584.051000000007</v>
      </c>
      <c r="E1996" t="s">
        <v>4</v>
      </c>
      <c r="F1996" t="s">
        <v>46</v>
      </c>
      <c r="G1996" t="s">
        <v>7</v>
      </c>
    </row>
    <row r="1997" spans="1:7" x14ac:dyDescent="0.3">
      <c r="A1997" t="s">
        <v>33</v>
      </c>
      <c r="B1997" s="1">
        <v>45900</v>
      </c>
      <c r="C1997">
        <v>320023</v>
      </c>
      <c r="D1997">
        <v>-303910.04599999997</v>
      </c>
      <c r="E1997" t="s">
        <v>4</v>
      </c>
      <c r="F1997" t="s">
        <v>46</v>
      </c>
      <c r="G1997" t="s">
        <v>7</v>
      </c>
    </row>
    <row r="1998" spans="1:7" x14ac:dyDescent="0.3">
      <c r="A1998" t="s">
        <v>33</v>
      </c>
      <c r="B1998" s="1">
        <v>45900</v>
      </c>
      <c r="C1998">
        <v>321002</v>
      </c>
      <c r="D1998">
        <v>270179.34999999998</v>
      </c>
      <c r="E1998" t="s">
        <v>4</v>
      </c>
      <c r="F1998" t="s">
        <v>46</v>
      </c>
      <c r="G1998" t="s">
        <v>7</v>
      </c>
    </row>
    <row r="1999" spans="1:7" x14ac:dyDescent="0.3">
      <c r="A1999" t="s">
        <v>33</v>
      </c>
      <c r="B1999" s="1">
        <v>45900</v>
      </c>
      <c r="C1999">
        <v>321012</v>
      </c>
      <c r="D1999">
        <v>75727.152000000002</v>
      </c>
      <c r="E1999" t="s">
        <v>4</v>
      </c>
      <c r="F1999" t="s">
        <v>46</v>
      </c>
      <c r="G1999" t="s">
        <v>7</v>
      </c>
    </row>
    <row r="2000" spans="1:7" x14ac:dyDescent="0.3">
      <c r="A2000" t="s">
        <v>33</v>
      </c>
      <c r="B2000" s="1">
        <v>45900</v>
      </c>
      <c r="C2000">
        <v>321014</v>
      </c>
      <c r="D2000">
        <v>12138.902</v>
      </c>
      <c r="E2000" t="s">
        <v>4</v>
      </c>
      <c r="F2000" t="s">
        <v>46</v>
      </c>
      <c r="G2000" t="s">
        <v>7</v>
      </c>
    </row>
    <row r="2001" spans="1:7" x14ac:dyDescent="0.3">
      <c r="A2001" t="s">
        <v>33</v>
      </c>
      <c r="B2001" s="1">
        <v>45900</v>
      </c>
      <c r="C2001">
        <v>321021</v>
      </c>
      <c r="D2001">
        <v>11479.925999999999</v>
      </c>
      <c r="E2001" t="s">
        <v>4</v>
      </c>
      <c r="F2001" t="s">
        <v>46</v>
      </c>
      <c r="G2001" t="s">
        <v>7</v>
      </c>
    </row>
    <row r="2002" spans="1:7" x14ac:dyDescent="0.3">
      <c r="A2002" t="s">
        <v>33</v>
      </c>
      <c r="B2002" s="1">
        <v>45900</v>
      </c>
      <c r="C2002">
        <v>321028</v>
      </c>
      <c r="D2002">
        <v>-2243.29</v>
      </c>
      <c r="E2002" t="s">
        <v>4</v>
      </c>
      <c r="F2002" t="s">
        <v>46</v>
      </c>
      <c r="G2002" t="s">
        <v>7</v>
      </c>
    </row>
    <row r="2003" spans="1:7" x14ac:dyDescent="0.3">
      <c r="A2003" t="s">
        <v>33</v>
      </c>
      <c r="B2003" s="1">
        <v>45900</v>
      </c>
      <c r="C2003">
        <v>321029</v>
      </c>
      <c r="D2003">
        <v>20933.401999999998</v>
      </c>
      <c r="E2003" t="s">
        <v>4</v>
      </c>
      <c r="F2003" t="s">
        <v>46</v>
      </c>
      <c r="G2003" t="s">
        <v>7</v>
      </c>
    </row>
    <row r="2004" spans="1:7" x14ac:dyDescent="0.3">
      <c r="A2004" t="s">
        <v>33</v>
      </c>
      <c r="B2004" s="1">
        <v>45900</v>
      </c>
      <c r="C2004">
        <v>321036</v>
      </c>
      <c r="D2004">
        <v>-201.08099999999999</v>
      </c>
      <c r="E2004" t="s">
        <v>4</v>
      </c>
      <c r="F2004" t="s">
        <v>46</v>
      </c>
      <c r="G2004" t="s">
        <v>7</v>
      </c>
    </row>
    <row r="2005" spans="1:7" x14ac:dyDescent="0.3">
      <c r="A2005" t="s">
        <v>33</v>
      </c>
      <c r="B2005" s="1">
        <v>45900</v>
      </c>
      <c r="C2005">
        <v>321042</v>
      </c>
      <c r="D2005">
        <v>88.68</v>
      </c>
      <c r="E2005" t="s">
        <v>4</v>
      </c>
      <c r="F2005" t="s">
        <v>46</v>
      </c>
      <c r="G2005" t="s">
        <v>7</v>
      </c>
    </row>
    <row r="2006" spans="1:7" x14ac:dyDescent="0.3">
      <c r="A2006" t="s">
        <v>33</v>
      </c>
      <c r="B2006" s="1">
        <v>45900</v>
      </c>
      <c r="C2006">
        <v>330034</v>
      </c>
      <c r="D2006">
        <v>-1579.954</v>
      </c>
      <c r="E2006" t="s">
        <v>4</v>
      </c>
      <c r="F2006" t="s">
        <v>43</v>
      </c>
      <c r="G2006" t="s">
        <v>7</v>
      </c>
    </row>
    <row r="2007" spans="1:7" x14ac:dyDescent="0.3">
      <c r="A2007" t="s">
        <v>33</v>
      </c>
      <c r="B2007" s="1">
        <v>45900</v>
      </c>
      <c r="C2007">
        <v>330052</v>
      </c>
      <c r="D2007">
        <v>-1094.2550000000001</v>
      </c>
      <c r="E2007" t="s">
        <v>4</v>
      </c>
      <c r="F2007" t="s">
        <v>43</v>
      </c>
      <c r="G2007" t="s">
        <v>7</v>
      </c>
    </row>
    <row r="2008" spans="1:7" x14ac:dyDescent="0.3">
      <c r="A2008" t="s">
        <v>33</v>
      </c>
      <c r="B2008" s="1">
        <v>45900</v>
      </c>
      <c r="C2008">
        <v>330065</v>
      </c>
      <c r="D2008">
        <v>-285.83699999999999</v>
      </c>
      <c r="E2008" t="s">
        <v>4</v>
      </c>
      <c r="F2008" t="s">
        <v>43</v>
      </c>
      <c r="G2008" t="s">
        <v>7</v>
      </c>
    </row>
    <row r="2009" spans="1:7" x14ac:dyDescent="0.3">
      <c r="A2009" t="s">
        <v>33</v>
      </c>
      <c r="B2009" s="1">
        <v>45900</v>
      </c>
      <c r="C2009">
        <v>330136</v>
      </c>
      <c r="D2009">
        <v>-12372.737999999999</v>
      </c>
      <c r="E2009" t="s">
        <v>4</v>
      </c>
      <c r="F2009" t="s">
        <v>43</v>
      </c>
      <c r="G2009" t="s">
        <v>7</v>
      </c>
    </row>
    <row r="2010" spans="1:7" x14ac:dyDescent="0.3">
      <c r="A2010" t="s">
        <v>33</v>
      </c>
      <c r="B2010" s="1">
        <v>45900</v>
      </c>
      <c r="C2010">
        <v>340156</v>
      </c>
      <c r="D2010">
        <v>80070.877999999997</v>
      </c>
      <c r="E2010" t="s">
        <v>4</v>
      </c>
      <c r="F2010" t="s">
        <v>47</v>
      </c>
      <c r="G2010" t="s">
        <v>7</v>
      </c>
    </row>
    <row r="2011" spans="1:7" x14ac:dyDescent="0.3">
      <c r="A2011" t="s">
        <v>33</v>
      </c>
      <c r="B2011" s="1">
        <v>45900</v>
      </c>
      <c r="C2011">
        <v>340157</v>
      </c>
      <c r="D2011">
        <v>18654351.423</v>
      </c>
      <c r="E2011" t="s">
        <v>4</v>
      </c>
      <c r="F2011" t="s">
        <v>47</v>
      </c>
      <c r="G2011" t="s">
        <v>7</v>
      </c>
    </row>
    <row r="2012" spans="1:7" x14ac:dyDescent="0.3">
      <c r="A2012" t="s">
        <v>33</v>
      </c>
      <c r="B2012" s="1">
        <v>45900</v>
      </c>
      <c r="C2012">
        <v>340158</v>
      </c>
      <c r="D2012">
        <v>-18419604.401999999</v>
      </c>
      <c r="E2012" t="s">
        <v>4</v>
      </c>
      <c r="F2012" t="s">
        <v>47</v>
      </c>
      <c r="G2012" t="s">
        <v>7</v>
      </c>
    </row>
    <row r="2013" spans="1:7" x14ac:dyDescent="0.3">
      <c r="A2013" t="s">
        <v>33</v>
      </c>
      <c r="B2013" s="1">
        <v>45900</v>
      </c>
      <c r="C2013">
        <v>350002</v>
      </c>
      <c r="D2013">
        <v>1291.0239999999999</v>
      </c>
      <c r="E2013" t="s">
        <v>4</v>
      </c>
      <c r="F2013" t="s">
        <v>49</v>
      </c>
      <c r="G2013" t="s">
        <v>7</v>
      </c>
    </row>
    <row r="2014" spans="1:7" x14ac:dyDescent="0.3">
      <c r="A2014" t="s">
        <v>33</v>
      </c>
      <c r="B2014" s="1">
        <v>45900</v>
      </c>
      <c r="C2014">
        <v>350003</v>
      </c>
      <c r="D2014">
        <v>-9106.143</v>
      </c>
      <c r="E2014" t="s">
        <v>4</v>
      </c>
      <c r="F2014" t="s">
        <v>49</v>
      </c>
      <c r="G2014" t="s">
        <v>7</v>
      </c>
    </row>
    <row r="2015" spans="1:7" x14ac:dyDescent="0.3">
      <c r="A2015" t="s">
        <v>33</v>
      </c>
      <c r="B2015" s="1">
        <v>45900</v>
      </c>
      <c r="C2015">
        <v>350005</v>
      </c>
      <c r="D2015">
        <v>-151.976</v>
      </c>
      <c r="E2015" t="s">
        <v>4</v>
      </c>
      <c r="F2015" t="s">
        <v>49</v>
      </c>
      <c r="G2015" t="s">
        <v>7</v>
      </c>
    </row>
    <row r="2016" spans="1:7" x14ac:dyDescent="0.3">
      <c r="A2016" t="s">
        <v>33</v>
      </c>
      <c r="B2016" s="1">
        <v>45900</v>
      </c>
      <c r="C2016">
        <v>350031</v>
      </c>
      <c r="D2016">
        <v>157.13999999999999</v>
      </c>
      <c r="E2016" t="s">
        <v>4</v>
      </c>
      <c r="F2016" t="s">
        <v>43</v>
      </c>
      <c r="G2016" t="s">
        <v>7</v>
      </c>
    </row>
    <row r="2017" spans="1:7" x14ac:dyDescent="0.3">
      <c r="A2017" t="s">
        <v>33</v>
      </c>
      <c r="B2017" s="1">
        <v>45900</v>
      </c>
      <c r="C2017">
        <v>350034</v>
      </c>
      <c r="D2017">
        <v>151.976</v>
      </c>
      <c r="E2017" t="s">
        <v>4</v>
      </c>
      <c r="F2017" t="s">
        <v>49</v>
      </c>
      <c r="G2017" t="s">
        <v>7</v>
      </c>
    </row>
    <row r="2018" spans="1:7" x14ac:dyDescent="0.3">
      <c r="A2018" t="s">
        <v>33</v>
      </c>
      <c r="B2018" s="1">
        <v>45900</v>
      </c>
      <c r="C2018">
        <v>351004</v>
      </c>
      <c r="D2018">
        <v>6942.3180000000002</v>
      </c>
      <c r="E2018" t="s">
        <v>4</v>
      </c>
      <c r="F2018" t="s">
        <v>45</v>
      </c>
      <c r="G2018" t="s">
        <v>7</v>
      </c>
    </row>
    <row r="2019" spans="1:7" x14ac:dyDescent="0.3">
      <c r="A2019" t="s">
        <v>33</v>
      </c>
      <c r="B2019" s="1">
        <v>45900</v>
      </c>
      <c r="C2019">
        <v>352002</v>
      </c>
      <c r="D2019">
        <v>1273.3630000000001</v>
      </c>
      <c r="E2019" t="s">
        <v>4</v>
      </c>
      <c r="F2019" t="s">
        <v>48</v>
      </c>
      <c r="G2019" t="s">
        <v>7</v>
      </c>
    </row>
    <row r="2020" spans="1:7" x14ac:dyDescent="0.3">
      <c r="A2020" t="s">
        <v>33</v>
      </c>
      <c r="B2020" s="1">
        <v>45900</v>
      </c>
      <c r="C2020">
        <v>354014</v>
      </c>
      <c r="D2020">
        <v>36903.103000000003</v>
      </c>
      <c r="E2020" t="s">
        <v>4</v>
      </c>
      <c r="F2020" t="s">
        <v>46</v>
      </c>
      <c r="G2020" t="s">
        <v>7</v>
      </c>
    </row>
    <row r="2021" spans="1:7" x14ac:dyDescent="0.3">
      <c r="A2021" t="s">
        <v>33</v>
      </c>
      <c r="B2021" s="1">
        <v>45900</v>
      </c>
      <c r="C2021">
        <v>355002</v>
      </c>
      <c r="D2021">
        <v>2.5000000000000001E-2</v>
      </c>
      <c r="E2021" t="s">
        <v>4</v>
      </c>
      <c r="F2021" t="s">
        <v>49</v>
      </c>
      <c r="G2021" t="s">
        <v>7</v>
      </c>
    </row>
    <row r="2022" spans="1:7" x14ac:dyDescent="0.3">
      <c r="A2022" t="s">
        <v>33</v>
      </c>
      <c r="B2022" s="1">
        <v>45900</v>
      </c>
      <c r="C2022">
        <v>360026</v>
      </c>
      <c r="D2022">
        <v>-96544.5</v>
      </c>
      <c r="E2022" t="s">
        <v>4</v>
      </c>
      <c r="F2022" t="s">
        <v>58</v>
      </c>
      <c r="G2022" t="s">
        <v>7</v>
      </c>
    </row>
    <row r="2023" spans="1:7" x14ac:dyDescent="0.3">
      <c r="A2023" t="s">
        <v>33</v>
      </c>
      <c r="B2023" s="1">
        <v>45900</v>
      </c>
      <c r="C2023">
        <v>360028</v>
      </c>
      <c r="D2023">
        <v>-5182.7960000000003</v>
      </c>
      <c r="E2023" t="s">
        <v>4</v>
      </c>
      <c r="F2023" t="s">
        <v>58</v>
      </c>
      <c r="G2023" t="s">
        <v>7</v>
      </c>
    </row>
    <row r="2024" spans="1:7" x14ac:dyDescent="0.3">
      <c r="A2024" t="s">
        <v>33</v>
      </c>
      <c r="B2024" s="1">
        <v>45900</v>
      </c>
      <c r="C2024">
        <v>360030</v>
      </c>
      <c r="D2024">
        <v>37.054000000000002</v>
      </c>
      <c r="E2024" t="s">
        <v>4</v>
      </c>
      <c r="F2024" t="s">
        <v>58</v>
      </c>
      <c r="G2024" t="s">
        <v>7</v>
      </c>
    </row>
    <row r="2025" spans="1:7" x14ac:dyDescent="0.3">
      <c r="A2025" t="s">
        <v>33</v>
      </c>
      <c r="B2025" s="1">
        <v>45900</v>
      </c>
      <c r="C2025">
        <v>360032</v>
      </c>
      <c r="D2025">
        <v>37.054000000000002</v>
      </c>
      <c r="E2025" t="s">
        <v>4</v>
      </c>
      <c r="F2025" t="s">
        <v>58</v>
      </c>
      <c r="G2025" t="s">
        <v>7</v>
      </c>
    </row>
    <row r="2026" spans="1:7" x14ac:dyDescent="0.3">
      <c r="A2026" t="s">
        <v>33</v>
      </c>
      <c r="B2026" s="1">
        <v>45900</v>
      </c>
      <c r="C2026">
        <v>364502</v>
      </c>
      <c r="D2026">
        <v>80533.523000000001</v>
      </c>
      <c r="E2026" t="s">
        <v>4</v>
      </c>
      <c r="F2026" t="s">
        <v>58</v>
      </c>
      <c r="G2026" t="s">
        <v>7</v>
      </c>
    </row>
    <row r="2027" spans="1:7" x14ac:dyDescent="0.3">
      <c r="A2027" t="s">
        <v>33</v>
      </c>
      <c r="B2027" s="1">
        <v>45900</v>
      </c>
      <c r="C2027">
        <v>410002</v>
      </c>
      <c r="D2027">
        <v>-209390.57500000001</v>
      </c>
      <c r="E2027" t="s">
        <v>6</v>
      </c>
      <c r="F2027" t="s">
        <v>51</v>
      </c>
      <c r="G2027" t="s">
        <v>7</v>
      </c>
    </row>
    <row r="2028" spans="1:7" x14ac:dyDescent="0.3">
      <c r="A2028" t="s">
        <v>33</v>
      </c>
      <c r="B2028" s="1">
        <v>45900</v>
      </c>
      <c r="C2028">
        <v>410006</v>
      </c>
      <c r="D2028">
        <v>-26068.406999999999</v>
      </c>
      <c r="E2028" t="s">
        <v>6</v>
      </c>
      <c r="F2028" t="s">
        <v>51</v>
      </c>
      <c r="G2028" t="s">
        <v>7</v>
      </c>
    </row>
    <row r="2029" spans="1:7" x14ac:dyDescent="0.3">
      <c r="A2029" t="s">
        <v>33</v>
      </c>
      <c r="B2029" s="1">
        <v>45900</v>
      </c>
      <c r="C2029">
        <v>410009</v>
      </c>
      <c r="D2029">
        <v>-1285.8879999999999</v>
      </c>
      <c r="E2029" t="s">
        <v>6</v>
      </c>
      <c r="F2029" t="s">
        <v>51</v>
      </c>
      <c r="G2029" t="s">
        <v>7</v>
      </c>
    </row>
    <row r="2030" spans="1:7" x14ac:dyDescent="0.3">
      <c r="A2030" t="s">
        <v>33</v>
      </c>
      <c r="B2030" s="1">
        <v>45900</v>
      </c>
      <c r="C2030">
        <v>410036</v>
      </c>
      <c r="D2030">
        <v>-89.298000000000002</v>
      </c>
      <c r="E2030" t="s">
        <v>6</v>
      </c>
      <c r="F2030" t="s">
        <v>51</v>
      </c>
      <c r="G2030" t="s">
        <v>7</v>
      </c>
    </row>
    <row r="2031" spans="1:7" x14ac:dyDescent="0.3">
      <c r="A2031" t="s">
        <v>33</v>
      </c>
      <c r="B2031" s="1">
        <v>45900</v>
      </c>
      <c r="C2031">
        <v>410037</v>
      </c>
      <c r="D2031">
        <v>-67735.047999999995</v>
      </c>
      <c r="E2031" t="s">
        <v>6</v>
      </c>
      <c r="F2031" t="s">
        <v>51</v>
      </c>
      <c r="G2031" t="s">
        <v>7</v>
      </c>
    </row>
    <row r="2032" spans="1:7" x14ac:dyDescent="0.3">
      <c r="A2032" t="s">
        <v>33</v>
      </c>
      <c r="B2032" s="1">
        <v>45900</v>
      </c>
      <c r="C2032">
        <v>415002</v>
      </c>
      <c r="D2032">
        <v>-362542.549</v>
      </c>
      <c r="E2032" t="s">
        <v>6</v>
      </c>
      <c r="F2032" t="s">
        <v>50</v>
      </c>
      <c r="G2032" t="s">
        <v>7</v>
      </c>
    </row>
    <row r="2033" spans="1:7" x14ac:dyDescent="0.3">
      <c r="A2033" t="s">
        <v>33</v>
      </c>
      <c r="B2033" s="1">
        <v>45900</v>
      </c>
      <c r="C2033">
        <v>415004</v>
      </c>
      <c r="D2033">
        <v>-352920.25699999998</v>
      </c>
      <c r="E2033" t="s">
        <v>6</v>
      </c>
      <c r="F2033" t="s">
        <v>50</v>
      </c>
      <c r="G2033" t="s">
        <v>7</v>
      </c>
    </row>
    <row r="2034" spans="1:7" x14ac:dyDescent="0.3">
      <c r="A2034" t="s">
        <v>33</v>
      </c>
      <c r="B2034" s="1">
        <v>45900</v>
      </c>
      <c r="C2034">
        <v>421003</v>
      </c>
      <c r="D2034">
        <v>-1371.895</v>
      </c>
      <c r="E2034" t="s">
        <v>6</v>
      </c>
      <c r="F2034" t="s">
        <v>52</v>
      </c>
      <c r="G2034" t="s">
        <v>7</v>
      </c>
    </row>
    <row r="2035" spans="1:7" x14ac:dyDescent="0.3">
      <c r="A2035" t="s">
        <v>33</v>
      </c>
      <c r="B2035" s="1">
        <v>45900</v>
      </c>
      <c r="C2035">
        <v>421007</v>
      </c>
      <c r="D2035">
        <v>-86.724999999999994</v>
      </c>
      <c r="E2035" t="s">
        <v>6</v>
      </c>
      <c r="F2035" t="s">
        <v>52</v>
      </c>
      <c r="G2035" t="s">
        <v>7</v>
      </c>
    </row>
    <row r="2036" spans="1:7" x14ac:dyDescent="0.3">
      <c r="A2036" t="s">
        <v>33</v>
      </c>
      <c r="B2036" s="1">
        <v>45900</v>
      </c>
      <c r="C2036">
        <v>510002</v>
      </c>
      <c r="D2036">
        <v>328958.81599999999</v>
      </c>
      <c r="E2036" t="s">
        <v>6</v>
      </c>
      <c r="F2036" t="s">
        <v>53</v>
      </c>
      <c r="G2036" t="s">
        <v>7</v>
      </c>
    </row>
    <row r="2037" spans="1:7" x14ac:dyDescent="0.3">
      <c r="A2037" t="s">
        <v>33</v>
      </c>
      <c r="B2037" s="1">
        <v>45900</v>
      </c>
      <c r="C2037">
        <v>510005</v>
      </c>
      <c r="D2037">
        <v>4874.93</v>
      </c>
      <c r="E2037" t="s">
        <v>6</v>
      </c>
      <c r="F2037" t="s">
        <v>53</v>
      </c>
      <c r="G2037" t="s">
        <v>7</v>
      </c>
    </row>
    <row r="2038" spans="1:7" x14ac:dyDescent="0.3">
      <c r="A2038" t="s">
        <v>33</v>
      </c>
      <c r="B2038" s="1">
        <v>45900</v>
      </c>
      <c r="C2038">
        <v>510007</v>
      </c>
      <c r="D2038">
        <v>36497.129000000001</v>
      </c>
      <c r="E2038" t="s">
        <v>6</v>
      </c>
      <c r="F2038" t="s">
        <v>53</v>
      </c>
      <c r="G2038" t="s">
        <v>7</v>
      </c>
    </row>
    <row r="2039" spans="1:7" x14ac:dyDescent="0.3">
      <c r="A2039" t="s">
        <v>33</v>
      </c>
      <c r="B2039" s="1">
        <v>45900</v>
      </c>
      <c r="C2039">
        <v>510010</v>
      </c>
      <c r="D2039">
        <v>5017.5079999999998</v>
      </c>
      <c r="E2039" t="s">
        <v>6</v>
      </c>
      <c r="F2039" t="s">
        <v>53</v>
      </c>
      <c r="G2039" t="s">
        <v>7</v>
      </c>
    </row>
    <row r="2040" spans="1:7" x14ac:dyDescent="0.3">
      <c r="A2040" t="s">
        <v>33</v>
      </c>
      <c r="B2040" s="1">
        <v>45900</v>
      </c>
      <c r="C2040">
        <v>510012</v>
      </c>
      <c r="D2040">
        <v>444.125</v>
      </c>
      <c r="E2040" t="s">
        <v>6</v>
      </c>
      <c r="F2040" t="s">
        <v>53</v>
      </c>
      <c r="G2040" t="s">
        <v>7</v>
      </c>
    </row>
    <row r="2041" spans="1:7" x14ac:dyDescent="0.3">
      <c r="A2041" t="s">
        <v>33</v>
      </c>
      <c r="B2041" s="1">
        <v>45900</v>
      </c>
      <c r="C2041">
        <v>510015</v>
      </c>
      <c r="D2041">
        <v>27262.012999999999</v>
      </c>
      <c r="E2041" t="s">
        <v>6</v>
      </c>
      <c r="F2041" t="s">
        <v>53</v>
      </c>
      <c r="G2041" t="s">
        <v>7</v>
      </c>
    </row>
    <row r="2042" spans="1:7" x14ac:dyDescent="0.3">
      <c r="A2042" t="s">
        <v>33</v>
      </c>
      <c r="B2042" s="1">
        <v>45900</v>
      </c>
      <c r="C2042">
        <v>510018</v>
      </c>
      <c r="D2042">
        <v>32978.578000000001</v>
      </c>
      <c r="E2042" t="s">
        <v>6</v>
      </c>
      <c r="F2042" t="s">
        <v>53</v>
      </c>
      <c r="G2042" t="s">
        <v>7</v>
      </c>
    </row>
    <row r="2043" spans="1:7" x14ac:dyDescent="0.3">
      <c r="A2043" t="s">
        <v>33</v>
      </c>
      <c r="B2043" s="1">
        <v>45900</v>
      </c>
      <c r="C2043">
        <v>510059</v>
      </c>
      <c r="D2043">
        <v>1465.2529999999999</v>
      </c>
      <c r="E2043" t="s">
        <v>6</v>
      </c>
      <c r="F2043" t="s">
        <v>53</v>
      </c>
      <c r="G2043" t="s">
        <v>7</v>
      </c>
    </row>
    <row r="2044" spans="1:7" x14ac:dyDescent="0.3">
      <c r="A2044" t="s">
        <v>33</v>
      </c>
      <c r="B2044" s="1">
        <v>45900</v>
      </c>
      <c r="C2044">
        <v>510062</v>
      </c>
      <c r="D2044">
        <v>1357.691</v>
      </c>
      <c r="E2044" t="s">
        <v>6</v>
      </c>
      <c r="F2044" t="s">
        <v>53</v>
      </c>
      <c r="G2044" t="s">
        <v>7</v>
      </c>
    </row>
    <row r="2045" spans="1:7" x14ac:dyDescent="0.3">
      <c r="A2045" t="s">
        <v>33</v>
      </c>
      <c r="B2045" s="1">
        <v>45900</v>
      </c>
      <c r="C2045">
        <v>510065</v>
      </c>
      <c r="D2045">
        <v>2619.1280000000002</v>
      </c>
      <c r="E2045" t="s">
        <v>6</v>
      </c>
      <c r="F2045" t="s">
        <v>53</v>
      </c>
      <c r="G2045" t="s">
        <v>7</v>
      </c>
    </row>
    <row r="2046" spans="1:7" x14ac:dyDescent="0.3">
      <c r="A2046" t="s">
        <v>33</v>
      </c>
      <c r="B2046" s="1">
        <v>45900</v>
      </c>
      <c r="C2046">
        <v>520021</v>
      </c>
      <c r="D2046">
        <v>802.53700000000003</v>
      </c>
      <c r="E2046" t="s">
        <v>6</v>
      </c>
      <c r="F2046" t="s">
        <v>60</v>
      </c>
      <c r="G2046" t="s">
        <v>7</v>
      </c>
    </row>
    <row r="2047" spans="1:7" x14ac:dyDescent="0.3">
      <c r="A2047" t="s">
        <v>33</v>
      </c>
      <c r="B2047" s="1">
        <v>45900</v>
      </c>
      <c r="C2047">
        <v>530012</v>
      </c>
      <c r="D2047">
        <v>2435.3879999999999</v>
      </c>
      <c r="E2047" t="s">
        <v>6</v>
      </c>
      <c r="F2047" t="s">
        <v>53</v>
      </c>
      <c r="G2047" t="s">
        <v>7</v>
      </c>
    </row>
    <row r="2048" spans="1:7" x14ac:dyDescent="0.3">
      <c r="A2048" t="s">
        <v>33</v>
      </c>
      <c r="B2048" s="1">
        <v>45900</v>
      </c>
      <c r="C2048">
        <v>541004</v>
      </c>
      <c r="D2048">
        <v>829.52200000000005</v>
      </c>
      <c r="E2048" t="s">
        <v>6</v>
      </c>
      <c r="F2048" t="s">
        <v>61</v>
      </c>
      <c r="G2048" t="s">
        <v>7</v>
      </c>
    </row>
    <row r="2049" spans="1:7" x14ac:dyDescent="0.3">
      <c r="A2049" t="s">
        <v>33</v>
      </c>
      <c r="B2049" s="1">
        <v>45900</v>
      </c>
      <c r="C2049">
        <v>541009</v>
      </c>
      <c r="D2049">
        <v>3249.0509999999999</v>
      </c>
      <c r="E2049" t="s">
        <v>6</v>
      </c>
      <c r="F2049" t="s">
        <v>61</v>
      </c>
      <c r="G2049" t="s">
        <v>7</v>
      </c>
    </row>
    <row r="2050" spans="1:7" x14ac:dyDescent="0.3">
      <c r="A2050" t="s">
        <v>33</v>
      </c>
      <c r="B2050" s="1">
        <v>45900</v>
      </c>
      <c r="C2050">
        <v>541010</v>
      </c>
      <c r="D2050">
        <v>3839.5309999999999</v>
      </c>
      <c r="E2050" t="s">
        <v>6</v>
      </c>
      <c r="F2050" t="s">
        <v>61</v>
      </c>
      <c r="G2050" t="s">
        <v>7</v>
      </c>
    </row>
    <row r="2051" spans="1:7" x14ac:dyDescent="0.3">
      <c r="A2051" t="s">
        <v>33</v>
      </c>
      <c r="B2051" s="1">
        <v>45900</v>
      </c>
      <c r="C2051">
        <v>541013</v>
      </c>
      <c r="D2051">
        <v>77.447000000000003</v>
      </c>
      <c r="E2051" t="s">
        <v>6</v>
      </c>
      <c r="F2051" t="s">
        <v>61</v>
      </c>
      <c r="G2051" t="s">
        <v>7</v>
      </c>
    </row>
    <row r="2052" spans="1:7" x14ac:dyDescent="0.3">
      <c r="A2052" t="s">
        <v>33</v>
      </c>
      <c r="B2052" s="1">
        <v>45900</v>
      </c>
      <c r="C2052">
        <v>546002</v>
      </c>
      <c r="D2052">
        <v>335274.255</v>
      </c>
      <c r="E2052" t="s">
        <v>6</v>
      </c>
      <c r="F2052" t="s">
        <v>51</v>
      </c>
      <c r="G2052" t="s">
        <v>7</v>
      </c>
    </row>
    <row r="2053" spans="1:7" x14ac:dyDescent="0.3">
      <c r="A2053" t="s">
        <v>33</v>
      </c>
      <c r="B2053" s="1">
        <v>45900</v>
      </c>
      <c r="C2053">
        <v>546008</v>
      </c>
      <c r="D2053">
        <v>11178.819</v>
      </c>
      <c r="E2053" t="s">
        <v>6</v>
      </c>
      <c r="F2053" t="s">
        <v>51</v>
      </c>
      <c r="G2053" t="s">
        <v>7</v>
      </c>
    </row>
    <row r="2054" spans="1:7" x14ac:dyDescent="0.3">
      <c r="A2054" t="s">
        <v>33</v>
      </c>
      <c r="B2054" s="1">
        <v>45900</v>
      </c>
      <c r="C2054">
        <v>546013</v>
      </c>
      <c r="D2054">
        <v>128551.13400000001</v>
      </c>
      <c r="E2054" t="s">
        <v>6</v>
      </c>
      <c r="F2054" t="s">
        <v>51</v>
      </c>
      <c r="G2054" t="s">
        <v>7</v>
      </c>
    </row>
    <row r="2055" spans="1:7" x14ac:dyDescent="0.3">
      <c r="A2055" t="s">
        <v>33</v>
      </c>
      <c r="B2055" s="1">
        <v>45900</v>
      </c>
      <c r="C2055">
        <v>546015</v>
      </c>
      <c r="D2055">
        <v>536.30899999999997</v>
      </c>
      <c r="E2055" t="s">
        <v>6</v>
      </c>
      <c r="F2055" t="s">
        <v>51</v>
      </c>
      <c r="G2055" t="s">
        <v>7</v>
      </c>
    </row>
    <row r="2056" spans="1:7" x14ac:dyDescent="0.3">
      <c r="A2056" t="s">
        <v>33</v>
      </c>
      <c r="B2056" s="1">
        <v>45900</v>
      </c>
      <c r="C2056">
        <v>546035</v>
      </c>
      <c r="D2056">
        <v>4031.8240000000001</v>
      </c>
      <c r="E2056" t="s">
        <v>6</v>
      </c>
      <c r="F2056" t="s">
        <v>51</v>
      </c>
      <c r="G2056" t="s">
        <v>7</v>
      </c>
    </row>
    <row r="2057" spans="1:7" x14ac:dyDescent="0.3">
      <c r="A2057" t="s">
        <v>33</v>
      </c>
      <c r="B2057" s="1">
        <v>45900</v>
      </c>
      <c r="C2057">
        <v>546040</v>
      </c>
      <c r="D2057">
        <v>21869.891</v>
      </c>
      <c r="E2057" t="s">
        <v>6</v>
      </c>
      <c r="F2057" t="s">
        <v>51</v>
      </c>
      <c r="G2057" t="s">
        <v>7</v>
      </c>
    </row>
    <row r="2058" spans="1:7" x14ac:dyDescent="0.3">
      <c r="A2058" t="s">
        <v>33</v>
      </c>
      <c r="B2058" s="1">
        <v>45900</v>
      </c>
      <c r="C2058">
        <v>547002</v>
      </c>
      <c r="D2058">
        <v>21.074999999999999</v>
      </c>
      <c r="E2058" t="s">
        <v>6</v>
      </c>
      <c r="F2058" t="s">
        <v>54</v>
      </c>
      <c r="G2058" t="s">
        <v>7</v>
      </c>
    </row>
    <row r="2059" spans="1:7" x14ac:dyDescent="0.3">
      <c r="A2059" t="s">
        <v>33</v>
      </c>
      <c r="B2059" s="1">
        <v>45900</v>
      </c>
      <c r="C2059">
        <v>550003</v>
      </c>
      <c r="D2059">
        <v>97806.347999999998</v>
      </c>
      <c r="E2059" t="s">
        <v>6</v>
      </c>
      <c r="F2059" t="s">
        <v>62</v>
      </c>
      <c r="G2059" t="s">
        <v>7</v>
      </c>
    </row>
    <row r="2060" spans="1:7" x14ac:dyDescent="0.3">
      <c r="A2060" t="s">
        <v>33</v>
      </c>
      <c r="B2060" s="1">
        <v>45900</v>
      </c>
      <c r="C2060">
        <v>551008</v>
      </c>
      <c r="D2060">
        <v>12.266</v>
      </c>
      <c r="E2060" t="s">
        <v>6</v>
      </c>
      <c r="F2060" t="s">
        <v>63</v>
      </c>
      <c r="G2060" t="s">
        <v>7</v>
      </c>
    </row>
    <row r="2061" spans="1:7" x14ac:dyDescent="0.3">
      <c r="A2061" t="s">
        <v>33</v>
      </c>
      <c r="B2061" s="1">
        <v>45900</v>
      </c>
      <c r="C2061">
        <v>552504</v>
      </c>
      <c r="D2061">
        <v>-534.572</v>
      </c>
      <c r="E2061" t="s">
        <v>6</v>
      </c>
      <c r="F2061" t="s">
        <v>55</v>
      </c>
      <c r="G2061" t="s">
        <v>7</v>
      </c>
    </row>
    <row r="2062" spans="1:7" x14ac:dyDescent="0.3">
      <c r="A2062" t="s">
        <v>33</v>
      </c>
      <c r="B2062" s="1">
        <v>45900</v>
      </c>
      <c r="C2062">
        <v>554005</v>
      </c>
      <c r="D2062">
        <v>98.546000000000006</v>
      </c>
      <c r="E2062" t="s">
        <v>6</v>
      </c>
      <c r="F2062" t="s">
        <v>55</v>
      </c>
      <c r="G2062" t="s">
        <v>7</v>
      </c>
    </row>
    <row r="2063" spans="1:7" x14ac:dyDescent="0.3">
      <c r="A2063" t="s">
        <v>33</v>
      </c>
      <c r="B2063" s="1">
        <v>45900</v>
      </c>
      <c r="C2063">
        <v>555007</v>
      </c>
      <c r="D2063">
        <v>2.4300000000000002</v>
      </c>
      <c r="E2063" t="s">
        <v>6</v>
      </c>
      <c r="F2063" t="s">
        <v>55</v>
      </c>
      <c r="G2063" t="s">
        <v>7</v>
      </c>
    </row>
    <row r="2064" spans="1:7" x14ac:dyDescent="0.3">
      <c r="A2064" t="s">
        <v>33</v>
      </c>
      <c r="B2064" s="1">
        <v>45900</v>
      </c>
      <c r="C2064">
        <v>555502</v>
      </c>
      <c r="D2064">
        <v>133.12799999999999</v>
      </c>
      <c r="E2064" t="s">
        <v>6</v>
      </c>
      <c r="F2064" t="s">
        <v>55</v>
      </c>
      <c r="G2064" t="s">
        <v>7</v>
      </c>
    </row>
    <row r="2065" spans="1:7" x14ac:dyDescent="0.3">
      <c r="A2065" t="s">
        <v>33</v>
      </c>
      <c r="B2065" s="1">
        <v>45900</v>
      </c>
      <c r="C2065">
        <v>555508</v>
      </c>
      <c r="D2065">
        <v>1045.981</v>
      </c>
      <c r="E2065" t="s">
        <v>6</v>
      </c>
      <c r="F2065" t="s">
        <v>55</v>
      </c>
      <c r="G2065" t="s">
        <v>7</v>
      </c>
    </row>
    <row r="2066" spans="1:7" x14ac:dyDescent="0.3">
      <c r="A2066" t="s">
        <v>33</v>
      </c>
      <c r="B2066" s="1">
        <v>45900</v>
      </c>
      <c r="C2066">
        <v>556002</v>
      </c>
      <c r="D2066">
        <v>1.8220000000000001</v>
      </c>
      <c r="E2066" t="s">
        <v>6</v>
      </c>
      <c r="F2066" t="s">
        <v>60</v>
      </c>
      <c r="G2066" t="s">
        <v>7</v>
      </c>
    </row>
    <row r="2067" spans="1:7" x14ac:dyDescent="0.3">
      <c r="A2067" t="s">
        <v>33</v>
      </c>
      <c r="B2067" s="1">
        <v>45900</v>
      </c>
      <c r="C2067">
        <v>556003</v>
      </c>
      <c r="D2067">
        <v>-1006.263</v>
      </c>
      <c r="E2067" t="s">
        <v>6</v>
      </c>
      <c r="F2067" t="s">
        <v>55</v>
      </c>
      <c r="G2067" t="s">
        <v>7</v>
      </c>
    </row>
    <row r="2068" spans="1:7" x14ac:dyDescent="0.3">
      <c r="A2068" t="s">
        <v>33</v>
      </c>
      <c r="B2068" s="1">
        <v>45900</v>
      </c>
      <c r="C2068">
        <v>557002</v>
      </c>
      <c r="D2068">
        <v>6498.1719999999996</v>
      </c>
      <c r="E2068" t="s">
        <v>6</v>
      </c>
      <c r="F2068" t="s">
        <v>56</v>
      </c>
      <c r="G2068" t="s">
        <v>7</v>
      </c>
    </row>
    <row r="2069" spans="1:7" x14ac:dyDescent="0.3">
      <c r="A2069" t="s">
        <v>33</v>
      </c>
      <c r="B2069" s="1">
        <v>45900</v>
      </c>
      <c r="C2069">
        <v>557003</v>
      </c>
      <c r="D2069">
        <v>2095.7640000000001</v>
      </c>
      <c r="E2069" t="s">
        <v>6</v>
      </c>
      <c r="F2069" t="s">
        <v>56</v>
      </c>
      <c r="G2069" t="s">
        <v>7</v>
      </c>
    </row>
    <row r="2070" spans="1:7" x14ac:dyDescent="0.3">
      <c r="A2070" t="s">
        <v>33</v>
      </c>
      <c r="B2070" s="1">
        <v>45900</v>
      </c>
      <c r="C2070">
        <v>558012</v>
      </c>
      <c r="D2070">
        <v>75.064999999999998</v>
      </c>
      <c r="E2070" t="s">
        <v>6</v>
      </c>
      <c r="F2070" t="s">
        <v>60</v>
      </c>
      <c r="G2070" t="s">
        <v>7</v>
      </c>
    </row>
    <row r="2071" spans="1:7" x14ac:dyDescent="0.3">
      <c r="A2071" t="s">
        <v>33</v>
      </c>
      <c r="B2071" s="1">
        <v>45900</v>
      </c>
      <c r="C2071">
        <v>559002</v>
      </c>
      <c r="D2071">
        <v>84.143000000000001</v>
      </c>
      <c r="E2071" t="s">
        <v>6</v>
      </c>
      <c r="F2071" t="s">
        <v>60</v>
      </c>
      <c r="G2071" t="s">
        <v>7</v>
      </c>
    </row>
    <row r="2072" spans="1:7" x14ac:dyDescent="0.3">
      <c r="A2072" t="s">
        <v>33</v>
      </c>
      <c r="B2072" s="1">
        <v>45900</v>
      </c>
      <c r="C2072">
        <v>563002</v>
      </c>
      <c r="D2072">
        <v>614.54399999999998</v>
      </c>
      <c r="E2072" t="s">
        <v>6</v>
      </c>
      <c r="F2072" t="s">
        <v>57</v>
      </c>
      <c r="G2072" t="s">
        <v>7</v>
      </c>
    </row>
    <row r="2073" spans="1:7" x14ac:dyDescent="0.3">
      <c r="A2073" t="s">
        <v>33</v>
      </c>
      <c r="B2073" s="1">
        <v>45900</v>
      </c>
      <c r="C2073">
        <v>564004</v>
      </c>
      <c r="D2073">
        <v>8345.759</v>
      </c>
      <c r="E2073" t="s">
        <v>6</v>
      </c>
      <c r="F2073" t="s">
        <v>51</v>
      </c>
      <c r="G2073" t="s">
        <v>7</v>
      </c>
    </row>
    <row r="2074" spans="1:7" x14ac:dyDescent="0.3">
      <c r="A2074" t="s">
        <v>33</v>
      </c>
      <c r="B2074" s="1">
        <v>45900</v>
      </c>
      <c r="C2074">
        <v>564006</v>
      </c>
      <c r="D2074">
        <v>-2E-3</v>
      </c>
      <c r="E2074" t="s">
        <v>6</v>
      </c>
      <c r="F2074" t="s">
        <v>57</v>
      </c>
      <c r="G2074" t="s">
        <v>7</v>
      </c>
    </row>
    <row r="2075" spans="1:7" x14ac:dyDescent="0.3">
      <c r="A2075" t="s">
        <v>33</v>
      </c>
      <c r="B2075" s="1">
        <v>45900</v>
      </c>
      <c r="C2075">
        <v>564020</v>
      </c>
      <c r="D2075">
        <v>125.11</v>
      </c>
      <c r="E2075" t="s">
        <v>6</v>
      </c>
      <c r="F2075" t="s">
        <v>57</v>
      </c>
      <c r="G2075" t="s">
        <v>7</v>
      </c>
    </row>
    <row r="2076" spans="1:7" x14ac:dyDescent="0.3">
      <c r="A2076" t="s">
        <v>33</v>
      </c>
      <c r="B2076" s="1">
        <v>45900</v>
      </c>
      <c r="C2076">
        <v>570002</v>
      </c>
      <c r="D2076">
        <v>706.84</v>
      </c>
      <c r="E2076" t="s">
        <v>6</v>
      </c>
      <c r="F2076" t="s">
        <v>66</v>
      </c>
      <c r="G2076" t="s">
        <v>7</v>
      </c>
    </row>
    <row r="2077" spans="1:7" x14ac:dyDescent="0.3">
      <c r="A2077" t="s">
        <v>33</v>
      </c>
      <c r="B2077" s="1">
        <v>45900</v>
      </c>
      <c r="C2077">
        <v>580002</v>
      </c>
      <c r="D2077">
        <v>16.765999999999998</v>
      </c>
      <c r="E2077" t="s">
        <v>6</v>
      </c>
      <c r="F2077" t="s">
        <v>64</v>
      </c>
      <c r="G2077" t="s">
        <v>7</v>
      </c>
    </row>
    <row r="2078" spans="1:7" x14ac:dyDescent="0.3">
      <c r="A2078" t="s">
        <v>33</v>
      </c>
      <c r="B2078" s="1">
        <v>45900</v>
      </c>
      <c r="C2078">
        <v>580003</v>
      </c>
      <c r="D2078">
        <v>16179.909</v>
      </c>
      <c r="E2078" t="s">
        <v>6</v>
      </c>
      <c r="F2078" t="s">
        <v>64</v>
      </c>
      <c r="G2078" t="s">
        <v>7</v>
      </c>
    </row>
    <row r="2079" spans="1:7" x14ac:dyDescent="0.3">
      <c r="A2079" t="s">
        <v>33</v>
      </c>
      <c r="B2079" s="1">
        <v>45900</v>
      </c>
      <c r="C2079">
        <v>580005</v>
      </c>
      <c r="D2079">
        <v>1.2889999999999999</v>
      </c>
      <c r="E2079" t="s">
        <v>6</v>
      </c>
      <c r="F2079" t="s">
        <v>64</v>
      </c>
      <c r="G2079" t="s">
        <v>7</v>
      </c>
    </row>
    <row r="2080" spans="1:7" x14ac:dyDescent="0.3">
      <c r="A2080" t="s">
        <v>34</v>
      </c>
      <c r="B2080" s="1">
        <v>45900</v>
      </c>
      <c r="C2080">
        <v>210002</v>
      </c>
      <c r="D2080">
        <v>-13586.48</v>
      </c>
      <c r="E2080" t="s">
        <v>4</v>
      </c>
      <c r="F2080" t="s">
        <v>42</v>
      </c>
      <c r="G2080" t="s">
        <v>7</v>
      </c>
    </row>
    <row r="2081" spans="1:7" x14ac:dyDescent="0.3">
      <c r="A2081" t="s">
        <v>34</v>
      </c>
      <c r="B2081" s="1">
        <v>45900</v>
      </c>
      <c r="C2081">
        <v>220006</v>
      </c>
      <c r="D2081">
        <v>-1696313.9140000001</v>
      </c>
      <c r="E2081" t="s">
        <v>4</v>
      </c>
      <c r="F2081" t="s">
        <v>42</v>
      </c>
      <c r="G2081" t="s">
        <v>7</v>
      </c>
    </row>
    <row r="2082" spans="1:7" x14ac:dyDescent="0.3">
      <c r="A2082" t="s">
        <v>34</v>
      </c>
      <c r="B2082" s="1">
        <v>45900</v>
      </c>
      <c r="C2082">
        <v>240002</v>
      </c>
      <c r="D2082">
        <v>218.04900000000001</v>
      </c>
      <c r="E2082" t="s">
        <v>4</v>
      </c>
      <c r="F2082" t="s">
        <v>43</v>
      </c>
      <c r="G2082" t="s">
        <v>7</v>
      </c>
    </row>
    <row r="2083" spans="1:7" x14ac:dyDescent="0.3">
      <c r="A2083" t="s">
        <v>34</v>
      </c>
      <c r="B2083" s="1">
        <v>45900</v>
      </c>
      <c r="C2083">
        <v>240003</v>
      </c>
      <c r="D2083">
        <v>4.5010000000000003</v>
      </c>
      <c r="E2083" t="s">
        <v>4</v>
      </c>
      <c r="F2083" t="s">
        <v>43</v>
      </c>
      <c r="G2083" t="s">
        <v>7</v>
      </c>
    </row>
    <row r="2084" spans="1:7" x14ac:dyDescent="0.3">
      <c r="A2084" t="s">
        <v>34</v>
      </c>
      <c r="B2084" s="1">
        <v>45900</v>
      </c>
      <c r="C2084">
        <v>240009</v>
      </c>
      <c r="D2084">
        <v>-218.04900000000001</v>
      </c>
      <c r="E2084" t="s">
        <v>4</v>
      </c>
      <c r="F2084" t="s">
        <v>43</v>
      </c>
      <c r="G2084" t="s">
        <v>7</v>
      </c>
    </row>
    <row r="2085" spans="1:7" x14ac:dyDescent="0.3">
      <c r="A2085" t="s">
        <v>34</v>
      </c>
      <c r="B2085" s="1">
        <v>45900</v>
      </c>
      <c r="C2085">
        <v>242003</v>
      </c>
      <c r="D2085">
        <v>-147363.51199999999</v>
      </c>
      <c r="E2085" t="s">
        <v>4</v>
      </c>
      <c r="F2085" t="s">
        <v>43</v>
      </c>
      <c r="G2085" t="s">
        <v>7</v>
      </c>
    </row>
    <row r="2086" spans="1:7" x14ac:dyDescent="0.3">
      <c r="A2086" t="s">
        <v>34</v>
      </c>
      <c r="B2086" s="1">
        <v>45900</v>
      </c>
      <c r="C2086">
        <v>242011</v>
      </c>
      <c r="D2086">
        <v>-513243.74900000001</v>
      </c>
      <c r="E2086" t="s">
        <v>4</v>
      </c>
      <c r="F2086" t="s">
        <v>43</v>
      </c>
      <c r="G2086" t="s">
        <v>7</v>
      </c>
    </row>
    <row r="2087" spans="1:7" x14ac:dyDescent="0.3">
      <c r="A2087" t="s">
        <v>34</v>
      </c>
      <c r="B2087" s="1">
        <v>45900</v>
      </c>
      <c r="C2087">
        <v>242013</v>
      </c>
      <c r="D2087">
        <v>-75727.152000000002</v>
      </c>
      <c r="E2087" t="s">
        <v>4</v>
      </c>
      <c r="F2087" t="s">
        <v>43</v>
      </c>
      <c r="G2087" t="s">
        <v>7</v>
      </c>
    </row>
    <row r="2088" spans="1:7" x14ac:dyDescent="0.3">
      <c r="A2088" t="s">
        <v>34</v>
      </c>
      <c r="B2088" s="1">
        <v>45900</v>
      </c>
      <c r="C2088">
        <v>242014</v>
      </c>
      <c r="D2088">
        <v>-22057.548999999999</v>
      </c>
      <c r="E2088" t="s">
        <v>4</v>
      </c>
      <c r="F2088" t="s">
        <v>43</v>
      </c>
      <c r="G2088" t="s">
        <v>7</v>
      </c>
    </row>
    <row r="2089" spans="1:7" x14ac:dyDescent="0.3">
      <c r="A2089" t="s">
        <v>34</v>
      </c>
      <c r="B2089" s="1">
        <v>45900</v>
      </c>
      <c r="C2089">
        <v>242017</v>
      </c>
      <c r="D2089">
        <v>283.488</v>
      </c>
      <c r="E2089" t="s">
        <v>4</v>
      </c>
      <c r="F2089" t="s">
        <v>43</v>
      </c>
      <c r="G2089" t="s">
        <v>7</v>
      </c>
    </row>
    <row r="2090" spans="1:7" x14ac:dyDescent="0.3">
      <c r="A2090" t="s">
        <v>34</v>
      </c>
      <c r="B2090" s="1">
        <v>45900</v>
      </c>
      <c r="C2090">
        <v>242023</v>
      </c>
      <c r="D2090">
        <v>-6951.1710000000003</v>
      </c>
      <c r="E2090" t="s">
        <v>4</v>
      </c>
      <c r="F2090" t="s">
        <v>43</v>
      </c>
      <c r="G2090" t="s">
        <v>7</v>
      </c>
    </row>
    <row r="2091" spans="1:7" x14ac:dyDescent="0.3">
      <c r="A2091" t="s">
        <v>34</v>
      </c>
      <c r="B2091" s="1">
        <v>45900</v>
      </c>
      <c r="C2091">
        <v>242027</v>
      </c>
      <c r="D2091">
        <v>-151223.79500000001</v>
      </c>
      <c r="E2091" t="s">
        <v>4</v>
      </c>
      <c r="F2091" t="s">
        <v>43</v>
      </c>
      <c r="G2091" t="s">
        <v>7</v>
      </c>
    </row>
    <row r="2092" spans="1:7" x14ac:dyDescent="0.3">
      <c r="A2092" t="s">
        <v>34</v>
      </c>
      <c r="B2092" s="1">
        <v>45900</v>
      </c>
      <c r="C2092">
        <v>242030</v>
      </c>
      <c r="D2092">
        <v>-84062.057000000001</v>
      </c>
      <c r="E2092" t="s">
        <v>4</v>
      </c>
      <c r="F2092" t="s">
        <v>43</v>
      </c>
      <c r="G2092" t="s">
        <v>7</v>
      </c>
    </row>
    <row r="2093" spans="1:7" x14ac:dyDescent="0.3">
      <c r="A2093" t="s">
        <v>34</v>
      </c>
      <c r="B2093" s="1">
        <v>45900</v>
      </c>
      <c r="C2093">
        <v>242036</v>
      </c>
      <c r="D2093">
        <v>-22.731000000000002</v>
      </c>
      <c r="E2093" t="s">
        <v>4</v>
      </c>
      <c r="F2093" t="s">
        <v>43</v>
      </c>
      <c r="G2093" t="s">
        <v>7</v>
      </c>
    </row>
    <row r="2094" spans="1:7" x14ac:dyDescent="0.3">
      <c r="A2094" t="s">
        <v>34</v>
      </c>
      <c r="B2094" s="1">
        <v>45900</v>
      </c>
      <c r="C2094">
        <v>242038</v>
      </c>
      <c r="D2094">
        <v>-4077.4630000000002</v>
      </c>
      <c r="E2094" t="s">
        <v>4</v>
      </c>
      <c r="F2094" t="s">
        <v>43</v>
      </c>
      <c r="G2094" t="s">
        <v>7</v>
      </c>
    </row>
    <row r="2095" spans="1:7" x14ac:dyDescent="0.3">
      <c r="A2095" t="s">
        <v>34</v>
      </c>
      <c r="B2095" s="1">
        <v>45900</v>
      </c>
      <c r="C2095">
        <v>242039</v>
      </c>
      <c r="D2095">
        <v>-1470.36</v>
      </c>
      <c r="E2095" t="s">
        <v>4</v>
      </c>
      <c r="F2095" t="s">
        <v>43</v>
      </c>
      <c r="G2095" t="s">
        <v>7</v>
      </c>
    </row>
    <row r="2096" spans="1:7" x14ac:dyDescent="0.3">
      <c r="A2096" t="s">
        <v>34</v>
      </c>
      <c r="B2096" s="1">
        <v>45900</v>
      </c>
      <c r="C2096">
        <v>242041</v>
      </c>
      <c r="D2096">
        <v>17315.776000000002</v>
      </c>
      <c r="E2096" t="s">
        <v>4</v>
      </c>
      <c r="F2096" t="s">
        <v>43</v>
      </c>
      <c r="G2096" t="s">
        <v>7</v>
      </c>
    </row>
    <row r="2097" spans="1:7" x14ac:dyDescent="0.3">
      <c r="A2097" t="s">
        <v>34</v>
      </c>
      <c r="B2097" s="1">
        <v>45900</v>
      </c>
      <c r="C2097">
        <v>243002</v>
      </c>
      <c r="D2097">
        <v>-25518.563999999998</v>
      </c>
      <c r="E2097" t="s">
        <v>4</v>
      </c>
      <c r="F2097" t="s">
        <v>43</v>
      </c>
      <c r="G2097" t="s">
        <v>7</v>
      </c>
    </row>
    <row r="2098" spans="1:7" x14ac:dyDescent="0.3">
      <c r="A2098" t="s">
        <v>34</v>
      </c>
      <c r="B2098" s="1">
        <v>45900</v>
      </c>
      <c r="C2098">
        <v>243003</v>
      </c>
      <c r="D2098">
        <v>-15365.074000000001</v>
      </c>
      <c r="E2098" t="s">
        <v>4</v>
      </c>
      <c r="F2098" t="s">
        <v>43</v>
      </c>
      <c r="G2098" t="s">
        <v>7</v>
      </c>
    </row>
    <row r="2099" spans="1:7" x14ac:dyDescent="0.3">
      <c r="A2099" t="s">
        <v>34</v>
      </c>
      <c r="B2099" s="1">
        <v>45900</v>
      </c>
      <c r="C2099">
        <v>243010</v>
      </c>
      <c r="D2099">
        <v>-6222.8230000000003</v>
      </c>
      <c r="E2099" t="s">
        <v>4</v>
      </c>
      <c r="F2099" t="s">
        <v>43</v>
      </c>
      <c r="G2099" t="s">
        <v>7</v>
      </c>
    </row>
    <row r="2100" spans="1:7" x14ac:dyDescent="0.3">
      <c r="A2100" t="s">
        <v>34</v>
      </c>
      <c r="B2100" s="1">
        <v>45900</v>
      </c>
      <c r="C2100">
        <v>245010</v>
      </c>
      <c r="D2100">
        <v>-74347.351999999999</v>
      </c>
      <c r="E2100" t="s">
        <v>4</v>
      </c>
      <c r="F2100" t="s">
        <v>44</v>
      </c>
      <c r="G2100" t="s">
        <v>7</v>
      </c>
    </row>
    <row r="2101" spans="1:7" x14ac:dyDescent="0.3">
      <c r="A2101" t="s">
        <v>34</v>
      </c>
      <c r="B2101" s="1">
        <v>45900</v>
      </c>
      <c r="C2101">
        <v>245018</v>
      </c>
      <c r="D2101">
        <v>-44451.317999999999</v>
      </c>
      <c r="E2101" t="s">
        <v>4</v>
      </c>
      <c r="F2101" t="s">
        <v>43</v>
      </c>
      <c r="G2101" t="s">
        <v>7</v>
      </c>
    </row>
    <row r="2102" spans="1:7" x14ac:dyDescent="0.3">
      <c r="A2102" t="s">
        <v>34</v>
      </c>
      <c r="B2102" s="1">
        <v>45900</v>
      </c>
      <c r="C2102">
        <v>245056</v>
      </c>
      <c r="D2102">
        <v>-36.408999999999999</v>
      </c>
      <c r="E2102" t="s">
        <v>4</v>
      </c>
      <c r="F2102" t="s">
        <v>49</v>
      </c>
      <c r="G2102" t="s">
        <v>7</v>
      </c>
    </row>
    <row r="2103" spans="1:7" x14ac:dyDescent="0.3">
      <c r="A2103" t="s">
        <v>34</v>
      </c>
      <c r="B2103" s="1">
        <v>45900</v>
      </c>
      <c r="C2103">
        <v>245062</v>
      </c>
      <c r="D2103">
        <v>-63368.949000000001</v>
      </c>
      <c r="E2103" t="s">
        <v>4</v>
      </c>
      <c r="F2103" t="s">
        <v>43</v>
      </c>
      <c r="G2103" t="s">
        <v>7</v>
      </c>
    </row>
    <row r="2104" spans="1:7" x14ac:dyDescent="0.3">
      <c r="A2104" t="s">
        <v>34</v>
      </c>
      <c r="B2104" s="1">
        <v>45900</v>
      </c>
      <c r="C2104">
        <v>250003</v>
      </c>
      <c r="D2104">
        <v>-505.16</v>
      </c>
      <c r="E2104" t="s">
        <v>4</v>
      </c>
      <c r="F2104" t="s">
        <v>45</v>
      </c>
      <c r="G2104" t="s">
        <v>7</v>
      </c>
    </row>
    <row r="2105" spans="1:7" x14ac:dyDescent="0.3">
      <c r="A2105" t="s">
        <v>34</v>
      </c>
      <c r="B2105" s="1">
        <v>45900</v>
      </c>
      <c r="C2105">
        <v>250007</v>
      </c>
      <c r="D2105">
        <v>-21297.195</v>
      </c>
      <c r="E2105" t="s">
        <v>4</v>
      </c>
      <c r="F2105" t="s">
        <v>43</v>
      </c>
      <c r="G2105" t="s">
        <v>7</v>
      </c>
    </row>
    <row r="2106" spans="1:7" x14ac:dyDescent="0.3">
      <c r="A2106" t="s">
        <v>34</v>
      </c>
      <c r="B2106" s="1">
        <v>45900</v>
      </c>
      <c r="C2106">
        <v>251002</v>
      </c>
      <c r="D2106">
        <v>-609.66</v>
      </c>
      <c r="E2106" t="s">
        <v>4</v>
      </c>
      <c r="F2106" t="s">
        <v>45</v>
      </c>
      <c r="G2106" t="s">
        <v>7</v>
      </c>
    </row>
    <row r="2107" spans="1:7" x14ac:dyDescent="0.3">
      <c r="A2107" t="s">
        <v>34</v>
      </c>
      <c r="B2107" s="1">
        <v>45900</v>
      </c>
      <c r="C2107">
        <v>251003</v>
      </c>
      <c r="D2107">
        <v>-4658.5259999999998</v>
      </c>
      <c r="E2107" t="s">
        <v>4</v>
      </c>
      <c r="F2107" t="s">
        <v>45</v>
      </c>
      <c r="G2107" t="s">
        <v>7</v>
      </c>
    </row>
    <row r="2108" spans="1:7" x14ac:dyDescent="0.3">
      <c r="A2108" t="s">
        <v>34</v>
      </c>
      <c r="B2108" s="1">
        <v>45900</v>
      </c>
      <c r="C2108">
        <v>257008</v>
      </c>
      <c r="D2108">
        <v>-1164.519</v>
      </c>
      <c r="E2108" t="s">
        <v>4</v>
      </c>
      <c r="F2108" t="s">
        <v>45</v>
      </c>
      <c r="G2108" t="s">
        <v>7</v>
      </c>
    </row>
    <row r="2109" spans="1:7" x14ac:dyDescent="0.3">
      <c r="A2109" t="s">
        <v>34</v>
      </c>
      <c r="B2109" s="1">
        <v>45900</v>
      </c>
      <c r="C2109">
        <v>257009</v>
      </c>
      <c r="D2109">
        <v>-10561.852000000001</v>
      </c>
      <c r="E2109" t="s">
        <v>4</v>
      </c>
      <c r="F2109" t="s">
        <v>45</v>
      </c>
      <c r="G2109" t="s">
        <v>7</v>
      </c>
    </row>
    <row r="2110" spans="1:7" x14ac:dyDescent="0.3">
      <c r="A2110" t="s">
        <v>34</v>
      </c>
      <c r="B2110" s="1">
        <v>45900</v>
      </c>
      <c r="C2110">
        <v>257011</v>
      </c>
      <c r="D2110">
        <v>-3398.1480000000001</v>
      </c>
      <c r="E2110" t="s">
        <v>4</v>
      </c>
      <c r="F2110" t="s">
        <v>45</v>
      </c>
      <c r="G2110" t="s">
        <v>7</v>
      </c>
    </row>
    <row r="2111" spans="1:7" x14ac:dyDescent="0.3">
      <c r="A2111" t="s">
        <v>34</v>
      </c>
      <c r="B2111" s="1">
        <v>45900</v>
      </c>
      <c r="C2111">
        <v>257028</v>
      </c>
      <c r="D2111">
        <v>-35926.313999999998</v>
      </c>
      <c r="E2111" t="s">
        <v>4</v>
      </c>
      <c r="F2111" t="s">
        <v>45</v>
      </c>
      <c r="G2111" t="s">
        <v>7</v>
      </c>
    </row>
    <row r="2112" spans="1:7" x14ac:dyDescent="0.3">
      <c r="A2112" t="s">
        <v>34</v>
      </c>
      <c r="B2112" s="1">
        <v>45900</v>
      </c>
      <c r="C2112">
        <v>260004</v>
      </c>
      <c r="D2112">
        <v>1897.866</v>
      </c>
      <c r="E2112" t="s">
        <v>4</v>
      </c>
      <c r="F2112" t="s">
        <v>45</v>
      </c>
      <c r="G2112" t="s">
        <v>7</v>
      </c>
    </row>
    <row r="2113" spans="1:7" x14ac:dyDescent="0.3">
      <c r="A2113" t="s">
        <v>34</v>
      </c>
      <c r="B2113" s="1">
        <v>45900</v>
      </c>
      <c r="C2113">
        <v>270024</v>
      </c>
      <c r="D2113">
        <v>-14176.38</v>
      </c>
      <c r="E2113" t="s">
        <v>4</v>
      </c>
      <c r="F2113" t="s">
        <v>58</v>
      </c>
      <c r="G2113" t="s">
        <v>7</v>
      </c>
    </row>
    <row r="2114" spans="1:7" x14ac:dyDescent="0.3">
      <c r="A2114" t="s">
        <v>34</v>
      </c>
      <c r="B2114" s="1">
        <v>45900</v>
      </c>
      <c r="C2114">
        <v>270025</v>
      </c>
      <c r="D2114">
        <v>-128.33000000000001</v>
      </c>
      <c r="E2114" t="s">
        <v>4</v>
      </c>
      <c r="F2114" t="s">
        <v>58</v>
      </c>
      <c r="G2114" t="s">
        <v>7</v>
      </c>
    </row>
    <row r="2115" spans="1:7" x14ac:dyDescent="0.3">
      <c r="A2115" t="s">
        <v>34</v>
      </c>
      <c r="B2115" s="1">
        <v>45900</v>
      </c>
      <c r="C2115">
        <v>270026</v>
      </c>
      <c r="D2115">
        <v>-16933.077000000001</v>
      </c>
      <c r="E2115" t="s">
        <v>4</v>
      </c>
      <c r="F2115" t="s">
        <v>58</v>
      </c>
      <c r="G2115" t="s">
        <v>7</v>
      </c>
    </row>
    <row r="2116" spans="1:7" x14ac:dyDescent="0.3">
      <c r="A2116" t="s">
        <v>34</v>
      </c>
      <c r="B2116" s="1">
        <v>45900</v>
      </c>
      <c r="C2116">
        <v>270027</v>
      </c>
      <c r="D2116">
        <v>-32.113</v>
      </c>
      <c r="E2116" t="s">
        <v>4</v>
      </c>
      <c r="F2116" t="s">
        <v>58</v>
      </c>
      <c r="G2116" t="s">
        <v>7</v>
      </c>
    </row>
    <row r="2117" spans="1:7" x14ac:dyDescent="0.3">
      <c r="A2117" t="s">
        <v>34</v>
      </c>
      <c r="B2117" s="1">
        <v>45900</v>
      </c>
      <c r="C2117">
        <v>300004</v>
      </c>
      <c r="D2117">
        <v>1707.5329999999999</v>
      </c>
      <c r="E2117" t="s">
        <v>4</v>
      </c>
      <c r="F2117" t="s">
        <v>65</v>
      </c>
      <c r="G2117" t="s">
        <v>7</v>
      </c>
    </row>
    <row r="2118" spans="1:7" x14ac:dyDescent="0.3">
      <c r="A2118" t="s">
        <v>34</v>
      </c>
      <c r="B2118" s="1">
        <v>45900</v>
      </c>
      <c r="C2118">
        <v>300005</v>
      </c>
      <c r="D2118">
        <v>5558.1049999999996</v>
      </c>
      <c r="E2118" t="s">
        <v>4</v>
      </c>
      <c r="F2118" t="s">
        <v>65</v>
      </c>
      <c r="G2118" t="s">
        <v>7</v>
      </c>
    </row>
    <row r="2119" spans="1:7" x14ac:dyDescent="0.3">
      <c r="A2119" t="s">
        <v>34</v>
      </c>
      <c r="B2119" s="1">
        <v>45900</v>
      </c>
      <c r="C2119">
        <v>300008</v>
      </c>
      <c r="D2119">
        <v>16022.197</v>
      </c>
      <c r="E2119" t="s">
        <v>4</v>
      </c>
      <c r="F2119" t="s">
        <v>65</v>
      </c>
      <c r="G2119" t="s">
        <v>7</v>
      </c>
    </row>
    <row r="2120" spans="1:7" x14ac:dyDescent="0.3">
      <c r="A2120" t="s">
        <v>34</v>
      </c>
      <c r="B2120" s="1">
        <v>45900</v>
      </c>
      <c r="C2120">
        <v>300009</v>
      </c>
      <c r="D2120">
        <v>278.13299999999998</v>
      </c>
      <c r="E2120" t="s">
        <v>4</v>
      </c>
      <c r="F2120" t="s">
        <v>65</v>
      </c>
      <c r="G2120" t="s">
        <v>7</v>
      </c>
    </row>
    <row r="2121" spans="1:7" x14ac:dyDescent="0.3">
      <c r="A2121" t="s">
        <v>34</v>
      </c>
      <c r="B2121" s="1">
        <v>45900</v>
      </c>
      <c r="C2121">
        <v>300011</v>
      </c>
      <c r="D2121">
        <v>140.48400000000001</v>
      </c>
      <c r="E2121" t="s">
        <v>4</v>
      </c>
      <c r="F2121" t="s">
        <v>65</v>
      </c>
      <c r="G2121" t="s">
        <v>7</v>
      </c>
    </row>
    <row r="2122" spans="1:7" x14ac:dyDescent="0.3">
      <c r="A2122" t="s">
        <v>34</v>
      </c>
      <c r="B2122" s="1">
        <v>45900</v>
      </c>
      <c r="C2122">
        <v>300012</v>
      </c>
      <c r="D2122">
        <v>4965.6260000000002</v>
      </c>
      <c r="E2122" t="s">
        <v>4</v>
      </c>
      <c r="F2122" t="s">
        <v>65</v>
      </c>
      <c r="G2122" t="s">
        <v>7</v>
      </c>
    </row>
    <row r="2123" spans="1:7" x14ac:dyDescent="0.3">
      <c r="A2123" t="s">
        <v>34</v>
      </c>
      <c r="B2123" s="1">
        <v>45900</v>
      </c>
      <c r="C2123">
        <v>300504</v>
      </c>
      <c r="D2123">
        <v>-1707.5329999999999</v>
      </c>
      <c r="E2123" t="s">
        <v>4</v>
      </c>
      <c r="F2123" t="s">
        <v>65</v>
      </c>
      <c r="G2123" t="s">
        <v>7</v>
      </c>
    </row>
    <row r="2124" spans="1:7" x14ac:dyDescent="0.3">
      <c r="A2124" t="s">
        <v>34</v>
      </c>
      <c r="B2124" s="1">
        <v>45900</v>
      </c>
      <c r="C2124">
        <v>300505</v>
      </c>
      <c r="D2124">
        <v>-5558.1049999999996</v>
      </c>
      <c r="E2124" t="s">
        <v>4</v>
      </c>
      <c r="F2124" t="s">
        <v>65</v>
      </c>
      <c r="G2124" t="s">
        <v>7</v>
      </c>
    </row>
    <row r="2125" spans="1:7" x14ac:dyDescent="0.3">
      <c r="A2125" t="s">
        <v>34</v>
      </c>
      <c r="B2125" s="1">
        <v>45900</v>
      </c>
      <c r="C2125">
        <v>300508</v>
      </c>
      <c r="D2125">
        <v>-16022.197</v>
      </c>
      <c r="E2125" t="s">
        <v>4</v>
      </c>
      <c r="F2125" t="s">
        <v>65</v>
      </c>
      <c r="G2125" t="s">
        <v>7</v>
      </c>
    </row>
    <row r="2126" spans="1:7" x14ac:dyDescent="0.3">
      <c r="A2126" t="s">
        <v>34</v>
      </c>
      <c r="B2126" s="1">
        <v>45900</v>
      </c>
      <c r="C2126">
        <v>300509</v>
      </c>
      <c r="D2126">
        <v>-278.13299999999998</v>
      </c>
      <c r="E2126" t="s">
        <v>4</v>
      </c>
      <c r="F2126" t="s">
        <v>65</v>
      </c>
      <c r="G2126" t="s">
        <v>7</v>
      </c>
    </row>
    <row r="2127" spans="1:7" x14ac:dyDescent="0.3">
      <c r="A2127" t="s">
        <v>34</v>
      </c>
      <c r="B2127" s="1">
        <v>45900</v>
      </c>
      <c r="C2127">
        <v>300511</v>
      </c>
      <c r="D2127">
        <v>-112.11799999999999</v>
      </c>
      <c r="E2127" t="s">
        <v>4</v>
      </c>
      <c r="F2127" t="s">
        <v>65</v>
      </c>
      <c r="G2127" t="s">
        <v>7</v>
      </c>
    </row>
    <row r="2128" spans="1:7" x14ac:dyDescent="0.3">
      <c r="A2128" t="s">
        <v>34</v>
      </c>
      <c r="B2128" s="1">
        <v>45900</v>
      </c>
      <c r="C2128">
        <v>300512</v>
      </c>
      <c r="D2128">
        <v>-4965.6260000000002</v>
      </c>
      <c r="E2128" t="s">
        <v>4</v>
      </c>
      <c r="F2128" t="s">
        <v>65</v>
      </c>
      <c r="G2128" t="s">
        <v>7</v>
      </c>
    </row>
    <row r="2129" spans="1:7" x14ac:dyDescent="0.3">
      <c r="A2129" t="s">
        <v>34</v>
      </c>
      <c r="B2129" s="1">
        <v>45900</v>
      </c>
      <c r="C2129">
        <v>301005</v>
      </c>
      <c r="D2129">
        <v>4598.7830000000004</v>
      </c>
      <c r="E2129" t="s">
        <v>4</v>
      </c>
      <c r="F2129" t="s">
        <v>65</v>
      </c>
      <c r="G2129" t="s">
        <v>7</v>
      </c>
    </row>
    <row r="2130" spans="1:7" x14ac:dyDescent="0.3">
      <c r="A2130" t="s">
        <v>34</v>
      </c>
      <c r="B2130" s="1">
        <v>45900</v>
      </c>
      <c r="C2130">
        <v>301505</v>
      </c>
      <c r="D2130">
        <v>-4598.7830000000004</v>
      </c>
      <c r="E2130" t="s">
        <v>4</v>
      </c>
      <c r="F2130" t="s">
        <v>65</v>
      </c>
      <c r="G2130" t="s">
        <v>7</v>
      </c>
    </row>
    <row r="2131" spans="1:7" x14ac:dyDescent="0.3">
      <c r="A2131" t="s">
        <v>34</v>
      </c>
      <c r="B2131" s="1">
        <v>45900</v>
      </c>
      <c r="C2131">
        <v>310019</v>
      </c>
      <c r="D2131">
        <v>0.121</v>
      </c>
      <c r="E2131" t="s">
        <v>4</v>
      </c>
      <c r="F2131" t="s">
        <v>42</v>
      </c>
      <c r="G2131" t="s">
        <v>7</v>
      </c>
    </row>
    <row r="2132" spans="1:7" x14ac:dyDescent="0.3">
      <c r="A2132" t="s">
        <v>34</v>
      </c>
      <c r="B2132" s="1">
        <v>45900</v>
      </c>
      <c r="C2132">
        <v>320002</v>
      </c>
      <c r="D2132">
        <v>1637.4179999999999</v>
      </c>
      <c r="E2132" t="s">
        <v>4</v>
      </c>
      <c r="F2132" t="s">
        <v>46</v>
      </c>
      <c r="G2132" t="s">
        <v>7</v>
      </c>
    </row>
    <row r="2133" spans="1:7" x14ac:dyDescent="0.3">
      <c r="A2133" t="s">
        <v>34</v>
      </c>
      <c r="B2133" s="1">
        <v>45900</v>
      </c>
      <c r="C2133">
        <v>320003</v>
      </c>
      <c r="D2133">
        <v>735966.00800000003</v>
      </c>
      <c r="E2133" t="s">
        <v>4</v>
      </c>
      <c r="F2133" t="s">
        <v>46</v>
      </c>
      <c r="G2133" t="s">
        <v>7</v>
      </c>
    </row>
    <row r="2134" spans="1:7" x14ac:dyDescent="0.3">
      <c r="A2134" t="s">
        <v>34</v>
      </c>
      <c r="B2134" s="1">
        <v>45900</v>
      </c>
      <c r="C2134">
        <v>320016</v>
      </c>
      <c r="D2134">
        <v>25268.185000000001</v>
      </c>
      <c r="E2134" t="s">
        <v>4</v>
      </c>
      <c r="F2134" t="s">
        <v>46</v>
      </c>
      <c r="G2134" t="s">
        <v>7</v>
      </c>
    </row>
    <row r="2135" spans="1:7" x14ac:dyDescent="0.3">
      <c r="A2135" t="s">
        <v>34</v>
      </c>
      <c r="B2135" s="1">
        <v>45900</v>
      </c>
      <c r="C2135">
        <v>320023</v>
      </c>
      <c r="D2135">
        <v>-35300.616999999998</v>
      </c>
      <c r="E2135" t="s">
        <v>4</v>
      </c>
      <c r="F2135" t="s">
        <v>46</v>
      </c>
      <c r="G2135" t="s">
        <v>7</v>
      </c>
    </row>
    <row r="2136" spans="1:7" x14ac:dyDescent="0.3">
      <c r="A2136" t="s">
        <v>34</v>
      </c>
      <c r="B2136" s="1">
        <v>45900</v>
      </c>
      <c r="C2136">
        <v>321002</v>
      </c>
      <c r="D2136">
        <v>1264532.915</v>
      </c>
      <c r="E2136" t="s">
        <v>4</v>
      </c>
      <c r="F2136" t="s">
        <v>46</v>
      </c>
      <c r="G2136" t="s">
        <v>7</v>
      </c>
    </row>
    <row r="2137" spans="1:7" x14ac:dyDescent="0.3">
      <c r="A2137" t="s">
        <v>34</v>
      </c>
      <c r="B2137" s="1">
        <v>45900</v>
      </c>
      <c r="C2137">
        <v>321010</v>
      </c>
      <c r="D2137">
        <v>0.92600000000000005</v>
      </c>
      <c r="E2137" t="s">
        <v>4</v>
      </c>
      <c r="F2137" t="s">
        <v>46</v>
      </c>
      <c r="G2137" t="s">
        <v>7</v>
      </c>
    </row>
    <row r="2138" spans="1:7" x14ac:dyDescent="0.3">
      <c r="A2138" t="s">
        <v>34</v>
      </c>
      <c r="B2138" s="1">
        <v>45900</v>
      </c>
      <c r="C2138">
        <v>321013</v>
      </c>
      <c r="D2138">
        <v>929.11900000000003</v>
      </c>
      <c r="E2138" t="s">
        <v>4</v>
      </c>
      <c r="F2138" t="s">
        <v>46</v>
      </c>
      <c r="G2138" t="s">
        <v>7</v>
      </c>
    </row>
    <row r="2139" spans="1:7" x14ac:dyDescent="0.3">
      <c r="A2139" t="s">
        <v>34</v>
      </c>
      <c r="B2139" s="1">
        <v>45900</v>
      </c>
      <c r="C2139">
        <v>321014</v>
      </c>
      <c r="D2139">
        <v>9383.3619999999992</v>
      </c>
      <c r="E2139" t="s">
        <v>4</v>
      </c>
      <c r="F2139" t="s">
        <v>46</v>
      </c>
      <c r="G2139" t="s">
        <v>7</v>
      </c>
    </row>
    <row r="2140" spans="1:7" x14ac:dyDescent="0.3">
      <c r="A2140" t="s">
        <v>34</v>
      </c>
      <c r="B2140" s="1">
        <v>45900</v>
      </c>
      <c r="C2140">
        <v>321021</v>
      </c>
      <c r="D2140">
        <v>13226.517</v>
      </c>
      <c r="E2140" t="s">
        <v>4</v>
      </c>
      <c r="F2140" t="s">
        <v>46</v>
      </c>
      <c r="G2140" t="s">
        <v>7</v>
      </c>
    </row>
    <row r="2141" spans="1:7" x14ac:dyDescent="0.3">
      <c r="A2141" t="s">
        <v>34</v>
      </c>
      <c r="B2141" s="1">
        <v>45900</v>
      </c>
      <c r="C2141">
        <v>321025</v>
      </c>
      <c r="D2141">
        <v>80861.433000000005</v>
      </c>
      <c r="E2141" t="s">
        <v>4</v>
      </c>
      <c r="F2141" t="s">
        <v>46</v>
      </c>
      <c r="G2141" t="s">
        <v>7</v>
      </c>
    </row>
    <row r="2142" spans="1:7" x14ac:dyDescent="0.3">
      <c r="A2142" t="s">
        <v>34</v>
      </c>
      <c r="B2142" s="1">
        <v>45900</v>
      </c>
      <c r="C2142">
        <v>321029</v>
      </c>
      <c r="D2142">
        <v>9695.5480000000007</v>
      </c>
      <c r="E2142" t="s">
        <v>4</v>
      </c>
      <c r="F2142" t="s">
        <v>46</v>
      </c>
      <c r="G2142" t="s">
        <v>7</v>
      </c>
    </row>
    <row r="2143" spans="1:7" x14ac:dyDescent="0.3">
      <c r="A2143" t="s">
        <v>34</v>
      </c>
      <c r="B2143" s="1">
        <v>45900</v>
      </c>
      <c r="C2143">
        <v>321041</v>
      </c>
      <c r="D2143">
        <v>14505.291999999999</v>
      </c>
      <c r="E2143" t="s">
        <v>4</v>
      </c>
      <c r="F2143" t="s">
        <v>46</v>
      </c>
      <c r="G2143" t="s">
        <v>7</v>
      </c>
    </row>
    <row r="2144" spans="1:7" x14ac:dyDescent="0.3">
      <c r="A2144" t="s">
        <v>34</v>
      </c>
      <c r="B2144" s="1">
        <v>45900</v>
      </c>
      <c r="C2144">
        <v>321042</v>
      </c>
      <c r="D2144">
        <v>-74.543999999999997</v>
      </c>
      <c r="E2144" t="s">
        <v>4</v>
      </c>
      <c r="F2144" t="s">
        <v>46</v>
      </c>
      <c r="G2144" t="s">
        <v>7</v>
      </c>
    </row>
    <row r="2145" spans="1:7" x14ac:dyDescent="0.3">
      <c r="A2145" t="s">
        <v>34</v>
      </c>
      <c r="B2145" s="1">
        <v>45900</v>
      </c>
      <c r="C2145">
        <v>330040</v>
      </c>
      <c r="D2145">
        <v>10038.433000000001</v>
      </c>
      <c r="E2145" t="s">
        <v>4</v>
      </c>
      <c r="F2145" t="s">
        <v>43</v>
      </c>
      <c r="G2145" t="s">
        <v>7</v>
      </c>
    </row>
    <row r="2146" spans="1:7" x14ac:dyDescent="0.3">
      <c r="A2146" t="s">
        <v>34</v>
      </c>
      <c r="B2146" s="1">
        <v>45900</v>
      </c>
      <c r="C2146">
        <v>330051</v>
      </c>
      <c r="D2146">
        <v>-7756.1109999999999</v>
      </c>
      <c r="E2146" t="s">
        <v>4</v>
      </c>
      <c r="F2146" t="s">
        <v>43</v>
      </c>
      <c r="G2146" t="s">
        <v>7</v>
      </c>
    </row>
    <row r="2147" spans="1:7" x14ac:dyDescent="0.3">
      <c r="A2147" t="s">
        <v>34</v>
      </c>
      <c r="B2147" s="1">
        <v>45900</v>
      </c>
      <c r="C2147">
        <v>330065</v>
      </c>
      <c r="D2147">
        <v>285.83699999999999</v>
      </c>
      <c r="E2147" t="s">
        <v>4</v>
      </c>
      <c r="F2147" t="s">
        <v>43</v>
      </c>
      <c r="G2147" t="s">
        <v>7</v>
      </c>
    </row>
    <row r="2148" spans="1:7" x14ac:dyDescent="0.3">
      <c r="A2148" t="s">
        <v>34</v>
      </c>
      <c r="B2148" s="1">
        <v>45900</v>
      </c>
      <c r="C2148">
        <v>330138</v>
      </c>
      <c r="D2148">
        <v>-1631.1410000000001</v>
      </c>
      <c r="E2148" t="s">
        <v>4</v>
      </c>
      <c r="F2148" t="s">
        <v>43</v>
      </c>
      <c r="G2148" t="s">
        <v>7</v>
      </c>
    </row>
    <row r="2149" spans="1:7" x14ac:dyDescent="0.3">
      <c r="A2149" t="s">
        <v>34</v>
      </c>
      <c r="B2149" s="1">
        <v>45900</v>
      </c>
      <c r="C2149">
        <v>330149</v>
      </c>
      <c r="D2149">
        <v>-1311.713</v>
      </c>
      <c r="E2149" t="s">
        <v>4</v>
      </c>
      <c r="F2149" t="s">
        <v>43</v>
      </c>
      <c r="G2149" t="s">
        <v>7</v>
      </c>
    </row>
    <row r="2150" spans="1:7" x14ac:dyDescent="0.3">
      <c r="A2150" t="s">
        <v>34</v>
      </c>
      <c r="B2150" s="1">
        <v>45900</v>
      </c>
      <c r="C2150">
        <v>340062</v>
      </c>
      <c r="D2150">
        <v>345361.98300000001</v>
      </c>
      <c r="E2150" t="s">
        <v>4</v>
      </c>
      <c r="F2150" t="s">
        <v>47</v>
      </c>
      <c r="G2150" t="s">
        <v>7</v>
      </c>
    </row>
    <row r="2151" spans="1:7" x14ac:dyDescent="0.3">
      <c r="A2151" t="s">
        <v>34</v>
      </c>
      <c r="B2151" s="1">
        <v>45900</v>
      </c>
      <c r="C2151">
        <v>340063</v>
      </c>
      <c r="D2151">
        <v>14213711.898</v>
      </c>
      <c r="E2151" t="s">
        <v>4</v>
      </c>
      <c r="F2151" t="s">
        <v>47</v>
      </c>
      <c r="G2151" t="s">
        <v>7</v>
      </c>
    </row>
    <row r="2152" spans="1:7" x14ac:dyDescent="0.3">
      <c r="A2152" t="s">
        <v>34</v>
      </c>
      <c r="B2152" s="1">
        <v>45900</v>
      </c>
      <c r="C2152">
        <v>340064</v>
      </c>
      <c r="D2152">
        <v>-14344795.717</v>
      </c>
      <c r="E2152" t="s">
        <v>4</v>
      </c>
      <c r="F2152" t="s">
        <v>47</v>
      </c>
      <c r="G2152" t="s">
        <v>7</v>
      </c>
    </row>
    <row r="2153" spans="1:7" x14ac:dyDescent="0.3">
      <c r="A2153" t="s">
        <v>34</v>
      </c>
      <c r="B2153" s="1">
        <v>45900</v>
      </c>
      <c r="C2153">
        <v>340098</v>
      </c>
      <c r="D2153">
        <v>713.61599999999999</v>
      </c>
      <c r="E2153" t="s">
        <v>4</v>
      </c>
      <c r="F2153" t="s">
        <v>47</v>
      </c>
      <c r="G2153" t="s">
        <v>7</v>
      </c>
    </row>
    <row r="2154" spans="1:7" x14ac:dyDescent="0.3">
      <c r="A2154" t="s">
        <v>34</v>
      </c>
      <c r="B2154" s="1">
        <v>45900</v>
      </c>
      <c r="C2154">
        <v>340162</v>
      </c>
      <c r="D2154">
        <v>73596.054000000004</v>
      </c>
      <c r="E2154" t="s">
        <v>4</v>
      </c>
      <c r="F2154" t="s">
        <v>47</v>
      </c>
      <c r="G2154" t="s">
        <v>7</v>
      </c>
    </row>
    <row r="2155" spans="1:7" x14ac:dyDescent="0.3">
      <c r="A2155" t="s">
        <v>34</v>
      </c>
      <c r="B2155" s="1">
        <v>45900</v>
      </c>
      <c r="C2155">
        <v>340163</v>
      </c>
      <c r="D2155">
        <v>6904532.3830000004</v>
      </c>
      <c r="E2155" t="s">
        <v>4</v>
      </c>
      <c r="F2155" t="s">
        <v>47</v>
      </c>
      <c r="G2155" t="s">
        <v>7</v>
      </c>
    </row>
    <row r="2156" spans="1:7" x14ac:dyDescent="0.3">
      <c r="A2156" t="s">
        <v>34</v>
      </c>
      <c r="B2156" s="1">
        <v>45900</v>
      </c>
      <c r="C2156">
        <v>340164</v>
      </c>
      <c r="D2156">
        <v>-6859659.9440000001</v>
      </c>
      <c r="E2156" t="s">
        <v>4</v>
      </c>
      <c r="F2156" t="s">
        <v>47</v>
      </c>
      <c r="G2156" t="s">
        <v>7</v>
      </c>
    </row>
    <row r="2157" spans="1:7" x14ac:dyDescent="0.3">
      <c r="A2157" t="s">
        <v>34</v>
      </c>
      <c r="B2157" s="1">
        <v>45900</v>
      </c>
      <c r="C2157">
        <v>350002</v>
      </c>
      <c r="D2157">
        <v>1358.6479999999999</v>
      </c>
      <c r="E2157" t="s">
        <v>4</v>
      </c>
      <c r="F2157" t="s">
        <v>49</v>
      </c>
      <c r="G2157" t="s">
        <v>7</v>
      </c>
    </row>
    <row r="2158" spans="1:7" x14ac:dyDescent="0.3">
      <c r="A2158" t="s">
        <v>34</v>
      </c>
      <c r="B2158" s="1">
        <v>45900</v>
      </c>
      <c r="C2158">
        <v>350003</v>
      </c>
      <c r="D2158">
        <v>-110.499</v>
      </c>
      <c r="E2158" t="s">
        <v>4</v>
      </c>
      <c r="F2158" t="s">
        <v>49</v>
      </c>
      <c r="G2158" t="s">
        <v>7</v>
      </c>
    </row>
    <row r="2159" spans="1:7" x14ac:dyDescent="0.3">
      <c r="A2159" t="s">
        <v>34</v>
      </c>
      <c r="B2159" s="1">
        <v>45900</v>
      </c>
      <c r="C2159">
        <v>350031</v>
      </c>
      <c r="D2159">
        <v>218.04900000000001</v>
      </c>
      <c r="E2159" t="s">
        <v>4</v>
      </c>
      <c r="F2159" t="s">
        <v>43</v>
      </c>
      <c r="G2159" t="s">
        <v>7</v>
      </c>
    </row>
    <row r="2160" spans="1:7" x14ac:dyDescent="0.3">
      <c r="A2160" t="s">
        <v>34</v>
      </c>
      <c r="B2160" s="1">
        <v>45900</v>
      </c>
      <c r="C2160">
        <v>350034</v>
      </c>
      <c r="D2160">
        <v>36.408999999999999</v>
      </c>
      <c r="E2160" t="s">
        <v>4</v>
      </c>
      <c r="F2160" t="s">
        <v>49</v>
      </c>
      <c r="G2160" t="s">
        <v>7</v>
      </c>
    </row>
    <row r="2161" spans="1:7" x14ac:dyDescent="0.3">
      <c r="A2161" t="s">
        <v>34</v>
      </c>
      <c r="B2161" s="1">
        <v>45900</v>
      </c>
      <c r="C2161">
        <v>351004</v>
      </c>
      <c r="D2161">
        <v>1576.096</v>
      </c>
      <c r="E2161" t="s">
        <v>4</v>
      </c>
      <c r="F2161" t="s">
        <v>45</v>
      </c>
      <c r="G2161" t="s">
        <v>7</v>
      </c>
    </row>
    <row r="2162" spans="1:7" x14ac:dyDescent="0.3">
      <c r="A2162" t="s">
        <v>34</v>
      </c>
      <c r="B2162" s="1">
        <v>45900</v>
      </c>
      <c r="C2162">
        <v>354012</v>
      </c>
      <c r="D2162">
        <v>315345.53600000002</v>
      </c>
      <c r="E2162" t="s">
        <v>4</v>
      </c>
      <c r="F2162" t="s">
        <v>46</v>
      </c>
      <c r="G2162" t="s">
        <v>7</v>
      </c>
    </row>
    <row r="2163" spans="1:7" x14ac:dyDescent="0.3">
      <c r="A2163" t="s">
        <v>34</v>
      </c>
      <c r="B2163" s="1">
        <v>45900</v>
      </c>
      <c r="C2163">
        <v>354014</v>
      </c>
      <c r="D2163">
        <v>112974.70699999999</v>
      </c>
      <c r="E2163" t="s">
        <v>4</v>
      </c>
      <c r="F2163" t="s">
        <v>46</v>
      </c>
      <c r="G2163" t="s">
        <v>7</v>
      </c>
    </row>
    <row r="2164" spans="1:7" x14ac:dyDescent="0.3">
      <c r="A2164" t="s">
        <v>34</v>
      </c>
      <c r="B2164" s="1">
        <v>45900</v>
      </c>
      <c r="C2164">
        <v>354015</v>
      </c>
      <c r="D2164">
        <v>8246.5349999999999</v>
      </c>
      <c r="E2164" t="s">
        <v>4</v>
      </c>
      <c r="F2164" t="s">
        <v>46</v>
      </c>
      <c r="G2164" t="s">
        <v>7</v>
      </c>
    </row>
    <row r="2165" spans="1:7" x14ac:dyDescent="0.3">
      <c r="A2165" t="s">
        <v>34</v>
      </c>
      <c r="B2165" s="1">
        <v>45900</v>
      </c>
      <c r="C2165">
        <v>360026</v>
      </c>
      <c r="D2165">
        <v>46758.978999999999</v>
      </c>
      <c r="E2165" t="s">
        <v>4</v>
      </c>
      <c r="F2165" t="s">
        <v>58</v>
      </c>
      <c r="G2165" t="s">
        <v>7</v>
      </c>
    </row>
    <row r="2166" spans="1:7" x14ac:dyDescent="0.3">
      <c r="A2166" t="s">
        <v>34</v>
      </c>
      <c r="B2166" s="1">
        <v>45900</v>
      </c>
      <c r="C2166">
        <v>360027</v>
      </c>
      <c r="D2166">
        <v>13918.977999999999</v>
      </c>
      <c r="E2166" t="s">
        <v>4</v>
      </c>
      <c r="F2166" t="s">
        <v>58</v>
      </c>
      <c r="G2166" t="s">
        <v>7</v>
      </c>
    </row>
    <row r="2167" spans="1:7" x14ac:dyDescent="0.3">
      <c r="A2167" t="s">
        <v>34</v>
      </c>
      <c r="B2167" s="1">
        <v>45900</v>
      </c>
      <c r="C2167">
        <v>360028</v>
      </c>
      <c r="D2167">
        <v>1418.827</v>
      </c>
      <c r="E2167" t="s">
        <v>4</v>
      </c>
      <c r="F2167" t="s">
        <v>58</v>
      </c>
      <c r="G2167" t="s">
        <v>7</v>
      </c>
    </row>
    <row r="2168" spans="1:7" x14ac:dyDescent="0.3">
      <c r="A2168" t="s">
        <v>34</v>
      </c>
      <c r="B2168" s="1">
        <v>45900</v>
      </c>
      <c r="C2168">
        <v>360030</v>
      </c>
      <c r="D2168">
        <v>28494.554</v>
      </c>
      <c r="E2168" t="s">
        <v>4</v>
      </c>
      <c r="F2168" t="s">
        <v>58</v>
      </c>
      <c r="G2168" t="s">
        <v>7</v>
      </c>
    </row>
    <row r="2169" spans="1:7" x14ac:dyDescent="0.3">
      <c r="A2169" t="s">
        <v>34</v>
      </c>
      <c r="B2169" s="1">
        <v>45900</v>
      </c>
      <c r="C2169">
        <v>360032</v>
      </c>
      <c r="D2169">
        <v>98.811000000000007</v>
      </c>
      <c r="E2169" t="s">
        <v>4</v>
      </c>
      <c r="F2169" t="s">
        <v>58</v>
      </c>
      <c r="G2169" t="s">
        <v>7</v>
      </c>
    </row>
    <row r="2170" spans="1:7" x14ac:dyDescent="0.3">
      <c r="A2170" t="s">
        <v>34</v>
      </c>
      <c r="B2170" s="1">
        <v>45900</v>
      </c>
      <c r="C2170">
        <v>364502</v>
      </c>
      <c r="D2170">
        <v>38201.805</v>
      </c>
      <c r="E2170" t="s">
        <v>4</v>
      </c>
      <c r="F2170" t="s">
        <v>58</v>
      </c>
      <c r="G2170" t="s">
        <v>7</v>
      </c>
    </row>
    <row r="2171" spans="1:7" x14ac:dyDescent="0.3">
      <c r="A2171" t="s">
        <v>34</v>
      </c>
      <c r="B2171" s="1">
        <v>45900</v>
      </c>
      <c r="C2171">
        <v>400002</v>
      </c>
      <c r="D2171">
        <v>-1941.8869999999999</v>
      </c>
      <c r="E2171" t="s">
        <v>6</v>
      </c>
      <c r="F2171" t="s">
        <v>50</v>
      </c>
      <c r="G2171" t="s">
        <v>7</v>
      </c>
    </row>
    <row r="2172" spans="1:7" x14ac:dyDescent="0.3">
      <c r="A2172" t="s">
        <v>34</v>
      </c>
      <c r="B2172" s="1">
        <v>45900</v>
      </c>
      <c r="C2172">
        <v>400004</v>
      </c>
      <c r="D2172">
        <v>9336.3909999999996</v>
      </c>
      <c r="E2172" t="s">
        <v>6</v>
      </c>
      <c r="F2172" t="s">
        <v>50</v>
      </c>
      <c r="G2172" t="s">
        <v>7</v>
      </c>
    </row>
    <row r="2173" spans="1:7" x14ac:dyDescent="0.3">
      <c r="A2173" t="s">
        <v>34</v>
      </c>
      <c r="B2173" s="1">
        <v>45900</v>
      </c>
      <c r="C2173">
        <v>410002</v>
      </c>
      <c r="D2173">
        <v>-393848.42099999997</v>
      </c>
      <c r="E2173" t="s">
        <v>6</v>
      </c>
      <c r="F2173" t="s">
        <v>51</v>
      </c>
      <c r="G2173" t="s">
        <v>7</v>
      </c>
    </row>
    <row r="2174" spans="1:7" x14ac:dyDescent="0.3">
      <c r="A2174" t="s">
        <v>34</v>
      </c>
      <c r="B2174" s="1">
        <v>45900</v>
      </c>
      <c r="C2174">
        <v>410009</v>
      </c>
      <c r="D2174">
        <v>-33920.468000000001</v>
      </c>
      <c r="E2174" t="s">
        <v>6</v>
      </c>
      <c r="F2174" t="s">
        <v>51</v>
      </c>
      <c r="G2174" t="s">
        <v>7</v>
      </c>
    </row>
    <row r="2175" spans="1:7" x14ac:dyDescent="0.3">
      <c r="A2175" t="s">
        <v>34</v>
      </c>
      <c r="B2175" s="1">
        <v>45900</v>
      </c>
      <c r="C2175">
        <v>410015</v>
      </c>
      <c r="D2175">
        <v>-536.30899999999997</v>
      </c>
      <c r="E2175" t="s">
        <v>6</v>
      </c>
      <c r="F2175" t="s">
        <v>51</v>
      </c>
      <c r="G2175" t="s">
        <v>7</v>
      </c>
    </row>
    <row r="2176" spans="1:7" x14ac:dyDescent="0.3">
      <c r="A2176" t="s">
        <v>34</v>
      </c>
      <c r="B2176" s="1">
        <v>45900</v>
      </c>
      <c r="C2176">
        <v>410019</v>
      </c>
      <c r="D2176">
        <v>74.516000000000005</v>
      </c>
      <c r="E2176" t="s">
        <v>6</v>
      </c>
      <c r="F2176" t="s">
        <v>51</v>
      </c>
      <c r="G2176" t="s">
        <v>7</v>
      </c>
    </row>
    <row r="2177" spans="1:7" x14ac:dyDescent="0.3">
      <c r="A2177" t="s">
        <v>34</v>
      </c>
      <c r="B2177" s="1">
        <v>45900</v>
      </c>
      <c r="C2177">
        <v>410032</v>
      </c>
      <c r="D2177">
        <v>-38323.095000000001</v>
      </c>
      <c r="E2177" t="s">
        <v>6</v>
      </c>
      <c r="F2177" t="s">
        <v>51</v>
      </c>
      <c r="G2177" t="s">
        <v>7</v>
      </c>
    </row>
    <row r="2178" spans="1:7" x14ac:dyDescent="0.3">
      <c r="A2178" t="s">
        <v>34</v>
      </c>
      <c r="B2178" s="1">
        <v>45900</v>
      </c>
      <c r="C2178">
        <v>410036</v>
      </c>
      <c r="D2178">
        <v>-281.87400000000002</v>
      </c>
      <c r="E2178" t="s">
        <v>6</v>
      </c>
      <c r="F2178" t="s">
        <v>51</v>
      </c>
      <c r="G2178" t="s">
        <v>7</v>
      </c>
    </row>
    <row r="2179" spans="1:7" x14ac:dyDescent="0.3">
      <c r="A2179" t="s">
        <v>34</v>
      </c>
      <c r="B2179" s="1">
        <v>45900</v>
      </c>
      <c r="C2179">
        <v>410037</v>
      </c>
      <c r="D2179">
        <v>-33525.642999999996</v>
      </c>
      <c r="E2179" t="s">
        <v>6</v>
      </c>
      <c r="F2179" t="s">
        <v>51</v>
      </c>
      <c r="G2179" t="s">
        <v>7</v>
      </c>
    </row>
    <row r="2180" spans="1:7" x14ac:dyDescent="0.3">
      <c r="A2180" t="s">
        <v>34</v>
      </c>
      <c r="B2180" s="1">
        <v>45900</v>
      </c>
      <c r="C2180">
        <v>415002</v>
      </c>
      <c r="D2180">
        <v>-595312.00800000003</v>
      </c>
      <c r="E2180" t="s">
        <v>6</v>
      </c>
      <c r="F2180" t="s">
        <v>50</v>
      </c>
      <c r="G2180" t="s">
        <v>7</v>
      </c>
    </row>
    <row r="2181" spans="1:7" x14ac:dyDescent="0.3">
      <c r="A2181" t="s">
        <v>34</v>
      </c>
      <c r="B2181" s="1">
        <v>45900</v>
      </c>
      <c r="C2181">
        <v>415004</v>
      </c>
      <c r="D2181">
        <v>-792469.26500000001</v>
      </c>
      <c r="E2181" t="s">
        <v>6</v>
      </c>
      <c r="F2181" t="s">
        <v>50</v>
      </c>
      <c r="G2181" t="s">
        <v>7</v>
      </c>
    </row>
    <row r="2182" spans="1:7" x14ac:dyDescent="0.3">
      <c r="A2182" t="s">
        <v>34</v>
      </c>
      <c r="B2182" s="1">
        <v>45900</v>
      </c>
      <c r="C2182">
        <v>420002</v>
      </c>
      <c r="D2182">
        <v>-1.2E-2</v>
      </c>
      <c r="E2182" t="s">
        <v>6</v>
      </c>
      <c r="F2182" t="s">
        <v>52</v>
      </c>
      <c r="G2182" t="s">
        <v>7</v>
      </c>
    </row>
    <row r="2183" spans="1:7" x14ac:dyDescent="0.3">
      <c r="A2183" t="s">
        <v>34</v>
      </c>
      <c r="B2183" s="1">
        <v>45900</v>
      </c>
      <c r="C2183">
        <v>420004</v>
      </c>
      <c r="D2183">
        <v>-0.17299999999999999</v>
      </c>
      <c r="E2183" t="s">
        <v>6</v>
      </c>
      <c r="F2183" t="s">
        <v>52</v>
      </c>
      <c r="G2183" t="s">
        <v>7</v>
      </c>
    </row>
    <row r="2184" spans="1:7" x14ac:dyDescent="0.3">
      <c r="A2184" t="s">
        <v>34</v>
      </c>
      <c r="B2184" s="1">
        <v>45900</v>
      </c>
      <c r="C2184">
        <v>421002</v>
      </c>
      <c r="D2184">
        <v>1426.194</v>
      </c>
      <c r="E2184" t="s">
        <v>6</v>
      </c>
      <c r="F2184" t="s">
        <v>52</v>
      </c>
      <c r="G2184" t="s">
        <v>7</v>
      </c>
    </row>
    <row r="2185" spans="1:7" x14ac:dyDescent="0.3">
      <c r="A2185" t="s">
        <v>34</v>
      </c>
      <c r="B2185" s="1">
        <v>45900</v>
      </c>
      <c r="C2185">
        <v>421003</v>
      </c>
      <c r="D2185">
        <v>-14207.303</v>
      </c>
      <c r="E2185" t="s">
        <v>6</v>
      </c>
      <c r="F2185" t="s">
        <v>52</v>
      </c>
      <c r="G2185" t="s">
        <v>7</v>
      </c>
    </row>
    <row r="2186" spans="1:7" x14ac:dyDescent="0.3">
      <c r="A2186" t="s">
        <v>34</v>
      </c>
      <c r="B2186" s="1">
        <v>45900</v>
      </c>
      <c r="C2186">
        <v>421007</v>
      </c>
      <c r="D2186">
        <v>57.73</v>
      </c>
      <c r="E2186" t="s">
        <v>6</v>
      </c>
      <c r="F2186" t="s">
        <v>52</v>
      </c>
      <c r="G2186" t="s">
        <v>7</v>
      </c>
    </row>
    <row r="2187" spans="1:7" x14ac:dyDescent="0.3">
      <c r="A2187" t="s">
        <v>34</v>
      </c>
      <c r="B2187" s="1">
        <v>45900</v>
      </c>
      <c r="C2187">
        <v>510002</v>
      </c>
      <c r="D2187">
        <v>514272.65399999998</v>
      </c>
      <c r="E2187" t="s">
        <v>6</v>
      </c>
      <c r="F2187" t="s">
        <v>53</v>
      </c>
      <c r="G2187" t="s">
        <v>7</v>
      </c>
    </row>
    <row r="2188" spans="1:7" x14ac:dyDescent="0.3">
      <c r="A2188" t="s">
        <v>34</v>
      </c>
      <c r="B2188" s="1">
        <v>45900</v>
      </c>
      <c r="C2188">
        <v>510005</v>
      </c>
      <c r="D2188">
        <v>23752.786</v>
      </c>
      <c r="E2188" t="s">
        <v>6</v>
      </c>
      <c r="F2188" t="s">
        <v>53</v>
      </c>
      <c r="G2188" t="s">
        <v>7</v>
      </c>
    </row>
    <row r="2189" spans="1:7" x14ac:dyDescent="0.3">
      <c r="A2189" t="s">
        <v>34</v>
      </c>
      <c r="B2189" s="1">
        <v>45900</v>
      </c>
      <c r="C2189">
        <v>510007</v>
      </c>
      <c r="D2189">
        <v>65628.165999999997</v>
      </c>
      <c r="E2189" t="s">
        <v>6</v>
      </c>
      <c r="F2189" t="s">
        <v>53</v>
      </c>
      <c r="G2189" t="s">
        <v>7</v>
      </c>
    </row>
    <row r="2190" spans="1:7" x14ac:dyDescent="0.3">
      <c r="A2190" t="s">
        <v>34</v>
      </c>
      <c r="B2190" s="1">
        <v>45900</v>
      </c>
      <c r="C2190">
        <v>510010</v>
      </c>
      <c r="D2190">
        <v>11717.903</v>
      </c>
      <c r="E2190" t="s">
        <v>6</v>
      </c>
      <c r="F2190" t="s">
        <v>53</v>
      </c>
      <c r="G2190" t="s">
        <v>7</v>
      </c>
    </row>
    <row r="2191" spans="1:7" x14ac:dyDescent="0.3">
      <c r="A2191" t="s">
        <v>34</v>
      </c>
      <c r="B2191" s="1">
        <v>45900</v>
      </c>
      <c r="C2191">
        <v>510012</v>
      </c>
      <c r="D2191">
        <v>9460.6830000000009</v>
      </c>
      <c r="E2191" t="s">
        <v>6</v>
      </c>
      <c r="F2191" t="s">
        <v>53</v>
      </c>
      <c r="G2191" t="s">
        <v>7</v>
      </c>
    </row>
    <row r="2192" spans="1:7" x14ac:dyDescent="0.3">
      <c r="A2192" t="s">
        <v>34</v>
      </c>
      <c r="B2192" s="1">
        <v>45900</v>
      </c>
      <c r="C2192">
        <v>510015</v>
      </c>
      <c r="D2192">
        <v>42382.821000000004</v>
      </c>
      <c r="E2192" t="s">
        <v>6</v>
      </c>
      <c r="F2192" t="s">
        <v>53</v>
      </c>
      <c r="G2192" t="s">
        <v>7</v>
      </c>
    </row>
    <row r="2193" spans="1:7" x14ac:dyDescent="0.3">
      <c r="A2193" t="s">
        <v>34</v>
      </c>
      <c r="B2193" s="1">
        <v>45900</v>
      </c>
      <c r="C2193">
        <v>510018</v>
      </c>
      <c r="D2193">
        <v>56863.095000000001</v>
      </c>
      <c r="E2193" t="s">
        <v>6</v>
      </c>
      <c r="F2193" t="s">
        <v>53</v>
      </c>
      <c r="G2193" t="s">
        <v>7</v>
      </c>
    </row>
    <row r="2194" spans="1:7" x14ac:dyDescent="0.3">
      <c r="A2194" t="s">
        <v>34</v>
      </c>
      <c r="B2194" s="1">
        <v>45900</v>
      </c>
      <c r="C2194">
        <v>510059</v>
      </c>
      <c r="D2194">
        <v>4814.3639999999996</v>
      </c>
      <c r="E2194" t="s">
        <v>6</v>
      </c>
      <c r="F2194" t="s">
        <v>53</v>
      </c>
      <c r="G2194" t="s">
        <v>7</v>
      </c>
    </row>
    <row r="2195" spans="1:7" x14ac:dyDescent="0.3">
      <c r="A2195" t="s">
        <v>34</v>
      </c>
      <c r="B2195" s="1">
        <v>45900</v>
      </c>
      <c r="C2195">
        <v>510062</v>
      </c>
      <c r="D2195">
        <v>10469.709999999999</v>
      </c>
      <c r="E2195" t="s">
        <v>6</v>
      </c>
      <c r="F2195" t="s">
        <v>53</v>
      </c>
      <c r="G2195" t="s">
        <v>7</v>
      </c>
    </row>
    <row r="2196" spans="1:7" x14ac:dyDescent="0.3">
      <c r="A2196" t="s">
        <v>34</v>
      </c>
      <c r="B2196" s="1">
        <v>45900</v>
      </c>
      <c r="C2196">
        <v>510064</v>
      </c>
      <c r="D2196">
        <v>489.06299999999999</v>
      </c>
      <c r="E2196" t="s">
        <v>6</v>
      </c>
      <c r="F2196" t="s">
        <v>53</v>
      </c>
      <c r="G2196" t="s">
        <v>7</v>
      </c>
    </row>
    <row r="2197" spans="1:7" x14ac:dyDescent="0.3">
      <c r="A2197" t="s">
        <v>34</v>
      </c>
      <c r="B2197" s="1">
        <v>45900</v>
      </c>
      <c r="C2197">
        <v>510065</v>
      </c>
      <c r="D2197">
        <v>3074.241</v>
      </c>
      <c r="E2197" t="s">
        <v>6</v>
      </c>
      <c r="F2197" t="s">
        <v>53</v>
      </c>
      <c r="G2197" t="s">
        <v>7</v>
      </c>
    </row>
    <row r="2198" spans="1:7" x14ac:dyDescent="0.3">
      <c r="A2198" t="s">
        <v>34</v>
      </c>
      <c r="B2198" s="1">
        <v>45900</v>
      </c>
      <c r="C2198">
        <v>520021</v>
      </c>
      <c r="D2198">
        <v>1263.652</v>
      </c>
      <c r="E2198" t="s">
        <v>6</v>
      </c>
      <c r="F2198" t="s">
        <v>60</v>
      </c>
      <c r="G2198" t="s">
        <v>7</v>
      </c>
    </row>
    <row r="2199" spans="1:7" x14ac:dyDescent="0.3">
      <c r="A2199" t="s">
        <v>34</v>
      </c>
      <c r="B2199" s="1">
        <v>45900</v>
      </c>
      <c r="C2199">
        <v>530012</v>
      </c>
      <c r="D2199">
        <v>32485.262999999999</v>
      </c>
      <c r="E2199" t="s">
        <v>6</v>
      </c>
      <c r="F2199" t="s">
        <v>53</v>
      </c>
      <c r="G2199" t="s">
        <v>7</v>
      </c>
    </row>
    <row r="2200" spans="1:7" x14ac:dyDescent="0.3">
      <c r="A2200" t="s">
        <v>34</v>
      </c>
      <c r="B2200" s="1">
        <v>45900</v>
      </c>
      <c r="C2200">
        <v>541002</v>
      </c>
      <c r="D2200">
        <v>4864.9570000000003</v>
      </c>
      <c r="E2200" t="s">
        <v>6</v>
      </c>
      <c r="F2200" t="s">
        <v>61</v>
      </c>
      <c r="G2200" t="s">
        <v>7</v>
      </c>
    </row>
    <row r="2201" spans="1:7" x14ac:dyDescent="0.3">
      <c r="A2201" t="s">
        <v>34</v>
      </c>
      <c r="B2201" s="1">
        <v>45900</v>
      </c>
      <c r="C2201">
        <v>541004</v>
      </c>
      <c r="D2201">
        <v>2570.451</v>
      </c>
      <c r="E2201" t="s">
        <v>6</v>
      </c>
      <c r="F2201" t="s">
        <v>61</v>
      </c>
      <c r="G2201" t="s">
        <v>7</v>
      </c>
    </row>
    <row r="2202" spans="1:7" x14ac:dyDescent="0.3">
      <c r="A2202" t="s">
        <v>34</v>
      </c>
      <c r="B2202" s="1">
        <v>45900</v>
      </c>
      <c r="C2202">
        <v>541008</v>
      </c>
      <c r="D2202">
        <v>2077.4839999999999</v>
      </c>
      <c r="E2202" t="s">
        <v>6</v>
      </c>
      <c r="F2202" t="s">
        <v>61</v>
      </c>
      <c r="G2202" t="s">
        <v>7</v>
      </c>
    </row>
    <row r="2203" spans="1:7" x14ac:dyDescent="0.3">
      <c r="A2203" t="s">
        <v>34</v>
      </c>
      <c r="B2203" s="1">
        <v>45900</v>
      </c>
      <c r="C2203">
        <v>541009</v>
      </c>
      <c r="D2203">
        <v>12331.944</v>
      </c>
      <c r="E2203" t="s">
        <v>6</v>
      </c>
      <c r="F2203" t="s">
        <v>61</v>
      </c>
      <c r="G2203" t="s">
        <v>7</v>
      </c>
    </row>
    <row r="2204" spans="1:7" x14ac:dyDescent="0.3">
      <c r="A2204" t="s">
        <v>34</v>
      </c>
      <c r="B2204" s="1">
        <v>45900</v>
      </c>
      <c r="C2204">
        <v>541010</v>
      </c>
      <c r="D2204">
        <v>6313.7780000000002</v>
      </c>
      <c r="E2204" t="s">
        <v>6</v>
      </c>
      <c r="F2204" t="s">
        <v>61</v>
      </c>
      <c r="G2204" t="s">
        <v>7</v>
      </c>
    </row>
    <row r="2205" spans="1:7" x14ac:dyDescent="0.3">
      <c r="A2205" t="s">
        <v>34</v>
      </c>
      <c r="B2205" s="1">
        <v>45900</v>
      </c>
      <c r="C2205">
        <v>541013</v>
      </c>
      <c r="D2205">
        <v>2131.1289999999999</v>
      </c>
      <c r="E2205" t="s">
        <v>6</v>
      </c>
      <c r="F2205" t="s">
        <v>61</v>
      </c>
      <c r="G2205" t="s">
        <v>7</v>
      </c>
    </row>
    <row r="2206" spans="1:7" x14ac:dyDescent="0.3">
      <c r="A2206" t="s">
        <v>34</v>
      </c>
      <c r="B2206" s="1">
        <v>45900</v>
      </c>
      <c r="C2206">
        <v>544006</v>
      </c>
      <c r="D2206">
        <v>-374.41199999999998</v>
      </c>
      <c r="E2206" t="s">
        <v>6</v>
      </c>
      <c r="F2206" t="s">
        <v>61</v>
      </c>
      <c r="G2206" t="s">
        <v>7</v>
      </c>
    </row>
    <row r="2207" spans="1:7" x14ac:dyDescent="0.3">
      <c r="A2207" t="s">
        <v>34</v>
      </c>
      <c r="B2207" s="1">
        <v>45900</v>
      </c>
      <c r="C2207">
        <v>546002</v>
      </c>
      <c r="D2207">
        <v>743976.26899999997</v>
      </c>
      <c r="E2207" t="s">
        <v>6</v>
      </c>
      <c r="F2207" t="s">
        <v>51</v>
      </c>
      <c r="G2207" t="s">
        <v>7</v>
      </c>
    </row>
    <row r="2208" spans="1:7" x14ac:dyDescent="0.3">
      <c r="A2208" t="s">
        <v>34</v>
      </c>
      <c r="B2208" s="1">
        <v>45900</v>
      </c>
      <c r="C2208">
        <v>546008</v>
      </c>
      <c r="D2208">
        <v>3073.3049999999998</v>
      </c>
      <c r="E2208" t="s">
        <v>6</v>
      </c>
      <c r="F2208" t="s">
        <v>51</v>
      </c>
      <c r="G2208" t="s">
        <v>7</v>
      </c>
    </row>
    <row r="2209" spans="1:7" x14ac:dyDescent="0.3">
      <c r="A2209" t="s">
        <v>34</v>
      </c>
      <c r="B2209" s="1">
        <v>45900</v>
      </c>
      <c r="C2209">
        <v>546013</v>
      </c>
      <c r="D2209">
        <v>149348.67300000001</v>
      </c>
      <c r="E2209" t="s">
        <v>6</v>
      </c>
      <c r="F2209" t="s">
        <v>51</v>
      </c>
      <c r="G2209" t="s">
        <v>7</v>
      </c>
    </row>
    <row r="2210" spans="1:7" x14ac:dyDescent="0.3">
      <c r="A2210" t="s">
        <v>34</v>
      </c>
      <c r="B2210" s="1">
        <v>45900</v>
      </c>
      <c r="C2210">
        <v>546016</v>
      </c>
      <c r="D2210">
        <v>26068.406999999999</v>
      </c>
      <c r="E2210" t="s">
        <v>6</v>
      </c>
      <c r="F2210" t="s">
        <v>51</v>
      </c>
      <c r="G2210" t="s">
        <v>7</v>
      </c>
    </row>
    <row r="2211" spans="1:7" x14ac:dyDescent="0.3">
      <c r="A2211" t="s">
        <v>34</v>
      </c>
      <c r="B2211" s="1">
        <v>45900</v>
      </c>
      <c r="C2211">
        <v>546035</v>
      </c>
      <c r="D2211">
        <v>51377.048000000003</v>
      </c>
      <c r="E2211" t="s">
        <v>6</v>
      </c>
      <c r="F2211" t="s">
        <v>51</v>
      </c>
      <c r="G2211" t="s">
        <v>7</v>
      </c>
    </row>
    <row r="2212" spans="1:7" x14ac:dyDescent="0.3">
      <c r="A2212" t="s">
        <v>34</v>
      </c>
      <c r="B2212" s="1">
        <v>45900</v>
      </c>
      <c r="C2212">
        <v>546040</v>
      </c>
      <c r="D2212">
        <v>17858.106</v>
      </c>
      <c r="E2212" t="s">
        <v>6</v>
      </c>
      <c r="F2212" t="s">
        <v>51</v>
      </c>
      <c r="G2212" t="s">
        <v>7</v>
      </c>
    </row>
    <row r="2213" spans="1:7" x14ac:dyDescent="0.3">
      <c r="A2213" t="s">
        <v>34</v>
      </c>
      <c r="B2213" s="1">
        <v>45900</v>
      </c>
      <c r="C2213">
        <v>546045</v>
      </c>
      <c r="D2213">
        <v>1446.3140000000001</v>
      </c>
      <c r="E2213" t="s">
        <v>6</v>
      </c>
      <c r="F2213" t="s">
        <v>51</v>
      </c>
      <c r="G2213" t="s">
        <v>7</v>
      </c>
    </row>
    <row r="2214" spans="1:7" x14ac:dyDescent="0.3">
      <c r="A2214" t="s">
        <v>34</v>
      </c>
      <c r="B2214" s="1">
        <v>45900</v>
      </c>
      <c r="C2214">
        <v>546047</v>
      </c>
      <c r="D2214">
        <v>44.076999999999998</v>
      </c>
      <c r="E2214" t="s">
        <v>6</v>
      </c>
      <c r="F2214" t="s">
        <v>51</v>
      </c>
      <c r="G2214" t="s">
        <v>7</v>
      </c>
    </row>
    <row r="2215" spans="1:7" x14ac:dyDescent="0.3">
      <c r="A2215" t="s">
        <v>34</v>
      </c>
      <c r="B2215" s="1">
        <v>45900</v>
      </c>
      <c r="C2215">
        <v>547002</v>
      </c>
      <c r="D2215">
        <v>9012.3940000000002</v>
      </c>
      <c r="E2215" t="s">
        <v>6</v>
      </c>
      <c r="F2215" t="s">
        <v>54</v>
      </c>
      <c r="G2215" t="s">
        <v>7</v>
      </c>
    </row>
    <row r="2216" spans="1:7" x14ac:dyDescent="0.3">
      <c r="A2216" t="s">
        <v>34</v>
      </c>
      <c r="B2216" s="1">
        <v>45900</v>
      </c>
      <c r="C2216">
        <v>547006</v>
      </c>
      <c r="D2216">
        <v>19025.896000000001</v>
      </c>
      <c r="E2216" t="s">
        <v>6</v>
      </c>
      <c r="F2216" t="s">
        <v>54</v>
      </c>
      <c r="G2216" t="s">
        <v>7</v>
      </c>
    </row>
    <row r="2217" spans="1:7" x14ac:dyDescent="0.3">
      <c r="A2217" t="s">
        <v>34</v>
      </c>
      <c r="B2217" s="1">
        <v>45900</v>
      </c>
      <c r="C2217">
        <v>550003</v>
      </c>
      <c r="D2217">
        <v>56328.800999999999</v>
      </c>
      <c r="E2217" t="s">
        <v>6</v>
      </c>
      <c r="F2217" t="s">
        <v>62</v>
      </c>
      <c r="G2217" t="s">
        <v>7</v>
      </c>
    </row>
    <row r="2218" spans="1:7" x14ac:dyDescent="0.3">
      <c r="A2218" t="s">
        <v>34</v>
      </c>
      <c r="B2218" s="1">
        <v>45900</v>
      </c>
      <c r="C2218">
        <v>551008</v>
      </c>
      <c r="D2218">
        <v>147.03200000000001</v>
      </c>
      <c r="E2218" t="s">
        <v>6</v>
      </c>
      <c r="F2218" t="s">
        <v>63</v>
      </c>
      <c r="G2218" t="s">
        <v>7</v>
      </c>
    </row>
    <row r="2219" spans="1:7" x14ac:dyDescent="0.3">
      <c r="A2219" t="s">
        <v>34</v>
      </c>
      <c r="B2219" s="1">
        <v>45900</v>
      </c>
      <c r="C2219">
        <v>555508</v>
      </c>
      <c r="D2219">
        <v>8.5649999999999995</v>
      </c>
      <c r="E2219" t="s">
        <v>6</v>
      </c>
      <c r="F2219" t="s">
        <v>55</v>
      </c>
      <c r="G2219" t="s">
        <v>7</v>
      </c>
    </row>
    <row r="2220" spans="1:7" x14ac:dyDescent="0.3">
      <c r="A2220" t="s">
        <v>34</v>
      </c>
      <c r="B2220" s="1">
        <v>45900</v>
      </c>
      <c r="C2220">
        <v>556002</v>
      </c>
      <c r="D2220">
        <v>104.307</v>
      </c>
      <c r="E2220" t="s">
        <v>6</v>
      </c>
      <c r="F2220" t="s">
        <v>60</v>
      </c>
      <c r="G2220" t="s">
        <v>7</v>
      </c>
    </row>
    <row r="2221" spans="1:7" x14ac:dyDescent="0.3">
      <c r="A2221" t="s">
        <v>34</v>
      </c>
      <c r="B2221" s="1">
        <v>45900</v>
      </c>
      <c r="C2221">
        <v>557002</v>
      </c>
      <c r="D2221">
        <v>5191.8950000000004</v>
      </c>
      <c r="E2221" t="s">
        <v>6</v>
      </c>
      <c r="F2221" t="s">
        <v>56</v>
      </c>
      <c r="G2221" t="s">
        <v>7</v>
      </c>
    </row>
    <row r="2222" spans="1:7" x14ac:dyDescent="0.3">
      <c r="A2222" t="s">
        <v>34</v>
      </c>
      <c r="B2222" s="1">
        <v>45900</v>
      </c>
      <c r="C2222">
        <v>557003</v>
      </c>
      <c r="D2222">
        <v>497.69799999999998</v>
      </c>
      <c r="E2222" t="s">
        <v>6</v>
      </c>
      <c r="F2222" t="s">
        <v>56</v>
      </c>
      <c r="G2222" t="s">
        <v>7</v>
      </c>
    </row>
    <row r="2223" spans="1:7" x14ac:dyDescent="0.3">
      <c r="A2223" t="s">
        <v>34</v>
      </c>
      <c r="B2223" s="1">
        <v>45900</v>
      </c>
      <c r="C2223">
        <v>558012</v>
      </c>
      <c r="D2223">
        <v>3940.71</v>
      </c>
      <c r="E2223" t="s">
        <v>6</v>
      </c>
      <c r="F2223" t="s">
        <v>60</v>
      </c>
      <c r="G2223" t="s">
        <v>7</v>
      </c>
    </row>
    <row r="2224" spans="1:7" x14ac:dyDescent="0.3">
      <c r="A2224" t="s">
        <v>34</v>
      </c>
      <c r="B2224" s="1">
        <v>45900</v>
      </c>
      <c r="C2224">
        <v>559002</v>
      </c>
      <c r="D2224">
        <v>59.103000000000002</v>
      </c>
      <c r="E2224" t="s">
        <v>6</v>
      </c>
      <c r="F2224" t="s">
        <v>60</v>
      </c>
      <c r="G2224" t="s">
        <v>7</v>
      </c>
    </row>
    <row r="2225" spans="1:7" x14ac:dyDescent="0.3">
      <c r="A2225" t="s">
        <v>34</v>
      </c>
      <c r="B2225" s="1">
        <v>45900</v>
      </c>
      <c r="C2225">
        <v>563002</v>
      </c>
      <c r="D2225">
        <v>5566.777</v>
      </c>
      <c r="E2225" t="s">
        <v>6</v>
      </c>
      <c r="F2225" t="s">
        <v>57</v>
      </c>
      <c r="G2225" t="s">
        <v>7</v>
      </c>
    </row>
    <row r="2226" spans="1:7" x14ac:dyDescent="0.3">
      <c r="A2226" t="s">
        <v>34</v>
      </c>
      <c r="B2226" s="1">
        <v>45900</v>
      </c>
      <c r="C2226">
        <v>564004</v>
      </c>
      <c r="D2226">
        <v>9903.6710000000003</v>
      </c>
      <c r="E2226" t="s">
        <v>6</v>
      </c>
      <c r="F2226" t="s">
        <v>51</v>
      </c>
      <c r="G2226" t="s">
        <v>7</v>
      </c>
    </row>
    <row r="2227" spans="1:7" x14ac:dyDescent="0.3">
      <c r="A2227" t="s">
        <v>34</v>
      </c>
      <c r="B2227" s="1">
        <v>45900</v>
      </c>
      <c r="C2227">
        <v>564006</v>
      </c>
      <c r="D2227">
        <v>-0.12</v>
      </c>
      <c r="E2227" t="s">
        <v>6</v>
      </c>
      <c r="F2227" t="s">
        <v>57</v>
      </c>
      <c r="G2227" t="s">
        <v>7</v>
      </c>
    </row>
    <row r="2228" spans="1:7" x14ac:dyDescent="0.3">
      <c r="A2228" t="s">
        <v>34</v>
      </c>
      <c r="B2228" s="1">
        <v>45900</v>
      </c>
      <c r="C2228">
        <v>564020</v>
      </c>
      <c r="D2228">
        <v>75.584999999999994</v>
      </c>
      <c r="E2228" t="s">
        <v>6</v>
      </c>
      <c r="F2228" t="s">
        <v>57</v>
      </c>
      <c r="G2228" t="s">
        <v>7</v>
      </c>
    </row>
    <row r="2229" spans="1:7" x14ac:dyDescent="0.3">
      <c r="A2229" t="s">
        <v>34</v>
      </c>
      <c r="B2229" s="1">
        <v>45900</v>
      </c>
      <c r="C2229">
        <v>564021</v>
      </c>
      <c r="D2229">
        <v>2.9159999999999999</v>
      </c>
      <c r="E2229" t="s">
        <v>6</v>
      </c>
      <c r="F2229" t="s">
        <v>57</v>
      </c>
      <c r="G2229" t="s">
        <v>7</v>
      </c>
    </row>
    <row r="2230" spans="1:7" x14ac:dyDescent="0.3">
      <c r="A2230" t="s">
        <v>34</v>
      </c>
      <c r="B2230" s="1">
        <v>45900</v>
      </c>
      <c r="C2230">
        <v>570002</v>
      </c>
      <c r="D2230">
        <v>11.22</v>
      </c>
      <c r="E2230" t="s">
        <v>6</v>
      </c>
      <c r="F2230" t="s">
        <v>66</v>
      </c>
      <c r="G2230" t="s">
        <v>7</v>
      </c>
    </row>
    <row r="2231" spans="1:7" x14ac:dyDescent="0.3">
      <c r="A2231" t="s">
        <v>34</v>
      </c>
      <c r="B2231" s="1">
        <v>45900</v>
      </c>
      <c r="C2231">
        <v>580002</v>
      </c>
      <c r="D2231">
        <v>31.588000000000001</v>
      </c>
      <c r="E2231" t="s">
        <v>6</v>
      </c>
      <c r="F2231" t="s">
        <v>64</v>
      </c>
      <c r="G2231" t="s">
        <v>7</v>
      </c>
    </row>
    <row r="2232" spans="1:7" x14ac:dyDescent="0.3">
      <c r="A2232" t="s">
        <v>34</v>
      </c>
      <c r="B2232" s="1">
        <v>45900</v>
      </c>
      <c r="C2232">
        <v>580003</v>
      </c>
      <c r="D2232">
        <v>-3414.2130000000002</v>
      </c>
      <c r="E2232" t="s">
        <v>6</v>
      </c>
      <c r="F2232" t="s">
        <v>64</v>
      </c>
      <c r="G2232" t="s">
        <v>7</v>
      </c>
    </row>
    <row r="2233" spans="1:7" x14ac:dyDescent="0.3">
      <c r="A2233" t="s">
        <v>35</v>
      </c>
      <c r="B2233" s="1">
        <v>45900</v>
      </c>
      <c r="C2233">
        <v>210002</v>
      </c>
      <c r="D2233">
        <v>-61756.728000000003</v>
      </c>
      <c r="E2233" t="s">
        <v>4</v>
      </c>
      <c r="F2233" t="s">
        <v>42</v>
      </c>
      <c r="G2233" t="s">
        <v>7</v>
      </c>
    </row>
    <row r="2234" spans="1:7" x14ac:dyDescent="0.3">
      <c r="A2234" t="s">
        <v>35</v>
      </c>
      <c r="B2234" s="1">
        <v>45900</v>
      </c>
      <c r="C2234">
        <v>220006</v>
      </c>
      <c r="D2234">
        <v>-7231136.6310000001</v>
      </c>
      <c r="E2234" t="s">
        <v>4</v>
      </c>
      <c r="F2234" t="s">
        <v>42</v>
      </c>
      <c r="G2234" t="s">
        <v>7</v>
      </c>
    </row>
    <row r="2235" spans="1:7" x14ac:dyDescent="0.3">
      <c r="A2235" t="s">
        <v>35</v>
      </c>
      <c r="B2235" s="1">
        <v>45900</v>
      </c>
      <c r="C2235">
        <v>240002</v>
      </c>
      <c r="D2235">
        <v>-94225.813999999998</v>
      </c>
      <c r="E2235" t="s">
        <v>4</v>
      </c>
      <c r="F2235" t="s">
        <v>43</v>
      </c>
      <c r="G2235" t="s">
        <v>7</v>
      </c>
    </row>
    <row r="2236" spans="1:7" x14ac:dyDescent="0.3">
      <c r="A2236" t="s">
        <v>35</v>
      </c>
      <c r="B2236" s="1">
        <v>45900</v>
      </c>
      <c r="C2236">
        <v>240003</v>
      </c>
      <c r="D2236">
        <v>1594.114</v>
      </c>
      <c r="E2236" t="s">
        <v>4</v>
      </c>
      <c r="F2236" t="s">
        <v>43</v>
      </c>
      <c r="G2236" t="s">
        <v>7</v>
      </c>
    </row>
    <row r="2237" spans="1:7" x14ac:dyDescent="0.3">
      <c r="A2237" t="s">
        <v>35</v>
      </c>
      <c r="B2237" s="1">
        <v>45900</v>
      </c>
      <c r="C2237">
        <v>240009</v>
      </c>
      <c r="D2237">
        <v>-30420</v>
      </c>
      <c r="E2237" t="s">
        <v>4</v>
      </c>
      <c r="F2237" t="s">
        <v>43</v>
      </c>
      <c r="G2237" t="s">
        <v>7</v>
      </c>
    </row>
    <row r="2238" spans="1:7" x14ac:dyDescent="0.3">
      <c r="A2238" t="s">
        <v>35</v>
      </c>
      <c r="B2238" s="1">
        <v>45900</v>
      </c>
      <c r="C2238">
        <v>242003</v>
      </c>
      <c r="D2238">
        <v>1468536.862</v>
      </c>
      <c r="E2238" t="s">
        <v>4</v>
      </c>
      <c r="F2238" t="s">
        <v>43</v>
      </c>
      <c r="G2238" t="s">
        <v>7</v>
      </c>
    </row>
    <row r="2239" spans="1:7" x14ac:dyDescent="0.3">
      <c r="A2239" t="s">
        <v>35</v>
      </c>
      <c r="B2239" s="1">
        <v>45900</v>
      </c>
      <c r="C2239">
        <v>242007</v>
      </c>
      <c r="D2239">
        <v>-2765.0619999999999</v>
      </c>
      <c r="E2239" t="s">
        <v>4</v>
      </c>
      <c r="F2239" t="s">
        <v>43</v>
      </c>
      <c r="G2239" t="s">
        <v>7</v>
      </c>
    </row>
    <row r="2240" spans="1:7" x14ac:dyDescent="0.3">
      <c r="A2240" t="s">
        <v>35</v>
      </c>
      <c r="B2240" s="1">
        <v>45900</v>
      </c>
      <c r="C2240">
        <v>242011</v>
      </c>
      <c r="D2240">
        <v>-670116.71400000004</v>
      </c>
      <c r="E2240" t="s">
        <v>4</v>
      </c>
      <c r="F2240" t="s">
        <v>43</v>
      </c>
      <c r="G2240" t="s">
        <v>7</v>
      </c>
    </row>
    <row r="2241" spans="1:7" x14ac:dyDescent="0.3">
      <c r="A2241" t="s">
        <v>35</v>
      </c>
      <c r="B2241" s="1">
        <v>45900</v>
      </c>
      <c r="C2241">
        <v>242012</v>
      </c>
      <c r="D2241">
        <v>-9695.5480000000007</v>
      </c>
      <c r="E2241" t="s">
        <v>4</v>
      </c>
      <c r="F2241" t="s">
        <v>43</v>
      </c>
      <c r="G2241" t="s">
        <v>7</v>
      </c>
    </row>
    <row r="2242" spans="1:7" x14ac:dyDescent="0.3">
      <c r="A2242" t="s">
        <v>35</v>
      </c>
      <c r="B2242" s="1">
        <v>45900</v>
      </c>
      <c r="C2242">
        <v>242013</v>
      </c>
      <c r="D2242">
        <v>-20933.401999999998</v>
      </c>
      <c r="E2242" t="s">
        <v>4</v>
      </c>
      <c r="F2242" t="s">
        <v>43</v>
      </c>
      <c r="G2242" t="s">
        <v>7</v>
      </c>
    </row>
    <row r="2243" spans="1:7" x14ac:dyDescent="0.3">
      <c r="A2243" t="s">
        <v>35</v>
      </c>
      <c r="B2243" s="1">
        <v>45900</v>
      </c>
      <c r="C2243">
        <v>242014</v>
      </c>
      <c r="D2243">
        <v>-28384.26</v>
      </c>
      <c r="E2243" t="s">
        <v>4</v>
      </c>
      <c r="F2243" t="s">
        <v>43</v>
      </c>
      <c r="G2243" t="s">
        <v>7</v>
      </c>
    </row>
    <row r="2244" spans="1:7" x14ac:dyDescent="0.3">
      <c r="A2244" t="s">
        <v>35</v>
      </c>
      <c r="B2244" s="1">
        <v>45900</v>
      </c>
      <c r="C2244">
        <v>242017</v>
      </c>
      <c r="D2244">
        <v>-3025.0889999999999</v>
      </c>
      <c r="E2244" t="s">
        <v>4</v>
      </c>
      <c r="F2244" t="s">
        <v>43</v>
      </c>
      <c r="G2244" t="s">
        <v>7</v>
      </c>
    </row>
    <row r="2245" spans="1:7" x14ac:dyDescent="0.3">
      <c r="A2245" t="s">
        <v>35</v>
      </c>
      <c r="B2245" s="1">
        <v>45900</v>
      </c>
      <c r="C2245">
        <v>242023</v>
      </c>
      <c r="D2245">
        <v>-1486.2260000000001</v>
      </c>
      <c r="E2245" t="s">
        <v>4</v>
      </c>
      <c r="F2245" t="s">
        <v>43</v>
      </c>
      <c r="G2245" t="s">
        <v>7</v>
      </c>
    </row>
    <row r="2246" spans="1:7" x14ac:dyDescent="0.3">
      <c r="A2246" t="s">
        <v>35</v>
      </c>
      <c r="B2246" s="1">
        <v>45900</v>
      </c>
      <c r="C2246">
        <v>242027</v>
      </c>
      <c r="D2246">
        <v>-44926.057000000001</v>
      </c>
      <c r="E2246" t="s">
        <v>4</v>
      </c>
      <c r="F2246" t="s">
        <v>43</v>
      </c>
      <c r="G2246" t="s">
        <v>7</v>
      </c>
    </row>
    <row r="2247" spans="1:7" x14ac:dyDescent="0.3">
      <c r="A2247" t="s">
        <v>35</v>
      </c>
      <c r="B2247" s="1">
        <v>45900</v>
      </c>
      <c r="C2247">
        <v>242038</v>
      </c>
      <c r="D2247">
        <v>-5960.4690000000001</v>
      </c>
      <c r="E2247" t="s">
        <v>4</v>
      </c>
      <c r="F2247" t="s">
        <v>43</v>
      </c>
      <c r="G2247" t="s">
        <v>7</v>
      </c>
    </row>
    <row r="2248" spans="1:7" x14ac:dyDescent="0.3">
      <c r="A2248" t="s">
        <v>35</v>
      </c>
      <c r="B2248" s="1">
        <v>45900</v>
      </c>
      <c r="C2248">
        <v>242039</v>
      </c>
      <c r="D2248">
        <v>-11706.109</v>
      </c>
      <c r="E2248" t="s">
        <v>4</v>
      </c>
      <c r="F2248" t="s">
        <v>43</v>
      </c>
      <c r="G2248" t="s">
        <v>7</v>
      </c>
    </row>
    <row r="2249" spans="1:7" x14ac:dyDescent="0.3">
      <c r="A2249" t="s">
        <v>35</v>
      </c>
      <c r="B2249" s="1">
        <v>45900</v>
      </c>
      <c r="C2249">
        <v>242041</v>
      </c>
      <c r="D2249">
        <v>2497.3150000000001</v>
      </c>
      <c r="E2249" t="s">
        <v>4</v>
      </c>
      <c r="F2249" t="s">
        <v>43</v>
      </c>
      <c r="G2249" t="s">
        <v>7</v>
      </c>
    </row>
    <row r="2250" spans="1:7" x14ac:dyDescent="0.3">
      <c r="A2250" t="s">
        <v>35</v>
      </c>
      <c r="B2250" s="1">
        <v>45900</v>
      </c>
      <c r="C2250">
        <v>243002</v>
      </c>
      <c r="D2250">
        <v>-48461.144</v>
      </c>
      <c r="E2250" t="s">
        <v>4</v>
      </c>
      <c r="F2250" t="s">
        <v>43</v>
      </c>
      <c r="G2250" t="s">
        <v>7</v>
      </c>
    </row>
    <row r="2251" spans="1:7" x14ac:dyDescent="0.3">
      <c r="A2251" t="s">
        <v>35</v>
      </c>
      <c r="B2251" s="1">
        <v>45900</v>
      </c>
      <c r="C2251">
        <v>243003</v>
      </c>
      <c r="D2251">
        <v>-857152.93799999997</v>
      </c>
      <c r="E2251" t="s">
        <v>4</v>
      </c>
      <c r="F2251" t="s">
        <v>43</v>
      </c>
      <c r="G2251" t="s">
        <v>7</v>
      </c>
    </row>
    <row r="2252" spans="1:7" x14ac:dyDescent="0.3">
      <c r="A2252" t="s">
        <v>35</v>
      </c>
      <c r="B2252" s="1">
        <v>45900</v>
      </c>
      <c r="C2252">
        <v>243009</v>
      </c>
      <c r="D2252">
        <v>-8294.5190000000002</v>
      </c>
      <c r="E2252" t="s">
        <v>4</v>
      </c>
      <c r="F2252" t="s">
        <v>43</v>
      </c>
      <c r="G2252" t="s">
        <v>7</v>
      </c>
    </row>
    <row r="2253" spans="1:7" x14ac:dyDescent="0.3">
      <c r="A2253" t="s">
        <v>35</v>
      </c>
      <c r="B2253" s="1">
        <v>45900</v>
      </c>
      <c r="C2253">
        <v>243010</v>
      </c>
      <c r="D2253">
        <v>-7414.5290000000005</v>
      </c>
      <c r="E2253" t="s">
        <v>4</v>
      </c>
      <c r="F2253" t="s">
        <v>43</v>
      </c>
      <c r="G2253" t="s">
        <v>7</v>
      </c>
    </row>
    <row r="2254" spans="1:7" x14ac:dyDescent="0.3">
      <c r="A2254" t="s">
        <v>35</v>
      </c>
      <c r="B2254" s="1">
        <v>45900</v>
      </c>
      <c r="C2254">
        <v>243011</v>
      </c>
      <c r="D2254">
        <v>-33348.633000000002</v>
      </c>
      <c r="E2254" t="s">
        <v>4</v>
      </c>
      <c r="F2254" t="s">
        <v>43</v>
      </c>
      <c r="G2254" t="s">
        <v>7</v>
      </c>
    </row>
    <row r="2255" spans="1:7" x14ac:dyDescent="0.3">
      <c r="A2255" t="s">
        <v>35</v>
      </c>
      <c r="B2255" s="1">
        <v>45900</v>
      </c>
      <c r="C2255">
        <v>245006</v>
      </c>
      <c r="D2255">
        <v>-1064.8920000000001</v>
      </c>
      <c r="E2255" t="s">
        <v>4</v>
      </c>
      <c r="F2255" t="s">
        <v>43</v>
      </c>
      <c r="G2255" t="s">
        <v>7</v>
      </c>
    </row>
    <row r="2256" spans="1:7" x14ac:dyDescent="0.3">
      <c r="A2256" t="s">
        <v>35</v>
      </c>
      <c r="B2256" s="1">
        <v>45900</v>
      </c>
      <c r="C2256">
        <v>245010</v>
      </c>
      <c r="D2256">
        <v>-218347.67</v>
      </c>
      <c r="E2256" t="s">
        <v>4</v>
      </c>
      <c r="F2256" t="s">
        <v>44</v>
      </c>
      <c r="G2256" t="s">
        <v>7</v>
      </c>
    </row>
    <row r="2257" spans="1:7" x14ac:dyDescent="0.3">
      <c r="A2257" t="s">
        <v>35</v>
      </c>
      <c r="B2257" s="1">
        <v>45900</v>
      </c>
      <c r="C2257">
        <v>245018</v>
      </c>
      <c r="D2257">
        <v>-89718.69</v>
      </c>
      <c r="E2257" t="s">
        <v>4</v>
      </c>
      <c r="F2257" t="s">
        <v>43</v>
      </c>
      <c r="G2257" t="s">
        <v>7</v>
      </c>
    </row>
    <row r="2258" spans="1:7" x14ac:dyDescent="0.3">
      <c r="A2258" t="s">
        <v>35</v>
      </c>
      <c r="B2258" s="1">
        <v>45900</v>
      </c>
      <c r="C2258">
        <v>245055</v>
      </c>
      <c r="D2258">
        <v>-981.04499999999996</v>
      </c>
      <c r="E2258" t="s">
        <v>4</v>
      </c>
      <c r="F2258" t="s">
        <v>43</v>
      </c>
      <c r="G2258" t="s">
        <v>7</v>
      </c>
    </row>
    <row r="2259" spans="1:7" x14ac:dyDescent="0.3">
      <c r="A2259" t="s">
        <v>35</v>
      </c>
      <c r="B2259" s="1">
        <v>45900</v>
      </c>
      <c r="C2259">
        <v>245056</v>
      </c>
      <c r="D2259">
        <v>-5604.1989999999996</v>
      </c>
      <c r="E2259" t="s">
        <v>4</v>
      </c>
      <c r="F2259" t="s">
        <v>49</v>
      </c>
      <c r="G2259" t="s">
        <v>7</v>
      </c>
    </row>
    <row r="2260" spans="1:7" x14ac:dyDescent="0.3">
      <c r="A2260" t="s">
        <v>35</v>
      </c>
      <c r="B2260" s="1">
        <v>45900</v>
      </c>
      <c r="C2260">
        <v>245062</v>
      </c>
      <c r="D2260">
        <v>-169288.283</v>
      </c>
      <c r="E2260" t="s">
        <v>4</v>
      </c>
      <c r="F2260" t="s">
        <v>43</v>
      </c>
      <c r="G2260" t="s">
        <v>7</v>
      </c>
    </row>
    <row r="2261" spans="1:7" x14ac:dyDescent="0.3">
      <c r="A2261" t="s">
        <v>35</v>
      </c>
      <c r="B2261" s="1">
        <v>45900</v>
      </c>
      <c r="C2261">
        <v>250003</v>
      </c>
      <c r="D2261">
        <v>-32066.915000000001</v>
      </c>
      <c r="E2261" t="s">
        <v>4</v>
      </c>
      <c r="F2261" t="s">
        <v>45</v>
      </c>
      <c r="G2261" t="s">
        <v>7</v>
      </c>
    </row>
    <row r="2262" spans="1:7" x14ac:dyDescent="0.3">
      <c r="A2262" t="s">
        <v>35</v>
      </c>
      <c r="B2262" s="1">
        <v>45900</v>
      </c>
      <c r="C2262">
        <v>250007</v>
      </c>
      <c r="D2262">
        <v>-231180.345</v>
      </c>
      <c r="E2262" t="s">
        <v>4</v>
      </c>
      <c r="F2262" t="s">
        <v>43</v>
      </c>
      <c r="G2262" t="s">
        <v>7</v>
      </c>
    </row>
    <row r="2263" spans="1:7" x14ac:dyDescent="0.3">
      <c r="A2263" t="s">
        <v>35</v>
      </c>
      <c r="B2263" s="1">
        <v>45900</v>
      </c>
      <c r="C2263">
        <v>251002</v>
      </c>
      <c r="D2263">
        <v>-223322.01500000001</v>
      </c>
      <c r="E2263" t="s">
        <v>4</v>
      </c>
      <c r="F2263" t="s">
        <v>45</v>
      </c>
      <c r="G2263" t="s">
        <v>7</v>
      </c>
    </row>
    <row r="2264" spans="1:7" x14ac:dyDescent="0.3">
      <c r="A2264" t="s">
        <v>35</v>
      </c>
      <c r="B2264" s="1">
        <v>45900</v>
      </c>
      <c r="C2264">
        <v>251003</v>
      </c>
      <c r="D2264">
        <v>-103186.50900000001</v>
      </c>
      <c r="E2264" t="s">
        <v>4</v>
      </c>
      <c r="F2264" t="s">
        <v>45</v>
      </c>
      <c r="G2264" t="s">
        <v>7</v>
      </c>
    </row>
    <row r="2265" spans="1:7" x14ac:dyDescent="0.3">
      <c r="A2265" t="s">
        <v>35</v>
      </c>
      <c r="B2265" s="1">
        <v>45900</v>
      </c>
      <c r="C2265">
        <v>251005</v>
      </c>
      <c r="D2265">
        <v>6828.9260000000004</v>
      </c>
      <c r="E2265" t="s">
        <v>4</v>
      </c>
      <c r="F2265" t="s">
        <v>46</v>
      </c>
      <c r="G2265" t="s">
        <v>7</v>
      </c>
    </row>
    <row r="2266" spans="1:7" x14ac:dyDescent="0.3">
      <c r="A2266" t="s">
        <v>35</v>
      </c>
      <c r="B2266" s="1">
        <v>45900</v>
      </c>
      <c r="C2266">
        <v>257008</v>
      </c>
      <c r="D2266">
        <v>-11842.291999999999</v>
      </c>
      <c r="E2266" t="s">
        <v>4</v>
      </c>
      <c r="F2266" t="s">
        <v>45</v>
      </c>
      <c r="G2266" t="s">
        <v>7</v>
      </c>
    </row>
    <row r="2267" spans="1:7" x14ac:dyDescent="0.3">
      <c r="A2267" t="s">
        <v>35</v>
      </c>
      <c r="B2267" s="1">
        <v>45900</v>
      </c>
      <c r="C2267">
        <v>257009</v>
      </c>
      <c r="D2267">
        <v>-12962.133</v>
      </c>
      <c r="E2267" t="s">
        <v>4</v>
      </c>
      <c r="F2267" t="s">
        <v>45</v>
      </c>
      <c r="G2267" t="s">
        <v>7</v>
      </c>
    </row>
    <row r="2268" spans="1:7" x14ac:dyDescent="0.3">
      <c r="A2268" t="s">
        <v>35</v>
      </c>
      <c r="B2268" s="1">
        <v>45900</v>
      </c>
      <c r="C2268">
        <v>257011</v>
      </c>
      <c r="D2268">
        <v>442.73899999999998</v>
      </c>
      <c r="E2268" t="s">
        <v>4</v>
      </c>
      <c r="F2268" t="s">
        <v>45</v>
      </c>
      <c r="G2268" t="s">
        <v>7</v>
      </c>
    </row>
    <row r="2269" spans="1:7" x14ac:dyDescent="0.3">
      <c r="A2269" t="s">
        <v>35</v>
      </c>
      <c r="B2269" s="1">
        <v>45900</v>
      </c>
      <c r="C2269">
        <v>257022</v>
      </c>
      <c r="D2269">
        <v>1623.692</v>
      </c>
      <c r="E2269" t="s">
        <v>4</v>
      </c>
      <c r="F2269" t="s">
        <v>45</v>
      </c>
      <c r="G2269" t="s">
        <v>7</v>
      </c>
    </row>
    <row r="2270" spans="1:7" x14ac:dyDescent="0.3">
      <c r="A2270" t="s">
        <v>35</v>
      </c>
      <c r="B2270" s="1">
        <v>45900</v>
      </c>
      <c r="C2270">
        <v>257028</v>
      </c>
      <c r="D2270">
        <v>-103967.307</v>
      </c>
      <c r="E2270" t="s">
        <v>4</v>
      </c>
      <c r="F2270" t="s">
        <v>45</v>
      </c>
      <c r="G2270" t="s">
        <v>7</v>
      </c>
    </row>
    <row r="2271" spans="1:7" x14ac:dyDescent="0.3">
      <c r="A2271" t="s">
        <v>35</v>
      </c>
      <c r="B2271" s="1">
        <v>45900</v>
      </c>
      <c r="C2271">
        <v>260004</v>
      </c>
      <c r="D2271">
        <v>-15459.359</v>
      </c>
      <c r="E2271" t="s">
        <v>4</v>
      </c>
      <c r="F2271" t="s">
        <v>45</v>
      </c>
      <c r="G2271" t="s">
        <v>7</v>
      </c>
    </row>
    <row r="2272" spans="1:7" x14ac:dyDescent="0.3">
      <c r="A2272" t="s">
        <v>35</v>
      </c>
      <c r="B2272" s="1">
        <v>45900</v>
      </c>
      <c r="C2272">
        <v>270024</v>
      </c>
      <c r="D2272">
        <v>-350131.88199999998</v>
      </c>
      <c r="E2272" t="s">
        <v>4</v>
      </c>
      <c r="F2272" t="s">
        <v>58</v>
      </c>
      <c r="G2272" t="s">
        <v>7</v>
      </c>
    </row>
    <row r="2273" spans="1:7" x14ac:dyDescent="0.3">
      <c r="A2273" t="s">
        <v>35</v>
      </c>
      <c r="B2273" s="1">
        <v>45900</v>
      </c>
      <c r="C2273">
        <v>270025</v>
      </c>
      <c r="D2273">
        <v>-410671.17</v>
      </c>
      <c r="E2273" t="s">
        <v>4</v>
      </c>
      <c r="F2273" t="s">
        <v>58</v>
      </c>
      <c r="G2273" t="s">
        <v>7</v>
      </c>
    </row>
    <row r="2274" spans="1:7" x14ac:dyDescent="0.3">
      <c r="A2274" t="s">
        <v>35</v>
      </c>
      <c r="B2274" s="1">
        <v>45900</v>
      </c>
      <c r="C2274">
        <v>270026</v>
      </c>
      <c r="D2274">
        <v>-587440.98499999999</v>
      </c>
      <c r="E2274" t="s">
        <v>4</v>
      </c>
      <c r="F2274" t="s">
        <v>58</v>
      </c>
      <c r="G2274" t="s">
        <v>7</v>
      </c>
    </row>
    <row r="2275" spans="1:7" x14ac:dyDescent="0.3">
      <c r="A2275" t="s">
        <v>35</v>
      </c>
      <c r="B2275" s="1">
        <v>45900</v>
      </c>
      <c r="C2275">
        <v>270027</v>
      </c>
      <c r="D2275">
        <v>-177431.772</v>
      </c>
      <c r="E2275" t="s">
        <v>4</v>
      </c>
      <c r="F2275" t="s">
        <v>58</v>
      </c>
      <c r="G2275" t="s">
        <v>7</v>
      </c>
    </row>
    <row r="2276" spans="1:7" x14ac:dyDescent="0.3">
      <c r="A2276" t="s">
        <v>35</v>
      </c>
      <c r="B2276" s="1">
        <v>45900</v>
      </c>
      <c r="C2276">
        <v>300004</v>
      </c>
      <c r="D2276">
        <v>5356.1180000000004</v>
      </c>
      <c r="E2276" t="s">
        <v>4</v>
      </c>
      <c r="F2276" t="s">
        <v>65</v>
      </c>
      <c r="G2276" t="s">
        <v>7</v>
      </c>
    </row>
    <row r="2277" spans="1:7" x14ac:dyDescent="0.3">
      <c r="A2277" t="s">
        <v>35</v>
      </c>
      <c r="B2277" s="1">
        <v>45900</v>
      </c>
      <c r="C2277">
        <v>300005</v>
      </c>
      <c r="D2277">
        <v>32047.808000000001</v>
      </c>
      <c r="E2277" t="s">
        <v>4</v>
      </c>
      <c r="F2277" t="s">
        <v>65</v>
      </c>
      <c r="G2277" t="s">
        <v>7</v>
      </c>
    </row>
    <row r="2278" spans="1:7" x14ac:dyDescent="0.3">
      <c r="A2278" t="s">
        <v>35</v>
      </c>
      <c r="B2278" s="1">
        <v>45900</v>
      </c>
      <c r="C2278">
        <v>300008</v>
      </c>
      <c r="D2278">
        <v>48145.747000000003</v>
      </c>
      <c r="E2278" t="s">
        <v>4</v>
      </c>
      <c r="F2278" t="s">
        <v>65</v>
      </c>
      <c r="G2278" t="s">
        <v>7</v>
      </c>
    </row>
    <row r="2279" spans="1:7" x14ac:dyDescent="0.3">
      <c r="A2279" t="s">
        <v>35</v>
      </c>
      <c r="B2279" s="1">
        <v>45900</v>
      </c>
      <c r="C2279">
        <v>300009</v>
      </c>
      <c r="D2279">
        <v>38.591000000000001</v>
      </c>
      <c r="E2279" t="s">
        <v>4</v>
      </c>
      <c r="F2279" t="s">
        <v>65</v>
      </c>
      <c r="G2279" t="s">
        <v>7</v>
      </c>
    </row>
    <row r="2280" spans="1:7" x14ac:dyDescent="0.3">
      <c r="A2280" t="s">
        <v>35</v>
      </c>
      <c r="B2280" s="1">
        <v>45900</v>
      </c>
      <c r="C2280">
        <v>300012</v>
      </c>
      <c r="D2280">
        <v>85.861999999999995</v>
      </c>
      <c r="E2280" t="s">
        <v>4</v>
      </c>
      <c r="F2280" t="s">
        <v>65</v>
      </c>
      <c r="G2280" t="s">
        <v>7</v>
      </c>
    </row>
    <row r="2281" spans="1:7" x14ac:dyDescent="0.3">
      <c r="A2281" t="s">
        <v>35</v>
      </c>
      <c r="B2281" s="1">
        <v>45900</v>
      </c>
      <c r="C2281">
        <v>300504</v>
      </c>
      <c r="D2281">
        <v>-4819.8320000000003</v>
      </c>
      <c r="E2281" t="s">
        <v>4</v>
      </c>
      <c r="F2281" t="s">
        <v>65</v>
      </c>
      <c r="G2281" t="s">
        <v>7</v>
      </c>
    </row>
    <row r="2282" spans="1:7" x14ac:dyDescent="0.3">
      <c r="A2282" t="s">
        <v>35</v>
      </c>
      <c r="B2282" s="1">
        <v>45900</v>
      </c>
      <c r="C2282">
        <v>300505</v>
      </c>
      <c r="D2282">
        <v>-30265.397000000001</v>
      </c>
      <c r="E2282" t="s">
        <v>4</v>
      </c>
      <c r="F2282" t="s">
        <v>65</v>
      </c>
      <c r="G2282" t="s">
        <v>7</v>
      </c>
    </row>
    <row r="2283" spans="1:7" x14ac:dyDescent="0.3">
      <c r="A2283" t="s">
        <v>35</v>
      </c>
      <c r="B2283" s="1">
        <v>45900</v>
      </c>
      <c r="C2283">
        <v>300508</v>
      </c>
      <c r="D2283">
        <v>-45544.22</v>
      </c>
      <c r="E2283" t="s">
        <v>4</v>
      </c>
      <c r="F2283" t="s">
        <v>65</v>
      </c>
      <c r="G2283" t="s">
        <v>7</v>
      </c>
    </row>
    <row r="2284" spans="1:7" x14ac:dyDescent="0.3">
      <c r="A2284" t="s">
        <v>35</v>
      </c>
      <c r="B2284" s="1">
        <v>45900</v>
      </c>
      <c r="C2284">
        <v>300509</v>
      </c>
      <c r="D2284">
        <v>-10.916</v>
      </c>
      <c r="E2284" t="s">
        <v>4</v>
      </c>
      <c r="F2284" t="s">
        <v>65</v>
      </c>
      <c r="G2284" t="s">
        <v>7</v>
      </c>
    </row>
    <row r="2285" spans="1:7" x14ac:dyDescent="0.3">
      <c r="A2285" t="s">
        <v>35</v>
      </c>
      <c r="B2285" s="1">
        <v>45900</v>
      </c>
      <c r="C2285">
        <v>300512</v>
      </c>
      <c r="D2285">
        <v>-28.55</v>
      </c>
      <c r="E2285" t="s">
        <v>4</v>
      </c>
      <c r="F2285" t="s">
        <v>65</v>
      </c>
      <c r="G2285" t="s">
        <v>7</v>
      </c>
    </row>
    <row r="2286" spans="1:7" x14ac:dyDescent="0.3">
      <c r="A2286" t="s">
        <v>35</v>
      </c>
      <c r="B2286" s="1">
        <v>45900</v>
      </c>
      <c r="C2286">
        <v>301004</v>
      </c>
      <c r="D2286">
        <v>77796.936000000002</v>
      </c>
      <c r="E2286" t="s">
        <v>4</v>
      </c>
      <c r="F2286" t="s">
        <v>65</v>
      </c>
      <c r="G2286" t="s">
        <v>7</v>
      </c>
    </row>
    <row r="2287" spans="1:7" x14ac:dyDescent="0.3">
      <c r="A2287" t="s">
        <v>35</v>
      </c>
      <c r="B2287" s="1">
        <v>45900</v>
      </c>
      <c r="C2287">
        <v>301504</v>
      </c>
      <c r="D2287">
        <v>-77796.936000000002</v>
      </c>
      <c r="E2287" t="s">
        <v>4</v>
      </c>
      <c r="F2287" t="s">
        <v>65</v>
      </c>
      <c r="G2287" t="s">
        <v>7</v>
      </c>
    </row>
    <row r="2288" spans="1:7" x14ac:dyDescent="0.3">
      <c r="A2288" t="s">
        <v>35</v>
      </c>
      <c r="B2288" s="1">
        <v>45900</v>
      </c>
      <c r="C2288">
        <v>310033</v>
      </c>
      <c r="D2288">
        <v>34433.080999999998</v>
      </c>
      <c r="E2288" t="s">
        <v>4</v>
      </c>
      <c r="F2288" t="s">
        <v>42</v>
      </c>
      <c r="G2288" t="s">
        <v>7</v>
      </c>
    </row>
    <row r="2289" spans="1:7" x14ac:dyDescent="0.3">
      <c r="A2289" t="s">
        <v>35</v>
      </c>
      <c r="B2289" s="1">
        <v>45900</v>
      </c>
      <c r="C2289">
        <v>310035</v>
      </c>
      <c r="D2289">
        <v>995825.255</v>
      </c>
      <c r="E2289" t="s">
        <v>4</v>
      </c>
      <c r="F2289" t="s">
        <v>42</v>
      </c>
      <c r="G2289" t="s">
        <v>7</v>
      </c>
    </row>
    <row r="2290" spans="1:7" x14ac:dyDescent="0.3">
      <c r="A2290" t="s">
        <v>35</v>
      </c>
      <c r="B2290" s="1">
        <v>45900</v>
      </c>
      <c r="C2290">
        <v>320002</v>
      </c>
      <c r="D2290">
        <v>15966.831</v>
      </c>
      <c r="E2290" t="s">
        <v>4</v>
      </c>
      <c r="F2290" t="s">
        <v>46</v>
      </c>
      <c r="G2290" t="s">
        <v>7</v>
      </c>
    </row>
    <row r="2291" spans="1:7" x14ac:dyDescent="0.3">
      <c r="A2291" t="s">
        <v>35</v>
      </c>
      <c r="B2291" s="1">
        <v>45900</v>
      </c>
      <c r="C2291">
        <v>320003</v>
      </c>
      <c r="D2291">
        <v>1883752.031</v>
      </c>
      <c r="E2291" t="s">
        <v>4</v>
      </c>
      <c r="F2291" t="s">
        <v>46</v>
      </c>
      <c r="G2291" t="s">
        <v>7</v>
      </c>
    </row>
    <row r="2292" spans="1:7" x14ac:dyDescent="0.3">
      <c r="A2292" t="s">
        <v>35</v>
      </c>
      <c r="B2292" s="1">
        <v>45900</v>
      </c>
      <c r="C2292">
        <v>320020</v>
      </c>
      <c r="D2292">
        <v>2407.0300000000002</v>
      </c>
      <c r="E2292" t="s">
        <v>4</v>
      </c>
      <c r="F2292" t="s">
        <v>46</v>
      </c>
      <c r="G2292" t="s">
        <v>7</v>
      </c>
    </row>
    <row r="2293" spans="1:7" x14ac:dyDescent="0.3">
      <c r="A2293" t="s">
        <v>35</v>
      </c>
      <c r="B2293" s="1">
        <v>45900</v>
      </c>
      <c r="C2293">
        <v>320023</v>
      </c>
      <c r="D2293">
        <v>-2407.0300000000002</v>
      </c>
      <c r="E2293" t="s">
        <v>4</v>
      </c>
      <c r="F2293" t="s">
        <v>46</v>
      </c>
      <c r="G2293" t="s">
        <v>7</v>
      </c>
    </row>
    <row r="2294" spans="1:7" x14ac:dyDescent="0.3">
      <c r="A2294" t="s">
        <v>35</v>
      </c>
      <c r="B2294" s="1">
        <v>45900</v>
      </c>
      <c r="C2294">
        <v>320024</v>
      </c>
      <c r="D2294">
        <v>686067.30900000001</v>
      </c>
      <c r="E2294" t="s">
        <v>4</v>
      </c>
      <c r="F2294" t="s">
        <v>46</v>
      </c>
      <c r="G2294" t="s">
        <v>7</v>
      </c>
    </row>
    <row r="2295" spans="1:7" x14ac:dyDescent="0.3">
      <c r="A2295" t="s">
        <v>35</v>
      </c>
      <c r="B2295" s="1">
        <v>45900</v>
      </c>
      <c r="C2295">
        <v>321002</v>
      </c>
      <c r="D2295">
        <v>580582.78300000005</v>
      </c>
      <c r="E2295" t="s">
        <v>4</v>
      </c>
      <c r="F2295" t="s">
        <v>46</v>
      </c>
      <c r="G2295" t="s">
        <v>7</v>
      </c>
    </row>
    <row r="2296" spans="1:7" x14ac:dyDescent="0.3">
      <c r="A2296" t="s">
        <v>35</v>
      </c>
      <c r="B2296" s="1">
        <v>45900</v>
      </c>
      <c r="C2296">
        <v>321012</v>
      </c>
      <c r="D2296">
        <v>84062.057000000001</v>
      </c>
      <c r="E2296" t="s">
        <v>4</v>
      </c>
      <c r="F2296" t="s">
        <v>46</v>
      </c>
      <c r="G2296" t="s">
        <v>7</v>
      </c>
    </row>
    <row r="2297" spans="1:7" x14ac:dyDescent="0.3">
      <c r="A2297" t="s">
        <v>35</v>
      </c>
      <c r="B2297" s="1">
        <v>45900</v>
      </c>
      <c r="C2297">
        <v>321013</v>
      </c>
      <c r="D2297">
        <v>65555.175000000003</v>
      </c>
      <c r="E2297" t="s">
        <v>4</v>
      </c>
      <c r="F2297" t="s">
        <v>46</v>
      </c>
      <c r="G2297" t="s">
        <v>7</v>
      </c>
    </row>
    <row r="2298" spans="1:7" x14ac:dyDescent="0.3">
      <c r="A2298" t="s">
        <v>35</v>
      </c>
      <c r="B2298" s="1">
        <v>45900</v>
      </c>
      <c r="C2298">
        <v>321014</v>
      </c>
      <c r="D2298">
        <v>20389.058000000001</v>
      </c>
      <c r="E2298" t="s">
        <v>4</v>
      </c>
      <c r="F2298" t="s">
        <v>46</v>
      </c>
      <c r="G2298" t="s">
        <v>7</v>
      </c>
    </row>
    <row r="2299" spans="1:7" x14ac:dyDescent="0.3">
      <c r="A2299" t="s">
        <v>35</v>
      </c>
      <c r="B2299" s="1">
        <v>45900</v>
      </c>
      <c r="C2299">
        <v>321025</v>
      </c>
      <c r="D2299">
        <v>104717.04</v>
      </c>
      <c r="E2299" t="s">
        <v>4</v>
      </c>
      <c r="F2299" t="s">
        <v>46</v>
      </c>
      <c r="G2299" t="s">
        <v>7</v>
      </c>
    </row>
    <row r="2300" spans="1:7" x14ac:dyDescent="0.3">
      <c r="A2300" t="s">
        <v>35</v>
      </c>
      <c r="B2300" s="1">
        <v>45900</v>
      </c>
      <c r="C2300">
        <v>321028</v>
      </c>
      <c r="D2300">
        <v>180.84100000000001</v>
      </c>
      <c r="E2300" t="s">
        <v>4</v>
      </c>
      <c r="F2300" t="s">
        <v>46</v>
      </c>
      <c r="G2300" t="s">
        <v>7</v>
      </c>
    </row>
    <row r="2301" spans="1:7" x14ac:dyDescent="0.3">
      <c r="A2301" t="s">
        <v>35</v>
      </c>
      <c r="B2301" s="1">
        <v>45900</v>
      </c>
      <c r="C2301">
        <v>321030</v>
      </c>
      <c r="D2301">
        <v>311.08199999999999</v>
      </c>
      <c r="E2301" t="s">
        <v>4</v>
      </c>
      <c r="F2301" t="s">
        <v>46</v>
      </c>
      <c r="G2301" t="s">
        <v>7</v>
      </c>
    </row>
    <row r="2302" spans="1:7" x14ac:dyDescent="0.3">
      <c r="A2302" t="s">
        <v>35</v>
      </c>
      <c r="B2302" s="1">
        <v>45900</v>
      </c>
      <c r="C2302">
        <v>321031</v>
      </c>
      <c r="D2302">
        <v>18253.276999999998</v>
      </c>
      <c r="E2302" t="s">
        <v>4</v>
      </c>
      <c r="F2302" t="s">
        <v>46</v>
      </c>
      <c r="G2302" t="s">
        <v>7</v>
      </c>
    </row>
    <row r="2303" spans="1:7" x14ac:dyDescent="0.3">
      <c r="A2303" t="s">
        <v>35</v>
      </c>
      <c r="B2303" s="1">
        <v>45900</v>
      </c>
      <c r="C2303">
        <v>321041</v>
      </c>
      <c r="D2303">
        <v>275.161</v>
      </c>
      <c r="E2303" t="s">
        <v>4</v>
      </c>
      <c r="F2303" t="s">
        <v>46</v>
      </c>
      <c r="G2303" t="s">
        <v>7</v>
      </c>
    </row>
    <row r="2304" spans="1:7" x14ac:dyDescent="0.3">
      <c r="A2304" t="s">
        <v>35</v>
      </c>
      <c r="B2304" s="1">
        <v>45900</v>
      </c>
      <c r="C2304">
        <v>321042</v>
      </c>
      <c r="D2304">
        <v>-59.682000000000002</v>
      </c>
      <c r="E2304" t="s">
        <v>4</v>
      </c>
      <c r="F2304" t="s">
        <v>46</v>
      </c>
      <c r="G2304" t="s">
        <v>7</v>
      </c>
    </row>
    <row r="2305" spans="1:7" x14ac:dyDescent="0.3">
      <c r="A2305" t="s">
        <v>35</v>
      </c>
      <c r="B2305" s="1">
        <v>45900</v>
      </c>
      <c r="C2305">
        <v>330115</v>
      </c>
      <c r="D2305">
        <v>38035.892999999996</v>
      </c>
      <c r="E2305" t="s">
        <v>4</v>
      </c>
      <c r="F2305" t="s">
        <v>43</v>
      </c>
      <c r="G2305" t="s">
        <v>7</v>
      </c>
    </row>
    <row r="2306" spans="1:7" x14ac:dyDescent="0.3">
      <c r="A2306" t="s">
        <v>35</v>
      </c>
      <c r="B2306" s="1">
        <v>45900</v>
      </c>
      <c r="C2306">
        <v>330123</v>
      </c>
      <c r="D2306">
        <v>924676.429</v>
      </c>
      <c r="E2306" t="s">
        <v>4</v>
      </c>
      <c r="F2306" t="s">
        <v>43</v>
      </c>
      <c r="G2306" t="s">
        <v>7</v>
      </c>
    </row>
    <row r="2307" spans="1:7" x14ac:dyDescent="0.3">
      <c r="A2307" t="s">
        <v>35</v>
      </c>
      <c r="B2307" s="1">
        <v>45900</v>
      </c>
      <c r="C2307">
        <v>330129</v>
      </c>
      <c r="D2307">
        <v>-32103.828000000001</v>
      </c>
      <c r="E2307" t="s">
        <v>4</v>
      </c>
      <c r="F2307" t="s">
        <v>43</v>
      </c>
      <c r="G2307" t="s">
        <v>7</v>
      </c>
    </row>
    <row r="2308" spans="1:7" x14ac:dyDescent="0.3">
      <c r="A2308" t="s">
        <v>35</v>
      </c>
      <c r="B2308" s="1">
        <v>45900</v>
      </c>
      <c r="C2308">
        <v>330136</v>
      </c>
      <c r="D2308">
        <v>12372.737999999999</v>
      </c>
      <c r="E2308" t="s">
        <v>4</v>
      </c>
      <c r="F2308" t="s">
        <v>43</v>
      </c>
      <c r="G2308" t="s">
        <v>7</v>
      </c>
    </row>
    <row r="2309" spans="1:7" x14ac:dyDescent="0.3">
      <c r="A2309" t="s">
        <v>35</v>
      </c>
      <c r="B2309" s="1">
        <v>45900</v>
      </c>
      <c r="C2309">
        <v>330138</v>
      </c>
      <c r="D2309">
        <v>1631.1410000000001</v>
      </c>
      <c r="E2309" t="s">
        <v>4</v>
      </c>
      <c r="F2309" t="s">
        <v>43</v>
      </c>
      <c r="G2309" t="s">
        <v>7</v>
      </c>
    </row>
    <row r="2310" spans="1:7" x14ac:dyDescent="0.3">
      <c r="A2310" t="s">
        <v>35</v>
      </c>
      <c r="B2310" s="1">
        <v>45900</v>
      </c>
      <c r="C2310">
        <v>340255</v>
      </c>
      <c r="D2310">
        <v>1607540.736</v>
      </c>
      <c r="E2310" t="s">
        <v>4</v>
      </c>
      <c r="F2310" t="s">
        <v>47</v>
      </c>
      <c r="G2310" t="s">
        <v>7</v>
      </c>
    </row>
    <row r="2311" spans="1:7" x14ac:dyDescent="0.3">
      <c r="A2311" t="s">
        <v>35</v>
      </c>
      <c r="B2311" s="1">
        <v>45900</v>
      </c>
      <c r="C2311">
        <v>340256</v>
      </c>
      <c r="D2311">
        <v>60316387.524999999</v>
      </c>
      <c r="E2311" t="s">
        <v>4</v>
      </c>
      <c r="F2311" t="s">
        <v>47</v>
      </c>
      <c r="G2311" t="s">
        <v>7</v>
      </c>
    </row>
    <row r="2312" spans="1:7" x14ac:dyDescent="0.3">
      <c r="A2312" t="s">
        <v>35</v>
      </c>
      <c r="B2312" s="1">
        <v>45900</v>
      </c>
      <c r="C2312">
        <v>340257</v>
      </c>
      <c r="D2312">
        <v>-60747910.311999999</v>
      </c>
      <c r="E2312" t="s">
        <v>4</v>
      </c>
      <c r="F2312" t="s">
        <v>47</v>
      </c>
      <c r="G2312" t="s">
        <v>7</v>
      </c>
    </row>
    <row r="2313" spans="1:7" x14ac:dyDescent="0.3">
      <c r="A2313" t="s">
        <v>35</v>
      </c>
      <c r="B2313" s="1">
        <v>45900</v>
      </c>
      <c r="C2313">
        <v>350002</v>
      </c>
      <c r="D2313">
        <v>31132.705000000002</v>
      </c>
      <c r="E2313" t="s">
        <v>4</v>
      </c>
      <c r="F2313" t="s">
        <v>49</v>
      </c>
      <c r="G2313" t="s">
        <v>7</v>
      </c>
    </row>
    <row r="2314" spans="1:7" x14ac:dyDescent="0.3">
      <c r="A2314" t="s">
        <v>35</v>
      </c>
      <c r="B2314" s="1">
        <v>45900</v>
      </c>
      <c r="C2314">
        <v>350003</v>
      </c>
      <c r="D2314">
        <v>75676.857000000004</v>
      </c>
      <c r="E2314" t="s">
        <v>4</v>
      </c>
      <c r="F2314" t="s">
        <v>49</v>
      </c>
      <c r="G2314" t="s">
        <v>7</v>
      </c>
    </row>
    <row r="2315" spans="1:7" x14ac:dyDescent="0.3">
      <c r="A2315" t="s">
        <v>35</v>
      </c>
      <c r="B2315" s="1">
        <v>45900</v>
      </c>
      <c r="C2315">
        <v>350031</v>
      </c>
      <c r="D2315">
        <v>30420</v>
      </c>
      <c r="E2315" t="s">
        <v>4</v>
      </c>
      <c r="F2315" t="s">
        <v>43</v>
      </c>
      <c r="G2315" t="s">
        <v>7</v>
      </c>
    </row>
    <row r="2316" spans="1:7" x14ac:dyDescent="0.3">
      <c r="A2316" t="s">
        <v>35</v>
      </c>
      <c r="B2316" s="1">
        <v>45900</v>
      </c>
      <c r="C2316">
        <v>350034</v>
      </c>
      <c r="D2316">
        <v>5604.1989999999996</v>
      </c>
      <c r="E2316" t="s">
        <v>4</v>
      </c>
      <c r="F2316" t="s">
        <v>49</v>
      </c>
      <c r="G2316" t="s">
        <v>7</v>
      </c>
    </row>
    <row r="2317" spans="1:7" x14ac:dyDescent="0.3">
      <c r="A2317" t="s">
        <v>35</v>
      </c>
      <c r="B2317" s="1">
        <v>45900</v>
      </c>
      <c r="C2317">
        <v>352002</v>
      </c>
      <c r="D2317">
        <v>8884.2829999999994</v>
      </c>
      <c r="E2317" t="s">
        <v>4</v>
      </c>
      <c r="F2317" t="s">
        <v>48</v>
      </c>
      <c r="G2317" t="s">
        <v>7</v>
      </c>
    </row>
    <row r="2318" spans="1:7" x14ac:dyDescent="0.3">
      <c r="A2318" t="s">
        <v>35</v>
      </c>
      <c r="B2318" s="1">
        <v>45900</v>
      </c>
      <c r="C2318">
        <v>354011</v>
      </c>
      <c r="D2318">
        <v>-686067.30900000001</v>
      </c>
      <c r="E2318" t="s">
        <v>4</v>
      </c>
      <c r="F2318" t="s">
        <v>46</v>
      </c>
      <c r="G2318" t="s">
        <v>7</v>
      </c>
    </row>
    <row r="2319" spans="1:7" x14ac:dyDescent="0.3">
      <c r="A2319" t="s">
        <v>35</v>
      </c>
      <c r="B2319" s="1">
        <v>45900</v>
      </c>
      <c r="C2319">
        <v>354012</v>
      </c>
      <c r="D2319">
        <v>670304.81900000002</v>
      </c>
      <c r="E2319" t="s">
        <v>4</v>
      </c>
      <c r="F2319" t="s">
        <v>46</v>
      </c>
      <c r="G2319" t="s">
        <v>7</v>
      </c>
    </row>
    <row r="2320" spans="1:7" x14ac:dyDescent="0.3">
      <c r="A2320" t="s">
        <v>35</v>
      </c>
      <c r="B2320" s="1">
        <v>45900</v>
      </c>
      <c r="C2320">
        <v>354014</v>
      </c>
      <c r="D2320">
        <v>2298502.9649999999</v>
      </c>
      <c r="E2320" t="s">
        <v>4</v>
      </c>
      <c r="F2320" t="s">
        <v>46</v>
      </c>
      <c r="G2320" t="s">
        <v>7</v>
      </c>
    </row>
    <row r="2321" spans="1:7" x14ac:dyDescent="0.3">
      <c r="A2321" t="s">
        <v>35</v>
      </c>
      <c r="B2321" s="1">
        <v>45900</v>
      </c>
      <c r="C2321">
        <v>354015</v>
      </c>
      <c r="D2321">
        <v>7617.3220000000001</v>
      </c>
      <c r="E2321" t="s">
        <v>4</v>
      </c>
      <c r="F2321" t="s">
        <v>46</v>
      </c>
      <c r="G2321" t="s">
        <v>7</v>
      </c>
    </row>
    <row r="2322" spans="1:7" x14ac:dyDescent="0.3">
      <c r="A2322" t="s">
        <v>35</v>
      </c>
      <c r="B2322" s="1">
        <v>45900</v>
      </c>
      <c r="C2322">
        <v>355002</v>
      </c>
      <c r="D2322">
        <v>20333.501</v>
      </c>
      <c r="E2322" t="s">
        <v>4</v>
      </c>
      <c r="F2322" t="s">
        <v>49</v>
      </c>
      <c r="G2322" t="s">
        <v>7</v>
      </c>
    </row>
    <row r="2323" spans="1:7" x14ac:dyDescent="0.3">
      <c r="A2323" t="s">
        <v>35</v>
      </c>
      <c r="B2323" s="1">
        <v>45900</v>
      </c>
      <c r="C2323">
        <v>355014</v>
      </c>
      <c r="D2323">
        <v>110857.32799999999</v>
      </c>
      <c r="E2323" t="s">
        <v>4</v>
      </c>
      <c r="F2323" t="s">
        <v>49</v>
      </c>
      <c r="G2323" t="s">
        <v>7</v>
      </c>
    </row>
    <row r="2324" spans="1:7" x14ac:dyDescent="0.3">
      <c r="A2324" t="s">
        <v>35</v>
      </c>
      <c r="B2324" s="1">
        <v>45900</v>
      </c>
      <c r="C2324">
        <v>360022</v>
      </c>
      <c r="D2324">
        <v>11121.138999999999</v>
      </c>
      <c r="E2324" t="s">
        <v>4</v>
      </c>
      <c r="F2324" t="s">
        <v>58</v>
      </c>
      <c r="G2324" t="s">
        <v>7</v>
      </c>
    </row>
    <row r="2325" spans="1:7" x14ac:dyDescent="0.3">
      <c r="A2325" t="s">
        <v>35</v>
      </c>
      <c r="B2325" s="1">
        <v>45900</v>
      </c>
      <c r="C2325">
        <v>360026</v>
      </c>
      <c r="D2325">
        <v>376348.95299999998</v>
      </c>
      <c r="E2325" t="s">
        <v>4</v>
      </c>
      <c r="F2325" t="s">
        <v>58</v>
      </c>
      <c r="G2325" t="s">
        <v>7</v>
      </c>
    </row>
    <row r="2326" spans="1:7" x14ac:dyDescent="0.3">
      <c r="A2326" t="s">
        <v>35</v>
      </c>
      <c r="B2326" s="1">
        <v>45900</v>
      </c>
      <c r="C2326">
        <v>360028</v>
      </c>
      <c r="D2326">
        <v>429755.08399999997</v>
      </c>
      <c r="E2326" t="s">
        <v>4</v>
      </c>
      <c r="F2326" t="s">
        <v>58</v>
      </c>
      <c r="G2326" t="s">
        <v>7</v>
      </c>
    </row>
    <row r="2327" spans="1:7" x14ac:dyDescent="0.3">
      <c r="A2327" t="s">
        <v>35</v>
      </c>
      <c r="B2327" s="1">
        <v>45900</v>
      </c>
      <c r="C2327">
        <v>360030</v>
      </c>
      <c r="D2327">
        <v>692235.65399999998</v>
      </c>
      <c r="E2327" t="s">
        <v>4</v>
      </c>
      <c r="F2327" t="s">
        <v>58</v>
      </c>
      <c r="G2327" t="s">
        <v>7</v>
      </c>
    </row>
    <row r="2328" spans="1:7" x14ac:dyDescent="0.3">
      <c r="A2328" t="s">
        <v>35</v>
      </c>
      <c r="B2328" s="1">
        <v>45900</v>
      </c>
      <c r="C2328">
        <v>360032</v>
      </c>
      <c r="D2328">
        <v>139784.421</v>
      </c>
      <c r="E2328" t="s">
        <v>4</v>
      </c>
      <c r="F2328" t="s">
        <v>58</v>
      </c>
      <c r="G2328" t="s">
        <v>7</v>
      </c>
    </row>
    <row r="2329" spans="1:7" x14ac:dyDescent="0.3">
      <c r="A2329" t="s">
        <v>35</v>
      </c>
      <c r="B2329" s="1">
        <v>45900</v>
      </c>
      <c r="C2329">
        <v>364502</v>
      </c>
      <c r="D2329">
        <v>431061.26500000001</v>
      </c>
      <c r="E2329" t="s">
        <v>4</v>
      </c>
      <c r="F2329" t="s">
        <v>58</v>
      </c>
      <c r="G2329" t="s">
        <v>7</v>
      </c>
    </row>
    <row r="2330" spans="1:7" x14ac:dyDescent="0.3">
      <c r="A2330" t="s">
        <v>35</v>
      </c>
      <c r="B2330" s="1">
        <v>45900</v>
      </c>
      <c r="C2330">
        <v>400002</v>
      </c>
      <c r="D2330">
        <v>-17030.485000000001</v>
      </c>
      <c r="E2330" t="s">
        <v>6</v>
      </c>
      <c r="F2330" t="s">
        <v>50</v>
      </c>
      <c r="G2330" t="s">
        <v>7</v>
      </c>
    </row>
    <row r="2331" spans="1:7" x14ac:dyDescent="0.3">
      <c r="A2331" t="s">
        <v>35</v>
      </c>
      <c r="B2331" s="1">
        <v>45900</v>
      </c>
      <c r="C2331">
        <v>400004</v>
      </c>
      <c r="D2331">
        <v>-10261.834000000001</v>
      </c>
      <c r="E2331" t="s">
        <v>6</v>
      </c>
      <c r="F2331" t="s">
        <v>50</v>
      </c>
      <c r="G2331" t="s">
        <v>7</v>
      </c>
    </row>
    <row r="2332" spans="1:7" x14ac:dyDescent="0.3">
      <c r="A2332" t="s">
        <v>35</v>
      </c>
      <c r="B2332" s="1">
        <v>45900</v>
      </c>
      <c r="C2332">
        <v>410002</v>
      </c>
      <c r="D2332">
        <v>-258629.43799999999</v>
      </c>
      <c r="E2332" t="s">
        <v>6</v>
      </c>
      <c r="F2332" t="s">
        <v>51</v>
      </c>
      <c r="G2332" t="s">
        <v>7</v>
      </c>
    </row>
    <row r="2333" spans="1:7" x14ac:dyDescent="0.3">
      <c r="A2333" t="s">
        <v>35</v>
      </c>
      <c r="B2333" s="1">
        <v>45900</v>
      </c>
      <c r="C2333">
        <v>410006</v>
      </c>
      <c r="D2333">
        <v>-17858.106</v>
      </c>
      <c r="E2333" t="s">
        <v>6</v>
      </c>
      <c r="F2333" t="s">
        <v>51</v>
      </c>
      <c r="G2333" t="s">
        <v>7</v>
      </c>
    </row>
    <row r="2334" spans="1:7" x14ac:dyDescent="0.3">
      <c r="A2334" t="s">
        <v>35</v>
      </c>
      <c r="B2334" s="1">
        <v>45900</v>
      </c>
      <c r="C2334">
        <v>410009</v>
      </c>
      <c r="D2334">
        <v>-6392.4629999999997</v>
      </c>
      <c r="E2334" t="s">
        <v>6</v>
      </c>
      <c r="F2334" t="s">
        <v>51</v>
      </c>
      <c r="G2334" t="s">
        <v>7</v>
      </c>
    </row>
    <row r="2335" spans="1:7" x14ac:dyDescent="0.3">
      <c r="A2335" t="s">
        <v>35</v>
      </c>
      <c r="B2335" s="1">
        <v>45900</v>
      </c>
      <c r="C2335">
        <v>410015</v>
      </c>
      <c r="D2335">
        <v>-21869.891</v>
      </c>
      <c r="E2335" t="s">
        <v>6</v>
      </c>
      <c r="F2335" t="s">
        <v>51</v>
      </c>
      <c r="G2335" t="s">
        <v>7</v>
      </c>
    </row>
    <row r="2336" spans="1:7" x14ac:dyDescent="0.3">
      <c r="A2336" t="s">
        <v>35</v>
      </c>
      <c r="B2336" s="1">
        <v>45900</v>
      </c>
      <c r="C2336">
        <v>410032</v>
      </c>
      <c r="D2336">
        <v>-29916.743999999999</v>
      </c>
      <c r="E2336" t="s">
        <v>6</v>
      </c>
      <c r="F2336" t="s">
        <v>51</v>
      </c>
      <c r="G2336" t="s">
        <v>7</v>
      </c>
    </row>
    <row r="2337" spans="1:7" x14ac:dyDescent="0.3">
      <c r="A2337" t="s">
        <v>35</v>
      </c>
      <c r="B2337" s="1">
        <v>45900</v>
      </c>
      <c r="C2337">
        <v>410036</v>
      </c>
      <c r="D2337">
        <v>-471.625</v>
      </c>
      <c r="E2337" t="s">
        <v>6</v>
      </c>
      <c r="F2337" t="s">
        <v>51</v>
      </c>
      <c r="G2337" t="s">
        <v>7</v>
      </c>
    </row>
    <row r="2338" spans="1:7" x14ac:dyDescent="0.3">
      <c r="A2338" t="s">
        <v>35</v>
      </c>
      <c r="B2338" s="1">
        <v>45900</v>
      </c>
      <c r="C2338">
        <v>410039</v>
      </c>
      <c r="D2338">
        <v>-7185.357</v>
      </c>
      <c r="E2338" t="s">
        <v>6</v>
      </c>
      <c r="F2338" t="s">
        <v>51</v>
      </c>
      <c r="G2338" t="s">
        <v>7</v>
      </c>
    </row>
    <row r="2339" spans="1:7" x14ac:dyDescent="0.3">
      <c r="A2339" t="s">
        <v>35</v>
      </c>
      <c r="B2339" s="1">
        <v>45900</v>
      </c>
      <c r="C2339">
        <v>410040</v>
      </c>
      <c r="D2339">
        <v>-305.995</v>
      </c>
      <c r="E2339" t="s">
        <v>6</v>
      </c>
      <c r="F2339" t="s">
        <v>51</v>
      </c>
      <c r="G2339" t="s">
        <v>7</v>
      </c>
    </row>
    <row r="2340" spans="1:7" x14ac:dyDescent="0.3">
      <c r="A2340" t="s">
        <v>35</v>
      </c>
      <c r="B2340" s="1">
        <v>45900</v>
      </c>
      <c r="C2340">
        <v>415002</v>
      </c>
      <c r="D2340">
        <v>-7606116.068</v>
      </c>
      <c r="E2340" t="s">
        <v>6</v>
      </c>
      <c r="F2340" t="s">
        <v>50</v>
      </c>
      <c r="G2340" t="s">
        <v>7</v>
      </c>
    </row>
    <row r="2341" spans="1:7" x14ac:dyDescent="0.3">
      <c r="A2341" t="s">
        <v>35</v>
      </c>
      <c r="B2341" s="1">
        <v>45900</v>
      </c>
      <c r="C2341">
        <v>415003</v>
      </c>
      <c r="D2341">
        <v>-9420.9570000000003</v>
      </c>
      <c r="E2341" t="s">
        <v>6</v>
      </c>
      <c r="F2341" t="s">
        <v>50</v>
      </c>
      <c r="G2341" t="s">
        <v>7</v>
      </c>
    </row>
    <row r="2342" spans="1:7" x14ac:dyDescent="0.3">
      <c r="A2342" t="s">
        <v>35</v>
      </c>
      <c r="B2342" s="1">
        <v>45900</v>
      </c>
      <c r="C2342">
        <v>415004</v>
      </c>
      <c r="D2342">
        <v>-4729622.13</v>
      </c>
      <c r="E2342" t="s">
        <v>6</v>
      </c>
      <c r="F2342" t="s">
        <v>50</v>
      </c>
      <c r="G2342" t="s">
        <v>7</v>
      </c>
    </row>
    <row r="2343" spans="1:7" x14ac:dyDescent="0.3">
      <c r="A2343" t="s">
        <v>35</v>
      </c>
      <c r="B2343" s="1">
        <v>45900</v>
      </c>
      <c r="C2343">
        <v>415006</v>
      </c>
      <c r="D2343">
        <v>173.989</v>
      </c>
      <c r="E2343" t="s">
        <v>6</v>
      </c>
      <c r="F2343" t="s">
        <v>50</v>
      </c>
      <c r="G2343" t="s">
        <v>7</v>
      </c>
    </row>
    <row r="2344" spans="1:7" x14ac:dyDescent="0.3">
      <c r="A2344" t="s">
        <v>35</v>
      </c>
      <c r="B2344" s="1">
        <v>45900</v>
      </c>
      <c r="C2344">
        <v>421003</v>
      </c>
      <c r="D2344">
        <v>5868.9409999999998</v>
      </c>
      <c r="E2344" t="s">
        <v>6</v>
      </c>
      <c r="F2344" t="s">
        <v>52</v>
      </c>
      <c r="G2344" t="s">
        <v>7</v>
      </c>
    </row>
    <row r="2345" spans="1:7" x14ac:dyDescent="0.3">
      <c r="A2345" t="s">
        <v>35</v>
      </c>
      <c r="B2345" s="1">
        <v>45900</v>
      </c>
      <c r="C2345">
        <v>421007</v>
      </c>
      <c r="D2345">
        <v>65.201999999999998</v>
      </c>
      <c r="E2345" t="s">
        <v>6</v>
      </c>
      <c r="F2345" t="s">
        <v>52</v>
      </c>
      <c r="G2345" t="s">
        <v>7</v>
      </c>
    </row>
    <row r="2346" spans="1:7" x14ac:dyDescent="0.3">
      <c r="A2346" t="s">
        <v>35</v>
      </c>
      <c r="B2346" s="1">
        <v>45900</v>
      </c>
      <c r="C2346">
        <v>423012</v>
      </c>
      <c r="D2346">
        <v>-3009.6869999999999</v>
      </c>
      <c r="E2346" t="s">
        <v>6</v>
      </c>
      <c r="F2346" t="s">
        <v>52</v>
      </c>
      <c r="G2346" t="s">
        <v>7</v>
      </c>
    </row>
    <row r="2347" spans="1:7" x14ac:dyDescent="0.3">
      <c r="A2347" t="s">
        <v>35</v>
      </c>
      <c r="B2347" s="1">
        <v>45900</v>
      </c>
      <c r="C2347">
        <v>510002</v>
      </c>
      <c r="D2347">
        <v>2221949.2409999999</v>
      </c>
      <c r="E2347" t="s">
        <v>6</v>
      </c>
      <c r="F2347" t="s">
        <v>53</v>
      </c>
      <c r="G2347" t="s">
        <v>7</v>
      </c>
    </row>
    <row r="2348" spans="1:7" x14ac:dyDescent="0.3">
      <c r="A2348" t="s">
        <v>35</v>
      </c>
      <c r="B2348" s="1">
        <v>45900</v>
      </c>
      <c r="C2348">
        <v>510005</v>
      </c>
      <c r="D2348">
        <v>85272.357999999993</v>
      </c>
      <c r="E2348" t="s">
        <v>6</v>
      </c>
      <c r="F2348" t="s">
        <v>53</v>
      </c>
      <c r="G2348" t="s">
        <v>7</v>
      </c>
    </row>
    <row r="2349" spans="1:7" x14ac:dyDescent="0.3">
      <c r="A2349" t="s">
        <v>35</v>
      </c>
      <c r="B2349" s="1">
        <v>45900</v>
      </c>
      <c r="C2349">
        <v>510007</v>
      </c>
      <c r="D2349">
        <v>167263.40100000001</v>
      </c>
      <c r="E2349" t="s">
        <v>6</v>
      </c>
      <c r="F2349" t="s">
        <v>53</v>
      </c>
      <c r="G2349" t="s">
        <v>7</v>
      </c>
    </row>
    <row r="2350" spans="1:7" x14ac:dyDescent="0.3">
      <c r="A2350" t="s">
        <v>35</v>
      </c>
      <c r="B2350" s="1">
        <v>45900</v>
      </c>
      <c r="C2350">
        <v>510008</v>
      </c>
      <c r="D2350">
        <v>2121.4740000000002</v>
      </c>
      <c r="E2350" t="s">
        <v>6</v>
      </c>
      <c r="F2350" t="s">
        <v>53</v>
      </c>
      <c r="G2350" t="s">
        <v>7</v>
      </c>
    </row>
    <row r="2351" spans="1:7" x14ac:dyDescent="0.3">
      <c r="A2351" t="s">
        <v>35</v>
      </c>
      <c r="B2351" s="1">
        <v>45900</v>
      </c>
      <c r="C2351">
        <v>510010</v>
      </c>
      <c r="D2351">
        <v>25806.428</v>
      </c>
      <c r="E2351" t="s">
        <v>6</v>
      </c>
      <c r="F2351" t="s">
        <v>53</v>
      </c>
      <c r="G2351" t="s">
        <v>7</v>
      </c>
    </row>
    <row r="2352" spans="1:7" x14ac:dyDescent="0.3">
      <c r="A2352" t="s">
        <v>35</v>
      </c>
      <c r="B2352" s="1">
        <v>45900</v>
      </c>
      <c r="C2352">
        <v>510012</v>
      </c>
      <c r="D2352">
        <v>37194.595000000001</v>
      </c>
      <c r="E2352" t="s">
        <v>6</v>
      </c>
      <c r="F2352" t="s">
        <v>53</v>
      </c>
      <c r="G2352" t="s">
        <v>7</v>
      </c>
    </row>
    <row r="2353" spans="1:7" x14ac:dyDescent="0.3">
      <c r="A2353" t="s">
        <v>35</v>
      </c>
      <c r="B2353" s="1">
        <v>45900</v>
      </c>
      <c r="C2353">
        <v>510015</v>
      </c>
      <c r="D2353">
        <v>181447.41899999999</v>
      </c>
      <c r="E2353" t="s">
        <v>6</v>
      </c>
      <c r="F2353" t="s">
        <v>53</v>
      </c>
      <c r="G2353" t="s">
        <v>7</v>
      </c>
    </row>
    <row r="2354" spans="1:7" x14ac:dyDescent="0.3">
      <c r="A2354" t="s">
        <v>35</v>
      </c>
      <c r="B2354" s="1">
        <v>45900</v>
      </c>
      <c r="C2354">
        <v>510018</v>
      </c>
      <c r="D2354">
        <v>172814.03099999999</v>
      </c>
      <c r="E2354" t="s">
        <v>6</v>
      </c>
      <c r="F2354" t="s">
        <v>53</v>
      </c>
      <c r="G2354" t="s">
        <v>7</v>
      </c>
    </row>
    <row r="2355" spans="1:7" x14ac:dyDescent="0.3">
      <c r="A2355" t="s">
        <v>35</v>
      </c>
      <c r="B2355" s="1">
        <v>45900</v>
      </c>
      <c r="C2355">
        <v>510048</v>
      </c>
      <c r="D2355">
        <v>823.33799999999997</v>
      </c>
      <c r="E2355" t="s">
        <v>6</v>
      </c>
      <c r="F2355" t="s">
        <v>61</v>
      </c>
      <c r="G2355" t="s">
        <v>7</v>
      </c>
    </row>
    <row r="2356" spans="1:7" x14ac:dyDescent="0.3">
      <c r="A2356" t="s">
        <v>35</v>
      </c>
      <c r="B2356" s="1">
        <v>45900</v>
      </c>
      <c r="C2356">
        <v>510059</v>
      </c>
      <c r="D2356">
        <v>20355.762999999999</v>
      </c>
      <c r="E2356" t="s">
        <v>6</v>
      </c>
      <c r="F2356" t="s">
        <v>53</v>
      </c>
      <c r="G2356" t="s">
        <v>7</v>
      </c>
    </row>
    <row r="2357" spans="1:7" x14ac:dyDescent="0.3">
      <c r="A2357" t="s">
        <v>35</v>
      </c>
      <c r="B2357" s="1">
        <v>45900</v>
      </c>
      <c r="C2357">
        <v>510062</v>
      </c>
      <c r="D2357">
        <v>28585.398000000001</v>
      </c>
      <c r="E2357" t="s">
        <v>6</v>
      </c>
      <c r="F2357" t="s">
        <v>53</v>
      </c>
      <c r="G2357" t="s">
        <v>7</v>
      </c>
    </row>
    <row r="2358" spans="1:7" x14ac:dyDescent="0.3">
      <c r="A2358" t="s">
        <v>35</v>
      </c>
      <c r="B2358" s="1">
        <v>45900</v>
      </c>
      <c r="C2358">
        <v>510064</v>
      </c>
      <c r="D2358">
        <v>1027.328</v>
      </c>
      <c r="E2358" t="s">
        <v>6</v>
      </c>
      <c r="F2358" t="s">
        <v>53</v>
      </c>
      <c r="G2358" t="s">
        <v>7</v>
      </c>
    </row>
    <row r="2359" spans="1:7" x14ac:dyDescent="0.3">
      <c r="A2359" t="s">
        <v>35</v>
      </c>
      <c r="B2359" s="1">
        <v>45900</v>
      </c>
      <c r="C2359">
        <v>510065</v>
      </c>
      <c r="D2359">
        <v>52727.413</v>
      </c>
      <c r="E2359" t="s">
        <v>6</v>
      </c>
      <c r="F2359" t="s">
        <v>53</v>
      </c>
      <c r="G2359" t="s">
        <v>7</v>
      </c>
    </row>
    <row r="2360" spans="1:7" x14ac:dyDescent="0.3">
      <c r="A2360" t="s">
        <v>35</v>
      </c>
      <c r="B2360" s="1">
        <v>45900</v>
      </c>
      <c r="C2360">
        <v>520020</v>
      </c>
      <c r="D2360">
        <v>1532.4680000000001</v>
      </c>
      <c r="E2360" t="s">
        <v>6</v>
      </c>
      <c r="F2360" t="s">
        <v>53</v>
      </c>
      <c r="G2360" t="s">
        <v>7</v>
      </c>
    </row>
    <row r="2361" spans="1:7" x14ac:dyDescent="0.3">
      <c r="A2361" t="s">
        <v>35</v>
      </c>
      <c r="B2361" s="1">
        <v>45900</v>
      </c>
      <c r="C2361">
        <v>520021</v>
      </c>
      <c r="D2361">
        <v>4749.7529999999997</v>
      </c>
      <c r="E2361" t="s">
        <v>6</v>
      </c>
      <c r="F2361" t="s">
        <v>60</v>
      </c>
      <c r="G2361" t="s">
        <v>7</v>
      </c>
    </row>
    <row r="2362" spans="1:7" x14ac:dyDescent="0.3">
      <c r="A2362" t="s">
        <v>35</v>
      </c>
      <c r="B2362" s="1">
        <v>45900</v>
      </c>
      <c r="C2362">
        <v>530012</v>
      </c>
      <c r="D2362">
        <v>28047.119999999999</v>
      </c>
      <c r="E2362" t="s">
        <v>6</v>
      </c>
      <c r="F2362" t="s">
        <v>53</v>
      </c>
      <c r="G2362" t="s">
        <v>7</v>
      </c>
    </row>
    <row r="2363" spans="1:7" x14ac:dyDescent="0.3">
      <c r="A2363" t="s">
        <v>35</v>
      </c>
      <c r="B2363" s="1">
        <v>45900</v>
      </c>
      <c r="C2363">
        <v>540004</v>
      </c>
      <c r="D2363">
        <v>224.42400000000001</v>
      </c>
      <c r="E2363" t="s">
        <v>6</v>
      </c>
      <c r="F2363" t="s">
        <v>67</v>
      </c>
      <c r="G2363" t="s">
        <v>7</v>
      </c>
    </row>
    <row r="2364" spans="1:7" x14ac:dyDescent="0.3">
      <c r="A2364" t="s">
        <v>35</v>
      </c>
      <c r="B2364" s="1">
        <v>45900</v>
      </c>
      <c r="C2364">
        <v>541002</v>
      </c>
      <c r="D2364">
        <v>9753.7530000000006</v>
      </c>
      <c r="E2364" t="s">
        <v>6</v>
      </c>
      <c r="F2364" t="s">
        <v>61</v>
      </c>
      <c r="G2364" t="s">
        <v>7</v>
      </c>
    </row>
    <row r="2365" spans="1:7" x14ac:dyDescent="0.3">
      <c r="A2365" t="s">
        <v>35</v>
      </c>
      <c r="B2365" s="1">
        <v>45900</v>
      </c>
      <c r="C2365">
        <v>541004</v>
      </c>
      <c r="D2365">
        <v>20651.291000000001</v>
      </c>
      <c r="E2365" t="s">
        <v>6</v>
      </c>
      <c r="F2365" t="s">
        <v>61</v>
      </c>
      <c r="G2365" t="s">
        <v>7</v>
      </c>
    </row>
    <row r="2366" spans="1:7" x14ac:dyDescent="0.3">
      <c r="A2366" t="s">
        <v>35</v>
      </c>
      <c r="B2366" s="1">
        <v>45900</v>
      </c>
      <c r="C2366">
        <v>541008</v>
      </c>
      <c r="D2366">
        <v>4761.3909999999996</v>
      </c>
      <c r="E2366" t="s">
        <v>6</v>
      </c>
      <c r="F2366" t="s">
        <v>61</v>
      </c>
      <c r="G2366" t="s">
        <v>7</v>
      </c>
    </row>
    <row r="2367" spans="1:7" x14ac:dyDescent="0.3">
      <c r="A2367" t="s">
        <v>35</v>
      </c>
      <c r="B2367" s="1">
        <v>45900</v>
      </c>
      <c r="C2367">
        <v>541009</v>
      </c>
      <c r="D2367">
        <v>5988.9170000000004</v>
      </c>
      <c r="E2367" t="s">
        <v>6</v>
      </c>
      <c r="F2367" t="s">
        <v>61</v>
      </c>
      <c r="G2367" t="s">
        <v>7</v>
      </c>
    </row>
    <row r="2368" spans="1:7" x14ac:dyDescent="0.3">
      <c r="A2368" t="s">
        <v>35</v>
      </c>
      <c r="B2368" s="1">
        <v>45900</v>
      </c>
      <c r="C2368">
        <v>541010</v>
      </c>
      <c r="D2368">
        <v>22850.701000000001</v>
      </c>
      <c r="E2368" t="s">
        <v>6</v>
      </c>
      <c r="F2368" t="s">
        <v>61</v>
      </c>
      <c r="G2368" t="s">
        <v>7</v>
      </c>
    </row>
    <row r="2369" spans="1:7" x14ac:dyDescent="0.3">
      <c r="A2369" t="s">
        <v>35</v>
      </c>
      <c r="B2369" s="1">
        <v>45900</v>
      </c>
      <c r="C2369">
        <v>541012</v>
      </c>
      <c r="D2369">
        <v>277.005</v>
      </c>
      <c r="E2369" t="s">
        <v>6</v>
      </c>
      <c r="F2369" t="s">
        <v>61</v>
      </c>
      <c r="G2369" t="s">
        <v>7</v>
      </c>
    </row>
    <row r="2370" spans="1:7" x14ac:dyDescent="0.3">
      <c r="A2370" t="s">
        <v>35</v>
      </c>
      <c r="B2370" s="1">
        <v>45900</v>
      </c>
      <c r="C2370">
        <v>541013</v>
      </c>
      <c r="D2370">
        <v>1456.135</v>
      </c>
      <c r="E2370" t="s">
        <v>6</v>
      </c>
      <c r="F2370" t="s">
        <v>61</v>
      </c>
      <c r="G2370" t="s">
        <v>7</v>
      </c>
    </row>
    <row r="2371" spans="1:7" x14ac:dyDescent="0.3">
      <c r="A2371" t="s">
        <v>35</v>
      </c>
      <c r="B2371" s="1">
        <v>45900</v>
      </c>
      <c r="C2371">
        <v>541021</v>
      </c>
      <c r="D2371">
        <v>-247.11799999999999</v>
      </c>
      <c r="E2371" t="s">
        <v>6</v>
      </c>
      <c r="F2371" t="s">
        <v>61</v>
      </c>
      <c r="G2371" t="s">
        <v>7</v>
      </c>
    </row>
    <row r="2372" spans="1:7" x14ac:dyDescent="0.3">
      <c r="A2372" t="s">
        <v>35</v>
      </c>
      <c r="B2372" s="1">
        <v>45900</v>
      </c>
      <c r="C2372">
        <v>544006</v>
      </c>
      <c r="D2372">
        <v>13588.151</v>
      </c>
      <c r="E2372" t="s">
        <v>6</v>
      </c>
      <c r="F2372" t="s">
        <v>61</v>
      </c>
      <c r="G2372" t="s">
        <v>7</v>
      </c>
    </row>
    <row r="2373" spans="1:7" x14ac:dyDescent="0.3">
      <c r="A2373" t="s">
        <v>35</v>
      </c>
      <c r="B2373" s="1">
        <v>45900</v>
      </c>
      <c r="C2373">
        <v>546002</v>
      </c>
      <c r="D2373">
        <v>4502889.8550000004</v>
      </c>
      <c r="E2373" t="s">
        <v>6</v>
      </c>
      <c r="F2373" t="s">
        <v>51</v>
      </c>
      <c r="G2373" t="s">
        <v>7</v>
      </c>
    </row>
    <row r="2374" spans="1:7" x14ac:dyDescent="0.3">
      <c r="A2374" t="s">
        <v>35</v>
      </c>
      <c r="B2374" s="1">
        <v>45900</v>
      </c>
      <c r="C2374">
        <v>546005</v>
      </c>
      <c r="D2374">
        <v>7769.0450000000001</v>
      </c>
      <c r="E2374" t="s">
        <v>6</v>
      </c>
      <c r="F2374" t="s">
        <v>51</v>
      </c>
      <c r="G2374" t="s">
        <v>7</v>
      </c>
    </row>
    <row r="2375" spans="1:7" x14ac:dyDescent="0.3">
      <c r="A2375" t="s">
        <v>35</v>
      </c>
      <c r="B2375" s="1">
        <v>45900</v>
      </c>
      <c r="C2375">
        <v>546008</v>
      </c>
      <c r="D2375">
        <v>71274.703999999998</v>
      </c>
      <c r="E2375" t="s">
        <v>6</v>
      </c>
      <c r="F2375" t="s">
        <v>51</v>
      </c>
      <c r="G2375" t="s">
        <v>7</v>
      </c>
    </row>
    <row r="2376" spans="1:7" x14ac:dyDescent="0.3">
      <c r="A2376" t="s">
        <v>35</v>
      </c>
      <c r="B2376" s="1">
        <v>45900</v>
      </c>
      <c r="C2376">
        <v>546012</v>
      </c>
      <c r="D2376">
        <v>7584.4430000000002</v>
      </c>
      <c r="E2376" t="s">
        <v>6</v>
      </c>
      <c r="F2376" t="s">
        <v>51</v>
      </c>
      <c r="G2376" t="s">
        <v>7</v>
      </c>
    </row>
    <row r="2377" spans="1:7" x14ac:dyDescent="0.3">
      <c r="A2377" t="s">
        <v>35</v>
      </c>
      <c r="B2377" s="1">
        <v>45900</v>
      </c>
      <c r="C2377">
        <v>546013</v>
      </c>
      <c r="D2377">
        <v>702981.35</v>
      </c>
      <c r="E2377" t="s">
        <v>6</v>
      </c>
      <c r="F2377" t="s">
        <v>51</v>
      </c>
      <c r="G2377" t="s">
        <v>7</v>
      </c>
    </row>
    <row r="2378" spans="1:7" x14ac:dyDescent="0.3">
      <c r="A2378" t="s">
        <v>35</v>
      </c>
      <c r="B2378" s="1">
        <v>45900</v>
      </c>
      <c r="C2378">
        <v>546015</v>
      </c>
      <c r="D2378">
        <v>33525.642999999996</v>
      </c>
      <c r="E2378" t="s">
        <v>6</v>
      </c>
      <c r="F2378" t="s">
        <v>51</v>
      </c>
      <c r="G2378" t="s">
        <v>7</v>
      </c>
    </row>
    <row r="2379" spans="1:7" x14ac:dyDescent="0.3">
      <c r="A2379" t="s">
        <v>35</v>
      </c>
      <c r="B2379" s="1">
        <v>45900</v>
      </c>
      <c r="C2379">
        <v>546016</v>
      </c>
      <c r="D2379">
        <v>67735.047999999995</v>
      </c>
      <c r="E2379" t="s">
        <v>6</v>
      </c>
      <c r="F2379" t="s">
        <v>51</v>
      </c>
      <c r="G2379" t="s">
        <v>7</v>
      </c>
    </row>
    <row r="2380" spans="1:7" x14ac:dyDescent="0.3">
      <c r="A2380" t="s">
        <v>35</v>
      </c>
      <c r="B2380" s="1">
        <v>45900</v>
      </c>
      <c r="C2380">
        <v>546018</v>
      </c>
      <c r="D2380">
        <v>1489.7860000000001</v>
      </c>
      <c r="E2380" t="s">
        <v>6</v>
      </c>
      <c r="F2380" t="s">
        <v>51</v>
      </c>
      <c r="G2380" t="s">
        <v>7</v>
      </c>
    </row>
    <row r="2381" spans="1:7" x14ac:dyDescent="0.3">
      <c r="A2381" t="s">
        <v>35</v>
      </c>
      <c r="B2381" s="1">
        <v>45900</v>
      </c>
      <c r="C2381">
        <v>546024</v>
      </c>
      <c r="D2381">
        <v>3679.3310000000001</v>
      </c>
      <c r="E2381" t="s">
        <v>6</v>
      </c>
      <c r="F2381" t="s">
        <v>51</v>
      </c>
      <c r="G2381" t="s">
        <v>7</v>
      </c>
    </row>
    <row r="2382" spans="1:7" x14ac:dyDescent="0.3">
      <c r="A2382" t="s">
        <v>35</v>
      </c>
      <c r="B2382" s="1">
        <v>45900</v>
      </c>
      <c r="C2382">
        <v>546035</v>
      </c>
      <c r="D2382">
        <v>94563.332999999999</v>
      </c>
      <c r="E2382" t="s">
        <v>6</v>
      </c>
      <c r="F2382" t="s">
        <v>51</v>
      </c>
      <c r="G2382" t="s">
        <v>7</v>
      </c>
    </row>
    <row r="2383" spans="1:7" x14ac:dyDescent="0.3">
      <c r="A2383" t="s">
        <v>35</v>
      </c>
      <c r="B2383" s="1">
        <v>45900</v>
      </c>
      <c r="C2383">
        <v>546045</v>
      </c>
      <c r="D2383">
        <v>25321.654999999999</v>
      </c>
      <c r="E2383" t="s">
        <v>6</v>
      </c>
      <c r="F2383" t="s">
        <v>51</v>
      </c>
      <c r="G2383" t="s">
        <v>7</v>
      </c>
    </row>
    <row r="2384" spans="1:7" x14ac:dyDescent="0.3">
      <c r="A2384" t="s">
        <v>35</v>
      </c>
      <c r="B2384" s="1">
        <v>45900</v>
      </c>
      <c r="C2384">
        <v>546047</v>
      </c>
      <c r="D2384">
        <v>8285.6669999999995</v>
      </c>
      <c r="E2384" t="s">
        <v>6</v>
      </c>
      <c r="F2384" t="s">
        <v>51</v>
      </c>
      <c r="G2384" t="s">
        <v>7</v>
      </c>
    </row>
    <row r="2385" spans="1:7" x14ac:dyDescent="0.3">
      <c r="A2385" t="s">
        <v>35</v>
      </c>
      <c r="B2385" s="1">
        <v>45900</v>
      </c>
      <c r="C2385">
        <v>547002</v>
      </c>
      <c r="D2385">
        <v>24351.566999999999</v>
      </c>
      <c r="E2385" t="s">
        <v>6</v>
      </c>
      <c r="F2385" t="s">
        <v>54</v>
      </c>
      <c r="G2385" t="s">
        <v>7</v>
      </c>
    </row>
    <row r="2386" spans="1:7" x14ac:dyDescent="0.3">
      <c r="A2386" t="s">
        <v>35</v>
      </c>
      <c r="B2386" s="1">
        <v>45900</v>
      </c>
      <c r="C2386">
        <v>547006</v>
      </c>
      <c r="D2386">
        <v>10610.974</v>
      </c>
      <c r="E2386" t="s">
        <v>6</v>
      </c>
      <c r="F2386" t="s">
        <v>54</v>
      </c>
      <c r="G2386" t="s">
        <v>7</v>
      </c>
    </row>
    <row r="2387" spans="1:7" x14ac:dyDescent="0.3">
      <c r="A2387" t="s">
        <v>35</v>
      </c>
      <c r="B2387" s="1">
        <v>45900</v>
      </c>
      <c r="C2387">
        <v>550003</v>
      </c>
      <c r="D2387">
        <v>2654977.8289999999</v>
      </c>
      <c r="E2387" t="s">
        <v>6</v>
      </c>
      <c r="F2387" t="s">
        <v>62</v>
      </c>
      <c r="G2387" t="s">
        <v>7</v>
      </c>
    </row>
    <row r="2388" spans="1:7" x14ac:dyDescent="0.3">
      <c r="A2388" t="s">
        <v>35</v>
      </c>
      <c r="B2388" s="1">
        <v>45900</v>
      </c>
      <c r="C2388">
        <v>551002</v>
      </c>
      <c r="D2388">
        <v>1680.241</v>
      </c>
      <c r="E2388" t="s">
        <v>6</v>
      </c>
      <c r="F2388" t="s">
        <v>63</v>
      </c>
      <c r="G2388" t="s">
        <v>7</v>
      </c>
    </row>
    <row r="2389" spans="1:7" x14ac:dyDescent="0.3">
      <c r="A2389" t="s">
        <v>35</v>
      </c>
      <c r="B2389" s="1">
        <v>45900</v>
      </c>
      <c r="C2389">
        <v>551003</v>
      </c>
      <c r="D2389">
        <v>42668.508999999998</v>
      </c>
      <c r="E2389" t="s">
        <v>6</v>
      </c>
      <c r="F2389" t="s">
        <v>63</v>
      </c>
      <c r="G2389" t="s">
        <v>7</v>
      </c>
    </row>
    <row r="2390" spans="1:7" x14ac:dyDescent="0.3">
      <c r="A2390" t="s">
        <v>35</v>
      </c>
      <c r="B2390" s="1">
        <v>45900</v>
      </c>
      <c r="C2390">
        <v>551008</v>
      </c>
      <c r="D2390">
        <v>68.704999999999998</v>
      </c>
      <c r="E2390" t="s">
        <v>6</v>
      </c>
      <c r="F2390" t="s">
        <v>63</v>
      </c>
      <c r="G2390" t="s">
        <v>7</v>
      </c>
    </row>
    <row r="2391" spans="1:7" x14ac:dyDescent="0.3">
      <c r="A2391" t="s">
        <v>35</v>
      </c>
      <c r="B2391" s="1">
        <v>45900</v>
      </c>
      <c r="C2391">
        <v>551011</v>
      </c>
      <c r="D2391">
        <v>182.29599999999999</v>
      </c>
      <c r="E2391" t="s">
        <v>6</v>
      </c>
      <c r="F2391" t="s">
        <v>61</v>
      </c>
      <c r="G2391" t="s">
        <v>7</v>
      </c>
    </row>
    <row r="2392" spans="1:7" x14ac:dyDescent="0.3">
      <c r="A2392" t="s">
        <v>35</v>
      </c>
      <c r="B2392" s="1">
        <v>45900</v>
      </c>
      <c r="C2392">
        <v>552002</v>
      </c>
      <c r="D2392">
        <v>927.54899999999998</v>
      </c>
      <c r="E2392" t="s">
        <v>6</v>
      </c>
      <c r="F2392" t="s">
        <v>55</v>
      </c>
      <c r="G2392" t="s">
        <v>7</v>
      </c>
    </row>
    <row r="2393" spans="1:7" x14ac:dyDescent="0.3">
      <c r="A2393" t="s">
        <v>35</v>
      </c>
      <c r="B2393" s="1">
        <v>45900</v>
      </c>
      <c r="C2393">
        <v>552502</v>
      </c>
      <c r="D2393">
        <v>13372.166999999999</v>
      </c>
      <c r="E2393" t="s">
        <v>6</v>
      </c>
      <c r="F2393" t="s">
        <v>55</v>
      </c>
      <c r="G2393" t="s">
        <v>7</v>
      </c>
    </row>
    <row r="2394" spans="1:7" x14ac:dyDescent="0.3">
      <c r="A2394" t="s">
        <v>35</v>
      </c>
      <c r="B2394" s="1">
        <v>45900</v>
      </c>
      <c r="C2394">
        <v>552504</v>
      </c>
      <c r="D2394">
        <v>642.37699999999995</v>
      </c>
      <c r="E2394" t="s">
        <v>6</v>
      </c>
      <c r="F2394" t="s">
        <v>55</v>
      </c>
      <c r="G2394" t="s">
        <v>7</v>
      </c>
    </row>
    <row r="2395" spans="1:7" x14ac:dyDescent="0.3">
      <c r="A2395" t="s">
        <v>35</v>
      </c>
      <c r="B2395" s="1">
        <v>45900</v>
      </c>
      <c r="C2395">
        <v>554003</v>
      </c>
      <c r="D2395">
        <v>1207.2819999999999</v>
      </c>
      <c r="E2395" t="s">
        <v>6</v>
      </c>
      <c r="F2395" t="s">
        <v>55</v>
      </c>
      <c r="G2395" t="s">
        <v>7</v>
      </c>
    </row>
    <row r="2396" spans="1:7" x14ac:dyDescent="0.3">
      <c r="A2396" t="s">
        <v>35</v>
      </c>
      <c r="B2396" s="1">
        <v>45900</v>
      </c>
      <c r="C2396">
        <v>554006</v>
      </c>
      <c r="D2396">
        <v>244.06200000000001</v>
      </c>
      <c r="E2396" t="s">
        <v>6</v>
      </c>
      <c r="F2396" t="s">
        <v>55</v>
      </c>
      <c r="G2396" t="s">
        <v>7</v>
      </c>
    </row>
    <row r="2397" spans="1:7" x14ac:dyDescent="0.3">
      <c r="A2397" t="s">
        <v>35</v>
      </c>
      <c r="B2397" s="1">
        <v>45900</v>
      </c>
      <c r="C2397">
        <v>555502</v>
      </c>
      <c r="D2397">
        <v>18160.661</v>
      </c>
      <c r="E2397" t="s">
        <v>6</v>
      </c>
      <c r="F2397" t="s">
        <v>55</v>
      </c>
      <c r="G2397" t="s">
        <v>7</v>
      </c>
    </row>
    <row r="2398" spans="1:7" x14ac:dyDescent="0.3">
      <c r="A2398" t="s">
        <v>35</v>
      </c>
      <c r="B2398" s="1">
        <v>45900</v>
      </c>
      <c r="C2398">
        <v>555508</v>
      </c>
      <c r="D2398">
        <v>1900.3330000000001</v>
      </c>
      <c r="E2398" t="s">
        <v>6</v>
      </c>
      <c r="F2398" t="s">
        <v>55</v>
      </c>
      <c r="G2398" t="s">
        <v>7</v>
      </c>
    </row>
    <row r="2399" spans="1:7" x14ac:dyDescent="0.3">
      <c r="A2399" t="s">
        <v>35</v>
      </c>
      <c r="B2399" s="1">
        <v>45900</v>
      </c>
      <c r="C2399">
        <v>556002</v>
      </c>
      <c r="D2399">
        <v>3639.3620000000001</v>
      </c>
      <c r="E2399" t="s">
        <v>6</v>
      </c>
      <c r="F2399" t="s">
        <v>60</v>
      </c>
      <c r="G2399" t="s">
        <v>7</v>
      </c>
    </row>
    <row r="2400" spans="1:7" x14ac:dyDescent="0.3">
      <c r="A2400" t="s">
        <v>35</v>
      </c>
      <c r="B2400" s="1">
        <v>45900</v>
      </c>
      <c r="C2400">
        <v>557002</v>
      </c>
      <c r="D2400">
        <v>41590.084999999999</v>
      </c>
      <c r="E2400" t="s">
        <v>6</v>
      </c>
      <c r="F2400" t="s">
        <v>56</v>
      </c>
      <c r="G2400" t="s">
        <v>7</v>
      </c>
    </row>
    <row r="2401" spans="1:7" x14ac:dyDescent="0.3">
      <c r="A2401" t="s">
        <v>35</v>
      </c>
      <c r="B2401" s="1">
        <v>45900</v>
      </c>
      <c r="C2401">
        <v>557003</v>
      </c>
      <c r="D2401">
        <v>2029.915</v>
      </c>
      <c r="E2401" t="s">
        <v>6</v>
      </c>
      <c r="F2401" t="s">
        <v>56</v>
      </c>
      <c r="G2401" t="s">
        <v>7</v>
      </c>
    </row>
    <row r="2402" spans="1:7" x14ac:dyDescent="0.3">
      <c r="A2402" t="s">
        <v>35</v>
      </c>
      <c r="B2402" s="1">
        <v>45900</v>
      </c>
      <c r="C2402">
        <v>558003</v>
      </c>
      <c r="D2402">
        <v>31101.025000000001</v>
      </c>
      <c r="E2402" t="s">
        <v>6</v>
      </c>
      <c r="F2402" t="s">
        <v>57</v>
      </c>
      <c r="G2402" t="s">
        <v>7</v>
      </c>
    </row>
    <row r="2403" spans="1:7" x14ac:dyDescent="0.3">
      <c r="A2403" t="s">
        <v>35</v>
      </c>
      <c r="B2403" s="1">
        <v>45900</v>
      </c>
      <c r="C2403">
        <v>558006</v>
      </c>
      <c r="D2403">
        <v>22075.972000000002</v>
      </c>
      <c r="E2403" t="s">
        <v>6</v>
      </c>
      <c r="F2403" t="s">
        <v>57</v>
      </c>
      <c r="G2403" t="s">
        <v>7</v>
      </c>
    </row>
    <row r="2404" spans="1:7" x14ac:dyDescent="0.3">
      <c r="A2404" t="s">
        <v>35</v>
      </c>
      <c r="B2404" s="1">
        <v>45900</v>
      </c>
      <c r="C2404">
        <v>558007</v>
      </c>
      <c r="D2404">
        <v>228.31100000000001</v>
      </c>
      <c r="E2404" t="s">
        <v>6</v>
      </c>
      <c r="F2404" t="s">
        <v>60</v>
      </c>
      <c r="G2404" t="s">
        <v>7</v>
      </c>
    </row>
    <row r="2405" spans="1:7" x14ac:dyDescent="0.3">
      <c r="A2405" t="s">
        <v>35</v>
      </c>
      <c r="B2405" s="1">
        <v>45900</v>
      </c>
      <c r="C2405">
        <v>558011</v>
      </c>
      <c r="D2405">
        <v>4146.6859999999997</v>
      </c>
      <c r="E2405" t="s">
        <v>6</v>
      </c>
      <c r="F2405" t="s">
        <v>57</v>
      </c>
      <c r="G2405" t="s">
        <v>7</v>
      </c>
    </row>
    <row r="2406" spans="1:7" x14ac:dyDescent="0.3">
      <c r="A2406" t="s">
        <v>35</v>
      </c>
      <c r="B2406" s="1">
        <v>45900</v>
      </c>
      <c r="C2406">
        <v>558012</v>
      </c>
      <c r="D2406">
        <v>5198.5649999999996</v>
      </c>
      <c r="E2406" t="s">
        <v>6</v>
      </c>
      <c r="F2406" t="s">
        <v>60</v>
      </c>
      <c r="G2406" t="s">
        <v>7</v>
      </c>
    </row>
    <row r="2407" spans="1:7" x14ac:dyDescent="0.3">
      <c r="A2407" t="s">
        <v>35</v>
      </c>
      <c r="B2407" s="1">
        <v>45900</v>
      </c>
      <c r="C2407">
        <v>559002</v>
      </c>
      <c r="D2407">
        <v>39.935000000000002</v>
      </c>
      <c r="E2407" t="s">
        <v>6</v>
      </c>
      <c r="F2407" t="s">
        <v>60</v>
      </c>
      <c r="G2407" t="s">
        <v>7</v>
      </c>
    </row>
    <row r="2408" spans="1:7" x14ac:dyDescent="0.3">
      <c r="A2408" t="s">
        <v>35</v>
      </c>
      <c r="B2408" s="1">
        <v>45900</v>
      </c>
      <c r="C2408">
        <v>564004</v>
      </c>
      <c r="D2408">
        <v>148167.26199999999</v>
      </c>
      <c r="E2408" t="s">
        <v>6</v>
      </c>
      <c r="F2408" t="s">
        <v>51</v>
      </c>
      <c r="G2408" t="s">
        <v>7</v>
      </c>
    </row>
    <row r="2409" spans="1:7" x14ac:dyDescent="0.3">
      <c r="A2409" t="s">
        <v>35</v>
      </c>
      <c r="B2409" s="1">
        <v>45900</v>
      </c>
      <c r="C2409">
        <v>564006</v>
      </c>
      <c r="D2409">
        <v>-0.06</v>
      </c>
      <c r="E2409" t="s">
        <v>6</v>
      </c>
      <c r="F2409" t="s">
        <v>57</v>
      </c>
      <c r="G2409" t="s">
        <v>7</v>
      </c>
    </row>
    <row r="2410" spans="1:7" x14ac:dyDescent="0.3">
      <c r="A2410" t="s">
        <v>35</v>
      </c>
      <c r="B2410" s="1">
        <v>45900</v>
      </c>
      <c r="C2410">
        <v>564008</v>
      </c>
      <c r="D2410">
        <v>587.69399999999996</v>
      </c>
      <c r="E2410" t="s">
        <v>6</v>
      </c>
      <c r="F2410" t="s">
        <v>55</v>
      </c>
      <c r="G2410" t="s">
        <v>7</v>
      </c>
    </row>
    <row r="2411" spans="1:7" x14ac:dyDescent="0.3">
      <c r="A2411" t="s">
        <v>35</v>
      </c>
      <c r="B2411" s="1">
        <v>45900</v>
      </c>
      <c r="C2411">
        <v>564020</v>
      </c>
      <c r="D2411">
        <v>717.42399999999998</v>
      </c>
      <c r="E2411" t="s">
        <v>6</v>
      </c>
      <c r="F2411" t="s">
        <v>57</v>
      </c>
      <c r="G2411" t="s">
        <v>7</v>
      </c>
    </row>
    <row r="2412" spans="1:7" x14ac:dyDescent="0.3">
      <c r="A2412" t="s">
        <v>35</v>
      </c>
      <c r="B2412" s="1">
        <v>45900</v>
      </c>
      <c r="C2412">
        <v>564021</v>
      </c>
      <c r="D2412">
        <v>1.8220000000000001</v>
      </c>
      <c r="E2412" t="s">
        <v>6</v>
      </c>
      <c r="F2412" t="s">
        <v>57</v>
      </c>
      <c r="G2412" t="s">
        <v>7</v>
      </c>
    </row>
    <row r="2413" spans="1:7" x14ac:dyDescent="0.3">
      <c r="A2413" t="s">
        <v>35</v>
      </c>
      <c r="B2413" s="1">
        <v>45900</v>
      </c>
      <c r="C2413">
        <v>564022</v>
      </c>
      <c r="D2413">
        <v>29254.944</v>
      </c>
      <c r="E2413" t="s">
        <v>6</v>
      </c>
      <c r="F2413" t="s">
        <v>67</v>
      </c>
      <c r="G2413" t="s">
        <v>7</v>
      </c>
    </row>
    <row r="2414" spans="1:7" x14ac:dyDescent="0.3">
      <c r="A2414" t="s">
        <v>35</v>
      </c>
      <c r="B2414" s="1">
        <v>45900</v>
      </c>
      <c r="C2414">
        <v>570002</v>
      </c>
      <c r="D2414">
        <v>1911.067</v>
      </c>
      <c r="E2414" t="s">
        <v>6</v>
      </c>
      <c r="F2414" t="s">
        <v>66</v>
      </c>
      <c r="G2414" t="s">
        <v>7</v>
      </c>
    </row>
    <row r="2415" spans="1:7" x14ac:dyDescent="0.3">
      <c r="A2415" t="s">
        <v>35</v>
      </c>
      <c r="B2415" s="1">
        <v>45900</v>
      </c>
      <c r="C2415">
        <v>580002</v>
      </c>
      <c r="D2415">
        <v>174530.15599999999</v>
      </c>
      <c r="E2415" t="s">
        <v>6</v>
      </c>
      <c r="F2415" t="s">
        <v>64</v>
      </c>
      <c r="G2415" t="s">
        <v>7</v>
      </c>
    </row>
    <row r="2416" spans="1:7" x14ac:dyDescent="0.3">
      <c r="A2416" t="s">
        <v>35</v>
      </c>
      <c r="B2416" s="1">
        <v>45900</v>
      </c>
      <c r="C2416">
        <v>580003</v>
      </c>
      <c r="D2416">
        <v>12444.953</v>
      </c>
      <c r="E2416" t="s">
        <v>6</v>
      </c>
      <c r="F2416" t="s">
        <v>64</v>
      </c>
      <c r="G2416" t="s">
        <v>7</v>
      </c>
    </row>
    <row r="2417" spans="1:7" x14ac:dyDescent="0.3">
      <c r="A2417" t="s">
        <v>35</v>
      </c>
      <c r="B2417" s="1">
        <v>45900</v>
      </c>
      <c r="C2417">
        <v>580005</v>
      </c>
      <c r="D2417">
        <v>3692.433</v>
      </c>
      <c r="E2417" t="s">
        <v>6</v>
      </c>
      <c r="F2417" t="s">
        <v>64</v>
      </c>
      <c r="G2417" t="s">
        <v>7</v>
      </c>
    </row>
    <row r="2418" spans="1:7" x14ac:dyDescent="0.3">
      <c r="A2418" t="s">
        <v>36</v>
      </c>
      <c r="B2418" s="1">
        <v>45900</v>
      </c>
      <c r="C2418">
        <v>210002</v>
      </c>
      <c r="D2418">
        <v>-995825.255</v>
      </c>
      <c r="E2418" t="s">
        <v>4</v>
      </c>
      <c r="F2418" t="s">
        <v>42</v>
      </c>
      <c r="G2418" t="s">
        <v>7</v>
      </c>
    </row>
    <row r="2419" spans="1:7" x14ac:dyDescent="0.3">
      <c r="A2419" t="s">
        <v>36</v>
      </c>
      <c r="B2419" s="1">
        <v>45900</v>
      </c>
      <c r="C2419">
        <v>220006</v>
      </c>
      <c r="D2419">
        <v>1732432.6780000001</v>
      </c>
      <c r="E2419" t="s">
        <v>4</v>
      </c>
      <c r="F2419" t="s">
        <v>42</v>
      </c>
      <c r="G2419" t="s">
        <v>7</v>
      </c>
    </row>
    <row r="2420" spans="1:7" x14ac:dyDescent="0.3">
      <c r="A2420" t="s">
        <v>36</v>
      </c>
      <c r="B2420" s="1">
        <v>45900</v>
      </c>
      <c r="C2420">
        <v>300005</v>
      </c>
      <c r="D2420">
        <v>5493.4840000000004</v>
      </c>
      <c r="E2420" t="s">
        <v>4</v>
      </c>
      <c r="F2420" t="s">
        <v>65</v>
      </c>
      <c r="G2420" t="s">
        <v>7</v>
      </c>
    </row>
    <row r="2421" spans="1:7" x14ac:dyDescent="0.3">
      <c r="A2421" t="s">
        <v>36</v>
      </c>
      <c r="B2421" s="1">
        <v>45900</v>
      </c>
      <c r="C2421">
        <v>300008</v>
      </c>
      <c r="D2421">
        <v>11734.954</v>
      </c>
      <c r="E2421" t="s">
        <v>4</v>
      </c>
      <c r="F2421" t="s">
        <v>65</v>
      </c>
      <c r="G2421" t="s">
        <v>7</v>
      </c>
    </row>
    <row r="2422" spans="1:7" x14ac:dyDescent="0.3">
      <c r="A2422" t="s">
        <v>36</v>
      </c>
      <c r="B2422" s="1">
        <v>45900</v>
      </c>
      <c r="C2422">
        <v>300505</v>
      </c>
      <c r="D2422">
        <v>-5493.4840000000004</v>
      </c>
      <c r="E2422" t="s">
        <v>4</v>
      </c>
      <c r="F2422" t="s">
        <v>65</v>
      </c>
      <c r="G2422" t="s">
        <v>7</v>
      </c>
    </row>
    <row r="2423" spans="1:7" x14ac:dyDescent="0.3">
      <c r="A2423" t="s">
        <v>36</v>
      </c>
      <c r="B2423" s="1">
        <v>45900</v>
      </c>
      <c r="C2423">
        <v>300508</v>
      </c>
      <c r="D2423">
        <v>-11734.954</v>
      </c>
      <c r="E2423" t="s">
        <v>4</v>
      </c>
      <c r="F2423" t="s">
        <v>65</v>
      </c>
      <c r="G2423" t="s">
        <v>7</v>
      </c>
    </row>
    <row r="2424" spans="1:7" x14ac:dyDescent="0.3">
      <c r="A2424" t="s">
        <v>36</v>
      </c>
      <c r="B2424" s="1">
        <v>45900</v>
      </c>
      <c r="C2424">
        <v>301002</v>
      </c>
      <c r="D2424">
        <v>462057.783</v>
      </c>
      <c r="E2424" t="s">
        <v>4</v>
      </c>
      <c r="F2424" t="s">
        <v>68</v>
      </c>
      <c r="G2424" t="s">
        <v>7</v>
      </c>
    </row>
    <row r="2425" spans="1:7" x14ac:dyDescent="0.3">
      <c r="A2425" t="s">
        <v>36</v>
      </c>
      <c r="B2425" s="1">
        <v>45900</v>
      </c>
      <c r="C2425">
        <v>301502</v>
      </c>
      <c r="D2425">
        <v>-389092.28499999997</v>
      </c>
      <c r="E2425" t="s">
        <v>4</v>
      </c>
      <c r="F2425" t="s">
        <v>68</v>
      </c>
      <c r="G2425" t="s">
        <v>7</v>
      </c>
    </row>
    <row r="2426" spans="1:7" x14ac:dyDescent="0.3">
      <c r="A2426" t="s">
        <v>36</v>
      </c>
      <c r="B2426" s="1">
        <v>45900</v>
      </c>
      <c r="C2426">
        <v>330123</v>
      </c>
      <c r="D2426">
        <v>-924676.429</v>
      </c>
      <c r="E2426" t="s">
        <v>4</v>
      </c>
      <c r="F2426" t="s">
        <v>43</v>
      </c>
      <c r="G2426" t="s">
        <v>7</v>
      </c>
    </row>
    <row r="2427" spans="1:7" x14ac:dyDescent="0.3">
      <c r="A2427" t="s">
        <v>36</v>
      </c>
      <c r="B2427" s="1">
        <v>45900</v>
      </c>
      <c r="C2427">
        <v>340258</v>
      </c>
      <c r="D2427">
        <v>181.37799999999999</v>
      </c>
      <c r="E2427" t="s">
        <v>4</v>
      </c>
      <c r="F2427" t="s">
        <v>47</v>
      </c>
      <c r="G2427" t="s">
        <v>7</v>
      </c>
    </row>
    <row r="2428" spans="1:7" x14ac:dyDescent="0.3">
      <c r="A2428" t="s">
        <v>36</v>
      </c>
      <c r="B2428" s="1">
        <v>45900</v>
      </c>
      <c r="C2428">
        <v>364502</v>
      </c>
      <c r="D2428">
        <v>95540.614000000001</v>
      </c>
      <c r="E2428" t="s">
        <v>4</v>
      </c>
      <c r="F2428" t="s">
        <v>58</v>
      </c>
      <c r="G2428" t="s">
        <v>7</v>
      </c>
    </row>
    <row r="2429" spans="1:7" x14ac:dyDescent="0.3">
      <c r="A2429" t="s">
        <v>36</v>
      </c>
      <c r="B2429" s="1">
        <v>45900</v>
      </c>
      <c r="C2429">
        <v>564006</v>
      </c>
      <c r="D2429">
        <v>5.2999999999999999E-2</v>
      </c>
      <c r="E2429" t="s">
        <v>6</v>
      </c>
      <c r="F2429" t="s">
        <v>57</v>
      </c>
      <c r="G2429" t="s">
        <v>7</v>
      </c>
    </row>
    <row r="2430" spans="1:7" x14ac:dyDescent="0.3">
      <c r="A2430" t="s">
        <v>36</v>
      </c>
      <c r="B2430" s="1">
        <v>45900</v>
      </c>
      <c r="C2430">
        <v>570003</v>
      </c>
      <c r="D2430">
        <v>19064.508000000002</v>
      </c>
      <c r="E2430" t="s">
        <v>6</v>
      </c>
      <c r="F2430" t="s">
        <v>66</v>
      </c>
      <c r="G2430" t="s">
        <v>7</v>
      </c>
    </row>
    <row r="2431" spans="1:7" x14ac:dyDescent="0.3">
      <c r="A2431" t="s">
        <v>37</v>
      </c>
      <c r="B2431" s="1">
        <v>45900</v>
      </c>
      <c r="C2431">
        <v>210002</v>
      </c>
      <c r="D2431">
        <v>-96824.673999999999</v>
      </c>
      <c r="E2431" t="s">
        <v>4</v>
      </c>
      <c r="F2431" t="s">
        <v>42</v>
      </c>
      <c r="G2431" t="s">
        <v>7</v>
      </c>
    </row>
    <row r="2432" spans="1:7" x14ac:dyDescent="0.3">
      <c r="A2432" t="s">
        <v>37</v>
      </c>
      <c r="B2432" s="1">
        <v>45900</v>
      </c>
      <c r="C2432">
        <v>220006</v>
      </c>
      <c r="D2432">
        <v>-96954.127999999997</v>
      </c>
      <c r="E2432" t="s">
        <v>4</v>
      </c>
      <c r="F2432" t="s">
        <v>42</v>
      </c>
      <c r="G2432" t="s">
        <v>7</v>
      </c>
    </row>
    <row r="2433" spans="1:7" x14ac:dyDescent="0.3">
      <c r="A2433" t="s">
        <v>37</v>
      </c>
      <c r="B2433" s="1">
        <v>45900</v>
      </c>
      <c r="C2433">
        <v>234003</v>
      </c>
      <c r="D2433">
        <v>-20984.974999999999</v>
      </c>
      <c r="E2433" t="s">
        <v>4</v>
      </c>
      <c r="F2433" t="s">
        <v>43</v>
      </c>
      <c r="G2433" t="s">
        <v>7</v>
      </c>
    </row>
    <row r="2434" spans="1:7" x14ac:dyDescent="0.3">
      <c r="A2434" t="s">
        <v>37</v>
      </c>
      <c r="B2434" s="1">
        <v>45900</v>
      </c>
      <c r="C2434">
        <v>240002</v>
      </c>
      <c r="D2434">
        <v>-769.91899999999998</v>
      </c>
      <c r="E2434" t="s">
        <v>4</v>
      </c>
      <c r="F2434" t="s">
        <v>43</v>
      </c>
      <c r="G2434" t="s">
        <v>7</v>
      </c>
    </row>
    <row r="2435" spans="1:7" x14ac:dyDescent="0.3">
      <c r="A2435" t="s">
        <v>37</v>
      </c>
      <c r="B2435" s="1">
        <v>45900</v>
      </c>
      <c r="C2435">
        <v>243002</v>
      </c>
      <c r="D2435">
        <v>-592.15899999999999</v>
      </c>
      <c r="E2435" t="s">
        <v>4</v>
      </c>
      <c r="F2435" t="s">
        <v>43</v>
      </c>
      <c r="G2435" t="s">
        <v>7</v>
      </c>
    </row>
    <row r="2436" spans="1:7" x14ac:dyDescent="0.3">
      <c r="A2436" t="s">
        <v>37</v>
      </c>
      <c r="B2436" s="1">
        <v>45900</v>
      </c>
      <c r="C2436">
        <v>243003</v>
      </c>
      <c r="D2436">
        <v>-41966.644</v>
      </c>
      <c r="E2436" t="s">
        <v>4</v>
      </c>
      <c r="F2436" t="s">
        <v>43</v>
      </c>
      <c r="G2436" t="s">
        <v>7</v>
      </c>
    </row>
    <row r="2437" spans="1:7" x14ac:dyDescent="0.3">
      <c r="A2437" t="s">
        <v>37</v>
      </c>
      <c r="B2437" s="1">
        <v>45900</v>
      </c>
      <c r="C2437">
        <v>245010</v>
      </c>
      <c r="D2437">
        <v>-28486.877</v>
      </c>
      <c r="E2437" t="s">
        <v>4</v>
      </c>
      <c r="F2437" t="s">
        <v>44</v>
      </c>
      <c r="G2437" t="s">
        <v>7</v>
      </c>
    </row>
    <row r="2438" spans="1:7" x14ac:dyDescent="0.3">
      <c r="A2438" t="s">
        <v>37</v>
      </c>
      <c r="B2438" s="1">
        <v>45900</v>
      </c>
      <c r="C2438">
        <v>245044</v>
      </c>
      <c r="D2438">
        <v>-8357.8259999999991</v>
      </c>
      <c r="E2438" t="s">
        <v>4</v>
      </c>
      <c r="F2438" t="s">
        <v>43</v>
      </c>
      <c r="G2438" t="s">
        <v>7</v>
      </c>
    </row>
    <row r="2439" spans="1:7" x14ac:dyDescent="0.3">
      <c r="A2439" t="s">
        <v>37</v>
      </c>
      <c r="B2439" s="1">
        <v>45900</v>
      </c>
      <c r="C2439">
        <v>251002</v>
      </c>
      <c r="D2439">
        <v>-9051.4979999999996</v>
      </c>
      <c r="E2439" t="s">
        <v>4</v>
      </c>
      <c r="F2439" t="s">
        <v>45</v>
      </c>
      <c r="G2439" t="s">
        <v>7</v>
      </c>
    </row>
    <row r="2440" spans="1:7" x14ac:dyDescent="0.3">
      <c r="A2440" t="s">
        <v>37</v>
      </c>
      <c r="B2440" s="1">
        <v>45900</v>
      </c>
      <c r="C2440">
        <v>257022</v>
      </c>
      <c r="D2440">
        <v>-2554.386</v>
      </c>
      <c r="E2440" t="s">
        <v>4</v>
      </c>
      <c r="F2440" t="s">
        <v>45</v>
      </c>
      <c r="G2440" t="s">
        <v>7</v>
      </c>
    </row>
    <row r="2441" spans="1:7" x14ac:dyDescent="0.3">
      <c r="A2441" t="s">
        <v>37</v>
      </c>
      <c r="B2441" s="1">
        <v>45900</v>
      </c>
      <c r="C2441">
        <v>257030</v>
      </c>
      <c r="D2441">
        <v>-7918.8770000000004</v>
      </c>
      <c r="E2441" t="s">
        <v>4</v>
      </c>
      <c r="F2441" t="s">
        <v>45</v>
      </c>
      <c r="G2441" t="s">
        <v>7</v>
      </c>
    </row>
    <row r="2442" spans="1:7" x14ac:dyDescent="0.3">
      <c r="A2442" t="s">
        <v>37</v>
      </c>
      <c r="B2442" s="1">
        <v>45900</v>
      </c>
      <c r="C2442">
        <v>270024</v>
      </c>
      <c r="D2442">
        <v>-23524.337</v>
      </c>
      <c r="E2442" t="s">
        <v>4</v>
      </c>
      <c r="F2442" t="s">
        <v>58</v>
      </c>
      <c r="G2442" t="s">
        <v>7</v>
      </c>
    </row>
    <row r="2443" spans="1:7" x14ac:dyDescent="0.3">
      <c r="A2443" t="s">
        <v>37</v>
      </c>
      <c r="B2443" s="1">
        <v>45900</v>
      </c>
      <c r="C2443">
        <v>300012</v>
      </c>
      <c r="D2443">
        <v>6457.1930000000002</v>
      </c>
      <c r="E2443" t="s">
        <v>4</v>
      </c>
      <c r="F2443" t="s">
        <v>65</v>
      </c>
      <c r="G2443" t="s">
        <v>7</v>
      </c>
    </row>
    <row r="2444" spans="1:7" x14ac:dyDescent="0.3">
      <c r="A2444" t="s">
        <v>37</v>
      </c>
      <c r="B2444" s="1">
        <v>45900</v>
      </c>
      <c r="C2444">
        <v>300013</v>
      </c>
      <c r="D2444">
        <v>1644.7139999999999</v>
      </c>
      <c r="E2444" t="s">
        <v>4</v>
      </c>
      <c r="F2444" t="s">
        <v>65</v>
      </c>
      <c r="G2444" t="s">
        <v>7</v>
      </c>
    </row>
    <row r="2445" spans="1:7" x14ac:dyDescent="0.3">
      <c r="A2445" t="s">
        <v>37</v>
      </c>
      <c r="B2445" s="1">
        <v>45900</v>
      </c>
      <c r="C2445">
        <v>300512</v>
      </c>
      <c r="D2445">
        <v>-3877.9050000000002</v>
      </c>
      <c r="E2445" t="s">
        <v>4</v>
      </c>
      <c r="F2445" t="s">
        <v>65</v>
      </c>
      <c r="G2445" t="s">
        <v>7</v>
      </c>
    </row>
    <row r="2446" spans="1:7" x14ac:dyDescent="0.3">
      <c r="A2446" t="s">
        <v>37</v>
      </c>
      <c r="B2446" s="1">
        <v>45900</v>
      </c>
      <c r="C2446">
        <v>300513</v>
      </c>
      <c r="D2446">
        <v>-738.84</v>
      </c>
      <c r="E2446" t="s">
        <v>4</v>
      </c>
      <c r="F2446" t="s">
        <v>65</v>
      </c>
      <c r="G2446" t="s">
        <v>7</v>
      </c>
    </row>
    <row r="2447" spans="1:7" x14ac:dyDescent="0.3">
      <c r="A2447" t="s">
        <v>37</v>
      </c>
      <c r="B2447" s="1">
        <v>45900</v>
      </c>
      <c r="C2447">
        <v>304002</v>
      </c>
      <c r="D2447">
        <v>25181.974999999999</v>
      </c>
      <c r="E2447" t="s">
        <v>4</v>
      </c>
      <c r="F2447" t="s">
        <v>65</v>
      </c>
      <c r="G2447" t="s">
        <v>7</v>
      </c>
    </row>
    <row r="2448" spans="1:7" x14ac:dyDescent="0.3">
      <c r="A2448" t="s">
        <v>37</v>
      </c>
      <c r="B2448" s="1">
        <v>45900</v>
      </c>
      <c r="C2448">
        <v>304502</v>
      </c>
      <c r="D2448">
        <v>-4197</v>
      </c>
      <c r="E2448" t="s">
        <v>4</v>
      </c>
      <c r="F2448" t="s">
        <v>65</v>
      </c>
      <c r="G2448" t="s">
        <v>7</v>
      </c>
    </row>
    <row r="2449" spans="1:7" x14ac:dyDescent="0.3">
      <c r="A2449" t="s">
        <v>37</v>
      </c>
      <c r="B2449" s="1">
        <v>45900</v>
      </c>
      <c r="C2449">
        <v>320002</v>
      </c>
      <c r="D2449">
        <v>10698.324000000001</v>
      </c>
      <c r="E2449" t="s">
        <v>4</v>
      </c>
      <c r="F2449" t="s">
        <v>46</v>
      </c>
      <c r="G2449" t="s">
        <v>7</v>
      </c>
    </row>
    <row r="2450" spans="1:7" x14ac:dyDescent="0.3">
      <c r="A2450" t="s">
        <v>37</v>
      </c>
      <c r="B2450" s="1">
        <v>45900</v>
      </c>
      <c r="C2450">
        <v>320003</v>
      </c>
      <c r="D2450">
        <v>80721.072</v>
      </c>
      <c r="E2450" t="s">
        <v>4</v>
      </c>
      <c r="F2450" t="s">
        <v>46</v>
      </c>
      <c r="G2450" t="s">
        <v>7</v>
      </c>
    </row>
    <row r="2451" spans="1:7" x14ac:dyDescent="0.3">
      <c r="A2451" t="s">
        <v>37</v>
      </c>
      <c r="B2451" s="1">
        <v>45900</v>
      </c>
      <c r="C2451">
        <v>321002</v>
      </c>
      <c r="D2451">
        <v>11832.401</v>
      </c>
      <c r="E2451" t="s">
        <v>4</v>
      </c>
      <c r="F2451" t="s">
        <v>46</v>
      </c>
      <c r="G2451" t="s">
        <v>7</v>
      </c>
    </row>
    <row r="2452" spans="1:7" x14ac:dyDescent="0.3">
      <c r="A2452" t="s">
        <v>37</v>
      </c>
      <c r="B2452" s="1">
        <v>45900</v>
      </c>
      <c r="C2452">
        <v>321025</v>
      </c>
      <c r="D2452">
        <v>9600.0360000000001</v>
      </c>
      <c r="E2452" t="s">
        <v>4</v>
      </c>
      <c r="F2452" t="s">
        <v>46</v>
      </c>
      <c r="G2452" t="s">
        <v>7</v>
      </c>
    </row>
    <row r="2453" spans="1:7" x14ac:dyDescent="0.3">
      <c r="A2453" t="s">
        <v>37</v>
      </c>
      <c r="B2453" s="1">
        <v>45900</v>
      </c>
      <c r="C2453">
        <v>340008</v>
      </c>
      <c r="D2453">
        <v>160837.367</v>
      </c>
      <c r="E2453" t="s">
        <v>4</v>
      </c>
      <c r="F2453" t="s">
        <v>47</v>
      </c>
      <c r="G2453" t="s">
        <v>7</v>
      </c>
    </row>
    <row r="2454" spans="1:7" x14ac:dyDescent="0.3">
      <c r="A2454" t="s">
        <v>37</v>
      </c>
      <c r="B2454" s="1">
        <v>45900</v>
      </c>
      <c r="C2454">
        <v>350002</v>
      </c>
      <c r="D2454">
        <v>4745.2489999999998</v>
      </c>
      <c r="E2454" t="s">
        <v>4</v>
      </c>
      <c r="F2454" t="s">
        <v>49</v>
      </c>
      <c r="G2454" t="s">
        <v>7</v>
      </c>
    </row>
    <row r="2455" spans="1:7" x14ac:dyDescent="0.3">
      <c r="A2455" t="s">
        <v>37</v>
      </c>
      <c r="B2455" s="1">
        <v>45900</v>
      </c>
      <c r="C2455">
        <v>350006</v>
      </c>
      <c r="D2455">
        <v>0</v>
      </c>
      <c r="E2455" t="s">
        <v>4</v>
      </c>
      <c r="F2455" t="s">
        <v>43</v>
      </c>
      <c r="G2455" t="s">
        <v>7</v>
      </c>
    </row>
    <row r="2456" spans="1:7" x14ac:dyDescent="0.3">
      <c r="A2456" t="s">
        <v>37</v>
      </c>
      <c r="B2456" s="1">
        <v>45900</v>
      </c>
      <c r="C2456">
        <v>352004</v>
      </c>
      <c r="D2456">
        <v>485.21</v>
      </c>
      <c r="E2456" t="s">
        <v>4</v>
      </c>
      <c r="F2456" t="s">
        <v>48</v>
      </c>
      <c r="G2456" t="s">
        <v>7</v>
      </c>
    </row>
    <row r="2457" spans="1:7" x14ac:dyDescent="0.3">
      <c r="A2457" t="s">
        <v>37</v>
      </c>
      <c r="B2457" s="1">
        <v>45900</v>
      </c>
      <c r="C2457">
        <v>354014</v>
      </c>
      <c r="D2457">
        <v>38805.752999999997</v>
      </c>
      <c r="E2457" t="s">
        <v>4</v>
      </c>
      <c r="F2457" t="s">
        <v>46</v>
      </c>
      <c r="G2457" t="s">
        <v>7</v>
      </c>
    </row>
    <row r="2458" spans="1:7" x14ac:dyDescent="0.3">
      <c r="A2458" t="s">
        <v>37</v>
      </c>
      <c r="B2458" s="1">
        <v>45900</v>
      </c>
      <c r="C2458">
        <v>355002</v>
      </c>
      <c r="D2458">
        <v>7.2290000000000001</v>
      </c>
      <c r="E2458" t="s">
        <v>4</v>
      </c>
      <c r="F2458" t="s">
        <v>49</v>
      </c>
      <c r="G2458" t="s">
        <v>7</v>
      </c>
    </row>
    <row r="2459" spans="1:7" x14ac:dyDescent="0.3">
      <c r="A2459" t="s">
        <v>37</v>
      </c>
      <c r="B2459" s="1">
        <v>45900</v>
      </c>
      <c r="C2459">
        <v>360012</v>
      </c>
      <c r="D2459">
        <v>5625.5839999999998</v>
      </c>
      <c r="E2459" t="s">
        <v>4</v>
      </c>
      <c r="F2459" t="s">
        <v>58</v>
      </c>
      <c r="G2459" t="s">
        <v>7</v>
      </c>
    </row>
    <row r="2460" spans="1:7" x14ac:dyDescent="0.3">
      <c r="A2460" t="s">
        <v>37</v>
      </c>
      <c r="B2460" s="1">
        <v>45900</v>
      </c>
      <c r="C2460">
        <v>360019</v>
      </c>
      <c r="D2460">
        <v>3464.6689999999999</v>
      </c>
      <c r="E2460" t="s">
        <v>4</v>
      </c>
      <c r="F2460" t="s">
        <v>58</v>
      </c>
      <c r="G2460" t="s">
        <v>7</v>
      </c>
    </row>
    <row r="2461" spans="1:7" x14ac:dyDescent="0.3">
      <c r="A2461" t="s">
        <v>37</v>
      </c>
      <c r="B2461" s="1">
        <v>45900</v>
      </c>
      <c r="C2461">
        <v>360026</v>
      </c>
      <c r="D2461">
        <v>29088.422999999999</v>
      </c>
      <c r="E2461" t="s">
        <v>4</v>
      </c>
      <c r="F2461" t="s">
        <v>58</v>
      </c>
      <c r="G2461" t="s">
        <v>7</v>
      </c>
    </row>
    <row r="2462" spans="1:7" x14ac:dyDescent="0.3">
      <c r="A2462" t="s">
        <v>37</v>
      </c>
      <c r="B2462" s="1">
        <v>45900</v>
      </c>
      <c r="C2462">
        <v>364502</v>
      </c>
      <c r="D2462">
        <v>19086.542000000001</v>
      </c>
      <c r="E2462" t="s">
        <v>4</v>
      </c>
      <c r="F2462" t="s">
        <v>58</v>
      </c>
      <c r="G2462" t="s">
        <v>7</v>
      </c>
    </row>
    <row r="2463" spans="1:7" x14ac:dyDescent="0.3">
      <c r="A2463" t="s">
        <v>37</v>
      </c>
      <c r="B2463" s="1">
        <v>45900</v>
      </c>
      <c r="C2463">
        <v>400002</v>
      </c>
      <c r="D2463">
        <v>-14800.087</v>
      </c>
      <c r="E2463" t="s">
        <v>6</v>
      </c>
      <c r="F2463" t="s">
        <v>50</v>
      </c>
      <c r="G2463" t="s">
        <v>7</v>
      </c>
    </row>
    <row r="2464" spans="1:7" x14ac:dyDescent="0.3">
      <c r="A2464" t="s">
        <v>37</v>
      </c>
      <c r="B2464" s="1">
        <v>45900</v>
      </c>
      <c r="C2464">
        <v>410002</v>
      </c>
      <c r="D2464">
        <v>-55580.411</v>
      </c>
      <c r="E2464" t="s">
        <v>6</v>
      </c>
      <c r="F2464" t="s">
        <v>51</v>
      </c>
      <c r="G2464" t="s">
        <v>7</v>
      </c>
    </row>
    <row r="2465" spans="1:7" x14ac:dyDescent="0.3">
      <c r="A2465" t="s">
        <v>37</v>
      </c>
      <c r="B2465" s="1">
        <v>45900</v>
      </c>
      <c r="C2465">
        <v>410032</v>
      </c>
      <c r="D2465">
        <v>-19140.284</v>
      </c>
      <c r="E2465" t="s">
        <v>6</v>
      </c>
      <c r="F2465" t="s">
        <v>51</v>
      </c>
      <c r="G2465" t="s">
        <v>7</v>
      </c>
    </row>
    <row r="2466" spans="1:7" x14ac:dyDescent="0.3">
      <c r="A2466" t="s">
        <v>37</v>
      </c>
      <c r="B2466" s="1">
        <v>45900</v>
      </c>
      <c r="C2466">
        <v>415002</v>
      </c>
      <c r="D2466">
        <v>-317126</v>
      </c>
      <c r="E2466" t="s">
        <v>6</v>
      </c>
      <c r="F2466" t="s">
        <v>50</v>
      </c>
      <c r="G2466" t="s">
        <v>7</v>
      </c>
    </row>
    <row r="2467" spans="1:7" x14ac:dyDescent="0.3">
      <c r="A2467" t="s">
        <v>37</v>
      </c>
      <c r="B2467" s="1">
        <v>45900</v>
      </c>
      <c r="C2467">
        <v>420002</v>
      </c>
      <c r="D2467">
        <v>-901.50400000000002</v>
      </c>
      <c r="E2467" t="s">
        <v>6</v>
      </c>
      <c r="F2467" t="s">
        <v>52</v>
      </c>
      <c r="G2467" t="s">
        <v>7</v>
      </c>
    </row>
    <row r="2468" spans="1:7" x14ac:dyDescent="0.3">
      <c r="A2468" t="s">
        <v>37</v>
      </c>
      <c r="B2468" s="1">
        <v>45900</v>
      </c>
      <c r="C2468">
        <v>421002</v>
      </c>
      <c r="D2468">
        <v>-1590.9880000000001</v>
      </c>
      <c r="E2468" t="s">
        <v>6</v>
      </c>
      <c r="F2468" t="s">
        <v>52</v>
      </c>
      <c r="G2468" t="s">
        <v>7</v>
      </c>
    </row>
    <row r="2469" spans="1:7" x14ac:dyDescent="0.3">
      <c r="A2469" t="s">
        <v>37</v>
      </c>
      <c r="B2469" s="1">
        <v>45900</v>
      </c>
      <c r="C2469">
        <v>510002</v>
      </c>
      <c r="D2469">
        <v>44872.811000000002</v>
      </c>
      <c r="E2469" t="s">
        <v>6</v>
      </c>
      <c r="F2469" t="s">
        <v>53</v>
      </c>
      <c r="G2469" t="s">
        <v>7</v>
      </c>
    </row>
    <row r="2470" spans="1:7" x14ac:dyDescent="0.3">
      <c r="A2470" t="s">
        <v>37</v>
      </c>
      <c r="B2470" s="1">
        <v>45900</v>
      </c>
      <c r="C2470">
        <v>510004</v>
      </c>
      <c r="D2470">
        <v>5104.16</v>
      </c>
      <c r="E2470" t="s">
        <v>6</v>
      </c>
      <c r="F2470" t="s">
        <v>53</v>
      </c>
      <c r="G2470" t="s">
        <v>7</v>
      </c>
    </row>
    <row r="2471" spans="1:7" x14ac:dyDescent="0.3">
      <c r="A2471" t="s">
        <v>37</v>
      </c>
      <c r="B2471" s="1">
        <v>45900</v>
      </c>
      <c r="C2471">
        <v>510005</v>
      </c>
      <c r="D2471">
        <v>10698.31</v>
      </c>
      <c r="E2471" t="s">
        <v>6</v>
      </c>
      <c r="F2471" t="s">
        <v>53</v>
      </c>
      <c r="G2471" t="s">
        <v>7</v>
      </c>
    </row>
    <row r="2472" spans="1:7" x14ac:dyDescent="0.3">
      <c r="A2472" t="s">
        <v>37</v>
      </c>
      <c r="B2472" s="1">
        <v>45900</v>
      </c>
      <c r="C2472">
        <v>510007</v>
      </c>
      <c r="D2472">
        <v>2482.183</v>
      </c>
      <c r="E2472" t="s">
        <v>6</v>
      </c>
      <c r="F2472" t="s">
        <v>53</v>
      </c>
      <c r="G2472" t="s">
        <v>7</v>
      </c>
    </row>
    <row r="2473" spans="1:7" x14ac:dyDescent="0.3">
      <c r="A2473" t="s">
        <v>37</v>
      </c>
      <c r="B2473" s="1">
        <v>45900</v>
      </c>
      <c r="C2473">
        <v>510015</v>
      </c>
      <c r="D2473">
        <v>18751.522000000001</v>
      </c>
      <c r="E2473" t="s">
        <v>6</v>
      </c>
      <c r="F2473" t="s">
        <v>53</v>
      </c>
      <c r="G2473" t="s">
        <v>7</v>
      </c>
    </row>
    <row r="2474" spans="1:7" x14ac:dyDescent="0.3">
      <c r="A2474" t="s">
        <v>37</v>
      </c>
      <c r="B2474" s="1">
        <v>45900</v>
      </c>
      <c r="C2474">
        <v>520021</v>
      </c>
      <c r="D2474">
        <v>53.573</v>
      </c>
      <c r="E2474" t="s">
        <v>6</v>
      </c>
      <c r="F2474" t="s">
        <v>60</v>
      </c>
      <c r="G2474" t="s">
        <v>7</v>
      </c>
    </row>
    <row r="2475" spans="1:7" x14ac:dyDescent="0.3">
      <c r="A2475" t="s">
        <v>37</v>
      </c>
      <c r="B2475" s="1">
        <v>45900</v>
      </c>
      <c r="C2475">
        <v>530012</v>
      </c>
      <c r="D2475">
        <v>13014.004999999999</v>
      </c>
      <c r="E2475" t="s">
        <v>6</v>
      </c>
      <c r="F2475" t="s">
        <v>53</v>
      </c>
      <c r="G2475" t="s">
        <v>7</v>
      </c>
    </row>
    <row r="2476" spans="1:7" x14ac:dyDescent="0.3">
      <c r="A2476" t="s">
        <v>37</v>
      </c>
      <c r="B2476" s="1">
        <v>45900</v>
      </c>
      <c r="C2476">
        <v>540004</v>
      </c>
      <c r="D2476">
        <v>1.4999999999999999E-2</v>
      </c>
      <c r="E2476" t="s">
        <v>6</v>
      </c>
      <c r="F2476" t="s">
        <v>67</v>
      </c>
      <c r="G2476" t="s">
        <v>7</v>
      </c>
    </row>
    <row r="2477" spans="1:7" x14ac:dyDescent="0.3">
      <c r="A2477" t="s">
        <v>37</v>
      </c>
      <c r="B2477" s="1">
        <v>45900</v>
      </c>
      <c r="C2477">
        <v>541022</v>
      </c>
      <c r="D2477">
        <v>1097.905</v>
      </c>
      <c r="E2477" t="s">
        <v>6</v>
      </c>
      <c r="F2477" t="s">
        <v>61</v>
      </c>
      <c r="G2477" t="s">
        <v>7</v>
      </c>
    </row>
    <row r="2478" spans="1:7" x14ac:dyDescent="0.3">
      <c r="A2478" t="s">
        <v>37</v>
      </c>
      <c r="B2478" s="1">
        <v>45900</v>
      </c>
      <c r="C2478">
        <v>544002</v>
      </c>
      <c r="D2478">
        <v>157.39099999999999</v>
      </c>
      <c r="E2478" t="s">
        <v>6</v>
      </c>
      <c r="F2478" t="s">
        <v>61</v>
      </c>
      <c r="G2478" t="s">
        <v>7</v>
      </c>
    </row>
    <row r="2479" spans="1:7" x14ac:dyDescent="0.3">
      <c r="A2479" t="s">
        <v>37</v>
      </c>
      <c r="B2479" s="1">
        <v>45900</v>
      </c>
      <c r="C2479">
        <v>547002</v>
      </c>
      <c r="D2479">
        <v>364.786</v>
      </c>
      <c r="E2479" t="s">
        <v>6</v>
      </c>
      <c r="F2479" t="s">
        <v>54</v>
      </c>
      <c r="G2479" t="s">
        <v>7</v>
      </c>
    </row>
    <row r="2480" spans="1:7" x14ac:dyDescent="0.3">
      <c r="A2480" t="s">
        <v>37</v>
      </c>
      <c r="B2480" s="1">
        <v>45900</v>
      </c>
      <c r="C2480">
        <v>550002</v>
      </c>
      <c r="D2480">
        <v>218184.386</v>
      </c>
      <c r="E2480" t="s">
        <v>6</v>
      </c>
      <c r="F2480" t="s">
        <v>62</v>
      </c>
      <c r="G2480" t="s">
        <v>7</v>
      </c>
    </row>
    <row r="2481" spans="1:7" x14ac:dyDescent="0.3">
      <c r="A2481" t="s">
        <v>37</v>
      </c>
      <c r="B2481" s="1">
        <v>45900</v>
      </c>
      <c r="C2481">
        <v>552502</v>
      </c>
      <c r="D2481">
        <v>3083.346</v>
      </c>
      <c r="E2481" t="s">
        <v>6</v>
      </c>
      <c r="F2481" t="s">
        <v>55</v>
      </c>
      <c r="G2481" t="s">
        <v>7</v>
      </c>
    </row>
    <row r="2482" spans="1:7" x14ac:dyDescent="0.3">
      <c r="A2482" t="s">
        <v>37</v>
      </c>
      <c r="B2482" s="1">
        <v>45900</v>
      </c>
      <c r="C2482">
        <v>555508</v>
      </c>
      <c r="D2482">
        <v>65.289000000000001</v>
      </c>
      <c r="E2482" t="s">
        <v>6</v>
      </c>
      <c r="F2482" t="s">
        <v>55</v>
      </c>
      <c r="G2482" t="s">
        <v>7</v>
      </c>
    </row>
    <row r="2483" spans="1:7" x14ac:dyDescent="0.3">
      <c r="A2483" t="s">
        <v>37</v>
      </c>
      <c r="B2483" s="1">
        <v>45900</v>
      </c>
      <c r="C2483">
        <v>556002</v>
      </c>
      <c r="D2483">
        <v>228.03100000000001</v>
      </c>
      <c r="E2483" t="s">
        <v>6</v>
      </c>
      <c r="F2483" t="s">
        <v>60</v>
      </c>
      <c r="G2483" t="s">
        <v>7</v>
      </c>
    </row>
    <row r="2484" spans="1:7" x14ac:dyDescent="0.3">
      <c r="A2484" t="s">
        <v>37</v>
      </c>
      <c r="B2484" s="1">
        <v>45900</v>
      </c>
      <c r="C2484">
        <v>557002</v>
      </c>
      <c r="D2484">
        <v>2694.7370000000001</v>
      </c>
      <c r="E2484" t="s">
        <v>6</v>
      </c>
      <c r="F2484" t="s">
        <v>56</v>
      </c>
      <c r="G2484" t="s">
        <v>7</v>
      </c>
    </row>
    <row r="2485" spans="1:7" x14ac:dyDescent="0.3">
      <c r="A2485" t="s">
        <v>37</v>
      </c>
      <c r="B2485" s="1">
        <v>45900</v>
      </c>
      <c r="C2485">
        <v>557003</v>
      </c>
      <c r="D2485">
        <v>1887.0619999999999</v>
      </c>
      <c r="E2485" t="s">
        <v>6</v>
      </c>
      <c r="F2485" t="s">
        <v>56</v>
      </c>
      <c r="G2485" t="s">
        <v>7</v>
      </c>
    </row>
    <row r="2486" spans="1:7" x14ac:dyDescent="0.3">
      <c r="A2486" t="s">
        <v>37</v>
      </c>
      <c r="B2486" s="1">
        <v>45900</v>
      </c>
      <c r="C2486">
        <v>558003</v>
      </c>
      <c r="D2486">
        <v>167.78899999999999</v>
      </c>
      <c r="E2486" t="s">
        <v>6</v>
      </c>
      <c r="F2486" t="s">
        <v>57</v>
      </c>
      <c r="G2486" t="s">
        <v>7</v>
      </c>
    </row>
    <row r="2487" spans="1:7" x14ac:dyDescent="0.3">
      <c r="A2487" t="s">
        <v>37</v>
      </c>
      <c r="B2487" s="1">
        <v>45900</v>
      </c>
      <c r="C2487">
        <v>558007</v>
      </c>
      <c r="D2487">
        <v>1131.433</v>
      </c>
      <c r="E2487" t="s">
        <v>6</v>
      </c>
      <c r="F2487" t="s">
        <v>60</v>
      </c>
      <c r="G2487" t="s">
        <v>7</v>
      </c>
    </row>
    <row r="2488" spans="1:7" x14ac:dyDescent="0.3">
      <c r="A2488" t="s">
        <v>37</v>
      </c>
      <c r="B2488" s="1">
        <v>45900</v>
      </c>
      <c r="C2488">
        <v>564008</v>
      </c>
      <c r="D2488">
        <v>607.53700000000003</v>
      </c>
      <c r="E2488" t="s">
        <v>6</v>
      </c>
      <c r="F2488" t="s">
        <v>55</v>
      </c>
      <c r="G2488" t="s">
        <v>7</v>
      </c>
    </row>
    <row r="2489" spans="1:7" x14ac:dyDescent="0.3">
      <c r="A2489" t="s">
        <v>37</v>
      </c>
      <c r="B2489" s="1">
        <v>45900</v>
      </c>
      <c r="C2489">
        <v>564020</v>
      </c>
      <c r="D2489">
        <v>87.094999999999999</v>
      </c>
      <c r="E2489" t="s">
        <v>6</v>
      </c>
      <c r="F2489" t="s">
        <v>57</v>
      </c>
      <c r="G2489" t="s">
        <v>7</v>
      </c>
    </row>
    <row r="2490" spans="1:7" x14ac:dyDescent="0.3">
      <c r="A2490" t="s">
        <v>37</v>
      </c>
      <c r="B2490" s="1">
        <v>45900</v>
      </c>
      <c r="C2490">
        <v>570002</v>
      </c>
      <c r="D2490">
        <v>236.626</v>
      </c>
      <c r="E2490" t="s">
        <v>6</v>
      </c>
      <c r="F2490" t="s">
        <v>66</v>
      </c>
      <c r="G2490" t="s">
        <v>7</v>
      </c>
    </row>
    <row r="2491" spans="1:7" x14ac:dyDescent="0.3">
      <c r="A2491" t="s">
        <v>37</v>
      </c>
      <c r="B2491" s="1">
        <v>45900</v>
      </c>
      <c r="C2491">
        <v>580002</v>
      </c>
      <c r="D2491">
        <v>19160.001</v>
      </c>
      <c r="E2491" t="s">
        <v>6</v>
      </c>
      <c r="F2491" t="s">
        <v>64</v>
      </c>
      <c r="G2491" t="s">
        <v>7</v>
      </c>
    </row>
    <row r="2492" spans="1:7" x14ac:dyDescent="0.3">
      <c r="A2492" t="s">
        <v>37</v>
      </c>
      <c r="B2492" s="1">
        <v>45900</v>
      </c>
      <c r="C2492">
        <v>580003</v>
      </c>
      <c r="D2492">
        <v>-3987.3249999999998</v>
      </c>
      <c r="E2492" t="s">
        <v>6</v>
      </c>
      <c r="F2492" t="s">
        <v>64</v>
      </c>
      <c r="G2492" t="s">
        <v>7</v>
      </c>
    </row>
    <row r="2493" spans="1:7" x14ac:dyDescent="0.3">
      <c r="A2493" t="s">
        <v>37</v>
      </c>
      <c r="B2493" s="1">
        <v>45900</v>
      </c>
      <c r="C2493">
        <v>510006</v>
      </c>
      <c r="D2493">
        <v>7510.951</v>
      </c>
      <c r="E2493" t="s">
        <v>6</v>
      </c>
      <c r="F2493" t="s">
        <v>53</v>
      </c>
      <c r="G2493" t="s">
        <v>7</v>
      </c>
    </row>
    <row r="2494" spans="1:7" x14ac:dyDescent="0.3">
      <c r="A2494" t="s">
        <v>37</v>
      </c>
      <c r="B2494" s="1">
        <v>45900</v>
      </c>
      <c r="C2494">
        <v>560008</v>
      </c>
      <c r="D2494">
        <v>0</v>
      </c>
      <c r="E2494" t="s">
        <v>6</v>
      </c>
      <c r="F2494" t="s">
        <v>56</v>
      </c>
      <c r="G2494" t="s">
        <v>7</v>
      </c>
    </row>
    <row r="2495" spans="1:7" x14ac:dyDescent="0.3">
      <c r="A2495" t="s">
        <v>32</v>
      </c>
      <c r="B2495" s="1">
        <v>45900</v>
      </c>
      <c r="C2495">
        <v>220007</v>
      </c>
      <c r="D2495">
        <v>3392.9540000000002</v>
      </c>
      <c r="E2495" t="s">
        <v>4</v>
      </c>
      <c r="F2495" t="s">
        <v>42</v>
      </c>
      <c r="G2495" t="s">
        <v>7</v>
      </c>
    </row>
    <row r="2496" spans="1:7" x14ac:dyDescent="0.3">
      <c r="A2496" t="s">
        <v>33</v>
      </c>
      <c r="B2496" s="1">
        <v>45900</v>
      </c>
      <c r="C2496">
        <v>220007</v>
      </c>
      <c r="D2496">
        <v>1080.384</v>
      </c>
      <c r="E2496" t="s">
        <v>4</v>
      </c>
      <c r="F2496" t="s">
        <v>42</v>
      </c>
      <c r="G2496" t="s">
        <v>7</v>
      </c>
    </row>
    <row r="2497" spans="1:7" x14ac:dyDescent="0.3">
      <c r="A2497" t="s">
        <v>34</v>
      </c>
      <c r="B2497" s="1">
        <v>45900</v>
      </c>
      <c r="C2497">
        <v>220007</v>
      </c>
      <c r="D2497">
        <v>212.87200000000001</v>
      </c>
      <c r="E2497" t="s">
        <v>4</v>
      </c>
      <c r="F2497" t="s">
        <v>42</v>
      </c>
      <c r="G2497" t="s">
        <v>7</v>
      </c>
    </row>
    <row r="2498" spans="1:7" x14ac:dyDescent="0.3">
      <c r="A2498" t="s">
        <v>35</v>
      </c>
      <c r="B2498" s="1">
        <v>45900</v>
      </c>
      <c r="C2498">
        <v>220007</v>
      </c>
      <c r="D2498">
        <v>-13657.823</v>
      </c>
      <c r="E2498" t="s">
        <v>4</v>
      </c>
      <c r="F2498" t="s">
        <v>42</v>
      </c>
      <c r="G2498" t="s">
        <v>7</v>
      </c>
    </row>
    <row r="2499" spans="1:7" x14ac:dyDescent="0.3">
      <c r="A2499" t="s">
        <v>36</v>
      </c>
      <c r="B2499" s="1">
        <v>45900</v>
      </c>
      <c r="C2499">
        <v>220007</v>
      </c>
      <c r="D2499">
        <v>316.95400000000001</v>
      </c>
      <c r="E2499" t="s">
        <v>4</v>
      </c>
      <c r="F2499" t="s">
        <v>42</v>
      </c>
      <c r="G2499" t="s">
        <v>7</v>
      </c>
    </row>
    <row r="2500" spans="1:7" x14ac:dyDescent="0.3">
      <c r="A2500" t="s">
        <v>11</v>
      </c>
      <c r="B2500" s="1">
        <v>45900</v>
      </c>
      <c r="C2500">
        <v>220007</v>
      </c>
      <c r="D2500">
        <v>-67.259</v>
      </c>
      <c r="E2500" t="s">
        <v>4</v>
      </c>
      <c r="F2500" t="s">
        <v>42</v>
      </c>
      <c r="G2500" t="s">
        <v>7</v>
      </c>
    </row>
    <row r="2501" spans="1:7" x14ac:dyDescent="0.3">
      <c r="A2501" t="s">
        <v>37</v>
      </c>
      <c r="B2501" s="1">
        <v>45900</v>
      </c>
      <c r="C2501">
        <v>220007</v>
      </c>
      <c r="D2501">
        <v>3.9590000000000001</v>
      </c>
      <c r="E2501" t="s">
        <v>4</v>
      </c>
      <c r="F2501" t="s">
        <v>42</v>
      </c>
      <c r="G2501" t="s">
        <v>7</v>
      </c>
    </row>
    <row r="2502" spans="1:7" x14ac:dyDescent="0.3">
      <c r="A2502" t="s">
        <v>30</v>
      </c>
      <c r="B2502" s="1">
        <v>45900</v>
      </c>
      <c r="C2502">
        <v>220007</v>
      </c>
      <c r="D2502">
        <v>1019.027</v>
      </c>
      <c r="E2502" t="s">
        <v>4</v>
      </c>
      <c r="F2502" t="s">
        <v>42</v>
      </c>
      <c r="G2502" t="s">
        <v>8</v>
      </c>
    </row>
    <row r="2503" spans="1:7" x14ac:dyDescent="0.3">
      <c r="A2503" t="s">
        <v>31</v>
      </c>
      <c r="B2503" s="1">
        <v>45900</v>
      </c>
      <c r="C2503">
        <v>220007</v>
      </c>
      <c r="D2503">
        <v>-691.54399999999998</v>
      </c>
      <c r="E2503" t="s">
        <v>4</v>
      </c>
      <c r="F2503" t="s">
        <v>42</v>
      </c>
      <c r="G2503" t="s">
        <v>8</v>
      </c>
    </row>
    <row r="2504" spans="1:7" x14ac:dyDescent="0.3">
      <c r="A2504" t="s">
        <v>14</v>
      </c>
      <c r="B2504" s="1">
        <v>45900</v>
      </c>
      <c r="C2504">
        <v>220007</v>
      </c>
      <c r="D2504">
        <v>1840.796</v>
      </c>
      <c r="E2504" t="s">
        <v>4</v>
      </c>
      <c r="F2504" t="s">
        <v>42</v>
      </c>
      <c r="G2504" t="s">
        <v>8</v>
      </c>
    </row>
    <row r="2505" spans="1:7" x14ac:dyDescent="0.3">
      <c r="A2505" t="s">
        <v>38</v>
      </c>
      <c r="B2505" s="1">
        <v>45900</v>
      </c>
      <c r="C2505">
        <v>220007</v>
      </c>
      <c r="D2505">
        <v>0</v>
      </c>
      <c r="E2505" t="s">
        <v>4</v>
      </c>
      <c r="F2505" t="s">
        <v>42</v>
      </c>
      <c r="G2505" t="s">
        <v>8</v>
      </c>
    </row>
    <row r="2506" spans="1:7" x14ac:dyDescent="0.3">
      <c r="A2506" t="s">
        <v>22</v>
      </c>
      <c r="B2506" s="1">
        <v>45900</v>
      </c>
      <c r="C2506">
        <v>220007</v>
      </c>
      <c r="D2506">
        <v>-128.845</v>
      </c>
      <c r="E2506" t="s">
        <v>4</v>
      </c>
      <c r="F2506" t="s">
        <v>42</v>
      </c>
      <c r="G2506" t="s">
        <v>8</v>
      </c>
    </row>
    <row r="2507" spans="1:7" x14ac:dyDescent="0.3">
      <c r="A2507" t="s">
        <v>13</v>
      </c>
      <c r="B2507" s="1">
        <v>45900</v>
      </c>
      <c r="C2507">
        <v>220007</v>
      </c>
      <c r="D2507">
        <v>1896.4939999999999</v>
      </c>
      <c r="E2507" t="s">
        <v>4</v>
      </c>
      <c r="F2507" t="s">
        <v>42</v>
      </c>
      <c r="G2507" t="s">
        <v>8</v>
      </c>
    </row>
    <row r="2508" spans="1:7" x14ac:dyDescent="0.3">
      <c r="A2508" t="s">
        <v>28</v>
      </c>
      <c r="B2508" s="1">
        <v>45900</v>
      </c>
      <c r="C2508">
        <v>421005</v>
      </c>
      <c r="D2508">
        <v>-15.065</v>
      </c>
      <c r="E2508" t="s">
        <v>6</v>
      </c>
      <c r="F2508" t="s">
        <v>52</v>
      </c>
      <c r="G2508" t="s">
        <v>8</v>
      </c>
    </row>
    <row r="2509" spans="1:7" x14ac:dyDescent="0.3">
      <c r="A2509" t="s">
        <v>29</v>
      </c>
      <c r="B2509" s="1">
        <v>45900</v>
      </c>
      <c r="C2509">
        <v>421005</v>
      </c>
      <c r="D2509">
        <v>-117.878</v>
      </c>
      <c r="E2509" t="s">
        <v>6</v>
      </c>
      <c r="F2509" t="s">
        <v>52</v>
      </c>
      <c r="G2509" t="s">
        <v>8</v>
      </c>
    </row>
    <row r="2510" spans="1:7" x14ac:dyDescent="0.3">
      <c r="A2510" t="s">
        <v>24</v>
      </c>
      <c r="B2510" s="1">
        <v>45900</v>
      </c>
      <c r="C2510">
        <v>421005</v>
      </c>
      <c r="D2510">
        <v>-16.233000000000001</v>
      </c>
      <c r="E2510" t="s">
        <v>6</v>
      </c>
      <c r="F2510" t="s">
        <v>52</v>
      </c>
      <c r="G2510" t="s">
        <v>8</v>
      </c>
    </row>
    <row r="2511" spans="1:7" x14ac:dyDescent="0.3">
      <c r="A2511" t="s">
        <v>15</v>
      </c>
      <c r="B2511" s="1">
        <v>45900</v>
      </c>
      <c r="C2511">
        <v>220007</v>
      </c>
      <c r="D2511">
        <v>0</v>
      </c>
      <c r="E2511" t="s">
        <v>4</v>
      </c>
      <c r="F2511" t="s">
        <v>42</v>
      </c>
      <c r="G2511" t="s">
        <v>5</v>
      </c>
    </row>
    <row r="2512" spans="1:7" x14ac:dyDescent="0.3">
      <c r="A2512" t="s">
        <v>19</v>
      </c>
      <c r="B2512" s="1">
        <v>45900</v>
      </c>
      <c r="C2512">
        <v>220007</v>
      </c>
      <c r="D2512">
        <v>171.52</v>
      </c>
      <c r="E2512" t="s">
        <v>4</v>
      </c>
      <c r="F2512" t="s">
        <v>42</v>
      </c>
      <c r="G2512" t="s">
        <v>5</v>
      </c>
    </row>
    <row r="2513" spans="1:7" x14ac:dyDescent="0.3">
      <c r="A2513" t="s">
        <v>10</v>
      </c>
      <c r="B2513" s="1">
        <v>45900</v>
      </c>
      <c r="C2513">
        <v>220007</v>
      </c>
      <c r="D2513">
        <v>-61.505000000000003</v>
      </c>
      <c r="E2513" t="s">
        <v>4</v>
      </c>
      <c r="F2513" t="s">
        <v>42</v>
      </c>
      <c r="G2513" t="s">
        <v>5</v>
      </c>
    </row>
    <row r="2514" spans="1:7" x14ac:dyDescent="0.3">
      <c r="A2514" t="s">
        <v>18</v>
      </c>
      <c r="B2514" s="1">
        <v>45900</v>
      </c>
      <c r="C2514">
        <v>220007</v>
      </c>
      <c r="D2514">
        <v>44.503</v>
      </c>
      <c r="E2514" t="s">
        <v>4</v>
      </c>
      <c r="F2514" t="s">
        <v>42</v>
      </c>
      <c r="G2514" t="s">
        <v>5</v>
      </c>
    </row>
    <row r="2515" spans="1:7" x14ac:dyDescent="0.3">
      <c r="A2515" t="s">
        <v>26</v>
      </c>
      <c r="B2515" s="1">
        <v>45900</v>
      </c>
      <c r="C2515">
        <v>421005</v>
      </c>
      <c r="D2515">
        <v>244.93600000000001</v>
      </c>
      <c r="E2515" t="s">
        <v>6</v>
      </c>
      <c r="F2515" t="s">
        <v>52</v>
      </c>
      <c r="G2515" t="s">
        <v>5</v>
      </c>
    </row>
    <row r="2516" spans="1:7" x14ac:dyDescent="0.3">
      <c r="A2516" t="s">
        <v>20</v>
      </c>
      <c r="B2516" s="1">
        <v>45900</v>
      </c>
      <c r="C2516">
        <v>220007</v>
      </c>
      <c r="D2516">
        <v>-0.68</v>
      </c>
      <c r="E2516" t="s">
        <v>4</v>
      </c>
      <c r="F2516" t="s">
        <v>42</v>
      </c>
      <c r="G2516" t="s">
        <v>5</v>
      </c>
    </row>
    <row r="2517" spans="1:7" x14ac:dyDescent="0.3">
      <c r="A2517" t="s">
        <v>21</v>
      </c>
      <c r="B2517" s="1">
        <v>45900</v>
      </c>
      <c r="C2517">
        <v>220007</v>
      </c>
      <c r="D2517">
        <v>393.44400000000002</v>
      </c>
      <c r="E2517" t="s">
        <v>4</v>
      </c>
      <c r="F2517" t="s">
        <v>42</v>
      </c>
      <c r="G2517" t="s">
        <v>7</v>
      </c>
    </row>
    <row r="2518" spans="1:7" x14ac:dyDescent="0.3">
      <c r="A2518" t="s">
        <v>25</v>
      </c>
      <c r="B2518" s="1">
        <v>45900</v>
      </c>
      <c r="C2518">
        <v>421005</v>
      </c>
      <c r="D2518">
        <v>-2.9329999999999998</v>
      </c>
      <c r="E2518" t="s">
        <v>6</v>
      </c>
      <c r="F2518" t="s">
        <v>52</v>
      </c>
      <c r="G2518" t="s">
        <v>5</v>
      </c>
    </row>
    <row r="2519" spans="1:7" x14ac:dyDescent="0.3">
      <c r="A2519" t="s">
        <v>17</v>
      </c>
      <c r="B2519" s="1">
        <v>45900</v>
      </c>
      <c r="C2519">
        <v>220007</v>
      </c>
      <c r="D2519">
        <v>0</v>
      </c>
      <c r="E2519" t="s">
        <v>4</v>
      </c>
      <c r="F2519" t="s">
        <v>42</v>
      </c>
      <c r="G2519" t="s">
        <v>5</v>
      </c>
    </row>
    <row r="2520" spans="1:7" x14ac:dyDescent="0.3">
      <c r="A2520" t="s">
        <v>39</v>
      </c>
      <c r="B2520" s="1">
        <v>45900</v>
      </c>
      <c r="C2520">
        <v>421005</v>
      </c>
      <c r="D2520">
        <v>0</v>
      </c>
      <c r="E2520" t="s">
        <v>6</v>
      </c>
      <c r="F2520" t="s">
        <v>52</v>
      </c>
      <c r="G2520" t="s">
        <v>5</v>
      </c>
    </row>
    <row r="2521" spans="1:7" x14ac:dyDescent="0.3">
      <c r="A2521" t="s">
        <v>27</v>
      </c>
      <c r="B2521" s="1">
        <v>45900</v>
      </c>
      <c r="C2521">
        <v>220007</v>
      </c>
      <c r="D2521">
        <v>-10.669</v>
      </c>
      <c r="E2521" t="s">
        <v>4</v>
      </c>
      <c r="F2521" t="s">
        <v>42</v>
      </c>
      <c r="G2521" t="s">
        <v>8</v>
      </c>
    </row>
    <row r="2522" spans="1:7" x14ac:dyDescent="0.3">
      <c r="A2522" t="s">
        <v>12</v>
      </c>
      <c r="B2522" s="1">
        <v>45900</v>
      </c>
      <c r="C2522">
        <v>220007</v>
      </c>
      <c r="D2522">
        <v>-203.964</v>
      </c>
      <c r="E2522" t="s">
        <v>4</v>
      </c>
      <c r="F2522" t="s">
        <v>42</v>
      </c>
      <c r="G2522" t="s">
        <v>8</v>
      </c>
    </row>
    <row r="2523" spans="1:7" x14ac:dyDescent="0.3">
      <c r="A2523" t="s">
        <v>23</v>
      </c>
      <c r="B2523" s="1">
        <v>45900</v>
      </c>
      <c r="C2523">
        <v>220007</v>
      </c>
      <c r="D2523">
        <v>-201.22900000000001</v>
      </c>
      <c r="E2523" t="s">
        <v>4</v>
      </c>
      <c r="F2523" t="s">
        <v>42</v>
      </c>
      <c r="G2523" t="s">
        <v>5</v>
      </c>
    </row>
  </sheetData>
  <autoFilter ref="B1:G2523" xr:uid="{A9D03944-0FEF-4751-ADF7-D307D1CBADD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32E0-B07C-411D-862A-264F187FDEEC}">
  <dimension ref="A1:G2541"/>
  <sheetViews>
    <sheetView topLeftCell="A2245" workbookViewId="0">
      <selection activeCell="C1" sqref="C1"/>
    </sheetView>
  </sheetViews>
  <sheetFormatPr defaultRowHeight="14.4" x14ac:dyDescent="0.3"/>
  <cols>
    <col min="1" max="1" width="20.77734375" bestFit="1" customWidth="1"/>
    <col min="2" max="2" width="8.33203125" style="1" bestFit="1" customWidth="1"/>
    <col min="3" max="3" width="10.109375" bestFit="1" customWidth="1"/>
    <col min="4" max="4" width="12.6640625" customWidth="1"/>
    <col min="5" max="5" width="10.88671875" bestFit="1" customWidth="1"/>
    <col min="6" max="6" width="52.21875" bestFit="1" customWidth="1"/>
    <col min="7" max="7" width="8.77734375" bestFit="1" customWidth="1"/>
  </cols>
  <sheetData>
    <row r="1" spans="1:7" x14ac:dyDescent="0.3">
      <c r="A1" s="6" t="s">
        <v>9</v>
      </c>
      <c r="B1" s="4" t="s">
        <v>0</v>
      </c>
      <c r="C1" s="5" t="s">
        <v>1</v>
      </c>
      <c r="D1" s="5" t="s">
        <v>40</v>
      </c>
      <c r="E1" s="5" t="s">
        <v>2</v>
      </c>
      <c r="F1" s="5" t="s">
        <v>41</v>
      </c>
      <c r="G1" s="5" t="s">
        <v>3</v>
      </c>
    </row>
    <row r="2" spans="1:7" x14ac:dyDescent="0.3">
      <c r="A2" t="s">
        <v>10</v>
      </c>
      <c r="B2" s="1">
        <v>45930</v>
      </c>
      <c r="C2">
        <v>220006</v>
      </c>
      <c r="D2">
        <v>69460.953999999998</v>
      </c>
      <c r="E2" t="s">
        <v>4</v>
      </c>
      <c r="F2" t="s">
        <v>42</v>
      </c>
      <c r="G2" t="s">
        <v>5</v>
      </c>
    </row>
    <row r="3" spans="1:7" x14ac:dyDescent="0.3">
      <c r="A3" t="s">
        <v>10</v>
      </c>
      <c r="B3" s="1">
        <v>45930</v>
      </c>
      <c r="C3">
        <v>242003</v>
      </c>
      <c r="D3">
        <v>-2068.837</v>
      </c>
      <c r="E3" t="s">
        <v>4</v>
      </c>
      <c r="F3" t="s">
        <v>43</v>
      </c>
      <c r="G3" t="s">
        <v>5</v>
      </c>
    </row>
    <row r="4" spans="1:7" x14ac:dyDescent="0.3">
      <c r="A4" t="s">
        <v>10</v>
      </c>
      <c r="B4" s="1">
        <v>45930</v>
      </c>
      <c r="C4">
        <v>243002</v>
      </c>
      <c r="D4">
        <v>-1477.9459999999999</v>
      </c>
      <c r="E4" t="s">
        <v>4</v>
      </c>
      <c r="F4" t="s">
        <v>43</v>
      </c>
      <c r="G4" t="s">
        <v>5</v>
      </c>
    </row>
    <row r="5" spans="1:7" x14ac:dyDescent="0.3">
      <c r="A5" t="s">
        <v>10</v>
      </c>
      <c r="B5" s="1">
        <v>45930</v>
      </c>
      <c r="C5">
        <v>245010</v>
      </c>
      <c r="D5">
        <v>-398.01900000000001</v>
      </c>
      <c r="E5" t="s">
        <v>4</v>
      </c>
      <c r="F5" t="s">
        <v>44</v>
      </c>
      <c r="G5" t="s">
        <v>5</v>
      </c>
    </row>
    <row r="6" spans="1:7" x14ac:dyDescent="0.3">
      <c r="A6" t="s">
        <v>10</v>
      </c>
      <c r="B6" s="1">
        <v>45930</v>
      </c>
      <c r="C6">
        <v>245062</v>
      </c>
      <c r="D6">
        <v>-525.4</v>
      </c>
      <c r="E6" t="s">
        <v>4</v>
      </c>
      <c r="F6" t="s">
        <v>43</v>
      </c>
      <c r="G6" t="s">
        <v>5</v>
      </c>
    </row>
    <row r="7" spans="1:7" x14ac:dyDescent="0.3">
      <c r="A7" t="s">
        <v>10</v>
      </c>
      <c r="B7" s="1">
        <v>45930</v>
      </c>
      <c r="C7">
        <v>257010</v>
      </c>
      <c r="D7">
        <v>-845.69299999999998</v>
      </c>
      <c r="E7" t="s">
        <v>4</v>
      </c>
      <c r="F7" t="s">
        <v>45</v>
      </c>
      <c r="G7" t="s">
        <v>5</v>
      </c>
    </row>
    <row r="8" spans="1:7" x14ac:dyDescent="0.3">
      <c r="A8" t="s">
        <v>10</v>
      </c>
      <c r="B8" s="1">
        <v>45930</v>
      </c>
      <c r="C8">
        <v>257030</v>
      </c>
      <c r="D8">
        <v>-1862.4059999999999</v>
      </c>
      <c r="E8" t="s">
        <v>4</v>
      </c>
      <c r="F8" t="s">
        <v>45</v>
      </c>
      <c r="G8" t="s">
        <v>5</v>
      </c>
    </row>
    <row r="9" spans="1:7" x14ac:dyDescent="0.3">
      <c r="A9" t="s">
        <v>10</v>
      </c>
      <c r="B9" s="1">
        <v>45930</v>
      </c>
      <c r="C9">
        <v>260004</v>
      </c>
      <c r="D9">
        <v>-898.73299999999995</v>
      </c>
      <c r="E9" t="s">
        <v>4</v>
      </c>
      <c r="F9" t="s">
        <v>45</v>
      </c>
      <c r="G9" t="s">
        <v>5</v>
      </c>
    </row>
    <row r="10" spans="1:7" x14ac:dyDescent="0.3">
      <c r="A10" t="s">
        <v>10</v>
      </c>
      <c r="B10" s="1">
        <v>45930</v>
      </c>
      <c r="C10">
        <v>320002</v>
      </c>
      <c r="D10">
        <v>1092.8510000000001</v>
      </c>
      <c r="E10" t="s">
        <v>4</v>
      </c>
      <c r="F10" t="s">
        <v>46</v>
      </c>
      <c r="G10" t="s">
        <v>5</v>
      </c>
    </row>
    <row r="11" spans="1:7" x14ac:dyDescent="0.3">
      <c r="A11" t="s">
        <v>10</v>
      </c>
      <c r="B11" s="1">
        <v>45930</v>
      </c>
      <c r="C11">
        <v>320003</v>
      </c>
      <c r="D11">
        <v>7828.33</v>
      </c>
      <c r="E11" t="s">
        <v>4</v>
      </c>
      <c r="F11" t="s">
        <v>46</v>
      </c>
      <c r="G11" t="s">
        <v>5</v>
      </c>
    </row>
    <row r="12" spans="1:7" x14ac:dyDescent="0.3">
      <c r="A12" t="s">
        <v>10</v>
      </c>
      <c r="B12" s="1">
        <v>45930</v>
      </c>
      <c r="C12">
        <v>320004</v>
      </c>
      <c r="D12">
        <v>625.71</v>
      </c>
      <c r="E12" t="s">
        <v>4</v>
      </c>
      <c r="F12" t="s">
        <v>46</v>
      </c>
      <c r="G12" t="s">
        <v>5</v>
      </c>
    </row>
    <row r="13" spans="1:7" x14ac:dyDescent="0.3">
      <c r="A13" t="s">
        <v>10</v>
      </c>
      <c r="B13" s="1">
        <v>45930</v>
      </c>
      <c r="C13">
        <v>320006</v>
      </c>
      <c r="D13">
        <v>303.69</v>
      </c>
      <c r="E13" t="s">
        <v>4</v>
      </c>
      <c r="F13" t="s">
        <v>46</v>
      </c>
      <c r="G13" t="s">
        <v>5</v>
      </c>
    </row>
    <row r="14" spans="1:7" x14ac:dyDescent="0.3">
      <c r="A14" t="s">
        <v>10</v>
      </c>
      <c r="B14" s="1">
        <v>45930</v>
      </c>
      <c r="C14">
        <v>320023</v>
      </c>
      <c r="D14">
        <v>-363.10700000000003</v>
      </c>
      <c r="E14" t="s">
        <v>4</v>
      </c>
      <c r="F14" t="s">
        <v>46</v>
      </c>
      <c r="G14" t="s">
        <v>5</v>
      </c>
    </row>
    <row r="15" spans="1:7" x14ac:dyDescent="0.3">
      <c r="A15" t="s">
        <v>10</v>
      </c>
      <c r="B15" s="1">
        <v>45930</v>
      </c>
      <c r="C15">
        <v>321002</v>
      </c>
      <c r="D15">
        <v>1763.9939999999999</v>
      </c>
      <c r="E15" t="s">
        <v>4</v>
      </c>
      <c r="F15" t="s">
        <v>46</v>
      </c>
      <c r="G15" t="s">
        <v>5</v>
      </c>
    </row>
    <row r="16" spans="1:7" x14ac:dyDescent="0.3">
      <c r="A16" t="s">
        <v>10</v>
      </c>
      <c r="B16" s="1">
        <v>45930</v>
      </c>
      <c r="C16">
        <v>321010</v>
      </c>
      <c r="D16">
        <v>-5561.268</v>
      </c>
      <c r="E16" t="s">
        <v>4</v>
      </c>
      <c r="F16" t="s">
        <v>46</v>
      </c>
      <c r="G16" t="s">
        <v>5</v>
      </c>
    </row>
    <row r="17" spans="1:7" x14ac:dyDescent="0.3">
      <c r="A17" t="s">
        <v>10</v>
      </c>
      <c r="B17" s="1">
        <v>45930</v>
      </c>
      <c r="C17">
        <v>321029</v>
      </c>
      <c r="D17">
        <v>-120.19</v>
      </c>
      <c r="E17" t="s">
        <v>4</v>
      </c>
      <c r="F17" t="s">
        <v>46</v>
      </c>
      <c r="G17" t="s">
        <v>5</v>
      </c>
    </row>
    <row r="18" spans="1:7" x14ac:dyDescent="0.3">
      <c r="A18" t="s">
        <v>10</v>
      </c>
      <c r="B18" s="1">
        <v>45930</v>
      </c>
      <c r="C18">
        <v>321042</v>
      </c>
      <c r="D18">
        <v>-2801.4569999999999</v>
      </c>
      <c r="E18" t="s">
        <v>4</v>
      </c>
      <c r="F18" t="s">
        <v>46</v>
      </c>
      <c r="G18" t="s">
        <v>5</v>
      </c>
    </row>
    <row r="19" spans="1:7" x14ac:dyDescent="0.3">
      <c r="A19" t="s">
        <v>10</v>
      </c>
      <c r="B19" s="1">
        <v>45930</v>
      </c>
      <c r="C19">
        <v>321045</v>
      </c>
      <c r="D19">
        <v>32166.452000000001</v>
      </c>
      <c r="E19" t="s">
        <v>4</v>
      </c>
      <c r="F19" t="s">
        <v>46</v>
      </c>
      <c r="G19" t="s">
        <v>5</v>
      </c>
    </row>
    <row r="20" spans="1:7" x14ac:dyDescent="0.3">
      <c r="A20" t="s">
        <v>10</v>
      </c>
      <c r="B20" s="1">
        <v>45930</v>
      </c>
      <c r="C20">
        <v>330049</v>
      </c>
      <c r="D20">
        <v>-168605.19500000001</v>
      </c>
      <c r="E20" t="s">
        <v>4</v>
      </c>
      <c r="F20" t="s">
        <v>43</v>
      </c>
      <c r="G20" t="s">
        <v>5</v>
      </c>
    </row>
    <row r="21" spans="1:7" x14ac:dyDescent="0.3">
      <c r="A21" t="s">
        <v>10</v>
      </c>
      <c r="B21" s="1">
        <v>45930</v>
      </c>
      <c r="C21">
        <v>330055</v>
      </c>
      <c r="D21">
        <v>132.83699999999999</v>
      </c>
      <c r="E21" t="s">
        <v>4</v>
      </c>
      <c r="F21" t="s">
        <v>43</v>
      </c>
      <c r="G21" t="s">
        <v>5</v>
      </c>
    </row>
    <row r="22" spans="1:7" x14ac:dyDescent="0.3">
      <c r="A22" t="s">
        <v>10</v>
      </c>
      <c r="B22" s="1">
        <v>45930</v>
      </c>
      <c r="C22">
        <v>340041</v>
      </c>
      <c r="D22">
        <v>38817.410000000003</v>
      </c>
      <c r="E22" t="s">
        <v>4</v>
      </c>
      <c r="F22" t="s">
        <v>47</v>
      </c>
      <c r="G22" t="s">
        <v>5</v>
      </c>
    </row>
    <row r="23" spans="1:7" x14ac:dyDescent="0.3">
      <c r="A23" t="s">
        <v>10</v>
      </c>
      <c r="B23" s="1">
        <v>45930</v>
      </c>
      <c r="C23">
        <v>352002</v>
      </c>
      <c r="D23">
        <v>16.882999999999999</v>
      </c>
      <c r="E23" t="s">
        <v>4</v>
      </c>
      <c r="F23" t="s">
        <v>48</v>
      </c>
      <c r="G23" t="s">
        <v>5</v>
      </c>
    </row>
    <row r="24" spans="1:7" x14ac:dyDescent="0.3">
      <c r="A24" t="s">
        <v>10</v>
      </c>
      <c r="B24" s="1">
        <v>45930</v>
      </c>
      <c r="C24">
        <v>354015</v>
      </c>
      <c r="D24">
        <v>2511.7629999999999</v>
      </c>
      <c r="E24" t="s">
        <v>4</v>
      </c>
      <c r="F24" t="s">
        <v>46</v>
      </c>
      <c r="G24" t="s">
        <v>5</v>
      </c>
    </row>
    <row r="25" spans="1:7" x14ac:dyDescent="0.3">
      <c r="A25" t="s">
        <v>10</v>
      </c>
      <c r="B25" s="1">
        <v>45930</v>
      </c>
      <c r="C25">
        <v>355016</v>
      </c>
      <c r="D25">
        <v>15.348000000000001</v>
      </c>
      <c r="E25" t="s">
        <v>4</v>
      </c>
      <c r="F25" t="s">
        <v>49</v>
      </c>
      <c r="G25" t="s">
        <v>5</v>
      </c>
    </row>
    <row r="26" spans="1:7" x14ac:dyDescent="0.3">
      <c r="A26" t="s">
        <v>10</v>
      </c>
      <c r="B26" s="1">
        <v>45930</v>
      </c>
      <c r="C26">
        <v>355017</v>
      </c>
      <c r="D26">
        <v>9765.33</v>
      </c>
      <c r="E26" t="s">
        <v>4</v>
      </c>
      <c r="F26" t="s">
        <v>49</v>
      </c>
      <c r="G26" t="s">
        <v>5</v>
      </c>
    </row>
    <row r="27" spans="1:7" x14ac:dyDescent="0.3">
      <c r="A27" t="s">
        <v>10</v>
      </c>
      <c r="B27" s="1">
        <v>45930</v>
      </c>
      <c r="C27">
        <v>372004</v>
      </c>
      <c r="D27">
        <v>44.518000000000001</v>
      </c>
      <c r="E27" t="s">
        <v>4</v>
      </c>
      <c r="F27" t="s">
        <v>45</v>
      </c>
      <c r="G27" t="s">
        <v>5</v>
      </c>
    </row>
    <row r="28" spans="1:7" x14ac:dyDescent="0.3">
      <c r="A28" t="s">
        <v>10</v>
      </c>
      <c r="B28" s="1">
        <v>45930</v>
      </c>
      <c r="C28">
        <v>400002</v>
      </c>
      <c r="D28">
        <v>552.24599999999998</v>
      </c>
      <c r="E28" t="s">
        <v>6</v>
      </c>
      <c r="F28" t="s">
        <v>50</v>
      </c>
      <c r="G28" t="s">
        <v>5</v>
      </c>
    </row>
    <row r="29" spans="1:7" x14ac:dyDescent="0.3">
      <c r="A29" t="s">
        <v>10</v>
      </c>
      <c r="B29" s="1">
        <v>45930</v>
      </c>
      <c r="C29">
        <v>400004</v>
      </c>
      <c r="D29">
        <v>-17757.731</v>
      </c>
      <c r="E29" t="s">
        <v>6</v>
      </c>
      <c r="F29" t="s">
        <v>50</v>
      </c>
      <c r="G29" t="s">
        <v>5</v>
      </c>
    </row>
    <row r="30" spans="1:7" x14ac:dyDescent="0.3">
      <c r="A30" t="s">
        <v>10</v>
      </c>
      <c r="B30" s="1">
        <v>45930</v>
      </c>
      <c r="C30">
        <v>410002</v>
      </c>
      <c r="D30">
        <v>-8833.7520000000004</v>
      </c>
      <c r="E30" t="s">
        <v>6</v>
      </c>
      <c r="F30" t="s">
        <v>51</v>
      </c>
      <c r="G30" t="s">
        <v>5</v>
      </c>
    </row>
    <row r="31" spans="1:7" x14ac:dyDescent="0.3">
      <c r="A31" t="s">
        <v>10</v>
      </c>
      <c r="B31" s="1">
        <v>45930</v>
      </c>
      <c r="C31">
        <v>410037</v>
      </c>
      <c r="D31">
        <v>-1237.819</v>
      </c>
      <c r="E31" t="s">
        <v>6</v>
      </c>
      <c r="F31" t="s">
        <v>51</v>
      </c>
      <c r="G31" t="s">
        <v>5</v>
      </c>
    </row>
    <row r="32" spans="1:7" x14ac:dyDescent="0.3">
      <c r="A32" t="s">
        <v>10</v>
      </c>
      <c r="B32" s="1">
        <v>45930</v>
      </c>
      <c r="C32">
        <v>410049</v>
      </c>
      <c r="D32">
        <v>-783.35500000000002</v>
      </c>
      <c r="E32" t="s">
        <v>6</v>
      </c>
      <c r="F32" t="s">
        <v>51</v>
      </c>
      <c r="G32" t="s">
        <v>5</v>
      </c>
    </row>
    <row r="33" spans="1:7" x14ac:dyDescent="0.3">
      <c r="A33" t="s">
        <v>10</v>
      </c>
      <c r="B33" s="1">
        <v>45930</v>
      </c>
      <c r="C33">
        <v>415002</v>
      </c>
      <c r="D33">
        <v>0.56899999999999995</v>
      </c>
      <c r="E33" t="s">
        <v>6</v>
      </c>
      <c r="F33" t="s">
        <v>50</v>
      </c>
      <c r="G33" t="s">
        <v>5</v>
      </c>
    </row>
    <row r="34" spans="1:7" x14ac:dyDescent="0.3">
      <c r="A34" t="s">
        <v>10</v>
      </c>
      <c r="B34" s="1">
        <v>45930</v>
      </c>
      <c r="C34">
        <v>415004</v>
      </c>
      <c r="D34">
        <v>-1264.5050000000001</v>
      </c>
      <c r="E34" t="s">
        <v>6</v>
      </c>
      <c r="F34" t="s">
        <v>50</v>
      </c>
      <c r="G34" t="s">
        <v>5</v>
      </c>
    </row>
    <row r="35" spans="1:7" x14ac:dyDescent="0.3">
      <c r="A35" t="s">
        <v>10</v>
      </c>
      <c r="B35" s="1">
        <v>45930</v>
      </c>
      <c r="C35">
        <v>421002</v>
      </c>
      <c r="D35">
        <v>-896.9</v>
      </c>
      <c r="E35" t="s">
        <v>6</v>
      </c>
      <c r="F35" t="s">
        <v>52</v>
      </c>
      <c r="G35" t="s">
        <v>5</v>
      </c>
    </row>
    <row r="36" spans="1:7" x14ac:dyDescent="0.3">
      <c r="A36" t="s">
        <v>10</v>
      </c>
      <c r="B36" s="1">
        <v>45930</v>
      </c>
      <c r="C36">
        <v>421003</v>
      </c>
      <c r="D36">
        <v>22665.853999999999</v>
      </c>
      <c r="E36" t="s">
        <v>6</v>
      </c>
      <c r="F36" t="s">
        <v>52</v>
      </c>
      <c r="G36" t="s">
        <v>5</v>
      </c>
    </row>
    <row r="37" spans="1:7" x14ac:dyDescent="0.3">
      <c r="A37" t="s">
        <v>10</v>
      </c>
      <c r="B37" s="1">
        <v>45930</v>
      </c>
      <c r="C37">
        <v>421007</v>
      </c>
      <c r="D37">
        <v>1029.123</v>
      </c>
      <c r="E37" t="s">
        <v>6</v>
      </c>
      <c r="F37" t="s">
        <v>52</v>
      </c>
      <c r="G37" t="s">
        <v>5</v>
      </c>
    </row>
    <row r="38" spans="1:7" x14ac:dyDescent="0.3">
      <c r="A38" t="s">
        <v>10</v>
      </c>
      <c r="B38" s="1">
        <v>45930</v>
      </c>
      <c r="C38">
        <v>510002</v>
      </c>
      <c r="D38">
        <v>5927.7439999999997</v>
      </c>
      <c r="E38" t="s">
        <v>6</v>
      </c>
      <c r="F38" t="s">
        <v>53</v>
      </c>
      <c r="G38" t="s">
        <v>5</v>
      </c>
    </row>
    <row r="39" spans="1:7" x14ac:dyDescent="0.3">
      <c r="A39" t="s">
        <v>10</v>
      </c>
      <c r="B39" s="1">
        <v>45930</v>
      </c>
      <c r="C39">
        <v>510005</v>
      </c>
      <c r="D39">
        <v>-20.847000000000001</v>
      </c>
      <c r="E39" t="s">
        <v>6</v>
      </c>
      <c r="F39" t="s">
        <v>53</v>
      </c>
      <c r="G39" t="s">
        <v>5</v>
      </c>
    </row>
    <row r="40" spans="1:7" x14ac:dyDescent="0.3">
      <c r="A40" t="s">
        <v>10</v>
      </c>
      <c r="B40" s="1">
        <v>45930</v>
      </c>
      <c r="C40">
        <v>510007</v>
      </c>
      <c r="D40">
        <v>15.589</v>
      </c>
      <c r="E40" t="s">
        <v>6</v>
      </c>
      <c r="F40" t="s">
        <v>53</v>
      </c>
      <c r="G40" t="s">
        <v>5</v>
      </c>
    </row>
    <row r="41" spans="1:7" x14ac:dyDescent="0.3">
      <c r="A41" t="s">
        <v>10</v>
      </c>
      <c r="B41" s="1">
        <v>45930</v>
      </c>
      <c r="C41">
        <v>510015</v>
      </c>
      <c r="D41">
        <v>723.92499999999995</v>
      </c>
      <c r="E41" t="s">
        <v>6</v>
      </c>
      <c r="F41" t="s">
        <v>53</v>
      </c>
      <c r="G41" t="s">
        <v>5</v>
      </c>
    </row>
    <row r="42" spans="1:7" x14ac:dyDescent="0.3">
      <c r="A42" t="s">
        <v>10</v>
      </c>
      <c r="B42" s="1">
        <v>45930</v>
      </c>
      <c r="C42">
        <v>510065</v>
      </c>
      <c r="D42">
        <v>10.427</v>
      </c>
      <c r="E42" t="s">
        <v>6</v>
      </c>
      <c r="F42" t="s">
        <v>53</v>
      </c>
      <c r="G42" t="s">
        <v>5</v>
      </c>
    </row>
    <row r="43" spans="1:7" x14ac:dyDescent="0.3">
      <c r="A43" t="s">
        <v>10</v>
      </c>
      <c r="B43" s="1">
        <v>45930</v>
      </c>
      <c r="C43">
        <v>546002</v>
      </c>
      <c r="D43">
        <v>16739.566999999999</v>
      </c>
      <c r="E43" t="s">
        <v>6</v>
      </c>
      <c r="F43" t="s">
        <v>51</v>
      </c>
      <c r="G43" t="s">
        <v>5</v>
      </c>
    </row>
    <row r="44" spans="1:7" x14ac:dyDescent="0.3">
      <c r="A44" t="s">
        <v>10</v>
      </c>
      <c r="B44" s="1">
        <v>45930</v>
      </c>
      <c r="C44">
        <v>547002</v>
      </c>
      <c r="D44">
        <v>3620.8719999999998</v>
      </c>
      <c r="E44" t="s">
        <v>6</v>
      </c>
      <c r="F44" t="s">
        <v>54</v>
      </c>
      <c r="G44" t="s">
        <v>5</v>
      </c>
    </row>
    <row r="45" spans="1:7" x14ac:dyDescent="0.3">
      <c r="A45" t="s">
        <v>10</v>
      </c>
      <c r="B45" s="1">
        <v>45930</v>
      </c>
      <c r="C45">
        <v>547011</v>
      </c>
      <c r="D45">
        <v>184.11600000000001</v>
      </c>
      <c r="E45" t="s">
        <v>6</v>
      </c>
      <c r="F45" t="s">
        <v>54</v>
      </c>
      <c r="G45" t="s">
        <v>5</v>
      </c>
    </row>
    <row r="46" spans="1:7" x14ac:dyDescent="0.3">
      <c r="A46" t="s">
        <v>10</v>
      </c>
      <c r="B46" s="1">
        <v>45930</v>
      </c>
      <c r="C46">
        <v>552502</v>
      </c>
      <c r="D46">
        <v>103.137</v>
      </c>
      <c r="E46" t="s">
        <v>6</v>
      </c>
      <c r="F46" t="s">
        <v>55</v>
      </c>
      <c r="G46" t="s">
        <v>5</v>
      </c>
    </row>
    <row r="47" spans="1:7" x14ac:dyDescent="0.3">
      <c r="A47" t="s">
        <v>10</v>
      </c>
      <c r="B47" s="1">
        <v>45930</v>
      </c>
      <c r="C47">
        <v>556002</v>
      </c>
      <c r="D47">
        <v>10.617000000000001</v>
      </c>
      <c r="E47" t="s">
        <v>6</v>
      </c>
      <c r="F47" t="s">
        <v>60</v>
      </c>
      <c r="G47" t="s">
        <v>5</v>
      </c>
    </row>
    <row r="48" spans="1:7" x14ac:dyDescent="0.3">
      <c r="A48" t="s">
        <v>10</v>
      </c>
      <c r="B48" s="1">
        <v>45930</v>
      </c>
      <c r="C48">
        <v>557002</v>
      </c>
      <c r="D48">
        <v>1008.958</v>
      </c>
      <c r="E48" t="s">
        <v>6</v>
      </c>
      <c r="F48" t="s">
        <v>56</v>
      </c>
      <c r="G48" t="s">
        <v>5</v>
      </c>
    </row>
    <row r="49" spans="1:7" x14ac:dyDescent="0.3">
      <c r="A49" t="s">
        <v>10</v>
      </c>
      <c r="B49" s="1">
        <v>45930</v>
      </c>
      <c r="C49">
        <v>564004</v>
      </c>
      <c r="D49">
        <v>17.611000000000001</v>
      </c>
      <c r="E49" t="s">
        <v>6</v>
      </c>
      <c r="F49" t="s">
        <v>51</v>
      </c>
      <c r="G49" t="s">
        <v>5</v>
      </c>
    </row>
    <row r="50" spans="1:7" x14ac:dyDescent="0.3">
      <c r="A50" t="s">
        <v>10</v>
      </c>
      <c r="B50" s="1">
        <v>45930</v>
      </c>
      <c r="C50">
        <v>564006</v>
      </c>
      <c r="D50">
        <v>1.2999999999999999E-2</v>
      </c>
      <c r="E50" t="s">
        <v>6</v>
      </c>
      <c r="F50" t="s">
        <v>57</v>
      </c>
      <c r="G50" t="s">
        <v>5</v>
      </c>
    </row>
    <row r="51" spans="1:7" x14ac:dyDescent="0.3">
      <c r="A51" t="s">
        <v>10</v>
      </c>
      <c r="B51" s="1">
        <v>45930</v>
      </c>
      <c r="C51">
        <v>564021</v>
      </c>
      <c r="D51">
        <v>70.997</v>
      </c>
      <c r="E51" t="s">
        <v>6</v>
      </c>
      <c r="F51" t="s">
        <v>57</v>
      </c>
      <c r="G51" t="s">
        <v>5</v>
      </c>
    </row>
    <row r="52" spans="1:7" x14ac:dyDescent="0.3">
      <c r="A52" t="s">
        <v>11</v>
      </c>
      <c r="B52" s="1">
        <v>45930</v>
      </c>
      <c r="C52">
        <v>210002</v>
      </c>
      <c r="D52">
        <v>-9.0999999999999998E-2</v>
      </c>
      <c r="E52" t="s">
        <v>4</v>
      </c>
      <c r="F52" t="s">
        <v>42</v>
      </c>
      <c r="G52" t="s">
        <v>7</v>
      </c>
    </row>
    <row r="53" spans="1:7" x14ac:dyDescent="0.3">
      <c r="A53" t="s">
        <v>11</v>
      </c>
      <c r="B53" s="1">
        <v>45930</v>
      </c>
      <c r="C53">
        <v>220006</v>
      </c>
      <c r="D53">
        <v>-1690656.963</v>
      </c>
      <c r="E53" t="s">
        <v>4</v>
      </c>
      <c r="F53" t="s">
        <v>42</v>
      </c>
      <c r="G53" t="s">
        <v>7</v>
      </c>
    </row>
    <row r="54" spans="1:7" x14ac:dyDescent="0.3">
      <c r="A54" t="s">
        <v>11</v>
      </c>
      <c r="B54" s="1">
        <v>45930</v>
      </c>
      <c r="C54">
        <v>240002</v>
      </c>
      <c r="D54">
        <v>-596.96600000000001</v>
      </c>
      <c r="E54" t="s">
        <v>4</v>
      </c>
      <c r="F54" t="s">
        <v>43</v>
      </c>
      <c r="G54" t="s">
        <v>7</v>
      </c>
    </row>
    <row r="55" spans="1:7" x14ac:dyDescent="0.3">
      <c r="A55" t="s">
        <v>11</v>
      </c>
      <c r="B55" s="1">
        <v>45930</v>
      </c>
      <c r="C55">
        <v>240003</v>
      </c>
      <c r="D55">
        <v>-148.554</v>
      </c>
      <c r="E55" t="s">
        <v>4</v>
      </c>
      <c r="F55" t="s">
        <v>43</v>
      </c>
      <c r="G55" t="s">
        <v>7</v>
      </c>
    </row>
    <row r="56" spans="1:7" x14ac:dyDescent="0.3">
      <c r="A56" t="s">
        <v>11</v>
      </c>
      <c r="B56" s="1">
        <v>45930</v>
      </c>
      <c r="C56">
        <v>240009</v>
      </c>
      <c r="D56">
        <v>-913.92100000000005</v>
      </c>
      <c r="E56" t="s">
        <v>4</v>
      </c>
      <c r="F56" t="s">
        <v>43</v>
      </c>
      <c r="G56" t="s">
        <v>7</v>
      </c>
    </row>
    <row r="57" spans="1:7" x14ac:dyDescent="0.3">
      <c r="A57" t="s">
        <v>11</v>
      </c>
      <c r="B57" s="1">
        <v>45930</v>
      </c>
      <c r="C57">
        <v>242003</v>
      </c>
      <c r="D57">
        <v>-79727.373000000007</v>
      </c>
      <c r="E57" t="s">
        <v>4</v>
      </c>
      <c r="F57" t="s">
        <v>43</v>
      </c>
      <c r="G57" t="s">
        <v>7</v>
      </c>
    </row>
    <row r="58" spans="1:7" x14ac:dyDescent="0.3">
      <c r="A58" t="s">
        <v>11</v>
      </c>
      <c r="B58" s="1">
        <v>45930</v>
      </c>
      <c r="C58">
        <v>242011</v>
      </c>
      <c r="D58">
        <v>-52669.379000000001</v>
      </c>
      <c r="E58" t="s">
        <v>4</v>
      </c>
      <c r="F58" t="s">
        <v>43</v>
      </c>
      <c r="G58" t="s">
        <v>7</v>
      </c>
    </row>
    <row r="59" spans="1:7" x14ac:dyDescent="0.3">
      <c r="A59" t="s">
        <v>11</v>
      </c>
      <c r="B59" s="1">
        <v>45930</v>
      </c>
      <c r="C59">
        <v>242012</v>
      </c>
      <c r="D59">
        <v>-11171.779</v>
      </c>
      <c r="E59" t="s">
        <v>4</v>
      </c>
      <c r="F59" t="s">
        <v>43</v>
      </c>
      <c r="G59" t="s">
        <v>7</v>
      </c>
    </row>
    <row r="60" spans="1:7" x14ac:dyDescent="0.3">
      <c r="A60" t="s">
        <v>11</v>
      </c>
      <c r="B60" s="1">
        <v>45930</v>
      </c>
      <c r="C60">
        <v>242013</v>
      </c>
      <c r="D60">
        <v>-12638.89</v>
      </c>
      <c r="E60" t="s">
        <v>4</v>
      </c>
      <c r="F60" t="s">
        <v>43</v>
      </c>
      <c r="G60" t="s">
        <v>7</v>
      </c>
    </row>
    <row r="61" spans="1:7" x14ac:dyDescent="0.3">
      <c r="A61" t="s">
        <v>11</v>
      </c>
      <c r="B61" s="1">
        <v>45930</v>
      </c>
      <c r="C61">
        <v>242018</v>
      </c>
      <c r="D61">
        <v>-10711.016</v>
      </c>
      <c r="E61" t="s">
        <v>4</v>
      </c>
      <c r="F61" t="s">
        <v>43</v>
      </c>
      <c r="G61" t="s">
        <v>7</v>
      </c>
    </row>
    <row r="62" spans="1:7" x14ac:dyDescent="0.3">
      <c r="A62" t="s">
        <v>11</v>
      </c>
      <c r="B62" s="1">
        <v>45930</v>
      </c>
      <c r="C62">
        <v>242023</v>
      </c>
      <c r="D62">
        <v>-79.563999999999993</v>
      </c>
      <c r="E62" t="s">
        <v>4</v>
      </c>
      <c r="F62" t="s">
        <v>43</v>
      </c>
      <c r="G62" t="s">
        <v>7</v>
      </c>
    </row>
    <row r="63" spans="1:7" x14ac:dyDescent="0.3">
      <c r="A63" t="s">
        <v>11</v>
      </c>
      <c r="B63" s="1">
        <v>45930</v>
      </c>
      <c r="C63">
        <v>242027</v>
      </c>
      <c r="D63">
        <v>-6497.5929999999998</v>
      </c>
      <c r="E63" t="s">
        <v>4</v>
      </c>
      <c r="F63" t="s">
        <v>43</v>
      </c>
      <c r="G63" t="s">
        <v>7</v>
      </c>
    </row>
    <row r="64" spans="1:7" x14ac:dyDescent="0.3">
      <c r="A64" t="s">
        <v>11</v>
      </c>
      <c r="B64" s="1">
        <v>45930</v>
      </c>
      <c r="C64">
        <v>242038</v>
      </c>
      <c r="D64">
        <v>-2.5230000000000001</v>
      </c>
      <c r="E64" t="s">
        <v>4</v>
      </c>
      <c r="F64" t="s">
        <v>43</v>
      </c>
      <c r="G64" t="s">
        <v>7</v>
      </c>
    </row>
    <row r="65" spans="1:7" x14ac:dyDescent="0.3">
      <c r="A65" t="s">
        <v>11</v>
      </c>
      <c r="B65" s="1">
        <v>45930</v>
      </c>
      <c r="C65">
        <v>242039</v>
      </c>
      <c r="D65">
        <v>-10.952</v>
      </c>
      <c r="E65" t="s">
        <v>4</v>
      </c>
      <c r="F65" t="s">
        <v>43</v>
      </c>
      <c r="G65" t="s">
        <v>7</v>
      </c>
    </row>
    <row r="66" spans="1:7" x14ac:dyDescent="0.3">
      <c r="A66" t="s">
        <v>11</v>
      </c>
      <c r="B66" s="1">
        <v>45930</v>
      </c>
      <c r="C66">
        <v>242041</v>
      </c>
      <c r="D66">
        <v>-6270.4250000000002</v>
      </c>
      <c r="E66" t="s">
        <v>4</v>
      </c>
      <c r="F66" t="s">
        <v>43</v>
      </c>
      <c r="G66" t="s">
        <v>7</v>
      </c>
    </row>
    <row r="67" spans="1:7" x14ac:dyDescent="0.3">
      <c r="A67" t="s">
        <v>11</v>
      </c>
      <c r="B67" s="1">
        <v>45930</v>
      </c>
      <c r="C67">
        <v>243002</v>
      </c>
      <c r="D67">
        <v>-9801.8230000000003</v>
      </c>
      <c r="E67" t="s">
        <v>4</v>
      </c>
      <c r="F67" t="s">
        <v>43</v>
      </c>
      <c r="G67" t="s">
        <v>7</v>
      </c>
    </row>
    <row r="68" spans="1:7" x14ac:dyDescent="0.3">
      <c r="A68" t="s">
        <v>11</v>
      </c>
      <c r="B68" s="1">
        <v>45930</v>
      </c>
      <c r="C68">
        <v>243003</v>
      </c>
      <c r="D68">
        <v>-3608.2350000000001</v>
      </c>
      <c r="E68" t="s">
        <v>4</v>
      </c>
      <c r="F68" t="s">
        <v>43</v>
      </c>
      <c r="G68" t="s">
        <v>7</v>
      </c>
    </row>
    <row r="69" spans="1:7" x14ac:dyDescent="0.3">
      <c r="A69" t="s">
        <v>11</v>
      </c>
      <c r="B69" s="1">
        <v>45930</v>
      </c>
      <c r="C69">
        <v>243010</v>
      </c>
      <c r="D69">
        <v>-483.185</v>
      </c>
      <c r="E69" t="s">
        <v>4</v>
      </c>
      <c r="F69" t="s">
        <v>43</v>
      </c>
      <c r="G69" t="s">
        <v>7</v>
      </c>
    </row>
    <row r="70" spans="1:7" x14ac:dyDescent="0.3">
      <c r="A70" t="s">
        <v>11</v>
      </c>
      <c r="B70" s="1">
        <v>45930</v>
      </c>
      <c r="C70">
        <v>245010</v>
      </c>
      <c r="D70">
        <v>-25435.435000000001</v>
      </c>
      <c r="E70" t="s">
        <v>4</v>
      </c>
      <c r="F70" t="s">
        <v>44</v>
      </c>
      <c r="G70" t="s">
        <v>7</v>
      </c>
    </row>
    <row r="71" spans="1:7" x14ac:dyDescent="0.3">
      <c r="A71" t="s">
        <v>11</v>
      </c>
      <c r="B71" s="1">
        <v>45930</v>
      </c>
      <c r="C71">
        <v>245018</v>
      </c>
      <c r="D71">
        <v>-2441.297</v>
      </c>
      <c r="E71" t="s">
        <v>4</v>
      </c>
      <c r="F71" t="s">
        <v>43</v>
      </c>
      <c r="G71" t="s">
        <v>7</v>
      </c>
    </row>
    <row r="72" spans="1:7" x14ac:dyDescent="0.3">
      <c r="A72" t="s">
        <v>11</v>
      </c>
      <c r="B72" s="1">
        <v>45930</v>
      </c>
      <c r="C72">
        <v>245055</v>
      </c>
      <c r="D72">
        <v>-1965.32</v>
      </c>
      <c r="E72" t="s">
        <v>4</v>
      </c>
      <c r="F72" t="s">
        <v>43</v>
      </c>
      <c r="G72" t="s">
        <v>7</v>
      </c>
    </row>
    <row r="73" spans="1:7" x14ac:dyDescent="0.3">
      <c r="A73" t="s">
        <v>11</v>
      </c>
      <c r="B73" s="1">
        <v>45930</v>
      </c>
      <c r="C73">
        <v>245056</v>
      </c>
      <c r="D73">
        <v>-349.149</v>
      </c>
      <c r="E73" t="s">
        <v>4</v>
      </c>
      <c r="F73" t="s">
        <v>49</v>
      </c>
      <c r="G73" t="s">
        <v>7</v>
      </c>
    </row>
    <row r="74" spans="1:7" x14ac:dyDescent="0.3">
      <c r="A74" t="s">
        <v>11</v>
      </c>
      <c r="B74" s="1">
        <v>45930</v>
      </c>
      <c r="C74">
        <v>245062</v>
      </c>
      <c r="D74">
        <v>-25375.079000000002</v>
      </c>
      <c r="E74" t="s">
        <v>4</v>
      </c>
      <c r="F74" t="s">
        <v>43</v>
      </c>
      <c r="G74" t="s">
        <v>7</v>
      </c>
    </row>
    <row r="75" spans="1:7" x14ac:dyDescent="0.3">
      <c r="A75" t="s">
        <v>11</v>
      </c>
      <c r="B75" s="1">
        <v>45930</v>
      </c>
      <c r="C75">
        <v>250003</v>
      </c>
      <c r="D75">
        <v>-1520.0809999999999</v>
      </c>
      <c r="E75" t="s">
        <v>4</v>
      </c>
      <c r="F75" t="s">
        <v>45</v>
      </c>
      <c r="G75" t="s">
        <v>7</v>
      </c>
    </row>
    <row r="76" spans="1:7" x14ac:dyDescent="0.3">
      <c r="A76" t="s">
        <v>11</v>
      </c>
      <c r="B76" s="1">
        <v>45930</v>
      </c>
      <c r="C76">
        <v>251002</v>
      </c>
      <c r="D76">
        <v>-2936.924</v>
      </c>
      <c r="E76" t="s">
        <v>4</v>
      </c>
      <c r="F76" t="s">
        <v>45</v>
      </c>
      <c r="G76" t="s">
        <v>7</v>
      </c>
    </row>
    <row r="77" spans="1:7" x14ac:dyDescent="0.3">
      <c r="A77" t="s">
        <v>11</v>
      </c>
      <c r="B77" s="1">
        <v>45930</v>
      </c>
      <c r="C77">
        <v>251003</v>
      </c>
      <c r="D77">
        <v>-3422.1329999999998</v>
      </c>
      <c r="E77" t="s">
        <v>4</v>
      </c>
      <c r="F77" t="s">
        <v>45</v>
      </c>
      <c r="G77" t="s">
        <v>7</v>
      </c>
    </row>
    <row r="78" spans="1:7" x14ac:dyDescent="0.3">
      <c r="A78" t="s">
        <v>11</v>
      </c>
      <c r="B78" s="1">
        <v>45930</v>
      </c>
      <c r="C78">
        <v>251005</v>
      </c>
      <c r="D78">
        <v>742.93</v>
      </c>
      <c r="E78" t="s">
        <v>4</v>
      </c>
      <c r="F78" t="s">
        <v>46</v>
      </c>
      <c r="G78" t="s">
        <v>7</v>
      </c>
    </row>
    <row r="79" spans="1:7" x14ac:dyDescent="0.3">
      <c r="A79" t="s">
        <v>11</v>
      </c>
      <c r="B79" s="1">
        <v>45930</v>
      </c>
      <c r="C79">
        <v>256040</v>
      </c>
      <c r="D79">
        <v>973279.071</v>
      </c>
      <c r="E79" t="s">
        <v>4</v>
      </c>
      <c r="F79" t="s">
        <v>43</v>
      </c>
      <c r="G79" t="s">
        <v>7</v>
      </c>
    </row>
    <row r="80" spans="1:7" x14ac:dyDescent="0.3">
      <c r="A80" t="s">
        <v>11</v>
      </c>
      <c r="B80" s="1">
        <v>45930</v>
      </c>
      <c r="C80">
        <v>256041</v>
      </c>
      <c r="D80">
        <v>13382.583000000001</v>
      </c>
      <c r="E80" t="s">
        <v>4</v>
      </c>
      <c r="F80" t="s">
        <v>43</v>
      </c>
      <c r="G80" t="s">
        <v>7</v>
      </c>
    </row>
    <row r="81" spans="1:7" x14ac:dyDescent="0.3">
      <c r="A81" t="s">
        <v>11</v>
      </c>
      <c r="B81" s="1">
        <v>45930</v>
      </c>
      <c r="C81">
        <v>263002</v>
      </c>
      <c r="D81">
        <v>-38263.237999999998</v>
      </c>
      <c r="E81" t="s">
        <v>4</v>
      </c>
      <c r="F81" t="s">
        <v>45</v>
      </c>
      <c r="G81" t="s">
        <v>7</v>
      </c>
    </row>
    <row r="82" spans="1:7" x14ac:dyDescent="0.3">
      <c r="A82" t="s">
        <v>11</v>
      </c>
      <c r="B82" s="1">
        <v>45930</v>
      </c>
      <c r="C82">
        <v>263003</v>
      </c>
      <c r="D82">
        <v>-95.161000000000001</v>
      </c>
      <c r="E82" t="s">
        <v>4</v>
      </c>
      <c r="F82" t="s">
        <v>45</v>
      </c>
      <c r="G82" t="s">
        <v>7</v>
      </c>
    </row>
    <row r="83" spans="1:7" x14ac:dyDescent="0.3">
      <c r="A83" t="s">
        <v>11</v>
      </c>
      <c r="B83" s="1">
        <v>45930</v>
      </c>
      <c r="C83">
        <v>263005</v>
      </c>
      <c r="D83">
        <v>384.90800000000002</v>
      </c>
      <c r="E83" t="s">
        <v>4</v>
      </c>
      <c r="F83" t="s">
        <v>45</v>
      </c>
      <c r="G83" t="s">
        <v>7</v>
      </c>
    </row>
    <row r="84" spans="1:7" x14ac:dyDescent="0.3">
      <c r="A84" t="s">
        <v>11</v>
      </c>
      <c r="B84" s="1">
        <v>45930</v>
      </c>
      <c r="C84">
        <v>270026</v>
      </c>
      <c r="D84">
        <v>-72157.218999999997</v>
      </c>
      <c r="E84" t="s">
        <v>4</v>
      </c>
      <c r="F84" t="s">
        <v>58</v>
      </c>
      <c r="G84" t="s">
        <v>7</v>
      </c>
    </row>
    <row r="85" spans="1:7" x14ac:dyDescent="0.3">
      <c r="A85" t="s">
        <v>11</v>
      </c>
      <c r="B85" s="1">
        <v>45930</v>
      </c>
      <c r="C85">
        <v>320003</v>
      </c>
      <c r="D85">
        <v>121640.696</v>
      </c>
      <c r="E85" t="s">
        <v>4</v>
      </c>
      <c r="F85" t="s">
        <v>46</v>
      </c>
      <c r="G85" t="s">
        <v>7</v>
      </c>
    </row>
    <row r="86" spans="1:7" x14ac:dyDescent="0.3">
      <c r="A86" t="s">
        <v>11</v>
      </c>
      <c r="B86" s="1">
        <v>45930</v>
      </c>
      <c r="C86">
        <v>320004</v>
      </c>
      <c r="D86">
        <v>3968.0320000000002</v>
      </c>
      <c r="E86" t="s">
        <v>4</v>
      </c>
      <c r="F86" t="s">
        <v>46</v>
      </c>
      <c r="G86" t="s">
        <v>7</v>
      </c>
    </row>
    <row r="87" spans="1:7" x14ac:dyDescent="0.3">
      <c r="A87" t="s">
        <v>11</v>
      </c>
      <c r="B87" s="1">
        <v>45930</v>
      </c>
      <c r="C87">
        <v>320023</v>
      </c>
      <c r="D87">
        <v>-3482.3670000000002</v>
      </c>
      <c r="E87" t="s">
        <v>4</v>
      </c>
      <c r="F87" t="s">
        <v>46</v>
      </c>
      <c r="G87" t="s">
        <v>7</v>
      </c>
    </row>
    <row r="88" spans="1:7" x14ac:dyDescent="0.3">
      <c r="A88" t="s">
        <v>11</v>
      </c>
      <c r="B88" s="1">
        <v>45930</v>
      </c>
      <c r="C88">
        <v>320024</v>
      </c>
      <c r="D88">
        <v>1863.6130000000001</v>
      </c>
      <c r="E88" t="s">
        <v>4</v>
      </c>
      <c r="F88" t="s">
        <v>46</v>
      </c>
      <c r="G88" t="s">
        <v>7</v>
      </c>
    </row>
    <row r="89" spans="1:7" x14ac:dyDescent="0.3">
      <c r="A89" t="s">
        <v>11</v>
      </c>
      <c r="B89" s="1">
        <v>45930</v>
      </c>
      <c r="C89">
        <v>321002</v>
      </c>
      <c r="D89">
        <v>297711.87800000003</v>
      </c>
      <c r="E89" t="s">
        <v>4</v>
      </c>
      <c r="F89" t="s">
        <v>46</v>
      </c>
      <c r="G89" t="s">
        <v>7</v>
      </c>
    </row>
    <row r="90" spans="1:7" x14ac:dyDescent="0.3">
      <c r="A90" t="s">
        <v>11</v>
      </c>
      <c r="B90" s="1">
        <v>45930</v>
      </c>
      <c r="C90">
        <v>321010</v>
      </c>
      <c r="D90">
        <v>10.952</v>
      </c>
      <c r="E90" t="s">
        <v>4</v>
      </c>
      <c r="F90" t="s">
        <v>46</v>
      </c>
      <c r="G90" t="s">
        <v>7</v>
      </c>
    </row>
    <row r="91" spans="1:7" x14ac:dyDescent="0.3">
      <c r="A91" t="s">
        <v>11</v>
      </c>
      <c r="B91" s="1">
        <v>45930</v>
      </c>
      <c r="C91">
        <v>321012</v>
      </c>
      <c r="D91">
        <v>21020.102999999999</v>
      </c>
      <c r="E91" t="s">
        <v>4</v>
      </c>
      <c r="F91" t="s">
        <v>46</v>
      </c>
      <c r="G91" t="s">
        <v>7</v>
      </c>
    </row>
    <row r="92" spans="1:7" x14ac:dyDescent="0.3">
      <c r="A92" t="s">
        <v>11</v>
      </c>
      <c r="B92" s="1">
        <v>45930</v>
      </c>
      <c r="C92">
        <v>321013</v>
      </c>
      <c r="D92">
        <v>28003.312000000002</v>
      </c>
      <c r="E92" t="s">
        <v>4</v>
      </c>
      <c r="F92" t="s">
        <v>46</v>
      </c>
      <c r="G92" t="s">
        <v>7</v>
      </c>
    </row>
    <row r="93" spans="1:7" x14ac:dyDescent="0.3">
      <c r="A93" t="s">
        <v>11</v>
      </c>
      <c r="B93" s="1">
        <v>45930</v>
      </c>
      <c r="C93">
        <v>321021</v>
      </c>
      <c r="D93">
        <v>28228.876</v>
      </c>
      <c r="E93" t="s">
        <v>4</v>
      </c>
      <c r="F93" t="s">
        <v>46</v>
      </c>
      <c r="G93" t="s">
        <v>7</v>
      </c>
    </row>
    <row r="94" spans="1:7" x14ac:dyDescent="0.3">
      <c r="A94" t="s">
        <v>11</v>
      </c>
      <c r="B94" s="1">
        <v>45930</v>
      </c>
      <c r="C94">
        <v>321025</v>
      </c>
      <c r="D94">
        <v>23947.808000000001</v>
      </c>
      <c r="E94" t="s">
        <v>4</v>
      </c>
      <c r="F94" t="s">
        <v>46</v>
      </c>
      <c r="G94" t="s">
        <v>7</v>
      </c>
    </row>
    <row r="95" spans="1:7" x14ac:dyDescent="0.3">
      <c r="A95" t="s">
        <v>11</v>
      </c>
      <c r="B95" s="1">
        <v>45930</v>
      </c>
      <c r="C95">
        <v>321029</v>
      </c>
      <c r="D95">
        <v>16480.125</v>
      </c>
      <c r="E95" t="s">
        <v>4</v>
      </c>
      <c r="F95" t="s">
        <v>46</v>
      </c>
      <c r="G95" t="s">
        <v>7</v>
      </c>
    </row>
    <row r="96" spans="1:7" x14ac:dyDescent="0.3">
      <c r="A96" t="s">
        <v>11</v>
      </c>
      <c r="B96" s="1">
        <v>45930</v>
      </c>
      <c r="C96">
        <v>321031</v>
      </c>
      <c r="D96">
        <v>10.952</v>
      </c>
      <c r="E96" t="s">
        <v>4</v>
      </c>
      <c r="F96" t="s">
        <v>46</v>
      </c>
      <c r="G96" t="s">
        <v>7</v>
      </c>
    </row>
    <row r="97" spans="1:7" x14ac:dyDescent="0.3">
      <c r="A97" t="s">
        <v>11</v>
      </c>
      <c r="B97" s="1">
        <v>45930</v>
      </c>
      <c r="C97">
        <v>321041</v>
      </c>
      <c r="D97">
        <v>5992.1779999999999</v>
      </c>
      <c r="E97" t="s">
        <v>4</v>
      </c>
      <c r="F97" t="s">
        <v>46</v>
      </c>
      <c r="G97" t="s">
        <v>7</v>
      </c>
    </row>
    <row r="98" spans="1:7" x14ac:dyDescent="0.3">
      <c r="A98" t="s">
        <v>11</v>
      </c>
      <c r="B98" s="1">
        <v>45930</v>
      </c>
      <c r="C98">
        <v>321042</v>
      </c>
      <c r="D98">
        <v>545.53099999999995</v>
      </c>
      <c r="E98" t="s">
        <v>4</v>
      </c>
      <c r="F98" t="s">
        <v>46</v>
      </c>
      <c r="G98" t="s">
        <v>7</v>
      </c>
    </row>
    <row r="99" spans="1:7" x14ac:dyDescent="0.3">
      <c r="A99" t="s">
        <v>11</v>
      </c>
      <c r="B99" s="1">
        <v>45930</v>
      </c>
      <c r="C99">
        <v>330033</v>
      </c>
      <c r="D99">
        <v>-31.401</v>
      </c>
      <c r="E99" t="s">
        <v>4</v>
      </c>
      <c r="F99" t="s">
        <v>43</v>
      </c>
      <c r="G99" t="s">
        <v>7</v>
      </c>
    </row>
    <row r="100" spans="1:7" x14ac:dyDescent="0.3">
      <c r="A100" t="s">
        <v>11</v>
      </c>
      <c r="B100" s="1">
        <v>45930</v>
      </c>
      <c r="C100">
        <v>330054</v>
      </c>
      <c r="D100">
        <v>-2581.7689999999998</v>
      </c>
      <c r="E100" t="s">
        <v>4</v>
      </c>
      <c r="F100" t="s">
        <v>43</v>
      </c>
      <c r="G100" t="s">
        <v>7</v>
      </c>
    </row>
    <row r="101" spans="1:7" x14ac:dyDescent="0.3">
      <c r="A101" t="s">
        <v>11</v>
      </c>
      <c r="B101" s="1">
        <v>45930</v>
      </c>
      <c r="C101">
        <v>330061</v>
      </c>
      <c r="D101">
        <v>496.04700000000003</v>
      </c>
      <c r="E101" t="s">
        <v>4</v>
      </c>
      <c r="F101" t="s">
        <v>43</v>
      </c>
      <c r="G101" t="s">
        <v>7</v>
      </c>
    </row>
    <row r="102" spans="1:7" x14ac:dyDescent="0.3">
      <c r="A102" t="s">
        <v>11</v>
      </c>
      <c r="B102" s="1">
        <v>45930</v>
      </c>
      <c r="C102">
        <v>340096</v>
      </c>
      <c r="D102">
        <v>470850.196</v>
      </c>
      <c r="E102" t="s">
        <v>4</v>
      </c>
      <c r="F102" t="s">
        <v>47</v>
      </c>
      <c r="G102" t="s">
        <v>7</v>
      </c>
    </row>
    <row r="103" spans="1:7" x14ac:dyDescent="0.3">
      <c r="A103" t="s">
        <v>11</v>
      </c>
      <c r="B103" s="1">
        <v>45930</v>
      </c>
      <c r="C103">
        <v>340111</v>
      </c>
      <c r="D103">
        <v>160133.41899999999</v>
      </c>
      <c r="E103" t="s">
        <v>4</v>
      </c>
      <c r="F103" t="s">
        <v>47</v>
      </c>
      <c r="G103" t="s">
        <v>7</v>
      </c>
    </row>
    <row r="104" spans="1:7" x14ac:dyDescent="0.3">
      <c r="A104" t="s">
        <v>11</v>
      </c>
      <c r="B104" s="1">
        <v>45930</v>
      </c>
      <c r="C104">
        <v>340133</v>
      </c>
      <c r="D104">
        <v>7527014.7889999999</v>
      </c>
      <c r="E104" t="s">
        <v>4</v>
      </c>
      <c r="F104" t="s">
        <v>47</v>
      </c>
      <c r="G104" t="s">
        <v>7</v>
      </c>
    </row>
    <row r="105" spans="1:7" x14ac:dyDescent="0.3">
      <c r="A105" t="s">
        <v>11</v>
      </c>
      <c r="B105" s="1">
        <v>45930</v>
      </c>
      <c r="C105">
        <v>340134</v>
      </c>
      <c r="D105">
        <v>-7730841.8899999997</v>
      </c>
      <c r="E105" t="s">
        <v>4</v>
      </c>
      <c r="F105" t="s">
        <v>47</v>
      </c>
      <c r="G105" t="s">
        <v>7</v>
      </c>
    </row>
    <row r="106" spans="1:7" x14ac:dyDescent="0.3">
      <c r="A106" t="s">
        <v>11</v>
      </c>
      <c r="B106" s="1">
        <v>45930</v>
      </c>
      <c r="C106">
        <v>340143</v>
      </c>
      <c r="D106">
        <v>1345140.899</v>
      </c>
      <c r="E106" t="s">
        <v>4</v>
      </c>
      <c r="F106" t="s">
        <v>47</v>
      </c>
      <c r="G106" t="s">
        <v>7</v>
      </c>
    </row>
    <row r="107" spans="1:7" x14ac:dyDescent="0.3">
      <c r="A107" t="s">
        <v>11</v>
      </c>
      <c r="B107" s="1">
        <v>45930</v>
      </c>
      <c r="C107">
        <v>340144</v>
      </c>
      <c r="D107">
        <v>-1492067.8089999999</v>
      </c>
      <c r="E107" t="s">
        <v>4</v>
      </c>
      <c r="F107" t="s">
        <v>47</v>
      </c>
      <c r="G107" t="s">
        <v>7</v>
      </c>
    </row>
    <row r="108" spans="1:7" x14ac:dyDescent="0.3">
      <c r="A108" t="s">
        <v>11</v>
      </c>
      <c r="B108" s="1">
        <v>45930</v>
      </c>
      <c r="C108">
        <v>340317</v>
      </c>
      <c r="D108">
        <v>1311853.6580000001</v>
      </c>
      <c r="E108" t="s">
        <v>4</v>
      </c>
      <c r="F108" t="s">
        <v>47</v>
      </c>
      <c r="G108" t="s">
        <v>7</v>
      </c>
    </row>
    <row r="109" spans="1:7" x14ac:dyDescent="0.3">
      <c r="A109" t="s">
        <v>11</v>
      </c>
      <c r="B109" s="1">
        <v>45930</v>
      </c>
      <c r="C109">
        <v>340318</v>
      </c>
      <c r="D109">
        <v>-1286041.5430000001</v>
      </c>
      <c r="E109" t="s">
        <v>4</v>
      </c>
      <c r="F109" t="s">
        <v>47</v>
      </c>
      <c r="G109" t="s">
        <v>7</v>
      </c>
    </row>
    <row r="110" spans="1:7" x14ac:dyDescent="0.3">
      <c r="A110" t="s">
        <v>11</v>
      </c>
      <c r="B110" s="1">
        <v>45930</v>
      </c>
      <c r="C110">
        <v>340319</v>
      </c>
      <c r="D110">
        <v>1496341.977</v>
      </c>
      <c r="E110" t="s">
        <v>4</v>
      </c>
      <c r="F110" t="s">
        <v>47</v>
      </c>
      <c r="G110" t="s">
        <v>7</v>
      </c>
    </row>
    <row r="111" spans="1:7" x14ac:dyDescent="0.3">
      <c r="A111" t="s">
        <v>11</v>
      </c>
      <c r="B111" s="1">
        <v>45930</v>
      </c>
      <c r="C111">
        <v>340320</v>
      </c>
      <c r="D111">
        <v>-1481211.68</v>
      </c>
      <c r="E111" t="s">
        <v>4</v>
      </c>
      <c r="F111" t="s">
        <v>47</v>
      </c>
      <c r="G111" t="s">
        <v>7</v>
      </c>
    </row>
    <row r="112" spans="1:7" x14ac:dyDescent="0.3">
      <c r="A112" t="s">
        <v>11</v>
      </c>
      <c r="B112" s="1">
        <v>45930</v>
      </c>
      <c r="C112">
        <v>345023</v>
      </c>
      <c r="D112">
        <v>25.599</v>
      </c>
      <c r="E112" t="s">
        <v>4</v>
      </c>
      <c r="F112" t="s">
        <v>47</v>
      </c>
      <c r="G112" t="s">
        <v>7</v>
      </c>
    </row>
    <row r="113" spans="1:7" x14ac:dyDescent="0.3">
      <c r="A113" t="s">
        <v>11</v>
      </c>
      <c r="B113" s="1">
        <v>45930</v>
      </c>
      <c r="C113">
        <v>350002</v>
      </c>
      <c r="D113">
        <v>2229.6799999999998</v>
      </c>
      <c r="E113" t="s">
        <v>4</v>
      </c>
      <c r="F113" t="s">
        <v>49</v>
      </c>
      <c r="G113" t="s">
        <v>7</v>
      </c>
    </row>
    <row r="114" spans="1:7" x14ac:dyDescent="0.3">
      <c r="A114" t="s">
        <v>11</v>
      </c>
      <c r="B114" s="1">
        <v>45930</v>
      </c>
      <c r="C114">
        <v>350003</v>
      </c>
      <c r="D114">
        <v>-893.96100000000001</v>
      </c>
      <c r="E114" t="s">
        <v>4</v>
      </c>
      <c r="F114" t="s">
        <v>49</v>
      </c>
      <c r="G114" t="s">
        <v>7</v>
      </c>
    </row>
    <row r="115" spans="1:7" x14ac:dyDescent="0.3">
      <c r="A115" t="s">
        <v>11</v>
      </c>
      <c r="B115" s="1">
        <v>45930</v>
      </c>
      <c r="C115">
        <v>350007</v>
      </c>
      <c r="D115">
        <v>21.13</v>
      </c>
      <c r="E115" t="s">
        <v>4</v>
      </c>
      <c r="F115" t="s">
        <v>49</v>
      </c>
      <c r="G115" t="s">
        <v>7</v>
      </c>
    </row>
    <row r="116" spans="1:7" x14ac:dyDescent="0.3">
      <c r="A116" t="s">
        <v>11</v>
      </c>
      <c r="B116" s="1">
        <v>45930</v>
      </c>
      <c r="C116">
        <v>350031</v>
      </c>
      <c r="D116">
        <v>913.92100000000005</v>
      </c>
      <c r="E116" t="s">
        <v>4</v>
      </c>
      <c r="F116" t="s">
        <v>43</v>
      </c>
      <c r="G116" t="s">
        <v>7</v>
      </c>
    </row>
    <row r="117" spans="1:7" x14ac:dyDescent="0.3">
      <c r="A117" t="s">
        <v>11</v>
      </c>
      <c r="B117" s="1">
        <v>45930</v>
      </c>
      <c r="C117">
        <v>350034</v>
      </c>
      <c r="D117">
        <v>349.149</v>
      </c>
      <c r="E117" t="s">
        <v>4</v>
      </c>
      <c r="F117" t="s">
        <v>49</v>
      </c>
      <c r="G117" t="s">
        <v>7</v>
      </c>
    </row>
    <row r="118" spans="1:7" x14ac:dyDescent="0.3">
      <c r="A118" t="s">
        <v>11</v>
      </c>
      <c r="B118" s="1">
        <v>45930</v>
      </c>
      <c r="C118">
        <v>352002</v>
      </c>
      <c r="D118">
        <v>111.703</v>
      </c>
      <c r="E118" t="s">
        <v>4</v>
      </c>
      <c r="F118" t="s">
        <v>48</v>
      </c>
      <c r="G118" t="s">
        <v>7</v>
      </c>
    </row>
    <row r="119" spans="1:7" x14ac:dyDescent="0.3">
      <c r="A119" t="s">
        <v>11</v>
      </c>
      <c r="B119" s="1">
        <v>45930</v>
      </c>
      <c r="C119">
        <v>354011</v>
      </c>
      <c r="D119">
        <v>-1863.6130000000001</v>
      </c>
      <c r="E119" t="s">
        <v>4</v>
      </c>
      <c r="F119" t="s">
        <v>46</v>
      </c>
      <c r="G119" t="s">
        <v>7</v>
      </c>
    </row>
    <row r="120" spans="1:7" x14ac:dyDescent="0.3">
      <c r="A120" t="s">
        <v>11</v>
      </c>
      <c r="B120" s="1">
        <v>45930</v>
      </c>
      <c r="C120">
        <v>354014</v>
      </c>
      <c r="D120">
        <v>99811.445000000007</v>
      </c>
      <c r="E120" t="s">
        <v>4</v>
      </c>
      <c r="F120" t="s">
        <v>46</v>
      </c>
      <c r="G120" t="s">
        <v>7</v>
      </c>
    </row>
    <row r="121" spans="1:7" x14ac:dyDescent="0.3">
      <c r="A121" t="s">
        <v>11</v>
      </c>
      <c r="B121" s="1">
        <v>45930</v>
      </c>
      <c r="C121">
        <v>355016</v>
      </c>
      <c r="D121">
        <v>310.83100000000002</v>
      </c>
      <c r="E121" t="s">
        <v>4</v>
      </c>
      <c r="F121" t="s">
        <v>49</v>
      </c>
      <c r="G121" t="s">
        <v>7</v>
      </c>
    </row>
    <row r="122" spans="1:7" x14ac:dyDescent="0.3">
      <c r="A122" t="s">
        <v>11</v>
      </c>
      <c r="B122" s="1">
        <v>45930</v>
      </c>
      <c r="C122">
        <v>355017</v>
      </c>
      <c r="D122">
        <v>861.60900000000004</v>
      </c>
      <c r="E122" t="s">
        <v>4</v>
      </c>
      <c r="F122" t="s">
        <v>49</v>
      </c>
      <c r="G122" t="s">
        <v>7</v>
      </c>
    </row>
    <row r="123" spans="1:7" x14ac:dyDescent="0.3">
      <c r="A123" t="s">
        <v>11</v>
      </c>
      <c r="B123" s="1">
        <v>45930</v>
      </c>
      <c r="C123">
        <v>360022</v>
      </c>
      <c r="D123">
        <v>1.6E-2</v>
      </c>
      <c r="E123" t="s">
        <v>4</v>
      </c>
      <c r="F123" t="s">
        <v>58</v>
      </c>
      <c r="G123" t="s">
        <v>7</v>
      </c>
    </row>
    <row r="124" spans="1:7" x14ac:dyDescent="0.3">
      <c r="A124" t="s">
        <v>11</v>
      </c>
      <c r="B124" s="1">
        <v>45930</v>
      </c>
      <c r="C124">
        <v>360028</v>
      </c>
      <c r="D124">
        <v>-3.0000000000000001E-3</v>
      </c>
      <c r="E124" t="s">
        <v>4</v>
      </c>
      <c r="F124" t="s">
        <v>58</v>
      </c>
      <c r="G124" t="s">
        <v>7</v>
      </c>
    </row>
    <row r="125" spans="1:7" x14ac:dyDescent="0.3">
      <c r="A125" t="s">
        <v>11</v>
      </c>
      <c r="B125" s="1">
        <v>45930</v>
      </c>
      <c r="C125">
        <v>360030</v>
      </c>
      <c r="D125">
        <v>72157.187999999995</v>
      </c>
      <c r="E125" t="s">
        <v>4</v>
      </c>
      <c r="F125" t="s">
        <v>58</v>
      </c>
      <c r="G125" t="s">
        <v>7</v>
      </c>
    </row>
    <row r="126" spans="1:7" x14ac:dyDescent="0.3">
      <c r="A126" t="s">
        <v>11</v>
      </c>
      <c r="B126" s="1">
        <v>45930</v>
      </c>
      <c r="C126">
        <v>360032</v>
      </c>
      <c r="D126">
        <v>16211.325999999999</v>
      </c>
      <c r="E126" t="s">
        <v>4</v>
      </c>
      <c r="F126" t="s">
        <v>58</v>
      </c>
      <c r="G126" t="s">
        <v>7</v>
      </c>
    </row>
    <row r="127" spans="1:7" x14ac:dyDescent="0.3">
      <c r="A127" t="s">
        <v>11</v>
      </c>
      <c r="B127" s="1">
        <v>45930</v>
      </c>
      <c r="C127">
        <v>372004</v>
      </c>
      <c r="D127">
        <v>3391.12</v>
      </c>
      <c r="E127" t="s">
        <v>4</v>
      </c>
      <c r="F127" t="s">
        <v>45</v>
      </c>
      <c r="G127" t="s">
        <v>7</v>
      </c>
    </row>
    <row r="128" spans="1:7" x14ac:dyDescent="0.3">
      <c r="A128" t="s">
        <v>11</v>
      </c>
      <c r="B128" s="1">
        <v>45930</v>
      </c>
      <c r="C128">
        <v>410002</v>
      </c>
      <c r="D128">
        <v>-139633.454</v>
      </c>
      <c r="E128" t="s">
        <v>6</v>
      </c>
      <c r="F128" t="s">
        <v>51</v>
      </c>
      <c r="G128" t="s">
        <v>7</v>
      </c>
    </row>
    <row r="129" spans="1:7" x14ac:dyDescent="0.3">
      <c r="A129" t="s">
        <v>11</v>
      </c>
      <c r="B129" s="1">
        <v>45930</v>
      </c>
      <c r="C129">
        <v>410006</v>
      </c>
      <c r="D129">
        <v>-3636.241</v>
      </c>
      <c r="E129" t="s">
        <v>6</v>
      </c>
      <c r="F129" t="s">
        <v>51</v>
      </c>
      <c r="G129" t="s">
        <v>7</v>
      </c>
    </row>
    <row r="130" spans="1:7" x14ac:dyDescent="0.3">
      <c r="A130" t="s">
        <v>11</v>
      </c>
      <c r="B130" s="1">
        <v>45930</v>
      </c>
      <c r="C130">
        <v>410015</v>
      </c>
      <c r="D130">
        <v>-13231.945</v>
      </c>
      <c r="E130" t="s">
        <v>6</v>
      </c>
      <c r="F130" t="s">
        <v>51</v>
      </c>
      <c r="G130" t="s">
        <v>7</v>
      </c>
    </row>
    <row r="131" spans="1:7" x14ac:dyDescent="0.3">
      <c r="A131" t="s">
        <v>11</v>
      </c>
      <c r="B131" s="1">
        <v>45930</v>
      </c>
      <c r="C131">
        <v>410018</v>
      </c>
      <c r="D131">
        <v>-5676.8339999999998</v>
      </c>
      <c r="E131" t="s">
        <v>6</v>
      </c>
      <c r="F131" t="s">
        <v>51</v>
      </c>
      <c r="G131" t="s">
        <v>7</v>
      </c>
    </row>
    <row r="132" spans="1:7" x14ac:dyDescent="0.3">
      <c r="A132" t="s">
        <v>11</v>
      </c>
      <c r="B132" s="1">
        <v>45930</v>
      </c>
      <c r="C132">
        <v>410019</v>
      </c>
      <c r="D132">
        <v>-11.276</v>
      </c>
      <c r="E132" t="s">
        <v>6</v>
      </c>
      <c r="F132" t="s">
        <v>51</v>
      </c>
      <c r="G132" t="s">
        <v>7</v>
      </c>
    </row>
    <row r="133" spans="1:7" x14ac:dyDescent="0.3">
      <c r="A133" t="s">
        <v>11</v>
      </c>
      <c r="B133" s="1">
        <v>45930</v>
      </c>
      <c r="C133">
        <v>410032</v>
      </c>
      <c r="D133">
        <v>-10306.59</v>
      </c>
      <c r="E133" t="s">
        <v>6</v>
      </c>
      <c r="F133" t="s">
        <v>51</v>
      </c>
      <c r="G133" t="s">
        <v>7</v>
      </c>
    </row>
    <row r="134" spans="1:7" x14ac:dyDescent="0.3">
      <c r="A134" t="s">
        <v>11</v>
      </c>
      <c r="B134" s="1">
        <v>45930</v>
      </c>
      <c r="C134">
        <v>410037</v>
      </c>
      <c r="D134">
        <v>-87283.985000000001</v>
      </c>
      <c r="E134" t="s">
        <v>6</v>
      </c>
      <c r="F134" t="s">
        <v>51</v>
      </c>
      <c r="G134" t="s">
        <v>7</v>
      </c>
    </row>
    <row r="135" spans="1:7" x14ac:dyDescent="0.3">
      <c r="A135" t="s">
        <v>11</v>
      </c>
      <c r="B135" s="1">
        <v>45930</v>
      </c>
      <c r="C135">
        <v>410039</v>
      </c>
      <c r="D135">
        <v>-11.276</v>
      </c>
      <c r="E135" t="s">
        <v>6</v>
      </c>
      <c r="F135" t="s">
        <v>51</v>
      </c>
      <c r="G135" t="s">
        <v>7</v>
      </c>
    </row>
    <row r="136" spans="1:7" x14ac:dyDescent="0.3">
      <c r="A136" t="s">
        <v>11</v>
      </c>
      <c r="B136" s="1">
        <v>45930</v>
      </c>
      <c r="C136">
        <v>410046</v>
      </c>
      <c r="D136">
        <v>-3503.1080000000002</v>
      </c>
      <c r="E136" t="s">
        <v>6</v>
      </c>
      <c r="F136" t="s">
        <v>51</v>
      </c>
      <c r="G136" t="s">
        <v>7</v>
      </c>
    </row>
    <row r="137" spans="1:7" x14ac:dyDescent="0.3">
      <c r="A137" t="s">
        <v>11</v>
      </c>
      <c r="B137" s="1">
        <v>45930</v>
      </c>
      <c r="C137">
        <v>415002</v>
      </c>
      <c r="D137">
        <v>-293295.35399999999</v>
      </c>
      <c r="E137" t="s">
        <v>6</v>
      </c>
      <c r="F137" t="s">
        <v>50</v>
      </c>
      <c r="G137" t="s">
        <v>7</v>
      </c>
    </row>
    <row r="138" spans="1:7" x14ac:dyDescent="0.3">
      <c r="A138" t="s">
        <v>11</v>
      </c>
      <c r="B138" s="1">
        <v>45930</v>
      </c>
      <c r="C138">
        <v>415004</v>
      </c>
      <c r="D138">
        <v>-501026.94400000002</v>
      </c>
      <c r="E138" t="s">
        <v>6</v>
      </c>
      <c r="F138" t="s">
        <v>50</v>
      </c>
      <c r="G138" t="s">
        <v>7</v>
      </c>
    </row>
    <row r="139" spans="1:7" x14ac:dyDescent="0.3">
      <c r="A139" t="s">
        <v>11</v>
      </c>
      <c r="B139" s="1">
        <v>45930</v>
      </c>
      <c r="C139">
        <v>418002</v>
      </c>
      <c r="D139">
        <v>-1E-3</v>
      </c>
      <c r="E139" t="s">
        <v>6</v>
      </c>
      <c r="F139" t="s">
        <v>50</v>
      </c>
      <c r="G139" t="s">
        <v>7</v>
      </c>
    </row>
    <row r="140" spans="1:7" x14ac:dyDescent="0.3">
      <c r="A140" t="s">
        <v>11</v>
      </c>
      <c r="B140" s="1">
        <v>45930</v>
      </c>
      <c r="C140">
        <v>420004</v>
      </c>
      <c r="D140">
        <v>-26.356000000000002</v>
      </c>
      <c r="E140" t="s">
        <v>6</v>
      </c>
      <c r="F140" t="s">
        <v>52</v>
      </c>
      <c r="G140" t="s">
        <v>7</v>
      </c>
    </row>
    <row r="141" spans="1:7" x14ac:dyDescent="0.3">
      <c r="A141" t="s">
        <v>11</v>
      </c>
      <c r="B141" s="1">
        <v>45930</v>
      </c>
      <c r="C141">
        <v>420005</v>
      </c>
      <c r="D141">
        <v>-14276.816999999999</v>
      </c>
      <c r="E141" t="s">
        <v>6</v>
      </c>
      <c r="F141" t="s">
        <v>59</v>
      </c>
      <c r="G141" t="s">
        <v>7</v>
      </c>
    </row>
    <row r="142" spans="1:7" x14ac:dyDescent="0.3">
      <c r="A142" t="s">
        <v>11</v>
      </c>
      <c r="B142" s="1">
        <v>45930</v>
      </c>
      <c r="C142">
        <v>421002</v>
      </c>
      <c r="D142">
        <v>-2758.527</v>
      </c>
      <c r="E142" t="s">
        <v>6</v>
      </c>
      <c r="F142" t="s">
        <v>52</v>
      </c>
      <c r="G142" t="s">
        <v>7</v>
      </c>
    </row>
    <row r="143" spans="1:7" x14ac:dyDescent="0.3">
      <c r="A143" t="s">
        <v>11</v>
      </c>
      <c r="B143" s="1">
        <v>45930</v>
      </c>
      <c r="C143">
        <v>421003</v>
      </c>
      <c r="D143">
        <v>11434.975</v>
      </c>
      <c r="E143" t="s">
        <v>6</v>
      </c>
      <c r="F143" t="s">
        <v>52</v>
      </c>
      <c r="G143" t="s">
        <v>7</v>
      </c>
    </row>
    <row r="144" spans="1:7" x14ac:dyDescent="0.3">
      <c r="A144" t="s">
        <v>11</v>
      </c>
      <c r="B144" s="1">
        <v>45930</v>
      </c>
      <c r="C144">
        <v>421004</v>
      </c>
      <c r="D144">
        <v>85469.539000000004</v>
      </c>
      <c r="E144" t="s">
        <v>6</v>
      </c>
      <c r="F144" t="s">
        <v>52</v>
      </c>
      <c r="G144" t="s">
        <v>7</v>
      </c>
    </row>
    <row r="145" spans="1:7" x14ac:dyDescent="0.3">
      <c r="A145" t="s">
        <v>11</v>
      </c>
      <c r="B145" s="1">
        <v>45930</v>
      </c>
      <c r="C145">
        <v>421007</v>
      </c>
      <c r="D145">
        <v>-5249.59</v>
      </c>
      <c r="E145" t="s">
        <v>6</v>
      </c>
      <c r="F145" t="s">
        <v>52</v>
      </c>
      <c r="G145" t="s">
        <v>7</v>
      </c>
    </row>
    <row r="146" spans="1:7" x14ac:dyDescent="0.3">
      <c r="A146" t="s">
        <v>11</v>
      </c>
      <c r="B146" s="1">
        <v>45930</v>
      </c>
      <c r="C146">
        <v>510002</v>
      </c>
      <c r="D146">
        <v>286023.19400000002</v>
      </c>
      <c r="E146" t="s">
        <v>6</v>
      </c>
      <c r="F146" t="s">
        <v>53</v>
      </c>
      <c r="G146" t="s">
        <v>7</v>
      </c>
    </row>
    <row r="147" spans="1:7" x14ac:dyDescent="0.3">
      <c r="A147" t="s">
        <v>11</v>
      </c>
      <c r="B147" s="1">
        <v>45930</v>
      </c>
      <c r="C147">
        <v>510005</v>
      </c>
      <c r="D147">
        <v>16103.517</v>
      </c>
      <c r="E147" t="s">
        <v>6</v>
      </c>
      <c r="F147" t="s">
        <v>53</v>
      </c>
      <c r="G147" t="s">
        <v>7</v>
      </c>
    </row>
    <row r="148" spans="1:7" x14ac:dyDescent="0.3">
      <c r="A148" t="s">
        <v>11</v>
      </c>
      <c r="B148" s="1">
        <v>45930</v>
      </c>
      <c r="C148">
        <v>510007</v>
      </c>
      <c r="D148">
        <v>25688.454000000002</v>
      </c>
      <c r="E148" t="s">
        <v>6</v>
      </c>
      <c r="F148" t="s">
        <v>53</v>
      </c>
      <c r="G148" t="s">
        <v>7</v>
      </c>
    </row>
    <row r="149" spans="1:7" x14ac:dyDescent="0.3">
      <c r="A149" t="s">
        <v>11</v>
      </c>
      <c r="B149" s="1">
        <v>45930</v>
      </c>
      <c r="C149">
        <v>510012</v>
      </c>
      <c r="D149">
        <v>208.09</v>
      </c>
      <c r="E149" t="s">
        <v>6</v>
      </c>
      <c r="F149" t="s">
        <v>53</v>
      </c>
      <c r="G149" t="s">
        <v>7</v>
      </c>
    </row>
    <row r="150" spans="1:7" x14ac:dyDescent="0.3">
      <c r="A150" t="s">
        <v>11</v>
      </c>
      <c r="B150" s="1">
        <v>45930</v>
      </c>
      <c r="C150">
        <v>510015</v>
      </c>
      <c r="D150">
        <v>12544.799000000001</v>
      </c>
      <c r="E150" t="s">
        <v>6</v>
      </c>
      <c r="F150" t="s">
        <v>53</v>
      </c>
      <c r="G150" t="s">
        <v>7</v>
      </c>
    </row>
    <row r="151" spans="1:7" x14ac:dyDescent="0.3">
      <c r="A151" t="s">
        <v>11</v>
      </c>
      <c r="B151" s="1">
        <v>45930</v>
      </c>
      <c r="C151">
        <v>510018</v>
      </c>
      <c r="D151">
        <v>11392.262000000001</v>
      </c>
      <c r="E151" t="s">
        <v>6</v>
      </c>
      <c r="F151" t="s">
        <v>53</v>
      </c>
      <c r="G151" t="s">
        <v>7</v>
      </c>
    </row>
    <row r="152" spans="1:7" x14ac:dyDescent="0.3">
      <c r="A152" t="s">
        <v>11</v>
      </c>
      <c r="B152" s="1">
        <v>45930</v>
      </c>
      <c r="C152">
        <v>510059</v>
      </c>
      <c r="D152">
        <v>-12.58</v>
      </c>
      <c r="E152" t="s">
        <v>6</v>
      </c>
      <c r="F152" t="s">
        <v>53</v>
      </c>
      <c r="G152" t="s">
        <v>7</v>
      </c>
    </row>
    <row r="153" spans="1:7" x14ac:dyDescent="0.3">
      <c r="A153" t="s">
        <v>11</v>
      </c>
      <c r="B153" s="1">
        <v>45930</v>
      </c>
      <c r="C153">
        <v>510062</v>
      </c>
      <c r="D153">
        <v>665.94200000000001</v>
      </c>
      <c r="E153" t="s">
        <v>6</v>
      </c>
      <c r="F153" t="s">
        <v>53</v>
      </c>
      <c r="G153" t="s">
        <v>7</v>
      </c>
    </row>
    <row r="154" spans="1:7" x14ac:dyDescent="0.3">
      <c r="A154" t="s">
        <v>11</v>
      </c>
      <c r="B154" s="1">
        <v>45930</v>
      </c>
      <c r="C154">
        <v>510064</v>
      </c>
      <c r="D154">
        <v>1527.326</v>
      </c>
      <c r="E154" t="s">
        <v>6</v>
      </c>
      <c r="F154" t="s">
        <v>53</v>
      </c>
      <c r="G154" t="s">
        <v>7</v>
      </c>
    </row>
    <row r="155" spans="1:7" x14ac:dyDescent="0.3">
      <c r="A155" t="s">
        <v>11</v>
      </c>
      <c r="B155" s="1">
        <v>45930</v>
      </c>
      <c r="C155">
        <v>510065</v>
      </c>
      <c r="D155">
        <v>399.577</v>
      </c>
      <c r="E155" t="s">
        <v>6</v>
      </c>
      <c r="F155" t="s">
        <v>53</v>
      </c>
      <c r="G155" t="s">
        <v>7</v>
      </c>
    </row>
    <row r="156" spans="1:7" x14ac:dyDescent="0.3">
      <c r="A156" t="s">
        <v>11</v>
      </c>
      <c r="B156" s="1">
        <v>45930</v>
      </c>
      <c r="C156">
        <v>520021</v>
      </c>
      <c r="D156">
        <v>477.863</v>
      </c>
      <c r="E156" t="s">
        <v>6</v>
      </c>
      <c r="F156" t="s">
        <v>60</v>
      </c>
      <c r="G156" t="s">
        <v>7</v>
      </c>
    </row>
    <row r="157" spans="1:7" x14ac:dyDescent="0.3">
      <c r="A157" t="s">
        <v>11</v>
      </c>
      <c r="B157" s="1">
        <v>45930</v>
      </c>
      <c r="C157">
        <v>541002</v>
      </c>
      <c r="D157">
        <v>1323.222</v>
      </c>
      <c r="E157" t="s">
        <v>6</v>
      </c>
      <c r="F157" t="s">
        <v>61</v>
      </c>
      <c r="G157" t="s">
        <v>7</v>
      </c>
    </row>
    <row r="158" spans="1:7" x14ac:dyDescent="0.3">
      <c r="A158" t="s">
        <v>11</v>
      </c>
      <c r="B158" s="1">
        <v>45930</v>
      </c>
      <c r="C158">
        <v>541008</v>
      </c>
      <c r="D158">
        <v>1748.644</v>
      </c>
      <c r="E158" t="s">
        <v>6</v>
      </c>
      <c r="F158" t="s">
        <v>61</v>
      </c>
      <c r="G158" t="s">
        <v>7</v>
      </c>
    </row>
    <row r="159" spans="1:7" x14ac:dyDescent="0.3">
      <c r="A159" t="s">
        <v>11</v>
      </c>
      <c r="B159" s="1">
        <v>45930</v>
      </c>
      <c r="C159">
        <v>541009</v>
      </c>
      <c r="D159">
        <v>569.096</v>
      </c>
      <c r="E159" t="s">
        <v>6</v>
      </c>
      <c r="F159" t="s">
        <v>61</v>
      </c>
      <c r="G159" t="s">
        <v>7</v>
      </c>
    </row>
    <row r="160" spans="1:7" x14ac:dyDescent="0.3">
      <c r="A160" t="s">
        <v>11</v>
      </c>
      <c r="B160" s="1">
        <v>45930</v>
      </c>
      <c r="C160">
        <v>541010</v>
      </c>
      <c r="D160">
        <v>2508.3710000000001</v>
      </c>
      <c r="E160" t="s">
        <v>6</v>
      </c>
      <c r="F160" t="s">
        <v>61</v>
      </c>
      <c r="G160" t="s">
        <v>7</v>
      </c>
    </row>
    <row r="161" spans="1:7" x14ac:dyDescent="0.3">
      <c r="A161" t="s">
        <v>11</v>
      </c>
      <c r="B161" s="1">
        <v>45930</v>
      </c>
      <c r="C161">
        <v>541013</v>
      </c>
      <c r="D161">
        <v>1469.5329999999999</v>
      </c>
      <c r="E161" t="s">
        <v>6</v>
      </c>
      <c r="F161" t="s">
        <v>61</v>
      </c>
      <c r="G161" t="s">
        <v>7</v>
      </c>
    </row>
    <row r="162" spans="1:7" x14ac:dyDescent="0.3">
      <c r="A162" t="s">
        <v>11</v>
      </c>
      <c r="B162" s="1">
        <v>45930</v>
      </c>
      <c r="C162">
        <v>544006</v>
      </c>
      <c r="D162">
        <v>51.054000000000002</v>
      </c>
      <c r="E162" t="s">
        <v>6</v>
      </c>
      <c r="F162" t="s">
        <v>61</v>
      </c>
      <c r="G162" t="s">
        <v>7</v>
      </c>
    </row>
    <row r="163" spans="1:7" x14ac:dyDescent="0.3">
      <c r="A163" t="s">
        <v>11</v>
      </c>
      <c r="B163" s="1">
        <v>45930</v>
      </c>
      <c r="C163">
        <v>546002</v>
      </c>
      <c r="D163">
        <v>475975.63299999997</v>
      </c>
      <c r="E163" t="s">
        <v>6</v>
      </c>
      <c r="F163" t="s">
        <v>51</v>
      </c>
      <c r="G163" t="s">
        <v>7</v>
      </c>
    </row>
    <row r="164" spans="1:7" x14ac:dyDescent="0.3">
      <c r="A164" t="s">
        <v>11</v>
      </c>
      <c r="B164" s="1">
        <v>45930</v>
      </c>
      <c r="C164">
        <v>546013</v>
      </c>
      <c r="D164">
        <v>28030.278999999999</v>
      </c>
      <c r="E164" t="s">
        <v>6</v>
      </c>
      <c r="F164" t="s">
        <v>51</v>
      </c>
      <c r="G164" t="s">
        <v>7</v>
      </c>
    </row>
    <row r="165" spans="1:7" x14ac:dyDescent="0.3">
      <c r="A165" t="s">
        <v>11</v>
      </c>
      <c r="B165" s="1">
        <v>45930</v>
      </c>
      <c r="C165">
        <v>546015</v>
      </c>
      <c r="D165">
        <v>35820.377999999997</v>
      </c>
      <c r="E165" t="s">
        <v>6</v>
      </c>
      <c r="F165" t="s">
        <v>51</v>
      </c>
      <c r="G165" t="s">
        <v>7</v>
      </c>
    </row>
    <row r="166" spans="1:7" x14ac:dyDescent="0.3">
      <c r="A166" t="s">
        <v>11</v>
      </c>
      <c r="B166" s="1">
        <v>45930</v>
      </c>
      <c r="C166">
        <v>546016</v>
      </c>
      <c r="D166">
        <v>2639.098</v>
      </c>
      <c r="E166" t="s">
        <v>6</v>
      </c>
      <c r="F166" t="s">
        <v>51</v>
      </c>
      <c r="G166" t="s">
        <v>7</v>
      </c>
    </row>
    <row r="167" spans="1:7" x14ac:dyDescent="0.3">
      <c r="A167" t="s">
        <v>11</v>
      </c>
      <c r="B167" s="1">
        <v>45930</v>
      </c>
      <c r="C167">
        <v>546019</v>
      </c>
      <c r="D167">
        <v>4687.6040000000003</v>
      </c>
      <c r="E167" t="s">
        <v>6</v>
      </c>
      <c r="F167" t="s">
        <v>51</v>
      </c>
      <c r="G167" t="s">
        <v>7</v>
      </c>
    </row>
    <row r="168" spans="1:7" x14ac:dyDescent="0.3">
      <c r="A168" t="s">
        <v>11</v>
      </c>
      <c r="B168" s="1">
        <v>45930</v>
      </c>
      <c r="C168">
        <v>546024</v>
      </c>
      <c r="D168">
        <v>4936.3040000000001</v>
      </c>
      <c r="E168" t="s">
        <v>6</v>
      </c>
      <c r="F168" t="s">
        <v>51</v>
      </c>
      <c r="G168" t="s">
        <v>7</v>
      </c>
    </row>
    <row r="169" spans="1:7" x14ac:dyDescent="0.3">
      <c r="A169" t="s">
        <v>11</v>
      </c>
      <c r="B169" s="1">
        <v>45930</v>
      </c>
      <c r="C169">
        <v>546035</v>
      </c>
      <c r="D169">
        <v>29297.69</v>
      </c>
      <c r="E169" t="s">
        <v>6</v>
      </c>
      <c r="F169" t="s">
        <v>51</v>
      </c>
      <c r="G169" t="s">
        <v>7</v>
      </c>
    </row>
    <row r="170" spans="1:7" x14ac:dyDescent="0.3">
      <c r="A170" t="s">
        <v>11</v>
      </c>
      <c r="B170" s="1">
        <v>45930</v>
      </c>
      <c r="C170">
        <v>546040</v>
      </c>
      <c r="D170">
        <v>6280.45</v>
      </c>
      <c r="E170" t="s">
        <v>6</v>
      </c>
      <c r="F170" t="s">
        <v>51</v>
      </c>
      <c r="G170" t="s">
        <v>7</v>
      </c>
    </row>
    <row r="171" spans="1:7" x14ac:dyDescent="0.3">
      <c r="A171" t="s">
        <v>11</v>
      </c>
      <c r="B171" s="1">
        <v>45930</v>
      </c>
      <c r="C171">
        <v>546045</v>
      </c>
      <c r="D171">
        <v>259.71300000000002</v>
      </c>
      <c r="E171" t="s">
        <v>6</v>
      </c>
      <c r="F171" t="s">
        <v>51</v>
      </c>
      <c r="G171" t="s">
        <v>7</v>
      </c>
    </row>
    <row r="172" spans="1:7" x14ac:dyDescent="0.3">
      <c r="A172" t="s">
        <v>11</v>
      </c>
      <c r="B172" s="1">
        <v>45930</v>
      </c>
      <c r="C172">
        <v>547002</v>
      </c>
      <c r="D172">
        <v>4934.8810000000003</v>
      </c>
      <c r="E172" t="s">
        <v>6</v>
      </c>
      <c r="F172" t="s">
        <v>54</v>
      </c>
      <c r="G172" t="s">
        <v>7</v>
      </c>
    </row>
    <row r="173" spans="1:7" x14ac:dyDescent="0.3">
      <c r="A173" t="s">
        <v>11</v>
      </c>
      <c r="B173" s="1">
        <v>45930</v>
      </c>
      <c r="C173">
        <v>550003</v>
      </c>
      <c r="D173">
        <v>21980.521000000001</v>
      </c>
      <c r="E173" t="s">
        <v>6</v>
      </c>
      <c r="F173" t="s">
        <v>62</v>
      </c>
      <c r="G173" t="s">
        <v>7</v>
      </c>
    </row>
    <row r="174" spans="1:7" x14ac:dyDescent="0.3">
      <c r="A174" t="s">
        <v>11</v>
      </c>
      <c r="B174" s="1">
        <v>45930</v>
      </c>
      <c r="C174">
        <v>551003</v>
      </c>
      <c r="D174">
        <v>1512.49</v>
      </c>
      <c r="E174" t="s">
        <v>6</v>
      </c>
      <c r="F174" t="s">
        <v>63</v>
      </c>
      <c r="G174" t="s">
        <v>7</v>
      </c>
    </row>
    <row r="175" spans="1:7" x14ac:dyDescent="0.3">
      <c r="A175" t="s">
        <v>11</v>
      </c>
      <c r="B175" s="1">
        <v>45930</v>
      </c>
      <c r="C175">
        <v>552502</v>
      </c>
      <c r="D175">
        <v>763.59100000000001</v>
      </c>
      <c r="E175" t="s">
        <v>6</v>
      </c>
      <c r="F175" t="s">
        <v>55</v>
      </c>
      <c r="G175" t="s">
        <v>7</v>
      </c>
    </row>
    <row r="176" spans="1:7" x14ac:dyDescent="0.3">
      <c r="A176" t="s">
        <v>11</v>
      </c>
      <c r="B176" s="1">
        <v>45930</v>
      </c>
      <c r="C176">
        <v>555007</v>
      </c>
      <c r="D176">
        <v>706.30700000000002</v>
      </c>
      <c r="E176" t="s">
        <v>6</v>
      </c>
      <c r="F176" t="s">
        <v>55</v>
      </c>
      <c r="G176" t="s">
        <v>7</v>
      </c>
    </row>
    <row r="177" spans="1:7" x14ac:dyDescent="0.3">
      <c r="A177" t="s">
        <v>11</v>
      </c>
      <c r="B177" s="1">
        <v>45930</v>
      </c>
      <c r="C177">
        <v>556002</v>
      </c>
      <c r="D177">
        <v>299.53100000000001</v>
      </c>
      <c r="E177" t="s">
        <v>6</v>
      </c>
      <c r="F177" t="s">
        <v>60</v>
      </c>
      <c r="G177" t="s">
        <v>7</v>
      </c>
    </row>
    <row r="178" spans="1:7" x14ac:dyDescent="0.3">
      <c r="A178" t="s">
        <v>11</v>
      </c>
      <c r="B178" s="1">
        <v>45930</v>
      </c>
      <c r="C178">
        <v>556004</v>
      </c>
      <c r="D178">
        <v>11.282999999999999</v>
      </c>
      <c r="E178" t="s">
        <v>6</v>
      </c>
      <c r="F178" t="s">
        <v>55</v>
      </c>
      <c r="G178" t="s">
        <v>7</v>
      </c>
    </row>
    <row r="179" spans="1:7" x14ac:dyDescent="0.3">
      <c r="A179" t="s">
        <v>11</v>
      </c>
      <c r="B179" s="1">
        <v>45930</v>
      </c>
      <c r="C179">
        <v>557002</v>
      </c>
      <c r="D179">
        <v>2834.26</v>
      </c>
      <c r="E179" t="s">
        <v>6</v>
      </c>
      <c r="F179" t="s">
        <v>56</v>
      </c>
      <c r="G179" t="s">
        <v>7</v>
      </c>
    </row>
    <row r="180" spans="1:7" x14ac:dyDescent="0.3">
      <c r="A180" t="s">
        <v>11</v>
      </c>
      <c r="B180" s="1">
        <v>45930</v>
      </c>
      <c r="C180">
        <v>563002</v>
      </c>
      <c r="D180">
        <v>-9256.1759999999995</v>
      </c>
      <c r="E180" t="s">
        <v>6</v>
      </c>
      <c r="F180" t="s">
        <v>57</v>
      </c>
      <c r="G180" t="s">
        <v>7</v>
      </c>
    </row>
    <row r="181" spans="1:7" x14ac:dyDescent="0.3">
      <c r="A181" t="s">
        <v>11</v>
      </c>
      <c r="B181" s="1">
        <v>45930</v>
      </c>
      <c r="C181">
        <v>564004</v>
      </c>
      <c r="D181">
        <v>13176.325000000001</v>
      </c>
      <c r="E181" t="s">
        <v>6</v>
      </c>
      <c r="F181" t="s">
        <v>51</v>
      </c>
      <c r="G181" t="s">
        <v>7</v>
      </c>
    </row>
    <row r="182" spans="1:7" x14ac:dyDescent="0.3">
      <c r="A182" t="s">
        <v>11</v>
      </c>
      <c r="B182" s="1">
        <v>45930</v>
      </c>
      <c r="C182">
        <v>564006</v>
      </c>
      <c r="D182">
        <v>8.0000000000000002E-3</v>
      </c>
      <c r="E182" t="s">
        <v>6</v>
      </c>
      <c r="F182" t="s">
        <v>57</v>
      </c>
      <c r="G182" t="s">
        <v>7</v>
      </c>
    </row>
    <row r="183" spans="1:7" x14ac:dyDescent="0.3">
      <c r="A183" t="s">
        <v>11</v>
      </c>
      <c r="B183" s="1">
        <v>45930</v>
      </c>
      <c r="C183">
        <v>564007</v>
      </c>
      <c r="D183">
        <v>1E-3</v>
      </c>
      <c r="E183" t="s">
        <v>6</v>
      </c>
      <c r="F183" t="s">
        <v>57</v>
      </c>
      <c r="G183" t="s">
        <v>7</v>
      </c>
    </row>
    <row r="184" spans="1:7" x14ac:dyDescent="0.3">
      <c r="A184" t="s">
        <v>11</v>
      </c>
      <c r="B184" s="1">
        <v>45930</v>
      </c>
      <c r="C184">
        <v>564020</v>
      </c>
      <c r="D184">
        <v>324.726</v>
      </c>
      <c r="E184" t="s">
        <v>6</v>
      </c>
      <c r="F184" t="s">
        <v>57</v>
      </c>
      <c r="G184" t="s">
        <v>7</v>
      </c>
    </row>
    <row r="185" spans="1:7" x14ac:dyDescent="0.3">
      <c r="A185" t="s">
        <v>11</v>
      </c>
      <c r="B185" s="1">
        <v>45930</v>
      </c>
      <c r="C185">
        <v>564021</v>
      </c>
      <c r="D185">
        <v>31.425000000000001</v>
      </c>
      <c r="E185" t="s">
        <v>6</v>
      </c>
      <c r="F185" t="s">
        <v>57</v>
      </c>
      <c r="G185" t="s">
        <v>7</v>
      </c>
    </row>
    <row r="186" spans="1:7" x14ac:dyDescent="0.3">
      <c r="A186" t="s">
        <v>11</v>
      </c>
      <c r="B186" s="1">
        <v>45930</v>
      </c>
      <c r="C186">
        <v>580003</v>
      </c>
      <c r="D186">
        <v>1278.4770000000001</v>
      </c>
      <c r="E186" t="s">
        <v>6</v>
      </c>
      <c r="F186" t="s">
        <v>64</v>
      </c>
      <c r="G186" t="s">
        <v>7</v>
      </c>
    </row>
    <row r="187" spans="1:7" x14ac:dyDescent="0.3">
      <c r="A187" t="s">
        <v>11</v>
      </c>
      <c r="B187" s="1">
        <v>45930</v>
      </c>
      <c r="C187">
        <v>580005</v>
      </c>
      <c r="D187">
        <v>7737.5609999999997</v>
      </c>
      <c r="E187" t="s">
        <v>6</v>
      </c>
      <c r="F187" t="s">
        <v>64</v>
      </c>
      <c r="G187" t="s">
        <v>7</v>
      </c>
    </row>
    <row r="188" spans="1:7" x14ac:dyDescent="0.3">
      <c r="A188" t="s">
        <v>12</v>
      </c>
      <c r="B188" s="1">
        <v>45930</v>
      </c>
      <c r="C188">
        <v>220006</v>
      </c>
      <c r="D188">
        <v>4044.8939999999998</v>
      </c>
      <c r="E188" t="s">
        <v>4</v>
      </c>
      <c r="F188" t="s">
        <v>42</v>
      </c>
      <c r="G188" t="s">
        <v>8</v>
      </c>
    </row>
    <row r="189" spans="1:7" x14ac:dyDescent="0.3">
      <c r="A189" t="s">
        <v>12</v>
      </c>
      <c r="B189" s="1">
        <v>45930</v>
      </c>
      <c r="C189">
        <v>243002</v>
      </c>
      <c r="D189">
        <v>-920.48400000000004</v>
      </c>
      <c r="E189" t="s">
        <v>4</v>
      </c>
      <c r="F189" t="s">
        <v>43</v>
      </c>
      <c r="G189" t="s">
        <v>8</v>
      </c>
    </row>
    <row r="190" spans="1:7" x14ac:dyDescent="0.3">
      <c r="A190" t="s">
        <v>12</v>
      </c>
      <c r="B190" s="1">
        <v>45930</v>
      </c>
      <c r="C190">
        <v>330143</v>
      </c>
      <c r="D190">
        <v>-2205.5100000000002</v>
      </c>
      <c r="E190" t="s">
        <v>4</v>
      </c>
      <c r="F190" t="s">
        <v>43</v>
      </c>
      <c r="G190" t="s">
        <v>8</v>
      </c>
    </row>
    <row r="191" spans="1:7" x14ac:dyDescent="0.3">
      <c r="A191" t="s">
        <v>12</v>
      </c>
      <c r="B191" s="1">
        <v>45930</v>
      </c>
      <c r="C191">
        <v>372004</v>
      </c>
      <c r="D191">
        <v>372.74799999999999</v>
      </c>
      <c r="E191" t="s">
        <v>4</v>
      </c>
      <c r="F191" t="s">
        <v>45</v>
      </c>
      <c r="G191" t="s">
        <v>8</v>
      </c>
    </row>
    <row r="192" spans="1:7" x14ac:dyDescent="0.3">
      <c r="A192" t="s">
        <v>12</v>
      </c>
      <c r="B192" s="1">
        <v>45930</v>
      </c>
      <c r="C192">
        <v>557002</v>
      </c>
      <c r="D192">
        <v>-1313.8409999999999</v>
      </c>
      <c r="E192" t="s">
        <v>6</v>
      </c>
      <c r="F192" t="s">
        <v>56</v>
      </c>
      <c r="G192" t="s">
        <v>8</v>
      </c>
    </row>
    <row r="193" spans="1:7" x14ac:dyDescent="0.3">
      <c r="A193" t="s">
        <v>13</v>
      </c>
      <c r="B193" s="1">
        <v>45930</v>
      </c>
      <c r="C193">
        <v>210002</v>
      </c>
      <c r="D193">
        <v>-12372.1</v>
      </c>
      <c r="E193" t="s">
        <v>4</v>
      </c>
      <c r="F193" t="s">
        <v>42</v>
      </c>
      <c r="G193" t="s">
        <v>8</v>
      </c>
    </row>
    <row r="194" spans="1:7" x14ac:dyDescent="0.3">
      <c r="A194" t="s">
        <v>13</v>
      </c>
      <c r="B194" s="1">
        <v>45930</v>
      </c>
      <c r="C194">
        <v>220004</v>
      </c>
      <c r="D194">
        <v>-1854.2460000000001</v>
      </c>
      <c r="E194" t="s">
        <v>4</v>
      </c>
      <c r="F194" t="s">
        <v>42</v>
      </c>
      <c r="G194" t="s">
        <v>8</v>
      </c>
    </row>
    <row r="195" spans="1:7" x14ac:dyDescent="0.3">
      <c r="A195" t="s">
        <v>13</v>
      </c>
      <c r="B195" s="1">
        <v>45930</v>
      </c>
      <c r="C195">
        <v>220006</v>
      </c>
      <c r="D195">
        <v>-651708.66700000002</v>
      </c>
      <c r="E195" t="s">
        <v>4</v>
      </c>
      <c r="F195" t="s">
        <v>42</v>
      </c>
      <c r="G195" t="s">
        <v>8</v>
      </c>
    </row>
    <row r="196" spans="1:7" x14ac:dyDescent="0.3">
      <c r="A196" t="s">
        <v>13</v>
      </c>
      <c r="B196" s="1">
        <v>45930</v>
      </c>
      <c r="C196">
        <v>220011</v>
      </c>
      <c r="D196">
        <v>-6.5810000000000004</v>
      </c>
      <c r="E196" t="s">
        <v>4</v>
      </c>
      <c r="F196" t="s">
        <v>42</v>
      </c>
      <c r="G196" t="s">
        <v>8</v>
      </c>
    </row>
    <row r="197" spans="1:7" x14ac:dyDescent="0.3">
      <c r="A197" t="s">
        <v>13</v>
      </c>
      <c r="B197" s="1">
        <v>45930</v>
      </c>
      <c r="C197">
        <v>240002</v>
      </c>
      <c r="D197">
        <v>-16863.238000000001</v>
      </c>
      <c r="E197" t="s">
        <v>4</v>
      </c>
      <c r="F197" t="s">
        <v>43</v>
      </c>
      <c r="G197" t="s">
        <v>8</v>
      </c>
    </row>
    <row r="198" spans="1:7" x14ac:dyDescent="0.3">
      <c r="A198" t="s">
        <v>13</v>
      </c>
      <c r="B198" s="1">
        <v>45930</v>
      </c>
      <c r="C198">
        <v>240009</v>
      </c>
      <c r="D198">
        <v>-1791.0360000000001</v>
      </c>
      <c r="E198" t="s">
        <v>4</v>
      </c>
      <c r="F198" t="s">
        <v>43</v>
      </c>
      <c r="G198" t="s">
        <v>8</v>
      </c>
    </row>
    <row r="199" spans="1:7" x14ac:dyDescent="0.3">
      <c r="A199" t="s">
        <v>13</v>
      </c>
      <c r="B199" s="1">
        <v>45930</v>
      </c>
      <c r="C199">
        <v>242003</v>
      </c>
      <c r="D199">
        <v>-18966.508000000002</v>
      </c>
      <c r="E199" t="s">
        <v>4</v>
      </c>
      <c r="F199" t="s">
        <v>43</v>
      </c>
      <c r="G199" t="s">
        <v>8</v>
      </c>
    </row>
    <row r="200" spans="1:7" x14ac:dyDescent="0.3">
      <c r="A200" t="s">
        <v>13</v>
      </c>
      <c r="B200" s="1">
        <v>45930</v>
      </c>
      <c r="C200">
        <v>242011</v>
      </c>
      <c r="D200">
        <v>-1093.9190000000001</v>
      </c>
      <c r="E200" t="s">
        <v>4</v>
      </c>
      <c r="F200" t="s">
        <v>43</v>
      </c>
      <c r="G200" t="s">
        <v>8</v>
      </c>
    </row>
    <row r="201" spans="1:7" x14ac:dyDescent="0.3">
      <c r="A201" t="s">
        <v>13</v>
      </c>
      <c r="B201" s="1">
        <v>45930</v>
      </c>
      <c r="C201">
        <v>242023</v>
      </c>
      <c r="D201">
        <v>-4146.5609999999997</v>
      </c>
      <c r="E201" t="s">
        <v>4</v>
      </c>
      <c r="F201" t="s">
        <v>43</v>
      </c>
      <c r="G201" t="s">
        <v>8</v>
      </c>
    </row>
    <row r="202" spans="1:7" x14ac:dyDescent="0.3">
      <c r="A202" t="s">
        <v>13</v>
      </c>
      <c r="B202" s="1">
        <v>45930</v>
      </c>
      <c r="C202">
        <v>242027</v>
      </c>
      <c r="D202">
        <v>-2164.7539999999999</v>
      </c>
      <c r="E202" t="s">
        <v>4</v>
      </c>
      <c r="F202" t="s">
        <v>43</v>
      </c>
      <c r="G202" t="s">
        <v>8</v>
      </c>
    </row>
    <row r="203" spans="1:7" x14ac:dyDescent="0.3">
      <c r="A203" t="s">
        <v>13</v>
      </c>
      <c r="B203" s="1">
        <v>45930</v>
      </c>
      <c r="C203">
        <v>242036</v>
      </c>
      <c r="D203">
        <v>-3643.9090000000001</v>
      </c>
      <c r="E203" t="s">
        <v>4</v>
      </c>
      <c r="F203" t="s">
        <v>43</v>
      </c>
      <c r="G203" t="s">
        <v>8</v>
      </c>
    </row>
    <row r="204" spans="1:7" x14ac:dyDescent="0.3">
      <c r="A204" t="s">
        <v>13</v>
      </c>
      <c r="B204" s="1">
        <v>45930</v>
      </c>
      <c r="C204">
        <v>242039</v>
      </c>
      <c r="D204">
        <v>-9600.3870000000006</v>
      </c>
      <c r="E204" t="s">
        <v>4</v>
      </c>
      <c r="F204" t="s">
        <v>43</v>
      </c>
      <c r="G204" t="s">
        <v>8</v>
      </c>
    </row>
    <row r="205" spans="1:7" x14ac:dyDescent="0.3">
      <c r="A205" t="s">
        <v>13</v>
      </c>
      <c r="B205" s="1">
        <v>45930</v>
      </c>
      <c r="C205">
        <v>242040</v>
      </c>
      <c r="D205">
        <v>-1430.3409999999999</v>
      </c>
      <c r="E205" t="s">
        <v>4</v>
      </c>
      <c r="F205" t="s">
        <v>43</v>
      </c>
      <c r="G205" t="s">
        <v>8</v>
      </c>
    </row>
    <row r="206" spans="1:7" x14ac:dyDescent="0.3">
      <c r="A206" t="s">
        <v>13</v>
      </c>
      <c r="B206" s="1">
        <v>45930</v>
      </c>
      <c r="C206">
        <v>242041</v>
      </c>
      <c r="D206">
        <v>-40.481999999999999</v>
      </c>
      <c r="E206" t="s">
        <v>4</v>
      </c>
      <c r="F206" t="s">
        <v>43</v>
      </c>
      <c r="G206" t="s">
        <v>8</v>
      </c>
    </row>
    <row r="207" spans="1:7" x14ac:dyDescent="0.3">
      <c r="A207" t="s">
        <v>13</v>
      </c>
      <c r="B207" s="1">
        <v>45930</v>
      </c>
      <c r="C207">
        <v>243002</v>
      </c>
      <c r="D207">
        <v>-26184.685000000001</v>
      </c>
      <c r="E207" t="s">
        <v>4</v>
      </c>
      <c r="F207" t="s">
        <v>43</v>
      </c>
      <c r="G207" t="s">
        <v>8</v>
      </c>
    </row>
    <row r="208" spans="1:7" x14ac:dyDescent="0.3">
      <c r="A208" t="s">
        <v>13</v>
      </c>
      <c r="B208" s="1">
        <v>45930</v>
      </c>
      <c r="C208">
        <v>243011</v>
      </c>
      <c r="D208">
        <v>-1237.164</v>
      </c>
      <c r="E208" t="s">
        <v>4</v>
      </c>
      <c r="F208" t="s">
        <v>43</v>
      </c>
      <c r="G208" t="s">
        <v>8</v>
      </c>
    </row>
    <row r="209" spans="1:7" x14ac:dyDescent="0.3">
      <c r="A209" t="s">
        <v>13</v>
      </c>
      <c r="B209" s="1">
        <v>45930</v>
      </c>
      <c r="C209">
        <v>245010</v>
      </c>
      <c r="D209">
        <v>-8269.2000000000007</v>
      </c>
      <c r="E209" t="s">
        <v>4</v>
      </c>
      <c r="F209" t="s">
        <v>44</v>
      </c>
      <c r="G209" t="s">
        <v>8</v>
      </c>
    </row>
    <row r="210" spans="1:7" x14ac:dyDescent="0.3">
      <c r="A210" t="s">
        <v>13</v>
      </c>
      <c r="B210" s="1">
        <v>45930</v>
      </c>
      <c r="C210">
        <v>245049</v>
      </c>
      <c r="D210">
        <v>-218.98699999999999</v>
      </c>
      <c r="E210" t="s">
        <v>4</v>
      </c>
      <c r="F210" t="s">
        <v>43</v>
      </c>
      <c r="G210" t="s">
        <v>8</v>
      </c>
    </row>
    <row r="211" spans="1:7" x14ac:dyDescent="0.3">
      <c r="A211" t="s">
        <v>13</v>
      </c>
      <c r="B211" s="1">
        <v>45930</v>
      </c>
      <c r="C211">
        <v>245062</v>
      </c>
      <c r="D211">
        <v>-847.73599999999999</v>
      </c>
      <c r="E211" t="s">
        <v>4</v>
      </c>
      <c r="F211" t="s">
        <v>43</v>
      </c>
      <c r="G211" t="s">
        <v>8</v>
      </c>
    </row>
    <row r="212" spans="1:7" x14ac:dyDescent="0.3">
      <c r="A212" t="s">
        <v>13</v>
      </c>
      <c r="B212" s="1">
        <v>45930</v>
      </c>
      <c r="C212">
        <v>250003</v>
      </c>
      <c r="D212">
        <v>-9505.6839999999993</v>
      </c>
      <c r="E212" t="s">
        <v>4</v>
      </c>
      <c r="F212" t="s">
        <v>45</v>
      </c>
      <c r="G212" t="s">
        <v>8</v>
      </c>
    </row>
    <row r="213" spans="1:7" x14ac:dyDescent="0.3">
      <c r="A213" t="s">
        <v>13</v>
      </c>
      <c r="B213" s="1">
        <v>45930</v>
      </c>
      <c r="C213">
        <v>251002</v>
      </c>
      <c r="D213">
        <v>-4407.2809999999999</v>
      </c>
      <c r="E213" t="s">
        <v>4</v>
      </c>
      <c r="F213" t="s">
        <v>45</v>
      </c>
      <c r="G213" t="s">
        <v>8</v>
      </c>
    </row>
    <row r="214" spans="1:7" x14ac:dyDescent="0.3">
      <c r="A214" t="s">
        <v>13</v>
      </c>
      <c r="B214" s="1">
        <v>45930</v>
      </c>
      <c r="C214">
        <v>251003</v>
      </c>
      <c r="D214">
        <v>-8055.5439999999999</v>
      </c>
      <c r="E214" t="s">
        <v>4</v>
      </c>
      <c r="F214" t="s">
        <v>45</v>
      </c>
      <c r="G214" t="s">
        <v>8</v>
      </c>
    </row>
    <row r="215" spans="1:7" x14ac:dyDescent="0.3">
      <c r="A215" t="s">
        <v>13</v>
      </c>
      <c r="B215" s="1">
        <v>45930</v>
      </c>
      <c r="C215">
        <v>251005</v>
      </c>
      <c r="D215">
        <v>24762.638999999999</v>
      </c>
      <c r="E215" t="s">
        <v>4</v>
      </c>
      <c r="F215" t="s">
        <v>46</v>
      </c>
      <c r="G215" t="s">
        <v>8</v>
      </c>
    </row>
    <row r="216" spans="1:7" x14ac:dyDescent="0.3">
      <c r="A216" t="s">
        <v>13</v>
      </c>
      <c r="B216" s="1">
        <v>45930</v>
      </c>
      <c r="C216">
        <v>257014</v>
      </c>
      <c r="D216">
        <v>2085.9360000000001</v>
      </c>
      <c r="E216" t="s">
        <v>4</v>
      </c>
      <c r="F216" t="s">
        <v>45</v>
      </c>
      <c r="G216" t="s">
        <v>8</v>
      </c>
    </row>
    <row r="217" spans="1:7" x14ac:dyDescent="0.3">
      <c r="A217" t="s">
        <v>13</v>
      </c>
      <c r="B217" s="1">
        <v>45930</v>
      </c>
      <c r="C217">
        <v>257022</v>
      </c>
      <c r="D217">
        <v>22241.902999999998</v>
      </c>
      <c r="E217" t="s">
        <v>4</v>
      </c>
      <c r="F217" t="s">
        <v>45</v>
      </c>
      <c r="G217" t="s">
        <v>8</v>
      </c>
    </row>
    <row r="218" spans="1:7" x14ac:dyDescent="0.3">
      <c r="A218" t="s">
        <v>13</v>
      </c>
      <c r="B218" s="1">
        <v>45930</v>
      </c>
      <c r="C218">
        <v>257027</v>
      </c>
      <c r="D218">
        <v>35030.071000000004</v>
      </c>
      <c r="E218" t="s">
        <v>4</v>
      </c>
      <c r="F218" t="s">
        <v>45</v>
      </c>
      <c r="G218" t="s">
        <v>8</v>
      </c>
    </row>
    <row r="219" spans="1:7" x14ac:dyDescent="0.3">
      <c r="A219" t="s">
        <v>13</v>
      </c>
      <c r="B219" s="1">
        <v>45930</v>
      </c>
      <c r="C219">
        <v>257030</v>
      </c>
      <c r="D219">
        <v>-70731.48</v>
      </c>
      <c r="E219" t="s">
        <v>4</v>
      </c>
      <c r="F219" t="s">
        <v>45</v>
      </c>
      <c r="G219" t="s">
        <v>8</v>
      </c>
    </row>
    <row r="220" spans="1:7" x14ac:dyDescent="0.3">
      <c r="A220" t="s">
        <v>13</v>
      </c>
      <c r="B220" s="1">
        <v>45930</v>
      </c>
      <c r="C220">
        <v>260004</v>
      </c>
      <c r="D220">
        <v>-399922.52399999998</v>
      </c>
      <c r="E220" t="s">
        <v>4</v>
      </c>
      <c r="F220" t="s">
        <v>45</v>
      </c>
      <c r="G220" t="s">
        <v>8</v>
      </c>
    </row>
    <row r="221" spans="1:7" x14ac:dyDescent="0.3">
      <c r="A221" t="s">
        <v>13</v>
      </c>
      <c r="B221" s="1">
        <v>45930</v>
      </c>
      <c r="C221">
        <v>260051</v>
      </c>
      <c r="D221">
        <v>-148803.45199999999</v>
      </c>
      <c r="E221" t="s">
        <v>4</v>
      </c>
      <c r="F221" t="s">
        <v>45</v>
      </c>
      <c r="G221" t="s">
        <v>8</v>
      </c>
    </row>
    <row r="222" spans="1:7" x14ac:dyDescent="0.3">
      <c r="A222" t="s">
        <v>13</v>
      </c>
      <c r="B222" s="1">
        <v>45930</v>
      </c>
      <c r="C222">
        <v>300004</v>
      </c>
      <c r="D222">
        <v>2746.7869999999998</v>
      </c>
      <c r="E222" t="s">
        <v>4</v>
      </c>
      <c r="F222" t="s">
        <v>65</v>
      </c>
      <c r="G222" t="s">
        <v>8</v>
      </c>
    </row>
    <row r="223" spans="1:7" x14ac:dyDescent="0.3">
      <c r="A223" t="s">
        <v>13</v>
      </c>
      <c r="B223" s="1">
        <v>45930</v>
      </c>
      <c r="C223">
        <v>300005</v>
      </c>
      <c r="D223">
        <v>1468.922</v>
      </c>
      <c r="E223" t="s">
        <v>4</v>
      </c>
      <c r="F223" t="s">
        <v>65</v>
      </c>
      <c r="G223" t="s">
        <v>8</v>
      </c>
    </row>
    <row r="224" spans="1:7" x14ac:dyDescent="0.3">
      <c r="A224" t="s">
        <v>13</v>
      </c>
      <c r="B224" s="1">
        <v>45930</v>
      </c>
      <c r="C224">
        <v>300008</v>
      </c>
      <c r="D224">
        <v>1823.171</v>
      </c>
      <c r="E224" t="s">
        <v>4</v>
      </c>
      <c r="F224" t="s">
        <v>65</v>
      </c>
      <c r="G224" t="s">
        <v>8</v>
      </c>
    </row>
    <row r="225" spans="1:7" x14ac:dyDescent="0.3">
      <c r="A225" t="s">
        <v>13</v>
      </c>
      <c r="B225" s="1">
        <v>45930</v>
      </c>
      <c r="C225">
        <v>300011</v>
      </c>
      <c r="D225">
        <v>147.97</v>
      </c>
      <c r="E225" t="s">
        <v>4</v>
      </c>
      <c r="F225" t="s">
        <v>65</v>
      </c>
      <c r="G225" t="s">
        <v>8</v>
      </c>
    </row>
    <row r="226" spans="1:7" x14ac:dyDescent="0.3">
      <c r="A226" t="s">
        <v>13</v>
      </c>
      <c r="B226" s="1">
        <v>45930</v>
      </c>
      <c r="C226">
        <v>300012</v>
      </c>
      <c r="D226">
        <v>949.10500000000002</v>
      </c>
      <c r="E226" t="s">
        <v>4</v>
      </c>
      <c r="F226" t="s">
        <v>65</v>
      </c>
      <c r="G226" t="s">
        <v>8</v>
      </c>
    </row>
    <row r="227" spans="1:7" x14ac:dyDescent="0.3">
      <c r="A227" t="s">
        <v>13</v>
      </c>
      <c r="B227" s="1">
        <v>45930</v>
      </c>
      <c r="C227">
        <v>300504</v>
      </c>
      <c r="D227">
        <v>-2535.4789999999998</v>
      </c>
      <c r="E227" t="s">
        <v>4</v>
      </c>
      <c r="F227" t="s">
        <v>65</v>
      </c>
      <c r="G227" t="s">
        <v>8</v>
      </c>
    </row>
    <row r="228" spans="1:7" x14ac:dyDescent="0.3">
      <c r="A228" t="s">
        <v>13</v>
      </c>
      <c r="B228" s="1">
        <v>45930</v>
      </c>
      <c r="C228">
        <v>300505</v>
      </c>
      <c r="D228">
        <v>-1315.395</v>
      </c>
      <c r="E228" t="s">
        <v>4</v>
      </c>
      <c r="F228" t="s">
        <v>65</v>
      </c>
      <c r="G228" t="s">
        <v>8</v>
      </c>
    </row>
    <row r="229" spans="1:7" x14ac:dyDescent="0.3">
      <c r="A229" t="s">
        <v>13</v>
      </c>
      <c r="B229" s="1">
        <v>45930</v>
      </c>
      <c r="C229">
        <v>300508</v>
      </c>
      <c r="D229">
        <v>-1770.7049999999999</v>
      </c>
      <c r="E229" t="s">
        <v>4</v>
      </c>
      <c r="F229" t="s">
        <v>65</v>
      </c>
      <c r="G229" t="s">
        <v>8</v>
      </c>
    </row>
    <row r="230" spans="1:7" x14ac:dyDescent="0.3">
      <c r="A230" t="s">
        <v>13</v>
      </c>
      <c r="B230" s="1">
        <v>45930</v>
      </c>
      <c r="C230">
        <v>300511</v>
      </c>
      <c r="D230">
        <v>-147.97</v>
      </c>
      <c r="E230" t="s">
        <v>4</v>
      </c>
      <c r="F230" t="s">
        <v>65</v>
      </c>
      <c r="G230" t="s">
        <v>8</v>
      </c>
    </row>
    <row r="231" spans="1:7" x14ac:dyDescent="0.3">
      <c r="A231" t="s">
        <v>13</v>
      </c>
      <c r="B231" s="1">
        <v>45930</v>
      </c>
      <c r="C231">
        <v>300512</v>
      </c>
      <c r="D231">
        <v>-949.10500000000002</v>
      </c>
      <c r="E231" t="s">
        <v>4</v>
      </c>
      <c r="F231" t="s">
        <v>65</v>
      </c>
      <c r="G231" t="s">
        <v>8</v>
      </c>
    </row>
    <row r="232" spans="1:7" x14ac:dyDescent="0.3">
      <c r="A232" t="s">
        <v>13</v>
      </c>
      <c r="B232" s="1">
        <v>45930</v>
      </c>
      <c r="C232">
        <v>301004</v>
      </c>
      <c r="D232">
        <v>2845.5830000000001</v>
      </c>
      <c r="E232" t="s">
        <v>4</v>
      </c>
      <c r="F232" t="s">
        <v>65</v>
      </c>
      <c r="G232" t="s">
        <v>8</v>
      </c>
    </row>
    <row r="233" spans="1:7" x14ac:dyDescent="0.3">
      <c r="A233" t="s">
        <v>13</v>
      </c>
      <c r="B233" s="1">
        <v>45930</v>
      </c>
      <c r="C233">
        <v>301504</v>
      </c>
      <c r="D233">
        <v>-2845.5830000000001</v>
      </c>
      <c r="E233" t="s">
        <v>4</v>
      </c>
      <c r="F233" t="s">
        <v>65</v>
      </c>
      <c r="G233" t="s">
        <v>8</v>
      </c>
    </row>
    <row r="234" spans="1:7" x14ac:dyDescent="0.3">
      <c r="A234" t="s">
        <v>13</v>
      </c>
      <c r="B234" s="1">
        <v>45930</v>
      </c>
      <c r="C234">
        <v>320002</v>
      </c>
      <c r="D234">
        <v>30223.105</v>
      </c>
      <c r="E234" t="s">
        <v>4</v>
      </c>
      <c r="F234" t="s">
        <v>46</v>
      </c>
      <c r="G234" t="s">
        <v>8</v>
      </c>
    </row>
    <row r="235" spans="1:7" x14ac:dyDescent="0.3">
      <c r="A235" t="s">
        <v>13</v>
      </c>
      <c r="B235" s="1">
        <v>45930</v>
      </c>
      <c r="C235">
        <v>320003</v>
      </c>
      <c r="D235">
        <v>250427.45600000001</v>
      </c>
      <c r="E235" t="s">
        <v>4</v>
      </c>
      <c r="F235" t="s">
        <v>46</v>
      </c>
      <c r="G235" t="s">
        <v>8</v>
      </c>
    </row>
    <row r="236" spans="1:7" x14ac:dyDescent="0.3">
      <c r="A236" t="s">
        <v>13</v>
      </c>
      <c r="B236" s="1">
        <v>45930</v>
      </c>
      <c r="C236">
        <v>320004</v>
      </c>
      <c r="D236">
        <v>750.91600000000005</v>
      </c>
      <c r="E236" t="s">
        <v>4</v>
      </c>
      <c r="F236" t="s">
        <v>46</v>
      </c>
      <c r="G236" t="s">
        <v>8</v>
      </c>
    </row>
    <row r="237" spans="1:7" x14ac:dyDescent="0.3">
      <c r="A237" t="s">
        <v>13</v>
      </c>
      <c r="B237" s="1">
        <v>45930</v>
      </c>
      <c r="C237">
        <v>320019</v>
      </c>
      <c r="D237">
        <v>21.434999999999999</v>
      </c>
      <c r="E237" t="s">
        <v>4</v>
      </c>
      <c r="F237" t="s">
        <v>46</v>
      </c>
      <c r="G237" t="s">
        <v>8</v>
      </c>
    </row>
    <row r="238" spans="1:7" x14ac:dyDescent="0.3">
      <c r="A238" t="s">
        <v>13</v>
      </c>
      <c r="B238" s="1">
        <v>45930</v>
      </c>
      <c r="C238">
        <v>320023</v>
      </c>
      <c r="D238">
        <v>-25.722000000000001</v>
      </c>
      <c r="E238" t="s">
        <v>4</v>
      </c>
      <c r="F238" t="s">
        <v>46</v>
      </c>
      <c r="G238" t="s">
        <v>8</v>
      </c>
    </row>
    <row r="239" spans="1:7" x14ac:dyDescent="0.3">
      <c r="A239" t="s">
        <v>13</v>
      </c>
      <c r="B239" s="1">
        <v>45930</v>
      </c>
      <c r="C239">
        <v>321002</v>
      </c>
      <c r="D239">
        <v>-136977.179</v>
      </c>
      <c r="E239" t="s">
        <v>4</v>
      </c>
      <c r="F239" t="s">
        <v>46</v>
      </c>
      <c r="G239" t="s">
        <v>8</v>
      </c>
    </row>
    <row r="240" spans="1:7" x14ac:dyDescent="0.3">
      <c r="A240" t="s">
        <v>13</v>
      </c>
      <c r="B240" s="1">
        <v>45930</v>
      </c>
      <c r="C240">
        <v>321029</v>
      </c>
      <c r="D240">
        <v>999.40499999999997</v>
      </c>
      <c r="E240" t="s">
        <v>4</v>
      </c>
      <c r="F240" t="s">
        <v>46</v>
      </c>
      <c r="G240" t="s">
        <v>8</v>
      </c>
    </row>
    <row r="241" spans="1:7" x14ac:dyDescent="0.3">
      <c r="A241" t="s">
        <v>13</v>
      </c>
      <c r="B241" s="1">
        <v>45930</v>
      </c>
      <c r="C241">
        <v>331017</v>
      </c>
      <c r="D241">
        <v>-21846.97</v>
      </c>
      <c r="E241" t="s">
        <v>4</v>
      </c>
      <c r="F241" t="s">
        <v>43</v>
      </c>
      <c r="G241" t="s">
        <v>8</v>
      </c>
    </row>
    <row r="242" spans="1:7" x14ac:dyDescent="0.3">
      <c r="A242" t="s">
        <v>13</v>
      </c>
      <c r="B242" s="1">
        <v>45930</v>
      </c>
      <c r="C242">
        <v>340112</v>
      </c>
      <c r="D242">
        <v>239575.486</v>
      </c>
      <c r="E242" t="s">
        <v>4</v>
      </c>
      <c r="F242" t="s">
        <v>47</v>
      </c>
      <c r="G242" t="s">
        <v>8</v>
      </c>
    </row>
    <row r="243" spans="1:7" x14ac:dyDescent="0.3">
      <c r="A243" t="s">
        <v>13</v>
      </c>
      <c r="B243" s="1">
        <v>45930</v>
      </c>
      <c r="C243">
        <v>340113</v>
      </c>
      <c r="D243">
        <v>12137371.318</v>
      </c>
      <c r="E243" t="s">
        <v>4</v>
      </c>
      <c r="F243" t="s">
        <v>47</v>
      </c>
      <c r="G243" t="s">
        <v>8</v>
      </c>
    </row>
    <row r="244" spans="1:7" x14ac:dyDescent="0.3">
      <c r="A244" t="s">
        <v>13</v>
      </c>
      <c r="B244" s="1">
        <v>45930</v>
      </c>
      <c r="C244">
        <v>340114</v>
      </c>
      <c r="D244">
        <v>-11776278.226</v>
      </c>
      <c r="E244" t="s">
        <v>4</v>
      </c>
      <c r="F244" t="s">
        <v>47</v>
      </c>
      <c r="G244" t="s">
        <v>8</v>
      </c>
    </row>
    <row r="245" spans="1:7" x14ac:dyDescent="0.3">
      <c r="A245" t="s">
        <v>13</v>
      </c>
      <c r="B245" s="1">
        <v>45930</v>
      </c>
      <c r="C245">
        <v>340122</v>
      </c>
      <c r="D245">
        <v>1769.925</v>
      </c>
      <c r="E245" t="s">
        <v>4</v>
      </c>
      <c r="F245" t="s">
        <v>47</v>
      </c>
      <c r="G245" t="s">
        <v>8</v>
      </c>
    </row>
    <row r="246" spans="1:7" x14ac:dyDescent="0.3">
      <c r="A246" t="s">
        <v>13</v>
      </c>
      <c r="B246" s="1">
        <v>45930</v>
      </c>
      <c r="C246">
        <v>340123</v>
      </c>
      <c r="D246">
        <v>8174.0609999999997</v>
      </c>
      <c r="E246" t="s">
        <v>4</v>
      </c>
      <c r="F246" t="s">
        <v>47</v>
      </c>
      <c r="G246" t="s">
        <v>8</v>
      </c>
    </row>
    <row r="247" spans="1:7" x14ac:dyDescent="0.3">
      <c r="A247" t="s">
        <v>13</v>
      </c>
      <c r="B247" s="1">
        <v>45930</v>
      </c>
      <c r="C247">
        <v>340124</v>
      </c>
      <c r="D247">
        <v>-9943.9860000000008</v>
      </c>
      <c r="E247" t="s">
        <v>4</v>
      </c>
      <c r="F247" t="s">
        <v>47</v>
      </c>
      <c r="G247" t="s">
        <v>8</v>
      </c>
    </row>
    <row r="248" spans="1:7" x14ac:dyDescent="0.3">
      <c r="A248" t="s">
        <v>13</v>
      </c>
      <c r="B248" s="1">
        <v>45930</v>
      </c>
      <c r="C248">
        <v>350003</v>
      </c>
      <c r="D248">
        <v>-288.84399999999999</v>
      </c>
      <c r="E248" t="s">
        <v>4</v>
      </c>
      <c r="F248" t="s">
        <v>49</v>
      </c>
      <c r="G248" t="s">
        <v>8</v>
      </c>
    </row>
    <row r="249" spans="1:7" x14ac:dyDescent="0.3">
      <c r="A249" t="s">
        <v>13</v>
      </c>
      <c r="B249" s="1">
        <v>45930</v>
      </c>
      <c r="C249">
        <v>350031</v>
      </c>
      <c r="D249">
        <v>1791.0360000000001</v>
      </c>
      <c r="E249" t="s">
        <v>4</v>
      </c>
      <c r="F249" t="s">
        <v>43</v>
      </c>
      <c r="G249" t="s">
        <v>8</v>
      </c>
    </row>
    <row r="250" spans="1:7" x14ac:dyDescent="0.3">
      <c r="A250" t="s">
        <v>13</v>
      </c>
      <c r="B250" s="1">
        <v>45930</v>
      </c>
      <c r="C250">
        <v>352002</v>
      </c>
      <c r="D250">
        <v>178.01</v>
      </c>
      <c r="E250" t="s">
        <v>4</v>
      </c>
      <c r="F250" t="s">
        <v>48</v>
      </c>
      <c r="G250" t="s">
        <v>8</v>
      </c>
    </row>
    <row r="251" spans="1:7" x14ac:dyDescent="0.3">
      <c r="A251" t="s">
        <v>13</v>
      </c>
      <c r="B251" s="1">
        <v>45930</v>
      </c>
      <c r="C251">
        <v>354015</v>
      </c>
      <c r="D251">
        <v>118.77200000000001</v>
      </c>
      <c r="E251" t="s">
        <v>4</v>
      </c>
      <c r="F251" t="s">
        <v>46</v>
      </c>
      <c r="G251" t="s">
        <v>8</v>
      </c>
    </row>
    <row r="252" spans="1:7" x14ac:dyDescent="0.3">
      <c r="A252" t="s">
        <v>13</v>
      </c>
      <c r="B252" s="1">
        <v>45930</v>
      </c>
      <c r="C252">
        <v>355009</v>
      </c>
      <c r="D252">
        <v>49809.703000000001</v>
      </c>
      <c r="E252" t="s">
        <v>4</v>
      </c>
      <c r="F252" t="s">
        <v>49</v>
      </c>
      <c r="G252" t="s">
        <v>8</v>
      </c>
    </row>
    <row r="253" spans="1:7" x14ac:dyDescent="0.3">
      <c r="A253" t="s">
        <v>13</v>
      </c>
      <c r="B253" s="1">
        <v>45930</v>
      </c>
      <c r="C253">
        <v>355017</v>
      </c>
      <c r="D253">
        <v>81943.906000000003</v>
      </c>
      <c r="E253" t="s">
        <v>4</v>
      </c>
      <c r="F253" t="s">
        <v>49</v>
      </c>
      <c r="G253" t="s">
        <v>8</v>
      </c>
    </row>
    <row r="254" spans="1:7" x14ac:dyDescent="0.3">
      <c r="A254" t="s">
        <v>13</v>
      </c>
      <c r="B254" s="1">
        <v>45930</v>
      </c>
      <c r="C254">
        <v>372004</v>
      </c>
      <c r="D254">
        <v>481397.62300000002</v>
      </c>
      <c r="E254" t="s">
        <v>4</v>
      </c>
      <c r="F254" t="s">
        <v>45</v>
      </c>
      <c r="G254" t="s">
        <v>8</v>
      </c>
    </row>
    <row r="255" spans="1:7" x14ac:dyDescent="0.3">
      <c r="A255" t="s">
        <v>13</v>
      </c>
      <c r="B255" s="1">
        <v>45930</v>
      </c>
      <c r="C255">
        <v>400002</v>
      </c>
      <c r="D255">
        <v>-585.70100000000002</v>
      </c>
      <c r="E255" t="s">
        <v>6</v>
      </c>
      <c r="F255" t="s">
        <v>50</v>
      </c>
      <c r="G255" t="s">
        <v>8</v>
      </c>
    </row>
    <row r="256" spans="1:7" x14ac:dyDescent="0.3">
      <c r="A256" t="s">
        <v>13</v>
      </c>
      <c r="B256" s="1">
        <v>45930</v>
      </c>
      <c r="C256">
        <v>400004</v>
      </c>
      <c r="D256">
        <v>-89163.646999999997</v>
      </c>
      <c r="E256" t="s">
        <v>6</v>
      </c>
      <c r="F256" t="s">
        <v>50</v>
      </c>
      <c r="G256" t="s">
        <v>8</v>
      </c>
    </row>
    <row r="257" spans="1:7" x14ac:dyDescent="0.3">
      <c r="A257" t="s">
        <v>13</v>
      </c>
      <c r="B257" s="1">
        <v>45930</v>
      </c>
      <c r="C257">
        <v>410002</v>
      </c>
      <c r="D257">
        <v>-149035.36499999999</v>
      </c>
      <c r="E257" t="s">
        <v>6</v>
      </c>
      <c r="F257" t="s">
        <v>51</v>
      </c>
      <c r="G257" t="s">
        <v>8</v>
      </c>
    </row>
    <row r="258" spans="1:7" x14ac:dyDescent="0.3">
      <c r="A258" t="s">
        <v>13</v>
      </c>
      <c r="B258" s="1">
        <v>45930</v>
      </c>
      <c r="C258">
        <v>410037</v>
      </c>
      <c r="D258">
        <v>-8506.1630000000005</v>
      </c>
      <c r="E258" t="s">
        <v>6</v>
      </c>
      <c r="F258" t="s">
        <v>51</v>
      </c>
      <c r="G258" t="s">
        <v>8</v>
      </c>
    </row>
    <row r="259" spans="1:7" x14ac:dyDescent="0.3">
      <c r="A259" t="s">
        <v>13</v>
      </c>
      <c r="B259" s="1">
        <v>45930</v>
      </c>
      <c r="C259">
        <v>415002</v>
      </c>
      <c r="D259">
        <v>-87345.081000000006</v>
      </c>
      <c r="E259" t="s">
        <v>6</v>
      </c>
      <c r="F259" t="s">
        <v>50</v>
      </c>
      <c r="G259" t="s">
        <v>8</v>
      </c>
    </row>
    <row r="260" spans="1:7" x14ac:dyDescent="0.3">
      <c r="A260" t="s">
        <v>13</v>
      </c>
      <c r="B260" s="1">
        <v>45930</v>
      </c>
      <c r="C260">
        <v>415003</v>
      </c>
      <c r="D260">
        <v>-1341.5450000000001</v>
      </c>
      <c r="E260" t="s">
        <v>6</v>
      </c>
      <c r="F260" t="s">
        <v>50</v>
      </c>
      <c r="G260" t="s">
        <v>8</v>
      </c>
    </row>
    <row r="261" spans="1:7" x14ac:dyDescent="0.3">
      <c r="A261" t="s">
        <v>13</v>
      </c>
      <c r="B261" s="1">
        <v>45930</v>
      </c>
      <c r="C261">
        <v>415004</v>
      </c>
      <c r="D261">
        <v>-369400.85200000001</v>
      </c>
      <c r="E261" t="s">
        <v>6</v>
      </c>
      <c r="F261" t="s">
        <v>50</v>
      </c>
      <c r="G261" t="s">
        <v>8</v>
      </c>
    </row>
    <row r="262" spans="1:7" x14ac:dyDescent="0.3">
      <c r="A262" t="s">
        <v>13</v>
      </c>
      <c r="B262" s="1">
        <v>45930</v>
      </c>
      <c r="C262">
        <v>421002</v>
      </c>
      <c r="D262">
        <v>-6564.2719999999999</v>
      </c>
      <c r="E262" t="s">
        <v>6</v>
      </c>
      <c r="F262" t="s">
        <v>52</v>
      </c>
      <c r="G262" t="s">
        <v>8</v>
      </c>
    </row>
    <row r="263" spans="1:7" x14ac:dyDescent="0.3">
      <c r="A263" t="s">
        <v>13</v>
      </c>
      <c r="B263" s="1">
        <v>45930</v>
      </c>
      <c r="C263">
        <v>421003</v>
      </c>
      <c r="D263">
        <v>5310.1819999999998</v>
      </c>
      <c r="E263" t="s">
        <v>6</v>
      </c>
      <c r="F263" t="s">
        <v>52</v>
      </c>
      <c r="G263" t="s">
        <v>8</v>
      </c>
    </row>
    <row r="264" spans="1:7" x14ac:dyDescent="0.3">
      <c r="A264" t="s">
        <v>13</v>
      </c>
      <c r="B264" s="1">
        <v>45930</v>
      </c>
      <c r="C264">
        <v>421007</v>
      </c>
      <c r="D264">
        <v>-2.4830000000000001</v>
      </c>
      <c r="E264" t="s">
        <v>6</v>
      </c>
      <c r="F264" t="s">
        <v>52</v>
      </c>
      <c r="G264" t="s">
        <v>8</v>
      </c>
    </row>
    <row r="265" spans="1:7" x14ac:dyDescent="0.3">
      <c r="A265" t="s">
        <v>13</v>
      </c>
      <c r="B265" s="1">
        <v>45930</v>
      </c>
      <c r="C265">
        <v>510002</v>
      </c>
      <c r="D265">
        <v>2721.2559999999999</v>
      </c>
      <c r="E265" t="s">
        <v>6</v>
      </c>
      <c r="F265" t="s">
        <v>53</v>
      </c>
      <c r="G265" t="s">
        <v>8</v>
      </c>
    </row>
    <row r="266" spans="1:7" x14ac:dyDescent="0.3">
      <c r="A266" t="s">
        <v>13</v>
      </c>
      <c r="B266" s="1">
        <v>45930</v>
      </c>
      <c r="C266">
        <v>510005</v>
      </c>
      <c r="D266">
        <v>-214.84200000000001</v>
      </c>
      <c r="E266" t="s">
        <v>6</v>
      </c>
      <c r="F266" t="s">
        <v>53</v>
      </c>
      <c r="G266" t="s">
        <v>8</v>
      </c>
    </row>
    <row r="267" spans="1:7" x14ac:dyDescent="0.3">
      <c r="A267" t="s">
        <v>13</v>
      </c>
      <c r="B267" s="1">
        <v>45930</v>
      </c>
      <c r="C267">
        <v>510007</v>
      </c>
      <c r="D267">
        <v>917.87300000000005</v>
      </c>
      <c r="E267" t="s">
        <v>6</v>
      </c>
      <c r="F267" t="s">
        <v>53</v>
      </c>
      <c r="G267" t="s">
        <v>8</v>
      </c>
    </row>
    <row r="268" spans="1:7" x14ac:dyDescent="0.3">
      <c r="A268" t="s">
        <v>13</v>
      </c>
      <c r="B268" s="1">
        <v>45930</v>
      </c>
      <c r="C268">
        <v>510015</v>
      </c>
      <c r="D268">
        <v>27626.567999999999</v>
      </c>
      <c r="E268" t="s">
        <v>6</v>
      </c>
      <c r="F268" t="s">
        <v>53</v>
      </c>
      <c r="G268" t="s">
        <v>8</v>
      </c>
    </row>
    <row r="269" spans="1:7" x14ac:dyDescent="0.3">
      <c r="A269" t="s">
        <v>13</v>
      </c>
      <c r="B269" s="1">
        <v>45930</v>
      </c>
      <c r="C269">
        <v>510048</v>
      </c>
      <c r="D269">
        <v>476.262</v>
      </c>
      <c r="E269" t="s">
        <v>6</v>
      </c>
      <c r="F269" t="s">
        <v>61</v>
      </c>
      <c r="G269" t="s">
        <v>8</v>
      </c>
    </row>
    <row r="270" spans="1:7" x14ac:dyDescent="0.3">
      <c r="A270" t="s">
        <v>13</v>
      </c>
      <c r="B270" s="1">
        <v>45930</v>
      </c>
      <c r="C270">
        <v>510062</v>
      </c>
      <c r="D270">
        <v>2548.393</v>
      </c>
      <c r="E270" t="s">
        <v>6</v>
      </c>
      <c r="F270" t="s">
        <v>53</v>
      </c>
      <c r="G270" t="s">
        <v>8</v>
      </c>
    </row>
    <row r="271" spans="1:7" x14ac:dyDescent="0.3">
      <c r="A271" t="s">
        <v>13</v>
      </c>
      <c r="B271" s="1">
        <v>45930</v>
      </c>
      <c r="C271">
        <v>510064</v>
      </c>
      <c r="D271">
        <v>2182.701</v>
      </c>
      <c r="E271" t="s">
        <v>6</v>
      </c>
      <c r="F271" t="s">
        <v>53</v>
      </c>
      <c r="G271" t="s">
        <v>8</v>
      </c>
    </row>
    <row r="272" spans="1:7" x14ac:dyDescent="0.3">
      <c r="A272" t="s">
        <v>13</v>
      </c>
      <c r="B272" s="1">
        <v>45930</v>
      </c>
      <c r="C272">
        <v>510065</v>
      </c>
      <c r="D272">
        <v>1620.0360000000001</v>
      </c>
      <c r="E272" t="s">
        <v>6</v>
      </c>
      <c r="F272" t="s">
        <v>53</v>
      </c>
      <c r="G272" t="s">
        <v>8</v>
      </c>
    </row>
    <row r="273" spans="1:7" x14ac:dyDescent="0.3">
      <c r="A273" t="s">
        <v>13</v>
      </c>
      <c r="B273" s="1">
        <v>45930</v>
      </c>
      <c r="C273">
        <v>520020</v>
      </c>
      <c r="D273">
        <v>183.96</v>
      </c>
      <c r="E273" t="s">
        <v>6</v>
      </c>
      <c r="F273" t="s">
        <v>53</v>
      </c>
      <c r="G273" t="s">
        <v>8</v>
      </c>
    </row>
    <row r="274" spans="1:7" x14ac:dyDescent="0.3">
      <c r="A274" t="s">
        <v>13</v>
      </c>
      <c r="B274" s="1">
        <v>45930</v>
      </c>
      <c r="C274">
        <v>520021</v>
      </c>
      <c r="D274">
        <v>28.265000000000001</v>
      </c>
      <c r="E274" t="s">
        <v>6</v>
      </c>
      <c r="F274" t="s">
        <v>60</v>
      </c>
      <c r="G274" t="s">
        <v>8</v>
      </c>
    </row>
    <row r="275" spans="1:7" x14ac:dyDescent="0.3">
      <c r="A275" t="s">
        <v>13</v>
      </c>
      <c r="B275" s="1">
        <v>45930</v>
      </c>
      <c r="C275">
        <v>541003</v>
      </c>
      <c r="D275">
        <v>2117.1390000000001</v>
      </c>
      <c r="E275" t="s">
        <v>6</v>
      </c>
      <c r="F275" t="s">
        <v>61</v>
      </c>
      <c r="G275" t="s">
        <v>8</v>
      </c>
    </row>
    <row r="276" spans="1:7" x14ac:dyDescent="0.3">
      <c r="A276" t="s">
        <v>13</v>
      </c>
      <c r="B276" s="1">
        <v>45930</v>
      </c>
      <c r="C276">
        <v>541004</v>
      </c>
      <c r="D276">
        <v>170.49700000000001</v>
      </c>
      <c r="E276" t="s">
        <v>6</v>
      </c>
      <c r="F276" t="s">
        <v>61</v>
      </c>
      <c r="G276" t="s">
        <v>8</v>
      </c>
    </row>
    <row r="277" spans="1:7" x14ac:dyDescent="0.3">
      <c r="A277" t="s">
        <v>13</v>
      </c>
      <c r="B277" s="1">
        <v>45930</v>
      </c>
      <c r="C277">
        <v>541009</v>
      </c>
      <c r="D277">
        <v>29.837</v>
      </c>
      <c r="E277" t="s">
        <v>6</v>
      </c>
      <c r="F277" t="s">
        <v>61</v>
      </c>
      <c r="G277" t="s">
        <v>8</v>
      </c>
    </row>
    <row r="278" spans="1:7" x14ac:dyDescent="0.3">
      <c r="A278" t="s">
        <v>13</v>
      </c>
      <c r="B278" s="1">
        <v>45930</v>
      </c>
      <c r="C278">
        <v>541010</v>
      </c>
      <c r="D278">
        <v>785.89599999999996</v>
      </c>
      <c r="E278" t="s">
        <v>6</v>
      </c>
      <c r="F278" t="s">
        <v>61</v>
      </c>
      <c r="G278" t="s">
        <v>8</v>
      </c>
    </row>
    <row r="279" spans="1:7" x14ac:dyDescent="0.3">
      <c r="A279" t="s">
        <v>13</v>
      </c>
      <c r="B279" s="1">
        <v>45930</v>
      </c>
      <c r="C279">
        <v>541013</v>
      </c>
      <c r="D279">
        <v>97.790999999999997</v>
      </c>
      <c r="E279" t="s">
        <v>6</v>
      </c>
      <c r="F279" t="s">
        <v>61</v>
      </c>
      <c r="G279" t="s">
        <v>8</v>
      </c>
    </row>
    <row r="280" spans="1:7" x14ac:dyDescent="0.3">
      <c r="A280" t="s">
        <v>13</v>
      </c>
      <c r="B280" s="1">
        <v>45930</v>
      </c>
      <c r="C280">
        <v>544003</v>
      </c>
      <c r="D280">
        <v>1474.2329999999999</v>
      </c>
      <c r="E280" t="s">
        <v>6</v>
      </c>
      <c r="F280" t="s">
        <v>61</v>
      </c>
      <c r="G280" t="s">
        <v>8</v>
      </c>
    </row>
    <row r="281" spans="1:7" x14ac:dyDescent="0.3">
      <c r="A281" t="s">
        <v>13</v>
      </c>
      <c r="B281" s="1">
        <v>45930</v>
      </c>
      <c r="C281">
        <v>544006</v>
      </c>
      <c r="D281">
        <v>535.73099999999999</v>
      </c>
      <c r="E281" t="s">
        <v>6</v>
      </c>
      <c r="F281" t="s">
        <v>61</v>
      </c>
      <c r="G281" t="s">
        <v>8</v>
      </c>
    </row>
    <row r="282" spans="1:7" x14ac:dyDescent="0.3">
      <c r="A282" t="s">
        <v>13</v>
      </c>
      <c r="B282" s="1">
        <v>45930</v>
      </c>
      <c r="C282">
        <v>546002</v>
      </c>
      <c r="D282">
        <v>298066.92599999998</v>
      </c>
      <c r="E282" t="s">
        <v>6</v>
      </c>
      <c r="F282" t="s">
        <v>51</v>
      </c>
      <c r="G282" t="s">
        <v>8</v>
      </c>
    </row>
    <row r="283" spans="1:7" x14ac:dyDescent="0.3">
      <c r="A283" t="s">
        <v>13</v>
      </c>
      <c r="B283" s="1">
        <v>45930</v>
      </c>
      <c r="C283">
        <v>546013</v>
      </c>
      <c r="D283">
        <v>1112.7149999999999</v>
      </c>
      <c r="E283" t="s">
        <v>6</v>
      </c>
      <c r="F283" t="s">
        <v>51</v>
      </c>
      <c r="G283" t="s">
        <v>8</v>
      </c>
    </row>
    <row r="284" spans="1:7" x14ac:dyDescent="0.3">
      <c r="A284" t="s">
        <v>13</v>
      </c>
      <c r="B284" s="1">
        <v>45930</v>
      </c>
      <c r="C284">
        <v>546024</v>
      </c>
      <c r="D284">
        <v>9370.134</v>
      </c>
      <c r="E284" t="s">
        <v>6</v>
      </c>
      <c r="F284" t="s">
        <v>51</v>
      </c>
      <c r="G284" t="s">
        <v>8</v>
      </c>
    </row>
    <row r="285" spans="1:7" x14ac:dyDescent="0.3">
      <c r="A285" t="s">
        <v>13</v>
      </c>
      <c r="B285" s="1">
        <v>45930</v>
      </c>
      <c r="C285">
        <v>546035</v>
      </c>
      <c r="D285">
        <v>10117.644</v>
      </c>
      <c r="E285" t="s">
        <v>6</v>
      </c>
      <c r="F285" t="s">
        <v>51</v>
      </c>
      <c r="G285" t="s">
        <v>8</v>
      </c>
    </row>
    <row r="286" spans="1:7" x14ac:dyDescent="0.3">
      <c r="A286" t="s">
        <v>13</v>
      </c>
      <c r="B286" s="1">
        <v>45930</v>
      </c>
      <c r="C286">
        <v>546044</v>
      </c>
      <c r="D286">
        <v>1454.9179999999999</v>
      </c>
      <c r="E286" t="s">
        <v>6</v>
      </c>
      <c r="F286" t="s">
        <v>51</v>
      </c>
      <c r="G286" t="s">
        <v>8</v>
      </c>
    </row>
    <row r="287" spans="1:7" x14ac:dyDescent="0.3">
      <c r="A287" t="s">
        <v>13</v>
      </c>
      <c r="B287" s="1">
        <v>45930</v>
      </c>
      <c r="C287">
        <v>546045</v>
      </c>
      <c r="D287">
        <v>1255.673</v>
      </c>
      <c r="E287" t="s">
        <v>6</v>
      </c>
      <c r="F287" t="s">
        <v>51</v>
      </c>
      <c r="G287" t="s">
        <v>8</v>
      </c>
    </row>
    <row r="288" spans="1:7" x14ac:dyDescent="0.3">
      <c r="A288" t="s">
        <v>13</v>
      </c>
      <c r="B288" s="1">
        <v>45930</v>
      </c>
      <c r="C288">
        <v>546046</v>
      </c>
      <c r="D288">
        <v>15329.494000000001</v>
      </c>
      <c r="E288" t="s">
        <v>6</v>
      </c>
      <c r="F288" t="s">
        <v>51</v>
      </c>
      <c r="G288" t="s">
        <v>8</v>
      </c>
    </row>
    <row r="289" spans="1:7" x14ac:dyDescent="0.3">
      <c r="A289" t="s">
        <v>13</v>
      </c>
      <c r="B289" s="1">
        <v>45930</v>
      </c>
      <c r="C289">
        <v>547002</v>
      </c>
      <c r="D289">
        <v>279894.40500000003</v>
      </c>
      <c r="E289" t="s">
        <v>6</v>
      </c>
      <c r="F289" t="s">
        <v>54</v>
      </c>
      <c r="G289" t="s">
        <v>8</v>
      </c>
    </row>
    <row r="290" spans="1:7" x14ac:dyDescent="0.3">
      <c r="A290" t="s">
        <v>13</v>
      </c>
      <c r="B290" s="1">
        <v>45930</v>
      </c>
      <c r="C290">
        <v>547006</v>
      </c>
      <c r="D290">
        <v>6088.6909999999998</v>
      </c>
      <c r="E290" t="s">
        <v>6</v>
      </c>
      <c r="F290" t="s">
        <v>54</v>
      </c>
      <c r="G290" t="s">
        <v>8</v>
      </c>
    </row>
    <row r="291" spans="1:7" x14ac:dyDescent="0.3">
      <c r="A291" t="s">
        <v>13</v>
      </c>
      <c r="B291" s="1">
        <v>45930</v>
      </c>
      <c r="C291">
        <v>547011</v>
      </c>
      <c r="D291">
        <v>5487.9459999999999</v>
      </c>
      <c r="E291" t="s">
        <v>6</v>
      </c>
      <c r="F291" t="s">
        <v>54</v>
      </c>
      <c r="G291" t="s">
        <v>8</v>
      </c>
    </row>
    <row r="292" spans="1:7" x14ac:dyDescent="0.3">
      <c r="A292" t="s">
        <v>13</v>
      </c>
      <c r="B292" s="1">
        <v>45930</v>
      </c>
      <c r="C292">
        <v>552502</v>
      </c>
      <c r="D292">
        <v>923.75300000000004</v>
      </c>
      <c r="E292" t="s">
        <v>6</v>
      </c>
      <c r="F292" t="s">
        <v>55</v>
      </c>
      <c r="G292" t="s">
        <v>8</v>
      </c>
    </row>
    <row r="293" spans="1:7" x14ac:dyDescent="0.3">
      <c r="A293" t="s">
        <v>13</v>
      </c>
      <c r="B293" s="1">
        <v>45930</v>
      </c>
      <c r="C293">
        <v>554005</v>
      </c>
      <c r="D293">
        <v>82.454999999999998</v>
      </c>
      <c r="E293" t="s">
        <v>6</v>
      </c>
      <c r="F293" t="s">
        <v>55</v>
      </c>
      <c r="G293" t="s">
        <v>8</v>
      </c>
    </row>
    <row r="294" spans="1:7" x14ac:dyDescent="0.3">
      <c r="A294" t="s">
        <v>13</v>
      </c>
      <c r="B294" s="1">
        <v>45930</v>
      </c>
      <c r="C294">
        <v>555508</v>
      </c>
      <c r="D294">
        <v>543.78399999999999</v>
      </c>
      <c r="E294" t="s">
        <v>6</v>
      </c>
      <c r="F294" t="s">
        <v>55</v>
      </c>
      <c r="G294" t="s">
        <v>8</v>
      </c>
    </row>
    <row r="295" spans="1:7" x14ac:dyDescent="0.3">
      <c r="A295" t="s">
        <v>13</v>
      </c>
      <c r="B295" s="1">
        <v>45930</v>
      </c>
      <c r="C295">
        <v>556002</v>
      </c>
      <c r="D295">
        <v>124.75700000000001</v>
      </c>
      <c r="E295" t="s">
        <v>6</v>
      </c>
      <c r="F295" t="s">
        <v>60</v>
      </c>
      <c r="G295" t="s">
        <v>8</v>
      </c>
    </row>
    <row r="296" spans="1:7" x14ac:dyDescent="0.3">
      <c r="A296" t="s">
        <v>13</v>
      </c>
      <c r="B296" s="1">
        <v>45930</v>
      </c>
      <c r="C296">
        <v>556004</v>
      </c>
      <c r="D296">
        <v>7.9950000000000001</v>
      </c>
      <c r="E296" t="s">
        <v>6</v>
      </c>
      <c r="F296" t="s">
        <v>55</v>
      </c>
      <c r="G296" t="s">
        <v>8</v>
      </c>
    </row>
    <row r="297" spans="1:7" x14ac:dyDescent="0.3">
      <c r="A297" t="s">
        <v>13</v>
      </c>
      <c r="B297" s="1">
        <v>45930</v>
      </c>
      <c r="C297">
        <v>557002</v>
      </c>
      <c r="D297">
        <v>7529.01</v>
      </c>
      <c r="E297" t="s">
        <v>6</v>
      </c>
      <c r="F297" t="s">
        <v>56</v>
      </c>
      <c r="G297" t="s">
        <v>8</v>
      </c>
    </row>
    <row r="298" spans="1:7" x14ac:dyDescent="0.3">
      <c r="A298" t="s">
        <v>13</v>
      </c>
      <c r="B298" s="1">
        <v>45930</v>
      </c>
      <c r="C298">
        <v>559002</v>
      </c>
      <c r="D298">
        <v>171.52199999999999</v>
      </c>
      <c r="E298" t="s">
        <v>6</v>
      </c>
      <c r="F298" t="s">
        <v>60</v>
      </c>
      <c r="G298" t="s">
        <v>8</v>
      </c>
    </row>
    <row r="299" spans="1:7" x14ac:dyDescent="0.3">
      <c r="A299" t="s">
        <v>13</v>
      </c>
      <c r="B299" s="1">
        <v>45930</v>
      </c>
      <c r="C299">
        <v>560008</v>
      </c>
      <c r="D299">
        <v>715.375</v>
      </c>
      <c r="E299" t="s">
        <v>6</v>
      </c>
      <c r="F299" t="s">
        <v>56</v>
      </c>
      <c r="G299" t="s">
        <v>8</v>
      </c>
    </row>
    <row r="300" spans="1:7" x14ac:dyDescent="0.3">
      <c r="A300" t="s">
        <v>13</v>
      </c>
      <c r="B300" s="1">
        <v>45930</v>
      </c>
      <c r="C300">
        <v>564004</v>
      </c>
      <c r="D300">
        <v>2449.2310000000002</v>
      </c>
      <c r="E300" t="s">
        <v>6</v>
      </c>
      <c r="F300" t="s">
        <v>51</v>
      </c>
      <c r="G300" t="s">
        <v>8</v>
      </c>
    </row>
    <row r="301" spans="1:7" x14ac:dyDescent="0.3">
      <c r="A301" t="s">
        <v>13</v>
      </c>
      <c r="B301" s="1">
        <v>45930</v>
      </c>
      <c r="C301">
        <v>564006</v>
      </c>
      <c r="D301">
        <v>-3.4000000000000002E-2</v>
      </c>
      <c r="E301" t="s">
        <v>6</v>
      </c>
      <c r="F301" t="s">
        <v>57</v>
      </c>
      <c r="G301" t="s">
        <v>8</v>
      </c>
    </row>
    <row r="302" spans="1:7" x14ac:dyDescent="0.3">
      <c r="A302" t="s">
        <v>13</v>
      </c>
      <c r="B302" s="1">
        <v>45930</v>
      </c>
      <c r="C302">
        <v>564008</v>
      </c>
      <c r="D302">
        <v>29.710999999999999</v>
      </c>
      <c r="E302" t="s">
        <v>6</v>
      </c>
      <c r="F302" t="s">
        <v>55</v>
      </c>
      <c r="G302" t="s">
        <v>8</v>
      </c>
    </row>
    <row r="303" spans="1:7" x14ac:dyDescent="0.3">
      <c r="A303" t="s">
        <v>13</v>
      </c>
      <c r="B303" s="1">
        <v>45930</v>
      </c>
      <c r="C303">
        <v>564020</v>
      </c>
      <c r="D303">
        <v>2101.0369999999998</v>
      </c>
      <c r="E303" t="s">
        <v>6</v>
      </c>
      <c r="F303" t="s">
        <v>57</v>
      </c>
      <c r="G303" t="s">
        <v>8</v>
      </c>
    </row>
    <row r="304" spans="1:7" x14ac:dyDescent="0.3">
      <c r="A304" t="s">
        <v>13</v>
      </c>
      <c r="B304" s="1">
        <v>45930</v>
      </c>
      <c r="C304">
        <v>564021</v>
      </c>
      <c r="D304">
        <v>116.798</v>
      </c>
      <c r="E304" t="s">
        <v>6</v>
      </c>
      <c r="F304" t="s">
        <v>57</v>
      </c>
      <c r="G304" t="s">
        <v>8</v>
      </c>
    </row>
    <row r="305" spans="1:7" x14ac:dyDescent="0.3">
      <c r="A305" t="s">
        <v>13</v>
      </c>
      <c r="B305" s="1">
        <v>45930</v>
      </c>
      <c r="C305">
        <v>570002</v>
      </c>
      <c r="D305">
        <v>155.488</v>
      </c>
      <c r="E305" t="s">
        <v>6</v>
      </c>
      <c r="F305" t="s">
        <v>66</v>
      </c>
      <c r="G305" t="s">
        <v>8</v>
      </c>
    </row>
    <row r="306" spans="1:7" x14ac:dyDescent="0.3">
      <c r="A306" t="s">
        <v>14</v>
      </c>
      <c r="B306" s="1">
        <v>45930</v>
      </c>
      <c r="C306">
        <v>210002</v>
      </c>
      <c r="D306">
        <v>-3093.0250000000001</v>
      </c>
      <c r="E306" t="s">
        <v>4</v>
      </c>
      <c r="F306" t="s">
        <v>42</v>
      </c>
      <c r="G306" t="s">
        <v>8</v>
      </c>
    </row>
    <row r="307" spans="1:7" x14ac:dyDescent="0.3">
      <c r="A307" t="s">
        <v>14</v>
      </c>
      <c r="B307" s="1">
        <v>45930</v>
      </c>
      <c r="C307">
        <v>220006</v>
      </c>
      <c r="D307">
        <v>66241.073000000004</v>
      </c>
      <c r="E307" t="s">
        <v>4</v>
      </c>
      <c r="F307" t="s">
        <v>42</v>
      </c>
      <c r="G307" t="s">
        <v>8</v>
      </c>
    </row>
    <row r="308" spans="1:7" x14ac:dyDescent="0.3">
      <c r="A308" t="s">
        <v>14</v>
      </c>
      <c r="B308" s="1">
        <v>45930</v>
      </c>
      <c r="C308">
        <v>220011</v>
      </c>
      <c r="D308">
        <v>-27033.162</v>
      </c>
      <c r="E308" t="s">
        <v>4</v>
      </c>
      <c r="F308" t="s">
        <v>42</v>
      </c>
      <c r="G308" t="s">
        <v>8</v>
      </c>
    </row>
    <row r="309" spans="1:7" x14ac:dyDescent="0.3">
      <c r="A309" t="s">
        <v>14</v>
      </c>
      <c r="B309" s="1">
        <v>45930</v>
      </c>
      <c r="C309">
        <v>240002</v>
      </c>
      <c r="D309">
        <v>3613.5859999999998</v>
      </c>
      <c r="E309" t="s">
        <v>4</v>
      </c>
      <c r="F309" t="s">
        <v>43</v>
      </c>
      <c r="G309" t="s">
        <v>8</v>
      </c>
    </row>
    <row r="310" spans="1:7" x14ac:dyDescent="0.3">
      <c r="A310" t="s">
        <v>14</v>
      </c>
      <c r="B310" s="1">
        <v>45930</v>
      </c>
      <c r="C310">
        <v>240003</v>
      </c>
      <c r="D310">
        <v>-46.951999999999998</v>
      </c>
      <c r="E310" t="s">
        <v>4</v>
      </c>
      <c r="F310" t="s">
        <v>43</v>
      </c>
      <c r="G310" t="s">
        <v>8</v>
      </c>
    </row>
    <row r="311" spans="1:7" x14ac:dyDescent="0.3">
      <c r="A311" t="s">
        <v>14</v>
      </c>
      <c r="B311" s="1">
        <v>45930</v>
      </c>
      <c r="C311">
        <v>240009</v>
      </c>
      <c r="D311">
        <v>-3777.9430000000002</v>
      </c>
      <c r="E311" t="s">
        <v>4</v>
      </c>
      <c r="F311" t="s">
        <v>43</v>
      </c>
      <c r="G311" t="s">
        <v>8</v>
      </c>
    </row>
    <row r="312" spans="1:7" x14ac:dyDescent="0.3">
      <c r="A312" t="s">
        <v>14</v>
      </c>
      <c r="B312" s="1">
        <v>45930</v>
      </c>
      <c r="C312">
        <v>242003</v>
      </c>
      <c r="D312">
        <v>-309402.73300000001</v>
      </c>
      <c r="E312" t="s">
        <v>4</v>
      </c>
      <c r="F312" t="s">
        <v>43</v>
      </c>
      <c r="G312" t="s">
        <v>8</v>
      </c>
    </row>
    <row r="313" spans="1:7" x14ac:dyDescent="0.3">
      <c r="A313" t="s">
        <v>14</v>
      </c>
      <c r="B313" s="1">
        <v>45930</v>
      </c>
      <c r="C313">
        <v>242011</v>
      </c>
      <c r="D313">
        <v>-7206.6940000000004</v>
      </c>
      <c r="E313" t="s">
        <v>4</v>
      </c>
      <c r="F313" t="s">
        <v>43</v>
      </c>
      <c r="G313" t="s">
        <v>8</v>
      </c>
    </row>
    <row r="314" spans="1:7" x14ac:dyDescent="0.3">
      <c r="A314" t="s">
        <v>14</v>
      </c>
      <c r="B314" s="1">
        <v>45930</v>
      </c>
      <c r="C314">
        <v>242013</v>
      </c>
      <c r="D314">
        <v>-9456.2530000000006</v>
      </c>
      <c r="E314" t="s">
        <v>4</v>
      </c>
      <c r="F314" t="s">
        <v>43</v>
      </c>
      <c r="G314" t="s">
        <v>8</v>
      </c>
    </row>
    <row r="315" spans="1:7" x14ac:dyDescent="0.3">
      <c r="A315" t="s">
        <v>14</v>
      </c>
      <c r="B315" s="1">
        <v>45930</v>
      </c>
      <c r="C315">
        <v>242014</v>
      </c>
      <c r="D315">
        <v>-26971.846000000001</v>
      </c>
      <c r="E315" t="s">
        <v>4</v>
      </c>
      <c r="F315" t="s">
        <v>43</v>
      </c>
      <c r="G315" t="s">
        <v>8</v>
      </c>
    </row>
    <row r="316" spans="1:7" x14ac:dyDescent="0.3">
      <c r="A316" t="s">
        <v>14</v>
      </c>
      <c r="B316" s="1">
        <v>45930</v>
      </c>
      <c r="C316">
        <v>242027</v>
      </c>
      <c r="D316">
        <v>-13287.098</v>
      </c>
      <c r="E316" t="s">
        <v>4</v>
      </c>
      <c r="F316" t="s">
        <v>43</v>
      </c>
      <c r="G316" t="s">
        <v>8</v>
      </c>
    </row>
    <row r="317" spans="1:7" x14ac:dyDescent="0.3">
      <c r="A317" t="s">
        <v>14</v>
      </c>
      <c r="B317" s="1">
        <v>45930</v>
      </c>
      <c r="C317">
        <v>242041</v>
      </c>
      <c r="D317">
        <v>-3702.7730000000001</v>
      </c>
      <c r="E317" t="s">
        <v>4</v>
      </c>
      <c r="F317" t="s">
        <v>43</v>
      </c>
      <c r="G317" t="s">
        <v>8</v>
      </c>
    </row>
    <row r="318" spans="1:7" x14ac:dyDescent="0.3">
      <c r="A318" t="s">
        <v>14</v>
      </c>
      <c r="B318" s="1">
        <v>45930</v>
      </c>
      <c r="C318">
        <v>243002</v>
      </c>
      <c r="D318">
        <v>-6806.4170000000004</v>
      </c>
      <c r="E318" t="s">
        <v>4</v>
      </c>
      <c r="F318" t="s">
        <v>43</v>
      </c>
      <c r="G318" t="s">
        <v>8</v>
      </c>
    </row>
    <row r="319" spans="1:7" x14ac:dyDescent="0.3">
      <c r="A319" t="s">
        <v>14</v>
      </c>
      <c r="B319" s="1">
        <v>45930</v>
      </c>
      <c r="C319">
        <v>243010</v>
      </c>
      <c r="D319">
        <v>-831.40499999999997</v>
      </c>
      <c r="E319" t="s">
        <v>4</v>
      </c>
      <c r="F319" t="s">
        <v>43</v>
      </c>
      <c r="G319" t="s">
        <v>8</v>
      </c>
    </row>
    <row r="320" spans="1:7" x14ac:dyDescent="0.3">
      <c r="A320" t="s">
        <v>14</v>
      </c>
      <c r="B320" s="1">
        <v>45930</v>
      </c>
      <c r="C320">
        <v>245010</v>
      </c>
      <c r="D320">
        <v>-4032.93</v>
      </c>
      <c r="E320" t="s">
        <v>4</v>
      </c>
      <c r="F320" t="s">
        <v>44</v>
      </c>
      <c r="G320" t="s">
        <v>8</v>
      </c>
    </row>
    <row r="321" spans="1:7" x14ac:dyDescent="0.3">
      <c r="A321" t="s">
        <v>14</v>
      </c>
      <c r="B321" s="1">
        <v>45930</v>
      </c>
      <c r="C321">
        <v>245056</v>
      </c>
      <c r="D321">
        <v>-288.70699999999999</v>
      </c>
      <c r="E321" t="s">
        <v>4</v>
      </c>
      <c r="F321" t="s">
        <v>49</v>
      </c>
      <c r="G321" t="s">
        <v>8</v>
      </c>
    </row>
    <row r="322" spans="1:7" x14ac:dyDescent="0.3">
      <c r="A322" t="s">
        <v>14</v>
      </c>
      <c r="B322" s="1">
        <v>45930</v>
      </c>
      <c r="C322">
        <v>245062</v>
      </c>
      <c r="D322">
        <v>-1191.9280000000001</v>
      </c>
      <c r="E322" t="s">
        <v>4</v>
      </c>
      <c r="F322" t="s">
        <v>43</v>
      </c>
      <c r="G322" t="s">
        <v>8</v>
      </c>
    </row>
    <row r="323" spans="1:7" x14ac:dyDescent="0.3">
      <c r="A323" t="s">
        <v>14</v>
      </c>
      <c r="B323" s="1">
        <v>45930</v>
      </c>
      <c r="C323">
        <v>250003</v>
      </c>
      <c r="D323">
        <v>-17073.237000000001</v>
      </c>
      <c r="E323" t="s">
        <v>4</v>
      </c>
      <c r="F323" t="s">
        <v>45</v>
      </c>
      <c r="G323" t="s">
        <v>8</v>
      </c>
    </row>
    <row r="324" spans="1:7" x14ac:dyDescent="0.3">
      <c r="A324" t="s">
        <v>14</v>
      </c>
      <c r="B324" s="1">
        <v>45930</v>
      </c>
      <c r="C324">
        <v>251002</v>
      </c>
      <c r="D324">
        <v>-2825.83</v>
      </c>
      <c r="E324" t="s">
        <v>4</v>
      </c>
      <c r="F324" t="s">
        <v>45</v>
      </c>
      <c r="G324" t="s">
        <v>8</v>
      </c>
    </row>
    <row r="325" spans="1:7" x14ac:dyDescent="0.3">
      <c r="A325" t="s">
        <v>14</v>
      </c>
      <c r="B325" s="1">
        <v>45930</v>
      </c>
      <c r="C325">
        <v>257005</v>
      </c>
      <c r="D325">
        <v>8094.6310000000003</v>
      </c>
      <c r="E325" t="s">
        <v>4</v>
      </c>
      <c r="F325" t="s">
        <v>45</v>
      </c>
      <c r="G325" t="s">
        <v>8</v>
      </c>
    </row>
    <row r="326" spans="1:7" x14ac:dyDescent="0.3">
      <c r="A326" t="s">
        <v>14</v>
      </c>
      <c r="B326" s="1">
        <v>45930</v>
      </c>
      <c r="C326">
        <v>257008</v>
      </c>
      <c r="D326">
        <v>-1030.528</v>
      </c>
      <c r="E326" t="s">
        <v>4</v>
      </c>
      <c r="F326" t="s">
        <v>45</v>
      </c>
      <c r="G326" t="s">
        <v>8</v>
      </c>
    </row>
    <row r="327" spans="1:7" x14ac:dyDescent="0.3">
      <c r="A327" t="s">
        <v>14</v>
      </c>
      <c r="B327" s="1">
        <v>45930</v>
      </c>
      <c r="C327">
        <v>257014</v>
      </c>
      <c r="D327">
        <v>-1013.558</v>
      </c>
      <c r="E327" t="s">
        <v>4</v>
      </c>
      <c r="F327" t="s">
        <v>45</v>
      </c>
      <c r="G327" t="s">
        <v>8</v>
      </c>
    </row>
    <row r="328" spans="1:7" x14ac:dyDescent="0.3">
      <c r="A328" t="s">
        <v>14</v>
      </c>
      <c r="B328" s="1">
        <v>45930</v>
      </c>
      <c r="C328">
        <v>257030</v>
      </c>
      <c r="D328">
        <v>-10354.467000000001</v>
      </c>
      <c r="E328" t="s">
        <v>4</v>
      </c>
      <c r="F328" t="s">
        <v>45</v>
      </c>
      <c r="G328" t="s">
        <v>8</v>
      </c>
    </row>
    <row r="329" spans="1:7" x14ac:dyDescent="0.3">
      <c r="A329" t="s">
        <v>14</v>
      </c>
      <c r="B329" s="1">
        <v>45930</v>
      </c>
      <c r="C329">
        <v>260004</v>
      </c>
      <c r="D329">
        <v>-3230.5459999999998</v>
      </c>
      <c r="E329" t="s">
        <v>4</v>
      </c>
      <c r="F329" t="s">
        <v>45</v>
      </c>
      <c r="G329" t="s">
        <v>8</v>
      </c>
    </row>
    <row r="330" spans="1:7" x14ac:dyDescent="0.3">
      <c r="A330" t="s">
        <v>14</v>
      </c>
      <c r="B330" s="1">
        <v>45930</v>
      </c>
      <c r="C330">
        <v>270027</v>
      </c>
      <c r="D330">
        <v>-21406.330999999998</v>
      </c>
      <c r="E330" t="s">
        <v>4</v>
      </c>
      <c r="F330" t="s">
        <v>58</v>
      </c>
      <c r="G330" t="s">
        <v>8</v>
      </c>
    </row>
    <row r="331" spans="1:7" x14ac:dyDescent="0.3">
      <c r="A331" t="s">
        <v>14</v>
      </c>
      <c r="B331" s="1">
        <v>45930</v>
      </c>
      <c r="C331">
        <v>300004</v>
      </c>
      <c r="D331">
        <v>2011.8409999999999</v>
      </c>
      <c r="E331" t="s">
        <v>4</v>
      </c>
      <c r="F331" t="s">
        <v>65</v>
      </c>
      <c r="G331" t="s">
        <v>8</v>
      </c>
    </row>
    <row r="332" spans="1:7" x14ac:dyDescent="0.3">
      <c r="A332" t="s">
        <v>14</v>
      </c>
      <c r="B332" s="1">
        <v>45930</v>
      </c>
      <c r="C332">
        <v>300013</v>
      </c>
      <c r="D332">
        <v>8055.165</v>
      </c>
      <c r="E332" t="s">
        <v>4</v>
      </c>
      <c r="F332" t="s">
        <v>65</v>
      </c>
      <c r="G332" t="s">
        <v>8</v>
      </c>
    </row>
    <row r="333" spans="1:7" x14ac:dyDescent="0.3">
      <c r="A333" t="s">
        <v>14</v>
      </c>
      <c r="B333" s="1">
        <v>45930</v>
      </c>
      <c r="C333">
        <v>300014</v>
      </c>
      <c r="D333">
        <v>912.55399999999997</v>
      </c>
      <c r="E333" t="s">
        <v>4</v>
      </c>
      <c r="F333" t="s">
        <v>65</v>
      </c>
      <c r="G333" t="s">
        <v>8</v>
      </c>
    </row>
    <row r="334" spans="1:7" x14ac:dyDescent="0.3">
      <c r="A334" t="s">
        <v>14</v>
      </c>
      <c r="B334" s="1">
        <v>45930</v>
      </c>
      <c r="C334">
        <v>300504</v>
      </c>
      <c r="D334">
        <v>-2011.8409999999999</v>
      </c>
      <c r="E334" t="s">
        <v>4</v>
      </c>
      <c r="F334" t="s">
        <v>65</v>
      </c>
      <c r="G334" t="s">
        <v>8</v>
      </c>
    </row>
    <row r="335" spans="1:7" x14ac:dyDescent="0.3">
      <c r="A335" t="s">
        <v>14</v>
      </c>
      <c r="B335" s="1">
        <v>45930</v>
      </c>
      <c r="C335">
        <v>300513</v>
      </c>
      <c r="D335">
        <v>-7949.4610000000002</v>
      </c>
      <c r="E335" t="s">
        <v>4</v>
      </c>
      <c r="F335" t="s">
        <v>65</v>
      </c>
      <c r="G335" t="s">
        <v>8</v>
      </c>
    </row>
    <row r="336" spans="1:7" x14ac:dyDescent="0.3">
      <c r="A336" t="s">
        <v>14</v>
      </c>
      <c r="B336" s="1">
        <v>45930</v>
      </c>
      <c r="C336">
        <v>300514</v>
      </c>
      <c r="D336">
        <v>-800.38800000000003</v>
      </c>
      <c r="E336" t="s">
        <v>4</v>
      </c>
      <c r="F336" t="s">
        <v>65</v>
      </c>
      <c r="G336" t="s">
        <v>8</v>
      </c>
    </row>
    <row r="337" spans="1:7" x14ac:dyDescent="0.3">
      <c r="A337" t="s">
        <v>14</v>
      </c>
      <c r="B337" s="1">
        <v>45930</v>
      </c>
      <c r="C337">
        <v>301004</v>
      </c>
      <c r="D337">
        <v>4031.0940000000001</v>
      </c>
      <c r="E337" t="s">
        <v>4</v>
      </c>
      <c r="F337" t="s">
        <v>65</v>
      </c>
      <c r="G337" t="s">
        <v>8</v>
      </c>
    </row>
    <row r="338" spans="1:7" x14ac:dyDescent="0.3">
      <c r="A338" t="s">
        <v>14</v>
      </c>
      <c r="B338" s="1">
        <v>45930</v>
      </c>
      <c r="C338">
        <v>301504</v>
      </c>
      <c r="D338">
        <v>-3957.3879999999999</v>
      </c>
      <c r="E338" t="s">
        <v>4</v>
      </c>
      <c r="F338" t="s">
        <v>65</v>
      </c>
      <c r="G338" t="s">
        <v>8</v>
      </c>
    </row>
    <row r="339" spans="1:7" x14ac:dyDescent="0.3">
      <c r="A339" t="s">
        <v>14</v>
      </c>
      <c r="B339" s="1">
        <v>45930</v>
      </c>
      <c r="C339">
        <v>320002</v>
      </c>
      <c r="D339">
        <v>104552.673</v>
      </c>
      <c r="E339" t="s">
        <v>4</v>
      </c>
      <c r="F339" t="s">
        <v>46</v>
      </c>
      <c r="G339" t="s">
        <v>8</v>
      </c>
    </row>
    <row r="340" spans="1:7" x14ac:dyDescent="0.3">
      <c r="A340" t="s">
        <v>14</v>
      </c>
      <c r="B340" s="1">
        <v>45930</v>
      </c>
      <c r="C340">
        <v>320003</v>
      </c>
      <c r="D340">
        <v>112941.005</v>
      </c>
      <c r="E340" t="s">
        <v>4</v>
      </c>
      <c r="F340" t="s">
        <v>46</v>
      </c>
      <c r="G340" t="s">
        <v>8</v>
      </c>
    </row>
    <row r="341" spans="1:7" x14ac:dyDescent="0.3">
      <c r="A341" t="s">
        <v>14</v>
      </c>
      <c r="B341" s="1">
        <v>45930</v>
      </c>
      <c r="C341">
        <v>320004</v>
      </c>
      <c r="D341">
        <v>1793.6289999999999</v>
      </c>
      <c r="E341" t="s">
        <v>4</v>
      </c>
      <c r="F341" t="s">
        <v>46</v>
      </c>
      <c r="G341" t="s">
        <v>8</v>
      </c>
    </row>
    <row r="342" spans="1:7" x14ac:dyDescent="0.3">
      <c r="A342" t="s">
        <v>14</v>
      </c>
      <c r="B342" s="1">
        <v>45930</v>
      </c>
      <c r="C342">
        <v>320023</v>
      </c>
      <c r="D342">
        <v>-54180.328000000001</v>
      </c>
      <c r="E342" t="s">
        <v>4</v>
      </c>
      <c r="F342" t="s">
        <v>46</v>
      </c>
      <c r="G342" t="s">
        <v>8</v>
      </c>
    </row>
    <row r="343" spans="1:7" x14ac:dyDescent="0.3">
      <c r="A343" t="s">
        <v>14</v>
      </c>
      <c r="B343" s="1">
        <v>45930</v>
      </c>
      <c r="C343">
        <v>320025</v>
      </c>
      <c r="D343">
        <v>15770.914000000001</v>
      </c>
      <c r="E343" t="s">
        <v>4</v>
      </c>
      <c r="F343" t="s">
        <v>46</v>
      </c>
      <c r="G343" t="s">
        <v>8</v>
      </c>
    </row>
    <row r="344" spans="1:7" x14ac:dyDescent="0.3">
      <c r="A344" t="s">
        <v>14</v>
      </c>
      <c r="B344" s="1">
        <v>45930</v>
      </c>
      <c r="C344">
        <v>321002</v>
      </c>
      <c r="D344">
        <v>4825.05</v>
      </c>
      <c r="E344" t="s">
        <v>4</v>
      </c>
      <c r="F344" t="s">
        <v>46</v>
      </c>
      <c r="G344" t="s">
        <v>8</v>
      </c>
    </row>
    <row r="345" spans="1:7" x14ac:dyDescent="0.3">
      <c r="A345" t="s">
        <v>14</v>
      </c>
      <c r="B345" s="1">
        <v>45930</v>
      </c>
      <c r="C345">
        <v>321004</v>
      </c>
      <c r="D345">
        <v>4146.5609999999997</v>
      </c>
      <c r="E345" t="s">
        <v>4</v>
      </c>
      <c r="F345" t="s">
        <v>46</v>
      </c>
      <c r="G345" t="s">
        <v>8</v>
      </c>
    </row>
    <row r="346" spans="1:7" x14ac:dyDescent="0.3">
      <c r="A346" t="s">
        <v>14</v>
      </c>
      <c r="B346" s="1">
        <v>45930</v>
      </c>
      <c r="C346">
        <v>321014</v>
      </c>
      <c r="D346">
        <v>122.57</v>
      </c>
      <c r="E346" t="s">
        <v>4</v>
      </c>
      <c r="F346" t="s">
        <v>46</v>
      </c>
      <c r="G346" t="s">
        <v>8</v>
      </c>
    </row>
    <row r="347" spans="1:7" x14ac:dyDescent="0.3">
      <c r="A347" t="s">
        <v>14</v>
      </c>
      <c r="B347" s="1">
        <v>45930</v>
      </c>
      <c r="C347">
        <v>321025</v>
      </c>
      <c r="D347">
        <v>3373.6840000000002</v>
      </c>
      <c r="E347" t="s">
        <v>4</v>
      </c>
      <c r="F347" t="s">
        <v>46</v>
      </c>
      <c r="G347" t="s">
        <v>8</v>
      </c>
    </row>
    <row r="348" spans="1:7" x14ac:dyDescent="0.3">
      <c r="A348" t="s">
        <v>14</v>
      </c>
      <c r="B348" s="1">
        <v>45930</v>
      </c>
      <c r="C348">
        <v>321028</v>
      </c>
      <c r="D348">
        <v>2392.241</v>
      </c>
      <c r="E348" t="s">
        <v>4</v>
      </c>
      <c r="F348" t="s">
        <v>46</v>
      </c>
      <c r="G348" t="s">
        <v>8</v>
      </c>
    </row>
    <row r="349" spans="1:7" x14ac:dyDescent="0.3">
      <c r="A349" t="s">
        <v>14</v>
      </c>
      <c r="B349" s="1">
        <v>45930</v>
      </c>
      <c r="C349">
        <v>321029</v>
      </c>
      <c r="D349">
        <v>811.95100000000002</v>
      </c>
      <c r="E349" t="s">
        <v>4</v>
      </c>
      <c r="F349" t="s">
        <v>46</v>
      </c>
      <c r="G349" t="s">
        <v>8</v>
      </c>
    </row>
    <row r="350" spans="1:7" x14ac:dyDescent="0.3">
      <c r="A350" t="s">
        <v>14</v>
      </c>
      <c r="B350" s="1">
        <v>45930</v>
      </c>
      <c r="C350">
        <v>330097</v>
      </c>
      <c r="D350">
        <v>-463.95400000000001</v>
      </c>
      <c r="E350" t="s">
        <v>4</v>
      </c>
      <c r="F350" t="s">
        <v>43</v>
      </c>
      <c r="G350" t="s">
        <v>8</v>
      </c>
    </row>
    <row r="351" spans="1:7" x14ac:dyDescent="0.3">
      <c r="A351" t="s">
        <v>14</v>
      </c>
      <c r="B351" s="1">
        <v>45930</v>
      </c>
      <c r="C351">
        <v>330149</v>
      </c>
      <c r="D351">
        <v>1340.0640000000001</v>
      </c>
      <c r="E351" t="s">
        <v>4</v>
      </c>
      <c r="F351" t="s">
        <v>43</v>
      </c>
      <c r="G351" t="s">
        <v>8</v>
      </c>
    </row>
    <row r="352" spans="1:7" x14ac:dyDescent="0.3">
      <c r="A352" t="s">
        <v>14</v>
      </c>
      <c r="B352" s="1">
        <v>45930</v>
      </c>
      <c r="C352">
        <v>330150</v>
      </c>
      <c r="D352">
        <v>-13431.460999999999</v>
      </c>
      <c r="E352" t="s">
        <v>4</v>
      </c>
      <c r="F352" t="s">
        <v>43</v>
      </c>
      <c r="G352" t="s">
        <v>8</v>
      </c>
    </row>
    <row r="353" spans="1:7" x14ac:dyDescent="0.3">
      <c r="A353" t="s">
        <v>14</v>
      </c>
      <c r="B353" s="1">
        <v>45930</v>
      </c>
      <c r="C353">
        <v>340057</v>
      </c>
      <c r="D353">
        <v>243257.44</v>
      </c>
      <c r="E353" t="s">
        <v>4</v>
      </c>
      <c r="F353" t="s">
        <v>47</v>
      </c>
      <c r="G353" t="s">
        <v>8</v>
      </c>
    </row>
    <row r="354" spans="1:7" x14ac:dyDescent="0.3">
      <c r="A354" t="s">
        <v>14</v>
      </c>
      <c r="B354" s="1">
        <v>45930</v>
      </c>
      <c r="C354">
        <v>350002</v>
      </c>
      <c r="D354">
        <v>463.95400000000001</v>
      </c>
      <c r="E354" t="s">
        <v>4</v>
      </c>
      <c r="F354" t="s">
        <v>49</v>
      </c>
      <c r="G354" t="s">
        <v>8</v>
      </c>
    </row>
    <row r="355" spans="1:7" x14ac:dyDescent="0.3">
      <c r="A355" t="s">
        <v>14</v>
      </c>
      <c r="B355" s="1">
        <v>45930</v>
      </c>
      <c r="C355">
        <v>350003</v>
      </c>
      <c r="D355">
        <v>580.43200000000002</v>
      </c>
      <c r="E355" t="s">
        <v>4</v>
      </c>
      <c r="F355" t="s">
        <v>49</v>
      </c>
      <c r="G355" t="s">
        <v>8</v>
      </c>
    </row>
    <row r="356" spans="1:7" x14ac:dyDescent="0.3">
      <c r="A356" t="s">
        <v>14</v>
      </c>
      <c r="B356" s="1">
        <v>45930</v>
      </c>
      <c r="C356">
        <v>350031</v>
      </c>
      <c r="D356">
        <v>3777.9430000000002</v>
      </c>
      <c r="E356" t="s">
        <v>4</v>
      </c>
      <c r="F356" t="s">
        <v>43</v>
      </c>
      <c r="G356" t="s">
        <v>8</v>
      </c>
    </row>
    <row r="357" spans="1:7" x14ac:dyDescent="0.3">
      <c r="A357" t="s">
        <v>14</v>
      </c>
      <c r="B357" s="1">
        <v>45930</v>
      </c>
      <c r="C357">
        <v>350034</v>
      </c>
      <c r="D357">
        <v>288.70699999999999</v>
      </c>
      <c r="E357" t="s">
        <v>4</v>
      </c>
      <c r="F357" t="s">
        <v>49</v>
      </c>
      <c r="G357" t="s">
        <v>8</v>
      </c>
    </row>
    <row r="358" spans="1:7" x14ac:dyDescent="0.3">
      <c r="A358" t="s">
        <v>14</v>
      </c>
      <c r="B358" s="1">
        <v>45930</v>
      </c>
      <c r="C358">
        <v>352002</v>
      </c>
      <c r="D358">
        <v>1301.575</v>
      </c>
      <c r="E358" t="s">
        <v>4</v>
      </c>
      <c r="F358" t="s">
        <v>48</v>
      </c>
      <c r="G358" t="s">
        <v>8</v>
      </c>
    </row>
    <row r="359" spans="1:7" x14ac:dyDescent="0.3">
      <c r="A359" t="s">
        <v>14</v>
      </c>
      <c r="B359" s="1">
        <v>45930</v>
      </c>
      <c r="C359">
        <v>354014</v>
      </c>
      <c r="D359">
        <v>18436.531999999999</v>
      </c>
      <c r="E359" t="s">
        <v>4</v>
      </c>
      <c r="F359" t="s">
        <v>46</v>
      </c>
      <c r="G359" t="s">
        <v>8</v>
      </c>
    </row>
    <row r="360" spans="1:7" x14ac:dyDescent="0.3">
      <c r="A360" t="s">
        <v>14</v>
      </c>
      <c r="B360" s="1">
        <v>45930</v>
      </c>
      <c r="C360">
        <v>354015</v>
      </c>
      <c r="D360">
        <v>2627.1889999999999</v>
      </c>
      <c r="E360" t="s">
        <v>4</v>
      </c>
      <c r="F360" t="s">
        <v>46</v>
      </c>
      <c r="G360" t="s">
        <v>8</v>
      </c>
    </row>
    <row r="361" spans="1:7" x14ac:dyDescent="0.3">
      <c r="A361" t="s">
        <v>14</v>
      </c>
      <c r="B361" s="1">
        <v>45930</v>
      </c>
      <c r="C361">
        <v>355016</v>
      </c>
      <c r="D361">
        <v>36.805</v>
      </c>
      <c r="E361" t="s">
        <v>4</v>
      </c>
      <c r="F361" t="s">
        <v>49</v>
      </c>
      <c r="G361" t="s">
        <v>8</v>
      </c>
    </row>
    <row r="362" spans="1:7" x14ac:dyDescent="0.3">
      <c r="A362" t="s">
        <v>14</v>
      </c>
      <c r="B362" s="1">
        <v>45930</v>
      </c>
      <c r="C362">
        <v>355018</v>
      </c>
      <c r="D362">
        <v>1853.4090000000001</v>
      </c>
      <c r="E362" t="s">
        <v>4</v>
      </c>
      <c r="F362" t="s">
        <v>49</v>
      </c>
      <c r="G362" t="s">
        <v>8</v>
      </c>
    </row>
    <row r="363" spans="1:7" x14ac:dyDescent="0.3">
      <c r="A363" t="s">
        <v>14</v>
      </c>
      <c r="B363" s="1">
        <v>45930</v>
      </c>
      <c r="C363">
        <v>360022</v>
      </c>
      <c r="D363">
        <v>3610.674</v>
      </c>
      <c r="E363" t="s">
        <v>4</v>
      </c>
      <c r="F363" t="s">
        <v>58</v>
      </c>
      <c r="G363" t="s">
        <v>8</v>
      </c>
    </row>
    <row r="364" spans="1:7" x14ac:dyDescent="0.3">
      <c r="A364" t="s">
        <v>14</v>
      </c>
      <c r="B364" s="1">
        <v>45930</v>
      </c>
      <c r="C364">
        <v>360026</v>
      </c>
      <c r="D364">
        <v>3610.674</v>
      </c>
      <c r="E364" t="s">
        <v>4</v>
      </c>
      <c r="F364" t="s">
        <v>58</v>
      </c>
      <c r="G364" t="s">
        <v>8</v>
      </c>
    </row>
    <row r="365" spans="1:7" x14ac:dyDescent="0.3">
      <c r="A365" t="s">
        <v>14</v>
      </c>
      <c r="B365" s="1">
        <v>45930</v>
      </c>
      <c r="C365">
        <v>360028</v>
      </c>
      <c r="D365">
        <v>2707.826</v>
      </c>
      <c r="E365" t="s">
        <v>4</v>
      </c>
      <c r="F365" t="s">
        <v>58</v>
      </c>
      <c r="G365" t="s">
        <v>8</v>
      </c>
    </row>
    <row r="366" spans="1:7" x14ac:dyDescent="0.3">
      <c r="A366" t="s">
        <v>14</v>
      </c>
      <c r="B366" s="1">
        <v>45930</v>
      </c>
      <c r="C366">
        <v>360032</v>
      </c>
      <c r="D366">
        <v>326.74700000000001</v>
      </c>
      <c r="E366" t="s">
        <v>4</v>
      </c>
      <c r="F366" t="s">
        <v>58</v>
      </c>
      <c r="G366" t="s">
        <v>8</v>
      </c>
    </row>
    <row r="367" spans="1:7" x14ac:dyDescent="0.3">
      <c r="A367" t="s">
        <v>14</v>
      </c>
      <c r="B367" s="1">
        <v>45930</v>
      </c>
      <c r="C367">
        <v>372004</v>
      </c>
      <c r="D367">
        <v>860.46199999999999</v>
      </c>
      <c r="E367" t="s">
        <v>4</v>
      </c>
      <c r="F367" t="s">
        <v>45</v>
      </c>
      <c r="G367" t="s">
        <v>8</v>
      </c>
    </row>
    <row r="368" spans="1:7" x14ac:dyDescent="0.3">
      <c r="A368" t="s">
        <v>14</v>
      </c>
      <c r="B368" s="1">
        <v>45930</v>
      </c>
      <c r="C368">
        <v>400002</v>
      </c>
      <c r="D368">
        <v>-10832.406000000001</v>
      </c>
      <c r="E368" t="s">
        <v>6</v>
      </c>
      <c r="F368" t="s">
        <v>50</v>
      </c>
      <c r="G368" t="s">
        <v>8</v>
      </c>
    </row>
    <row r="369" spans="1:7" x14ac:dyDescent="0.3">
      <c r="A369" t="s">
        <v>14</v>
      </c>
      <c r="B369" s="1">
        <v>45930</v>
      </c>
      <c r="C369">
        <v>400004</v>
      </c>
      <c r="D369">
        <v>-134689.81599999999</v>
      </c>
      <c r="E369" t="s">
        <v>6</v>
      </c>
      <c r="F369" t="s">
        <v>50</v>
      </c>
      <c r="G369" t="s">
        <v>8</v>
      </c>
    </row>
    <row r="370" spans="1:7" x14ac:dyDescent="0.3">
      <c r="A370" t="s">
        <v>14</v>
      </c>
      <c r="B370" s="1">
        <v>45930</v>
      </c>
      <c r="C370">
        <v>400008</v>
      </c>
      <c r="D370">
        <v>-719.84400000000005</v>
      </c>
      <c r="E370" t="s">
        <v>6</v>
      </c>
      <c r="F370" t="s">
        <v>50</v>
      </c>
      <c r="G370" t="s">
        <v>8</v>
      </c>
    </row>
    <row r="371" spans="1:7" x14ac:dyDescent="0.3">
      <c r="A371" t="s">
        <v>14</v>
      </c>
      <c r="B371" s="1">
        <v>45930</v>
      </c>
      <c r="C371">
        <v>410002</v>
      </c>
      <c r="D371">
        <v>-4896.6229999999996</v>
      </c>
      <c r="E371" t="s">
        <v>6</v>
      </c>
      <c r="F371" t="s">
        <v>51</v>
      </c>
      <c r="G371" t="s">
        <v>8</v>
      </c>
    </row>
    <row r="372" spans="1:7" x14ac:dyDescent="0.3">
      <c r="A372" t="s">
        <v>14</v>
      </c>
      <c r="B372" s="1">
        <v>45930</v>
      </c>
      <c r="C372">
        <v>410005</v>
      </c>
      <c r="D372">
        <v>-9370.134</v>
      </c>
      <c r="E372" t="s">
        <v>6</v>
      </c>
      <c r="F372" t="s">
        <v>51</v>
      </c>
      <c r="G372" t="s">
        <v>8</v>
      </c>
    </row>
    <row r="373" spans="1:7" x14ac:dyDescent="0.3">
      <c r="A373" t="s">
        <v>14</v>
      </c>
      <c r="B373" s="1">
        <v>45930</v>
      </c>
      <c r="C373">
        <v>410009</v>
      </c>
      <c r="D373">
        <v>-4906.4049999999997</v>
      </c>
      <c r="E373" t="s">
        <v>6</v>
      </c>
      <c r="F373" t="s">
        <v>51</v>
      </c>
      <c r="G373" t="s">
        <v>8</v>
      </c>
    </row>
    <row r="374" spans="1:7" x14ac:dyDescent="0.3">
      <c r="A374" t="s">
        <v>14</v>
      </c>
      <c r="B374" s="1">
        <v>45930</v>
      </c>
      <c r="C374">
        <v>410032</v>
      </c>
      <c r="D374">
        <v>-2024.154</v>
      </c>
      <c r="E374" t="s">
        <v>6</v>
      </c>
      <c r="F374" t="s">
        <v>51</v>
      </c>
      <c r="G374" t="s">
        <v>8</v>
      </c>
    </row>
    <row r="375" spans="1:7" x14ac:dyDescent="0.3">
      <c r="A375" t="s">
        <v>14</v>
      </c>
      <c r="B375" s="1">
        <v>45930</v>
      </c>
      <c r="C375">
        <v>410036</v>
      </c>
      <c r="D375">
        <v>-5596.34</v>
      </c>
      <c r="E375" t="s">
        <v>6</v>
      </c>
      <c r="F375" t="s">
        <v>51</v>
      </c>
      <c r="G375" t="s">
        <v>8</v>
      </c>
    </row>
    <row r="376" spans="1:7" x14ac:dyDescent="0.3">
      <c r="A376" t="s">
        <v>14</v>
      </c>
      <c r="B376" s="1">
        <v>45930</v>
      </c>
      <c r="C376">
        <v>410037</v>
      </c>
      <c r="D376">
        <v>-4432.8130000000001</v>
      </c>
      <c r="E376" t="s">
        <v>6</v>
      </c>
      <c r="F376" t="s">
        <v>51</v>
      </c>
      <c r="G376" t="s">
        <v>8</v>
      </c>
    </row>
    <row r="377" spans="1:7" x14ac:dyDescent="0.3">
      <c r="A377" t="s">
        <v>14</v>
      </c>
      <c r="B377" s="1">
        <v>45930</v>
      </c>
      <c r="C377">
        <v>415002</v>
      </c>
      <c r="D377">
        <v>-48600.584000000003</v>
      </c>
      <c r="E377" t="s">
        <v>6</v>
      </c>
      <c r="F377" t="s">
        <v>50</v>
      </c>
      <c r="G377" t="s">
        <v>8</v>
      </c>
    </row>
    <row r="378" spans="1:7" x14ac:dyDescent="0.3">
      <c r="A378" t="s">
        <v>14</v>
      </c>
      <c r="B378" s="1">
        <v>45930</v>
      </c>
      <c r="C378">
        <v>415004</v>
      </c>
      <c r="D378">
        <v>-163505.70199999999</v>
      </c>
      <c r="E378" t="s">
        <v>6</v>
      </c>
      <c r="F378" t="s">
        <v>50</v>
      </c>
      <c r="G378" t="s">
        <v>8</v>
      </c>
    </row>
    <row r="379" spans="1:7" x14ac:dyDescent="0.3">
      <c r="A379" t="s">
        <v>14</v>
      </c>
      <c r="B379" s="1">
        <v>45930</v>
      </c>
      <c r="C379">
        <v>421002</v>
      </c>
      <c r="D379">
        <v>-2429.1190000000001</v>
      </c>
      <c r="E379" t="s">
        <v>6</v>
      </c>
      <c r="F379" t="s">
        <v>52</v>
      </c>
      <c r="G379" t="s">
        <v>8</v>
      </c>
    </row>
    <row r="380" spans="1:7" x14ac:dyDescent="0.3">
      <c r="A380" t="s">
        <v>14</v>
      </c>
      <c r="B380" s="1">
        <v>45930</v>
      </c>
      <c r="C380">
        <v>421003</v>
      </c>
      <c r="D380">
        <v>-11087.638000000001</v>
      </c>
      <c r="E380" t="s">
        <v>6</v>
      </c>
      <c r="F380" t="s">
        <v>52</v>
      </c>
      <c r="G380" t="s">
        <v>8</v>
      </c>
    </row>
    <row r="381" spans="1:7" x14ac:dyDescent="0.3">
      <c r="A381" t="s">
        <v>14</v>
      </c>
      <c r="B381" s="1">
        <v>45930</v>
      </c>
      <c r="C381">
        <v>421007</v>
      </c>
      <c r="D381">
        <v>-2658.2570000000001</v>
      </c>
      <c r="E381" t="s">
        <v>6</v>
      </c>
      <c r="F381" t="s">
        <v>52</v>
      </c>
      <c r="G381" t="s">
        <v>8</v>
      </c>
    </row>
    <row r="382" spans="1:7" x14ac:dyDescent="0.3">
      <c r="A382" t="s">
        <v>14</v>
      </c>
      <c r="B382" s="1">
        <v>45930</v>
      </c>
      <c r="C382">
        <v>510002</v>
      </c>
      <c r="D382">
        <v>43104.050999999999</v>
      </c>
      <c r="E382" t="s">
        <v>6</v>
      </c>
      <c r="F382" t="s">
        <v>53</v>
      </c>
      <c r="G382" t="s">
        <v>8</v>
      </c>
    </row>
    <row r="383" spans="1:7" x14ac:dyDescent="0.3">
      <c r="A383" t="s">
        <v>14</v>
      </c>
      <c r="B383" s="1">
        <v>45930</v>
      </c>
      <c r="C383">
        <v>510005</v>
      </c>
      <c r="D383">
        <v>644.60400000000004</v>
      </c>
      <c r="E383" t="s">
        <v>6</v>
      </c>
      <c r="F383" t="s">
        <v>53</v>
      </c>
      <c r="G383" t="s">
        <v>8</v>
      </c>
    </row>
    <row r="384" spans="1:7" x14ac:dyDescent="0.3">
      <c r="A384" t="s">
        <v>14</v>
      </c>
      <c r="B384" s="1">
        <v>45930</v>
      </c>
      <c r="C384">
        <v>510007</v>
      </c>
      <c r="D384">
        <v>-775.57299999999998</v>
      </c>
      <c r="E384" t="s">
        <v>6</v>
      </c>
      <c r="F384" t="s">
        <v>53</v>
      </c>
      <c r="G384" t="s">
        <v>8</v>
      </c>
    </row>
    <row r="385" spans="1:7" x14ac:dyDescent="0.3">
      <c r="A385" t="s">
        <v>14</v>
      </c>
      <c r="B385" s="1">
        <v>45930</v>
      </c>
      <c r="C385">
        <v>510015</v>
      </c>
      <c r="D385">
        <v>8260.7690000000002</v>
      </c>
      <c r="E385" t="s">
        <v>6</v>
      </c>
      <c r="F385" t="s">
        <v>53</v>
      </c>
      <c r="G385" t="s">
        <v>8</v>
      </c>
    </row>
    <row r="386" spans="1:7" x14ac:dyDescent="0.3">
      <c r="A386" t="s">
        <v>14</v>
      </c>
      <c r="B386" s="1">
        <v>45930</v>
      </c>
      <c r="C386">
        <v>510062</v>
      </c>
      <c r="D386">
        <v>1373.2139999999999</v>
      </c>
      <c r="E386" t="s">
        <v>6</v>
      </c>
      <c r="F386" t="s">
        <v>53</v>
      </c>
      <c r="G386" t="s">
        <v>8</v>
      </c>
    </row>
    <row r="387" spans="1:7" x14ac:dyDescent="0.3">
      <c r="A387" t="s">
        <v>14</v>
      </c>
      <c r="B387" s="1">
        <v>45930</v>
      </c>
      <c r="C387">
        <v>520020</v>
      </c>
      <c r="D387">
        <v>46.662999999999997</v>
      </c>
      <c r="E387" t="s">
        <v>6</v>
      </c>
      <c r="F387" t="s">
        <v>53</v>
      </c>
      <c r="G387" t="s">
        <v>8</v>
      </c>
    </row>
    <row r="388" spans="1:7" x14ac:dyDescent="0.3">
      <c r="A388" t="s">
        <v>14</v>
      </c>
      <c r="B388" s="1">
        <v>45930</v>
      </c>
      <c r="C388">
        <v>530012</v>
      </c>
      <c r="D388">
        <v>-9931.3719999999994</v>
      </c>
      <c r="E388" t="s">
        <v>6</v>
      </c>
      <c r="F388" t="s">
        <v>53</v>
      </c>
      <c r="G388" t="s">
        <v>8</v>
      </c>
    </row>
    <row r="389" spans="1:7" x14ac:dyDescent="0.3">
      <c r="A389" t="s">
        <v>14</v>
      </c>
      <c r="B389" s="1">
        <v>45930</v>
      </c>
      <c r="C389">
        <v>541008</v>
      </c>
      <c r="D389">
        <v>40.929000000000002</v>
      </c>
      <c r="E389" t="s">
        <v>6</v>
      </c>
      <c r="F389" t="s">
        <v>61</v>
      </c>
      <c r="G389" t="s">
        <v>8</v>
      </c>
    </row>
    <row r="390" spans="1:7" x14ac:dyDescent="0.3">
      <c r="A390" t="s">
        <v>14</v>
      </c>
      <c r="B390" s="1">
        <v>45930</v>
      </c>
      <c r="C390">
        <v>541009</v>
      </c>
      <c r="D390">
        <v>234.08799999999999</v>
      </c>
      <c r="E390" t="s">
        <v>6</v>
      </c>
      <c r="F390" t="s">
        <v>61</v>
      </c>
      <c r="G390" t="s">
        <v>8</v>
      </c>
    </row>
    <row r="391" spans="1:7" x14ac:dyDescent="0.3">
      <c r="A391" t="s">
        <v>14</v>
      </c>
      <c r="B391" s="1">
        <v>45930</v>
      </c>
      <c r="C391">
        <v>541010</v>
      </c>
      <c r="D391">
        <v>543.57500000000005</v>
      </c>
      <c r="E391" t="s">
        <v>6</v>
      </c>
      <c r="F391" t="s">
        <v>61</v>
      </c>
      <c r="G391" t="s">
        <v>8</v>
      </c>
    </row>
    <row r="392" spans="1:7" x14ac:dyDescent="0.3">
      <c r="A392" t="s">
        <v>14</v>
      </c>
      <c r="B392" s="1">
        <v>45930</v>
      </c>
      <c r="C392">
        <v>544003</v>
      </c>
      <c r="D392">
        <v>59.369</v>
      </c>
      <c r="E392" t="s">
        <v>6</v>
      </c>
      <c r="F392" t="s">
        <v>61</v>
      </c>
      <c r="G392" t="s">
        <v>8</v>
      </c>
    </row>
    <row r="393" spans="1:7" x14ac:dyDescent="0.3">
      <c r="A393" t="s">
        <v>14</v>
      </c>
      <c r="B393" s="1">
        <v>45930</v>
      </c>
      <c r="C393">
        <v>544006</v>
      </c>
      <c r="D393">
        <v>-4980.0290000000005</v>
      </c>
      <c r="E393" t="s">
        <v>6</v>
      </c>
      <c r="F393" t="s">
        <v>61</v>
      </c>
      <c r="G393" t="s">
        <v>8</v>
      </c>
    </row>
    <row r="394" spans="1:7" x14ac:dyDescent="0.3">
      <c r="A394" t="s">
        <v>14</v>
      </c>
      <c r="B394" s="1">
        <v>45930</v>
      </c>
      <c r="C394">
        <v>546002</v>
      </c>
      <c r="D394">
        <v>262412.03399999999</v>
      </c>
      <c r="E394" t="s">
        <v>6</v>
      </c>
      <c r="F394" t="s">
        <v>51</v>
      </c>
      <c r="G394" t="s">
        <v>8</v>
      </c>
    </row>
    <row r="395" spans="1:7" x14ac:dyDescent="0.3">
      <c r="A395" t="s">
        <v>14</v>
      </c>
      <c r="B395" s="1">
        <v>45930</v>
      </c>
      <c r="C395">
        <v>546008</v>
      </c>
      <c r="D395">
        <v>5682.3339999999998</v>
      </c>
      <c r="E395" t="s">
        <v>6</v>
      </c>
      <c r="F395" t="s">
        <v>51</v>
      </c>
      <c r="G395" t="s">
        <v>8</v>
      </c>
    </row>
    <row r="396" spans="1:7" x14ac:dyDescent="0.3">
      <c r="A396" t="s">
        <v>14</v>
      </c>
      <c r="B396" s="1">
        <v>45930</v>
      </c>
      <c r="C396">
        <v>546013</v>
      </c>
      <c r="D396">
        <v>7522.9390000000003</v>
      </c>
      <c r="E396" t="s">
        <v>6</v>
      </c>
      <c r="F396" t="s">
        <v>51</v>
      </c>
      <c r="G396" t="s">
        <v>8</v>
      </c>
    </row>
    <row r="397" spans="1:7" x14ac:dyDescent="0.3">
      <c r="A397" t="s">
        <v>14</v>
      </c>
      <c r="B397" s="1">
        <v>45930</v>
      </c>
      <c r="C397">
        <v>546035</v>
      </c>
      <c r="D397">
        <v>1622.7460000000001</v>
      </c>
      <c r="E397" t="s">
        <v>6</v>
      </c>
      <c r="F397" t="s">
        <v>51</v>
      </c>
      <c r="G397" t="s">
        <v>8</v>
      </c>
    </row>
    <row r="398" spans="1:7" x14ac:dyDescent="0.3">
      <c r="A398" t="s">
        <v>14</v>
      </c>
      <c r="B398" s="1">
        <v>45930</v>
      </c>
      <c r="C398">
        <v>547002</v>
      </c>
      <c r="D398">
        <v>-1714.854</v>
      </c>
      <c r="E398" t="s">
        <v>6</v>
      </c>
      <c r="F398" t="s">
        <v>54</v>
      </c>
      <c r="G398" t="s">
        <v>8</v>
      </c>
    </row>
    <row r="399" spans="1:7" x14ac:dyDescent="0.3">
      <c r="A399" t="s">
        <v>14</v>
      </c>
      <c r="B399" s="1">
        <v>45930</v>
      </c>
      <c r="C399">
        <v>550003</v>
      </c>
      <c r="D399">
        <v>-2359.0740000000001</v>
      </c>
      <c r="E399" t="s">
        <v>6</v>
      </c>
      <c r="F399" t="s">
        <v>62</v>
      </c>
      <c r="G399" t="s">
        <v>8</v>
      </c>
    </row>
    <row r="400" spans="1:7" x14ac:dyDescent="0.3">
      <c r="A400" t="s">
        <v>14</v>
      </c>
      <c r="B400" s="1">
        <v>45930</v>
      </c>
      <c r="C400">
        <v>551003</v>
      </c>
      <c r="D400">
        <v>2605.029</v>
      </c>
      <c r="E400" t="s">
        <v>6</v>
      </c>
      <c r="F400" t="s">
        <v>63</v>
      </c>
      <c r="G400" t="s">
        <v>8</v>
      </c>
    </row>
    <row r="401" spans="1:7" x14ac:dyDescent="0.3">
      <c r="A401" t="s">
        <v>14</v>
      </c>
      <c r="B401" s="1">
        <v>45930</v>
      </c>
      <c r="C401">
        <v>552502</v>
      </c>
      <c r="D401">
        <v>340.07299999999998</v>
      </c>
      <c r="E401" t="s">
        <v>6</v>
      </c>
      <c r="F401" t="s">
        <v>55</v>
      </c>
      <c r="G401" t="s">
        <v>8</v>
      </c>
    </row>
    <row r="402" spans="1:7" x14ac:dyDescent="0.3">
      <c r="A402" t="s">
        <v>14</v>
      </c>
      <c r="B402" s="1">
        <v>45930</v>
      </c>
      <c r="C402">
        <v>554005</v>
      </c>
      <c r="D402">
        <v>677.53700000000003</v>
      </c>
      <c r="E402" t="s">
        <v>6</v>
      </c>
      <c r="F402" t="s">
        <v>55</v>
      </c>
      <c r="G402" t="s">
        <v>8</v>
      </c>
    </row>
    <row r="403" spans="1:7" x14ac:dyDescent="0.3">
      <c r="A403" t="s">
        <v>14</v>
      </c>
      <c r="B403" s="1">
        <v>45930</v>
      </c>
      <c r="C403">
        <v>554008</v>
      </c>
      <c r="D403">
        <v>73.38</v>
      </c>
      <c r="E403" t="s">
        <v>6</v>
      </c>
      <c r="F403" t="s">
        <v>55</v>
      </c>
      <c r="G403" t="s">
        <v>8</v>
      </c>
    </row>
    <row r="404" spans="1:7" x14ac:dyDescent="0.3">
      <c r="A404" t="s">
        <v>14</v>
      </c>
      <c r="B404" s="1">
        <v>45930</v>
      </c>
      <c r="C404">
        <v>555004</v>
      </c>
      <c r="D404">
        <v>92.736999999999995</v>
      </c>
      <c r="E404" t="s">
        <v>6</v>
      </c>
      <c r="F404" t="s">
        <v>55</v>
      </c>
      <c r="G404" t="s">
        <v>8</v>
      </c>
    </row>
    <row r="405" spans="1:7" x14ac:dyDescent="0.3">
      <c r="A405" t="s">
        <v>14</v>
      </c>
      <c r="B405" s="1">
        <v>45930</v>
      </c>
      <c r="C405">
        <v>555007</v>
      </c>
      <c r="D405">
        <v>240.53200000000001</v>
      </c>
      <c r="E405" t="s">
        <v>6</v>
      </c>
      <c r="F405" t="s">
        <v>55</v>
      </c>
      <c r="G405" t="s">
        <v>8</v>
      </c>
    </row>
    <row r="406" spans="1:7" x14ac:dyDescent="0.3">
      <c r="A406" t="s">
        <v>14</v>
      </c>
      <c r="B406" s="1">
        <v>45930</v>
      </c>
      <c r="C406">
        <v>555508</v>
      </c>
      <c r="D406">
        <v>62.064999999999998</v>
      </c>
      <c r="E406" t="s">
        <v>6</v>
      </c>
      <c r="F406" t="s">
        <v>55</v>
      </c>
      <c r="G406" t="s">
        <v>8</v>
      </c>
    </row>
    <row r="407" spans="1:7" x14ac:dyDescent="0.3">
      <c r="A407" t="s">
        <v>14</v>
      </c>
      <c r="B407" s="1">
        <v>45930</v>
      </c>
      <c r="C407">
        <v>556002</v>
      </c>
      <c r="D407">
        <v>581.09900000000005</v>
      </c>
      <c r="E407" t="s">
        <v>6</v>
      </c>
      <c r="F407" t="s">
        <v>60</v>
      </c>
      <c r="G407" t="s">
        <v>8</v>
      </c>
    </row>
    <row r="408" spans="1:7" x14ac:dyDescent="0.3">
      <c r="A408" t="s">
        <v>14</v>
      </c>
      <c r="B408" s="1">
        <v>45930</v>
      </c>
      <c r="C408">
        <v>556003</v>
      </c>
      <c r="D408">
        <v>20.827999999999999</v>
      </c>
      <c r="E408" t="s">
        <v>6</v>
      </c>
      <c r="F408" t="s">
        <v>55</v>
      </c>
      <c r="G408" t="s">
        <v>8</v>
      </c>
    </row>
    <row r="409" spans="1:7" x14ac:dyDescent="0.3">
      <c r="A409" t="s">
        <v>14</v>
      </c>
      <c r="B409" s="1">
        <v>45930</v>
      </c>
      <c r="C409">
        <v>556004</v>
      </c>
      <c r="D409">
        <v>11.2</v>
      </c>
      <c r="E409" t="s">
        <v>6</v>
      </c>
      <c r="F409" t="s">
        <v>55</v>
      </c>
      <c r="G409" t="s">
        <v>8</v>
      </c>
    </row>
    <row r="410" spans="1:7" x14ac:dyDescent="0.3">
      <c r="A410" t="s">
        <v>14</v>
      </c>
      <c r="B410" s="1">
        <v>45930</v>
      </c>
      <c r="C410">
        <v>557002</v>
      </c>
      <c r="D410">
        <v>2133.5279999999998</v>
      </c>
      <c r="E410" t="s">
        <v>6</v>
      </c>
      <c r="F410" t="s">
        <v>56</v>
      </c>
      <c r="G410" t="s">
        <v>8</v>
      </c>
    </row>
    <row r="411" spans="1:7" x14ac:dyDescent="0.3">
      <c r="A411" t="s">
        <v>14</v>
      </c>
      <c r="B411" s="1">
        <v>45930</v>
      </c>
      <c r="C411">
        <v>557003</v>
      </c>
      <c r="D411">
        <v>527.83299999999997</v>
      </c>
      <c r="E411" t="s">
        <v>6</v>
      </c>
      <c r="F411" t="s">
        <v>56</v>
      </c>
      <c r="G411" t="s">
        <v>8</v>
      </c>
    </row>
    <row r="412" spans="1:7" x14ac:dyDescent="0.3">
      <c r="A412" t="s">
        <v>14</v>
      </c>
      <c r="B412" s="1">
        <v>45930</v>
      </c>
      <c r="C412">
        <v>558012</v>
      </c>
      <c r="D412">
        <v>7.0469999999999997</v>
      </c>
      <c r="E412" t="s">
        <v>6</v>
      </c>
      <c r="F412" t="s">
        <v>60</v>
      </c>
      <c r="G412" t="s">
        <v>8</v>
      </c>
    </row>
    <row r="413" spans="1:7" x14ac:dyDescent="0.3">
      <c r="A413" t="s">
        <v>14</v>
      </c>
      <c r="B413" s="1">
        <v>45930</v>
      </c>
      <c r="C413">
        <v>563002</v>
      </c>
      <c r="D413">
        <v>-775.36099999999999</v>
      </c>
      <c r="E413" t="s">
        <v>6</v>
      </c>
      <c r="F413" t="s">
        <v>57</v>
      </c>
      <c r="G413" t="s">
        <v>8</v>
      </c>
    </row>
    <row r="414" spans="1:7" x14ac:dyDescent="0.3">
      <c r="A414" t="s">
        <v>14</v>
      </c>
      <c r="B414" s="1">
        <v>45930</v>
      </c>
      <c r="C414">
        <v>564004</v>
      </c>
      <c r="D414">
        <v>2989.9949999999999</v>
      </c>
      <c r="E414" t="s">
        <v>6</v>
      </c>
      <c r="F414" t="s">
        <v>51</v>
      </c>
      <c r="G414" t="s">
        <v>8</v>
      </c>
    </row>
    <row r="415" spans="1:7" x14ac:dyDescent="0.3">
      <c r="A415" t="s">
        <v>14</v>
      </c>
      <c r="B415" s="1">
        <v>45930</v>
      </c>
      <c r="C415">
        <v>564006</v>
      </c>
      <c r="D415">
        <v>5.7000000000000002E-2</v>
      </c>
      <c r="E415" t="s">
        <v>6</v>
      </c>
      <c r="F415" t="s">
        <v>57</v>
      </c>
      <c r="G415" t="s">
        <v>8</v>
      </c>
    </row>
    <row r="416" spans="1:7" x14ac:dyDescent="0.3">
      <c r="A416" t="s">
        <v>14</v>
      </c>
      <c r="B416" s="1">
        <v>45930</v>
      </c>
      <c r="C416">
        <v>564007</v>
      </c>
      <c r="D416">
        <v>-513.005</v>
      </c>
      <c r="E416" t="s">
        <v>6</v>
      </c>
      <c r="F416" t="s">
        <v>57</v>
      </c>
      <c r="G416" t="s">
        <v>8</v>
      </c>
    </row>
    <row r="417" spans="1:7" x14ac:dyDescent="0.3">
      <c r="A417" t="s">
        <v>14</v>
      </c>
      <c r="B417" s="1">
        <v>45930</v>
      </c>
      <c r="C417">
        <v>564008</v>
      </c>
      <c r="D417">
        <v>274.077</v>
      </c>
      <c r="E417" t="s">
        <v>6</v>
      </c>
      <c r="F417" t="s">
        <v>55</v>
      </c>
      <c r="G417" t="s">
        <v>8</v>
      </c>
    </row>
    <row r="418" spans="1:7" x14ac:dyDescent="0.3">
      <c r="A418" t="s">
        <v>14</v>
      </c>
      <c r="B418" s="1">
        <v>45930</v>
      </c>
      <c r="C418">
        <v>564020</v>
      </c>
      <c r="D418">
        <v>750.428</v>
      </c>
      <c r="E418" t="s">
        <v>6</v>
      </c>
      <c r="F418" t="s">
        <v>57</v>
      </c>
      <c r="G418" t="s">
        <v>8</v>
      </c>
    </row>
    <row r="419" spans="1:7" x14ac:dyDescent="0.3">
      <c r="A419" t="s">
        <v>14</v>
      </c>
      <c r="B419" s="1">
        <v>45930</v>
      </c>
      <c r="C419">
        <v>564021</v>
      </c>
      <c r="D419">
        <v>11.295999999999999</v>
      </c>
      <c r="E419" t="s">
        <v>6</v>
      </c>
      <c r="F419" t="s">
        <v>57</v>
      </c>
      <c r="G419" t="s">
        <v>8</v>
      </c>
    </row>
    <row r="420" spans="1:7" x14ac:dyDescent="0.3">
      <c r="A420" t="s">
        <v>14</v>
      </c>
      <c r="B420" s="1">
        <v>45930</v>
      </c>
      <c r="C420">
        <v>564023</v>
      </c>
      <c r="D420">
        <v>178.197</v>
      </c>
      <c r="E420" t="s">
        <v>6</v>
      </c>
      <c r="F420" t="s">
        <v>67</v>
      </c>
      <c r="G420" t="s">
        <v>8</v>
      </c>
    </row>
    <row r="421" spans="1:7" x14ac:dyDescent="0.3">
      <c r="A421" t="s">
        <v>14</v>
      </c>
      <c r="B421" s="1">
        <v>45930</v>
      </c>
      <c r="C421">
        <v>570002</v>
      </c>
      <c r="D421">
        <v>166.92699999999999</v>
      </c>
      <c r="E421" t="s">
        <v>6</v>
      </c>
      <c r="F421" t="s">
        <v>66</v>
      </c>
      <c r="G421" t="s">
        <v>8</v>
      </c>
    </row>
    <row r="422" spans="1:7" x14ac:dyDescent="0.3">
      <c r="A422" t="s">
        <v>14</v>
      </c>
      <c r="B422" s="1">
        <v>45930</v>
      </c>
      <c r="C422">
        <v>580002</v>
      </c>
      <c r="D422">
        <v>21774.144</v>
      </c>
      <c r="E422" t="s">
        <v>6</v>
      </c>
      <c r="F422" t="s">
        <v>64</v>
      </c>
      <c r="G422" t="s">
        <v>8</v>
      </c>
    </row>
    <row r="423" spans="1:7" x14ac:dyDescent="0.3">
      <c r="A423" t="s">
        <v>14</v>
      </c>
      <c r="B423" s="1">
        <v>45930</v>
      </c>
      <c r="C423">
        <v>580005</v>
      </c>
      <c r="D423">
        <v>-11413.3</v>
      </c>
      <c r="E423" t="s">
        <v>6</v>
      </c>
      <c r="F423" t="s">
        <v>64</v>
      </c>
      <c r="G423" t="s">
        <v>8</v>
      </c>
    </row>
    <row r="424" spans="1:7" x14ac:dyDescent="0.3">
      <c r="A424" t="s">
        <v>15</v>
      </c>
      <c r="B424" s="1">
        <v>45930</v>
      </c>
      <c r="C424">
        <v>210002</v>
      </c>
      <c r="D424">
        <v>-843836.80799999996</v>
      </c>
      <c r="E424" t="s">
        <v>4</v>
      </c>
      <c r="F424" t="s">
        <v>42</v>
      </c>
      <c r="G424" t="s">
        <v>5</v>
      </c>
    </row>
    <row r="425" spans="1:7" x14ac:dyDescent="0.3">
      <c r="A425" t="s">
        <v>15</v>
      </c>
      <c r="B425" s="1">
        <v>45930</v>
      </c>
      <c r="C425">
        <v>220002</v>
      </c>
      <c r="D425">
        <v>-528.12400000000002</v>
      </c>
      <c r="E425" t="s">
        <v>4</v>
      </c>
      <c r="F425" t="s">
        <v>42</v>
      </c>
      <c r="G425" t="s">
        <v>5</v>
      </c>
    </row>
    <row r="426" spans="1:7" x14ac:dyDescent="0.3">
      <c r="A426" t="s">
        <v>15</v>
      </c>
      <c r="B426" s="1">
        <v>45930</v>
      </c>
      <c r="C426">
        <v>220005</v>
      </c>
      <c r="D426">
        <v>-950627.59299999999</v>
      </c>
      <c r="E426" t="s">
        <v>4</v>
      </c>
      <c r="F426" t="s">
        <v>42</v>
      </c>
      <c r="G426" t="s">
        <v>5</v>
      </c>
    </row>
    <row r="427" spans="1:7" x14ac:dyDescent="0.3">
      <c r="A427" t="s">
        <v>15</v>
      </c>
      <c r="B427" s="1">
        <v>45930</v>
      </c>
      <c r="C427">
        <v>220006</v>
      </c>
      <c r="D427">
        <v>-13990284.411</v>
      </c>
      <c r="E427" t="s">
        <v>4</v>
      </c>
      <c r="F427" t="s">
        <v>42</v>
      </c>
      <c r="G427" t="s">
        <v>5</v>
      </c>
    </row>
    <row r="428" spans="1:7" x14ac:dyDescent="0.3">
      <c r="A428" t="s">
        <v>15</v>
      </c>
      <c r="B428" s="1">
        <v>45930</v>
      </c>
      <c r="C428">
        <v>220008</v>
      </c>
      <c r="D428">
        <v>-79666.899999999994</v>
      </c>
      <c r="E428" t="s">
        <v>4</v>
      </c>
      <c r="F428" t="s">
        <v>42</v>
      </c>
      <c r="G428" t="s">
        <v>5</v>
      </c>
    </row>
    <row r="429" spans="1:7" x14ac:dyDescent="0.3">
      <c r="A429" t="s">
        <v>15</v>
      </c>
      <c r="B429" s="1">
        <v>45930</v>
      </c>
      <c r="C429">
        <v>220010</v>
      </c>
      <c r="D429">
        <v>170059.99799999999</v>
      </c>
      <c r="E429" t="s">
        <v>4</v>
      </c>
      <c r="F429" t="s">
        <v>42</v>
      </c>
      <c r="G429" t="s">
        <v>5</v>
      </c>
    </row>
    <row r="430" spans="1:7" x14ac:dyDescent="0.3">
      <c r="A430" t="s">
        <v>15</v>
      </c>
      <c r="B430" s="1">
        <v>45930</v>
      </c>
      <c r="C430">
        <v>220012</v>
      </c>
      <c r="D430">
        <v>-86180</v>
      </c>
      <c r="E430" t="s">
        <v>4</v>
      </c>
      <c r="F430" t="s">
        <v>42</v>
      </c>
      <c r="G430" t="s">
        <v>5</v>
      </c>
    </row>
    <row r="431" spans="1:7" x14ac:dyDescent="0.3">
      <c r="A431" t="s">
        <v>15</v>
      </c>
      <c r="B431" s="1">
        <v>45930</v>
      </c>
      <c r="C431">
        <v>220013</v>
      </c>
      <c r="D431">
        <v>-487309.511</v>
      </c>
      <c r="E431" t="s">
        <v>4</v>
      </c>
      <c r="F431" t="s">
        <v>42</v>
      </c>
      <c r="G431" t="s">
        <v>5</v>
      </c>
    </row>
    <row r="432" spans="1:7" x14ac:dyDescent="0.3">
      <c r="A432" t="s">
        <v>15</v>
      </c>
      <c r="B432" s="1">
        <v>45930</v>
      </c>
      <c r="C432">
        <v>220014</v>
      </c>
      <c r="D432">
        <v>227805.83499999999</v>
      </c>
      <c r="E432" t="s">
        <v>4</v>
      </c>
      <c r="F432" t="s">
        <v>42</v>
      </c>
      <c r="G432" t="s">
        <v>5</v>
      </c>
    </row>
    <row r="433" spans="1:7" x14ac:dyDescent="0.3">
      <c r="A433" t="s">
        <v>15</v>
      </c>
      <c r="B433" s="1">
        <v>45930</v>
      </c>
      <c r="C433">
        <v>220015</v>
      </c>
      <c r="D433">
        <v>-66849.388000000006</v>
      </c>
      <c r="E433" t="s">
        <v>4</v>
      </c>
      <c r="F433" t="s">
        <v>42</v>
      </c>
      <c r="G433" t="s">
        <v>5</v>
      </c>
    </row>
    <row r="434" spans="1:7" x14ac:dyDescent="0.3">
      <c r="A434" t="s">
        <v>15</v>
      </c>
      <c r="B434" s="1">
        <v>45930</v>
      </c>
      <c r="C434">
        <v>234003</v>
      </c>
      <c r="D434">
        <v>-1597846.5160000001</v>
      </c>
      <c r="E434" t="s">
        <v>4</v>
      </c>
      <c r="F434" t="s">
        <v>43</v>
      </c>
      <c r="G434" t="s">
        <v>5</v>
      </c>
    </row>
    <row r="435" spans="1:7" x14ac:dyDescent="0.3">
      <c r="A435" t="s">
        <v>15</v>
      </c>
      <c r="B435" s="1">
        <v>45930</v>
      </c>
      <c r="C435">
        <v>234004</v>
      </c>
      <c r="D435">
        <v>-6306.7370000000001</v>
      </c>
      <c r="E435" t="s">
        <v>4</v>
      </c>
      <c r="F435" t="s">
        <v>43</v>
      </c>
      <c r="G435" t="s">
        <v>5</v>
      </c>
    </row>
    <row r="436" spans="1:7" x14ac:dyDescent="0.3">
      <c r="A436" t="s">
        <v>15</v>
      </c>
      <c r="B436" s="1">
        <v>45930</v>
      </c>
      <c r="C436">
        <v>240002</v>
      </c>
      <c r="D436">
        <v>-221327.09099999999</v>
      </c>
      <c r="E436" t="s">
        <v>4</v>
      </c>
      <c r="F436" t="s">
        <v>43</v>
      </c>
      <c r="G436" t="s">
        <v>5</v>
      </c>
    </row>
    <row r="437" spans="1:7" x14ac:dyDescent="0.3">
      <c r="A437" t="s">
        <v>15</v>
      </c>
      <c r="B437" s="1">
        <v>45930</v>
      </c>
      <c r="C437">
        <v>240003</v>
      </c>
      <c r="D437">
        <v>376.80900000000003</v>
      </c>
      <c r="E437" t="s">
        <v>4</v>
      </c>
      <c r="F437" t="s">
        <v>43</v>
      </c>
      <c r="G437" t="s">
        <v>5</v>
      </c>
    </row>
    <row r="438" spans="1:7" x14ac:dyDescent="0.3">
      <c r="A438" t="s">
        <v>15</v>
      </c>
      <c r="B438" s="1">
        <v>45930</v>
      </c>
      <c r="C438">
        <v>240005</v>
      </c>
      <c r="D438">
        <v>3310.4070000000002</v>
      </c>
      <c r="E438" t="s">
        <v>4</v>
      </c>
      <c r="F438" t="s">
        <v>49</v>
      </c>
      <c r="G438" t="s">
        <v>5</v>
      </c>
    </row>
    <row r="439" spans="1:7" x14ac:dyDescent="0.3">
      <c r="A439" t="s">
        <v>15</v>
      </c>
      <c r="B439" s="1">
        <v>45930</v>
      </c>
      <c r="C439">
        <v>240009</v>
      </c>
      <c r="D439">
        <v>3623.105</v>
      </c>
      <c r="E439" t="s">
        <v>4</v>
      </c>
      <c r="F439" t="s">
        <v>43</v>
      </c>
      <c r="G439" t="s">
        <v>5</v>
      </c>
    </row>
    <row r="440" spans="1:7" x14ac:dyDescent="0.3">
      <c r="A440" t="s">
        <v>15</v>
      </c>
      <c r="B440" s="1">
        <v>45930</v>
      </c>
      <c r="C440">
        <v>240010</v>
      </c>
      <c r="D440">
        <v>-20101.347000000002</v>
      </c>
      <c r="E440" t="s">
        <v>4</v>
      </c>
      <c r="F440" t="s">
        <v>43</v>
      </c>
      <c r="G440" t="s">
        <v>5</v>
      </c>
    </row>
    <row r="441" spans="1:7" x14ac:dyDescent="0.3">
      <c r="A441" t="s">
        <v>15</v>
      </c>
      <c r="B441" s="1">
        <v>45930</v>
      </c>
      <c r="C441">
        <v>240011</v>
      </c>
      <c r="D441">
        <v>-181.25399999999999</v>
      </c>
      <c r="E441" t="s">
        <v>4</v>
      </c>
      <c r="F441" t="s">
        <v>43</v>
      </c>
      <c r="G441" t="s">
        <v>5</v>
      </c>
    </row>
    <row r="442" spans="1:7" x14ac:dyDescent="0.3">
      <c r="A442" t="s">
        <v>15</v>
      </c>
      <c r="B442" s="1">
        <v>45930</v>
      </c>
      <c r="C442">
        <v>242018</v>
      </c>
      <c r="D442">
        <v>-20503.05</v>
      </c>
      <c r="E442" t="s">
        <v>4</v>
      </c>
      <c r="F442" t="s">
        <v>43</v>
      </c>
      <c r="G442" t="s">
        <v>5</v>
      </c>
    </row>
    <row r="443" spans="1:7" x14ac:dyDescent="0.3">
      <c r="A443" t="s">
        <v>15</v>
      </c>
      <c r="B443" s="1">
        <v>45930</v>
      </c>
      <c r="C443">
        <v>242041</v>
      </c>
      <c r="D443">
        <v>-1534.8009999999999</v>
      </c>
      <c r="E443" t="s">
        <v>4</v>
      </c>
      <c r="F443" t="s">
        <v>43</v>
      </c>
      <c r="G443" t="s">
        <v>5</v>
      </c>
    </row>
    <row r="444" spans="1:7" x14ac:dyDescent="0.3">
      <c r="A444" t="s">
        <v>15</v>
      </c>
      <c r="B444" s="1">
        <v>45930</v>
      </c>
      <c r="C444">
        <v>243002</v>
      </c>
      <c r="D444">
        <v>-863073.33799999999</v>
      </c>
      <c r="E444" t="s">
        <v>4</v>
      </c>
      <c r="F444" t="s">
        <v>43</v>
      </c>
      <c r="G444" t="s">
        <v>5</v>
      </c>
    </row>
    <row r="445" spans="1:7" x14ac:dyDescent="0.3">
      <c r="A445" t="s">
        <v>15</v>
      </c>
      <c r="B445" s="1">
        <v>45930</v>
      </c>
      <c r="C445">
        <v>243003</v>
      </c>
      <c r="D445">
        <v>-59273.877</v>
      </c>
      <c r="E445" t="s">
        <v>4</v>
      </c>
      <c r="F445" t="s">
        <v>43</v>
      </c>
      <c r="G445" t="s">
        <v>5</v>
      </c>
    </row>
    <row r="446" spans="1:7" x14ac:dyDescent="0.3">
      <c r="A446" t="s">
        <v>15</v>
      </c>
      <c r="B446" s="1">
        <v>45930</v>
      </c>
      <c r="C446">
        <v>243004</v>
      </c>
      <c r="D446">
        <v>-83652.070000000007</v>
      </c>
      <c r="E446" t="s">
        <v>4</v>
      </c>
      <c r="F446" t="s">
        <v>43</v>
      </c>
      <c r="G446" t="s">
        <v>5</v>
      </c>
    </row>
    <row r="447" spans="1:7" x14ac:dyDescent="0.3">
      <c r="A447" t="s">
        <v>15</v>
      </c>
      <c r="B447" s="1">
        <v>45930</v>
      </c>
      <c r="C447">
        <v>243005</v>
      </c>
      <c r="D447">
        <v>-12787.509</v>
      </c>
      <c r="E447" t="s">
        <v>4</v>
      </c>
      <c r="F447" t="s">
        <v>43</v>
      </c>
      <c r="G447" t="s">
        <v>5</v>
      </c>
    </row>
    <row r="448" spans="1:7" x14ac:dyDescent="0.3">
      <c r="A448" t="s">
        <v>15</v>
      </c>
      <c r="B448" s="1">
        <v>45930</v>
      </c>
      <c r="C448">
        <v>243009</v>
      </c>
      <c r="D448">
        <v>-22215.107</v>
      </c>
      <c r="E448" t="s">
        <v>4</v>
      </c>
      <c r="F448" t="s">
        <v>43</v>
      </c>
      <c r="G448" t="s">
        <v>5</v>
      </c>
    </row>
    <row r="449" spans="1:7" x14ac:dyDescent="0.3">
      <c r="A449" t="s">
        <v>15</v>
      </c>
      <c r="B449" s="1">
        <v>45930</v>
      </c>
      <c r="C449">
        <v>243010</v>
      </c>
      <c r="D449">
        <v>-61277.245999999999</v>
      </c>
      <c r="E449" t="s">
        <v>4</v>
      </c>
      <c r="F449" t="s">
        <v>43</v>
      </c>
      <c r="G449" t="s">
        <v>5</v>
      </c>
    </row>
    <row r="450" spans="1:7" x14ac:dyDescent="0.3">
      <c r="A450" t="s">
        <v>15</v>
      </c>
      <c r="B450" s="1">
        <v>45930</v>
      </c>
      <c r="C450">
        <v>245002</v>
      </c>
      <c r="D450">
        <v>-1571.087</v>
      </c>
      <c r="E450" t="s">
        <v>4</v>
      </c>
      <c r="F450" t="s">
        <v>43</v>
      </c>
      <c r="G450" t="s">
        <v>5</v>
      </c>
    </row>
    <row r="451" spans="1:7" x14ac:dyDescent="0.3">
      <c r="A451" t="s">
        <v>15</v>
      </c>
      <c r="B451" s="1">
        <v>45930</v>
      </c>
      <c r="C451">
        <v>245004</v>
      </c>
      <c r="D451">
        <v>550.55999999999995</v>
      </c>
      <c r="E451" t="s">
        <v>4</v>
      </c>
      <c r="F451" t="s">
        <v>43</v>
      </c>
      <c r="G451" t="s">
        <v>5</v>
      </c>
    </row>
    <row r="452" spans="1:7" x14ac:dyDescent="0.3">
      <c r="A452" t="s">
        <v>15</v>
      </c>
      <c r="B452" s="1">
        <v>45930</v>
      </c>
      <c r="C452">
        <v>245006</v>
      </c>
      <c r="D452">
        <v>-12.659000000000001</v>
      </c>
      <c r="E452" t="s">
        <v>4</v>
      </c>
      <c r="F452" t="s">
        <v>43</v>
      </c>
      <c r="G452" t="s">
        <v>5</v>
      </c>
    </row>
    <row r="453" spans="1:7" x14ac:dyDescent="0.3">
      <c r="A453" t="s">
        <v>15</v>
      </c>
      <c r="B453" s="1">
        <v>45930</v>
      </c>
      <c r="C453">
        <v>245010</v>
      </c>
      <c r="D453">
        <v>-412339.647</v>
      </c>
      <c r="E453" t="s">
        <v>4</v>
      </c>
      <c r="F453" t="s">
        <v>44</v>
      </c>
      <c r="G453" t="s">
        <v>5</v>
      </c>
    </row>
    <row r="454" spans="1:7" x14ac:dyDescent="0.3">
      <c r="A454" t="s">
        <v>15</v>
      </c>
      <c r="B454" s="1">
        <v>45930</v>
      </c>
      <c r="C454">
        <v>245015</v>
      </c>
      <c r="D454">
        <v>-20439.732</v>
      </c>
      <c r="E454" t="s">
        <v>4</v>
      </c>
      <c r="F454" t="s">
        <v>43</v>
      </c>
      <c r="G454" t="s">
        <v>5</v>
      </c>
    </row>
    <row r="455" spans="1:7" x14ac:dyDescent="0.3">
      <c r="A455" t="s">
        <v>15</v>
      </c>
      <c r="B455" s="1">
        <v>45930</v>
      </c>
      <c r="C455">
        <v>245017</v>
      </c>
      <c r="D455">
        <v>-6336.9359999999997</v>
      </c>
      <c r="E455" t="s">
        <v>4</v>
      </c>
      <c r="F455" t="s">
        <v>43</v>
      </c>
      <c r="G455" t="s">
        <v>5</v>
      </c>
    </row>
    <row r="456" spans="1:7" x14ac:dyDescent="0.3">
      <c r="A456" t="s">
        <v>15</v>
      </c>
      <c r="B456" s="1">
        <v>45930</v>
      </c>
      <c r="C456">
        <v>245018</v>
      </c>
      <c r="D456">
        <v>-92304.176000000007</v>
      </c>
      <c r="E456" t="s">
        <v>4</v>
      </c>
      <c r="F456" t="s">
        <v>43</v>
      </c>
      <c r="G456" t="s">
        <v>5</v>
      </c>
    </row>
    <row r="457" spans="1:7" x14ac:dyDescent="0.3">
      <c r="A457" t="s">
        <v>15</v>
      </c>
      <c r="B457" s="1">
        <v>45930</v>
      </c>
      <c r="C457">
        <v>245020</v>
      </c>
      <c r="D457">
        <v>-5843.0039999999999</v>
      </c>
      <c r="E457" t="s">
        <v>4</v>
      </c>
      <c r="F457" t="s">
        <v>44</v>
      </c>
      <c r="G457" t="s">
        <v>5</v>
      </c>
    </row>
    <row r="458" spans="1:7" x14ac:dyDescent="0.3">
      <c r="A458" t="s">
        <v>15</v>
      </c>
      <c r="B458" s="1">
        <v>45930</v>
      </c>
      <c r="C458">
        <v>245038</v>
      </c>
      <c r="D458">
        <v>-8467.5239999999994</v>
      </c>
      <c r="E458" t="s">
        <v>4</v>
      </c>
      <c r="F458" t="s">
        <v>45</v>
      </c>
      <c r="G458" t="s">
        <v>5</v>
      </c>
    </row>
    <row r="459" spans="1:7" x14ac:dyDescent="0.3">
      <c r="A459" t="s">
        <v>15</v>
      </c>
      <c r="B459" s="1">
        <v>45930</v>
      </c>
      <c r="C459">
        <v>245041</v>
      </c>
      <c r="D459">
        <v>-51240.428</v>
      </c>
      <c r="E459" t="s">
        <v>4</v>
      </c>
      <c r="F459" t="s">
        <v>43</v>
      </c>
      <c r="G459" t="s">
        <v>5</v>
      </c>
    </row>
    <row r="460" spans="1:7" x14ac:dyDescent="0.3">
      <c r="A460" t="s">
        <v>15</v>
      </c>
      <c r="B460" s="1">
        <v>45930</v>
      </c>
      <c r="C460">
        <v>245050</v>
      </c>
      <c r="D460">
        <v>-54918.873</v>
      </c>
      <c r="E460" t="s">
        <v>4</v>
      </c>
      <c r="F460" t="s">
        <v>43</v>
      </c>
      <c r="G460" t="s">
        <v>5</v>
      </c>
    </row>
    <row r="461" spans="1:7" x14ac:dyDescent="0.3">
      <c r="A461" t="s">
        <v>15</v>
      </c>
      <c r="B461" s="1">
        <v>45930</v>
      </c>
      <c r="C461">
        <v>245055</v>
      </c>
      <c r="D461">
        <v>-24370.223000000002</v>
      </c>
      <c r="E461" t="s">
        <v>4</v>
      </c>
      <c r="F461" t="s">
        <v>43</v>
      </c>
      <c r="G461" t="s">
        <v>5</v>
      </c>
    </row>
    <row r="462" spans="1:7" x14ac:dyDescent="0.3">
      <c r="A462" t="s">
        <v>15</v>
      </c>
      <c r="B462" s="1">
        <v>45930</v>
      </c>
      <c r="C462">
        <v>245056</v>
      </c>
      <c r="D462">
        <v>-9094.16</v>
      </c>
      <c r="E462" t="s">
        <v>4</v>
      </c>
      <c r="F462" t="s">
        <v>49</v>
      </c>
      <c r="G462" t="s">
        <v>5</v>
      </c>
    </row>
    <row r="463" spans="1:7" x14ac:dyDescent="0.3">
      <c r="A463" t="s">
        <v>15</v>
      </c>
      <c r="B463" s="1">
        <v>45930</v>
      </c>
      <c r="C463">
        <v>245057</v>
      </c>
      <c r="D463">
        <v>-36071.523000000001</v>
      </c>
      <c r="E463" t="s">
        <v>4</v>
      </c>
      <c r="F463" t="s">
        <v>43</v>
      </c>
      <c r="G463" t="s">
        <v>5</v>
      </c>
    </row>
    <row r="464" spans="1:7" x14ac:dyDescent="0.3">
      <c r="A464" t="s">
        <v>15</v>
      </c>
      <c r="B464" s="1">
        <v>45930</v>
      </c>
      <c r="C464">
        <v>245059</v>
      </c>
      <c r="D464">
        <v>-548.56399999999996</v>
      </c>
      <c r="E464" t="s">
        <v>4</v>
      </c>
      <c r="F464" t="s">
        <v>43</v>
      </c>
      <c r="G464" t="s">
        <v>5</v>
      </c>
    </row>
    <row r="465" spans="1:7" x14ac:dyDescent="0.3">
      <c r="A465" t="s">
        <v>15</v>
      </c>
      <c r="B465" s="1">
        <v>45930</v>
      </c>
      <c r="C465">
        <v>245061</v>
      </c>
      <c r="D465">
        <v>-8510.5</v>
      </c>
      <c r="E465" t="s">
        <v>4</v>
      </c>
      <c r="F465" t="s">
        <v>43</v>
      </c>
      <c r="G465" t="s">
        <v>5</v>
      </c>
    </row>
    <row r="466" spans="1:7" x14ac:dyDescent="0.3">
      <c r="A466" t="s">
        <v>15</v>
      </c>
      <c r="B466" s="1">
        <v>45930</v>
      </c>
      <c r="C466">
        <v>245062</v>
      </c>
      <c r="D466">
        <v>-487649.20600000001</v>
      </c>
      <c r="E466" t="s">
        <v>4</v>
      </c>
      <c r="F466" t="s">
        <v>43</v>
      </c>
      <c r="G466" t="s">
        <v>5</v>
      </c>
    </row>
    <row r="467" spans="1:7" x14ac:dyDescent="0.3">
      <c r="A467" t="s">
        <v>15</v>
      </c>
      <c r="B467" s="1">
        <v>45930</v>
      </c>
      <c r="C467">
        <v>249002</v>
      </c>
      <c r="D467">
        <v>-976298.58700000006</v>
      </c>
      <c r="E467" t="s">
        <v>4</v>
      </c>
      <c r="F467" t="s">
        <v>44</v>
      </c>
      <c r="G467" t="s">
        <v>5</v>
      </c>
    </row>
    <row r="468" spans="1:7" x14ac:dyDescent="0.3">
      <c r="A468" t="s">
        <v>15</v>
      </c>
      <c r="B468" s="1">
        <v>45930</v>
      </c>
      <c r="C468">
        <v>249003</v>
      </c>
      <c r="D468">
        <v>-71998.902000000002</v>
      </c>
      <c r="E468" t="s">
        <v>4</v>
      </c>
      <c r="F468" t="s">
        <v>44</v>
      </c>
      <c r="G468" t="s">
        <v>5</v>
      </c>
    </row>
    <row r="469" spans="1:7" x14ac:dyDescent="0.3">
      <c r="A469" t="s">
        <v>15</v>
      </c>
      <c r="B469" s="1">
        <v>45930</v>
      </c>
      <c r="C469">
        <v>249004</v>
      </c>
      <c r="D469">
        <v>12137.156000000001</v>
      </c>
      <c r="E469" t="s">
        <v>4</v>
      </c>
      <c r="F469" t="s">
        <v>44</v>
      </c>
      <c r="G469" t="s">
        <v>5</v>
      </c>
    </row>
    <row r="470" spans="1:7" x14ac:dyDescent="0.3">
      <c r="A470" t="s">
        <v>15</v>
      </c>
      <c r="B470" s="1">
        <v>45930</v>
      </c>
      <c r="C470">
        <v>250003</v>
      </c>
      <c r="D470">
        <v>-18919.984</v>
      </c>
      <c r="E470" t="s">
        <v>4</v>
      </c>
      <c r="F470" t="s">
        <v>45</v>
      </c>
      <c r="G470" t="s">
        <v>5</v>
      </c>
    </row>
    <row r="471" spans="1:7" x14ac:dyDescent="0.3">
      <c r="A471" t="s">
        <v>15</v>
      </c>
      <c r="B471" s="1">
        <v>45930</v>
      </c>
      <c r="C471">
        <v>250009</v>
      </c>
      <c r="D471">
        <v>-669.6</v>
      </c>
      <c r="E471" t="s">
        <v>4</v>
      </c>
      <c r="F471" t="s">
        <v>43</v>
      </c>
      <c r="G471" t="s">
        <v>5</v>
      </c>
    </row>
    <row r="472" spans="1:7" x14ac:dyDescent="0.3">
      <c r="A472" t="s">
        <v>15</v>
      </c>
      <c r="B472" s="1">
        <v>45930</v>
      </c>
      <c r="C472">
        <v>250017</v>
      </c>
      <c r="D472">
        <v>411681.17499999999</v>
      </c>
      <c r="E472" t="s">
        <v>4</v>
      </c>
      <c r="F472" t="s">
        <v>44</v>
      </c>
      <c r="G472" t="s">
        <v>5</v>
      </c>
    </row>
    <row r="473" spans="1:7" x14ac:dyDescent="0.3">
      <c r="A473" t="s">
        <v>15</v>
      </c>
      <c r="B473" s="1">
        <v>45930</v>
      </c>
      <c r="C473">
        <v>250019</v>
      </c>
      <c r="D473">
        <v>-1550</v>
      </c>
      <c r="E473" t="s">
        <v>4</v>
      </c>
      <c r="F473" t="s">
        <v>45</v>
      </c>
      <c r="G473" t="s">
        <v>5</v>
      </c>
    </row>
    <row r="474" spans="1:7" x14ac:dyDescent="0.3">
      <c r="A474" t="s">
        <v>15</v>
      </c>
      <c r="B474" s="1">
        <v>45930</v>
      </c>
      <c r="C474">
        <v>250020</v>
      </c>
      <c r="D474">
        <v>-7143.8310000000001</v>
      </c>
      <c r="E474" t="s">
        <v>4</v>
      </c>
      <c r="F474" t="s">
        <v>45</v>
      </c>
      <c r="G474" t="s">
        <v>5</v>
      </c>
    </row>
    <row r="475" spans="1:7" x14ac:dyDescent="0.3">
      <c r="A475" t="s">
        <v>15</v>
      </c>
      <c r="B475" s="1">
        <v>45930</v>
      </c>
      <c r="C475">
        <v>250021</v>
      </c>
      <c r="D475">
        <v>-38059.332000000002</v>
      </c>
      <c r="E475" t="s">
        <v>4</v>
      </c>
      <c r="F475" t="s">
        <v>45</v>
      </c>
      <c r="G475" t="s">
        <v>5</v>
      </c>
    </row>
    <row r="476" spans="1:7" x14ac:dyDescent="0.3">
      <c r="A476" t="s">
        <v>15</v>
      </c>
      <c r="B476" s="1">
        <v>45930</v>
      </c>
      <c r="C476">
        <v>250022</v>
      </c>
      <c r="D476">
        <v>33445.447</v>
      </c>
      <c r="E476" t="s">
        <v>4</v>
      </c>
      <c r="F476" t="s">
        <v>45</v>
      </c>
      <c r="G476" t="s">
        <v>5</v>
      </c>
    </row>
    <row r="477" spans="1:7" x14ac:dyDescent="0.3">
      <c r="A477" t="s">
        <v>15</v>
      </c>
      <c r="B477" s="1">
        <v>45930</v>
      </c>
      <c r="C477">
        <v>251002</v>
      </c>
      <c r="D477">
        <v>-329.87900000000002</v>
      </c>
      <c r="E477" t="s">
        <v>4</v>
      </c>
      <c r="F477" t="s">
        <v>45</v>
      </c>
      <c r="G477" t="s">
        <v>5</v>
      </c>
    </row>
    <row r="478" spans="1:7" x14ac:dyDescent="0.3">
      <c r="A478" t="s">
        <v>15</v>
      </c>
      <c r="B478" s="1">
        <v>45930</v>
      </c>
      <c r="C478">
        <v>251003</v>
      </c>
      <c r="D478">
        <v>-7657.3310000000001</v>
      </c>
      <c r="E478" t="s">
        <v>4</v>
      </c>
      <c r="F478" t="s">
        <v>45</v>
      </c>
      <c r="G478" t="s">
        <v>5</v>
      </c>
    </row>
    <row r="479" spans="1:7" x14ac:dyDescent="0.3">
      <c r="A479" t="s">
        <v>15</v>
      </c>
      <c r="B479" s="1">
        <v>45930</v>
      </c>
      <c r="C479">
        <v>255008</v>
      </c>
      <c r="D479">
        <v>-2747.308</v>
      </c>
      <c r="E479" t="s">
        <v>4</v>
      </c>
      <c r="F479" t="s">
        <v>43</v>
      </c>
      <c r="G479" t="s">
        <v>5</v>
      </c>
    </row>
    <row r="480" spans="1:7" x14ac:dyDescent="0.3">
      <c r="A480" t="s">
        <v>15</v>
      </c>
      <c r="B480" s="1">
        <v>45930</v>
      </c>
      <c r="C480">
        <v>255009</v>
      </c>
      <c r="D480">
        <v>-1051.903</v>
      </c>
      <c r="E480" t="s">
        <v>4</v>
      </c>
      <c r="F480" t="s">
        <v>43</v>
      </c>
      <c r="G480" t="s">
        <v>5</v>
      </c>
    </row>
    <row r="481" spans="1:7" x14ac:dyDescent="0.3">
      <c r="A481" t="s">
        <v>15</v>
      </c>
      <c r="B481" s="1">
        <v>45930</v>
      </c>
      <c r="C481">
        <v>255010</v>
      </c>
      <c r="D481">
        <v>-960.47900000000004</v>
      </c>
      <c r="E481" t="s">
        <v>4</v>
      </c>
      <c r="F481" t="s">
        <v>43</v>
      </c>
      <c r="G481" t="s">
        <v>5</v>
      </c>
    </row>
    <row r="482" spans="1:7" x14ac:dyDescent="0.3">
      <c r="A482" t="s">
        <v>15</v>
      </c>
      <c r="B482" s="1">
        <v>45930</v>
      </c>
      <c r="C482">
        <v>255011</v>
      </c>
      <c r="D482">
        <v>-1830.6990000000001</v>
      </c>
      <c r="E482" t="s">
        <v>4</v>
      </c>
      <c r="F482" t="s">
        <v>43</v>
      </c>
      <c r="G482" t="s">
        <v>5</v>
      </c>
    </row>
    <row r="483" spans="1:7" x14ac:dyDescent="0.3">
      <c r="A483" t="s">
        <v>15</v>
      </c>
      <c r="B483" s="1">
        <v>45930</v>
      </c>
      <c r="C483">
        <v>255012</v>
      </c>
      <c r="D483">
        <v>-1141.8989999999999</v>
      </c>
      <c r="E483" t="s">
        <v>4</v>
      </c>
      <c r="F483" t="s">
        <v>43</v>
      </c>
      <c r="G483" t="s">
        <v>5</v>
      </c>
    </row>
    <row r="484" spans="1:7" x14ac:dyDescent="0.3">
      <c r="A484" t="s">
        <v>15</v>
      </c>
      <c r="B484" s="1">
        <v>45930</v>
      </c>
      <c r="C484">
        <v>255015</v>
      </c>
      <c r="D484">
        <v>-1015.917</v>
      </c>
      <c r="E484" t="s">
        <v>4</v>
      </c>
      <c r="F484" t="s">
        <v>43</v>
      </c>
      <c r="G484" t="s">
        <v>5</v>
      </c>
    </row>
    <row r="485" spans="1:7" x14ac:dyDescent="0.3">
      <c r="A485" t="s">
        <v>15</v>
      </c>
      <c r="B485" s="1">
        <v>45930</v>
      </c>
      <c r="C485">
        <v>255016</v>
      </c>
      <c r="D485">
        <v>-596.66300000000001</v>
      </c>
      <c r="E485" t="s">
        <v>4</v>
      </c>
      <c r="F485" t="s">
        <v>43</v>
      </c>
      <c r="G485" t="s">
        <v>5</v>
      </c>
    </row>
    <row r="486" spans="1:7" x14ac:dyDescent="0.3">
      <c r="A486" t="s">
        <v>15</v>
      </c>
      <c r="B486" s="1">
        <v>45930</v>
      </c>
      <c r="C486">
        <v>255017</v>
      </c>
      <c r="D486">
        <v>-570.14599999999996</v>
      </c>
      <c r="E486" t="s">
        <v>4</v>
      </c>
      <c r="F486" t="s">
        <v>43</v>
      </c>
      <c r="G486" t="s">
        <v>5</v>
      </c>
    </row>
    <row r="487" spans="1:7" x14ac:dyDescent="0.3">
      <c r="A487" t="s">
        <v>15</v>
      </c>
      <c r="B487" s="1">
        <v>45930</v>
      </c>
      <c r="C487">
        <v>255018</v>
      </c>
      <c r="D487">
        <v>-569.62</v>
      </c>
      <c r="E487" t="s">
        <v>4</v>
      </c>
      <c r="F487" t="s">
        <v>43</v>
      </c>
      <c r="G487" t="s">
        <v>5</v>
      </c>
    </row>
    <row r="488" spans="1:7" x14ac:dyDescent="0.3">
      <c r="A488" t="s">
        <v>15</v>
      </c>
      <c r="B488" s="1">
        <v>45930</v>
      </c>
      <c r="C488">
        <v>255019</v>
      </c>
      <c r="D488">
        <v>-1198.9839999999999</v>
      </c>
      <c r="E488" t="s">
        <v>4</v>
      </c>
      <c r="F488" t="s">
        <v>43</v>
      </c>
      <c r="G488" t="s">
        <v>5</v>
      </c>
    </row>
    <row r="489" spans="1:7" x14ac:dyDescent="0.3">
      <c r="A489" t="s">
        <v>15</v>
      </c>
      <c r="B489" s="1">
        <v>45930</v>
      </c>
      <c r="C489">
        <v>255020</v>
      </c>
      <c r="D489">
        <v>-858.92899999999997</v>
      </c>
      <c r="E489" t="s">
        <v>4</v>
      </c>
      <c r="F489" t="s">
        <v>43</v>
      </c>
      <c r="G489" t="s">
        <v>5</v>
      </c>
    </row>
    <row r="490" spans="1:7" x14ac:dyDescent="0.3">
      <c r="A490" t="s">
        <v>15</v>
      </c>
      <c r="B490" s="1">
        <v>45930</v>
      </c>
      <c r="C490">
        <v>255021</v>
      </c>
      <c r="D490">
        <v>-1086.3969999999999</v>
      </c>
      <c r="E490" t="s">
        <v>4</v>
      </c>
      <c r="F490" t="s">
        <v>43</v>
      </c>
      <c r="G490" t="s">
        <v>5</v>
      </c>
    </row>
    <row r="491" spans="1:7" x14ac:dyDescent="0.3">
      <c r="A491" t="s">
        <v>15</v>
      </c>
      <c r="B491" s="1">
        <v>45930</v>
      </c>
      <c r="C491">
        <v>257002</v>
      </c>
      <c r="D491">
        <v>-151.37799999999999</v>
      </c>
      <c r="E491" t="s">
        <v>4</v>
      </c>
      <c r="F491" t="s">
        <v>45</v>
      </c>
      <c r="G491" t="s">
        <v>5</v>
      </c>
    </row>
    <row r="492" spans="1:7" x14ac:dyDescent="0.3">
      <c r="A492" t="s">
        <v>15</v>
      </c>
      <c r="B492" s="1">
        <v>45930</v>
      </c>
      <c r="C492">
        <v>257003</v>
      </c>
      <c r="D492">
        <v>-2536.5749999999998</v>
      </c>
      <c r="E492" t="s">
        <v>4</v>
      </c>
      <c r="F492" t="s">
        <v>45</v>
      </c>
      <c r="G492" t="s">
        <v>5</v>
      </c>
    </row>
    <row r="493" spans="1:7" x14ac:dyDescent="0.3">
      <c r="A493" t="s">
        <v>15</v>
      </c>
      <c r="B493" s="1">
        <v>45930</v>
      </c>
      <c r="C493">
        <v>257005</v>
      </c>
      <c r="D493">
        <v>-171930.92600000001</v>
      </c>
      <c r="E493" t="s">
        <v>4</v>
      </c>
      <c r="F493" t="s">
        <v>45</v>
      </c>
      <c r="G493" t="s">
        <v>5</v>
      </c>
    </row>
    <row r="494" spans="1:7" x14ac:dyDescent="0.3">
      <c r="A494" t="s">
        <v>15</v>
      </c>
      <c r="B494" s="1">
        <v>45930</v>
      </c>
      <c r="C494">
        <v>257014</v>
      </c>
      <c r="D494">
        <v>-238160.18900000001</v>
      </c>
      <c r="E494" t="s">
        <v>4</v>
      </c>
      <c r="F494" t="s">
        <v>45</v>
      </c>
      <c r="G494" t="s">
        <v>5</v>
      </c>
    </row>
    <row r="495" spans="1:7" x14ac:dyDescent="0.3">
      <c r="A495" t="s">
        <v>15</v>
      </c>
      <c r="B495" s="1">
        <v>45930</v>
      </c>
      <c r="C495">
        <v>257015</v>
      </c>
      <c r="D495">
        <v>-24091.125</v>
      </c>
      <c r="E495" t="s">
        <v>4</v>
      </c>
      <c r="F495" t="s">
        <v>45</v>
      </c>
      <c r="G495" t="s">
        <v>5</v>
      </c>
    </row>
    <row r="496" spans="1:7" x14ac:dyDescent="0.3">
      <c r="A496" t="s">
        <v>15</v>
      </c>
      <c r="B496" s="1">
        <v>45930</v>
      </c>
      <c r="C496">
        <v>257016</v>
      </c>
      <c r="D496">
        <v>-912.899</v>
      </c>
      <c r="E496" t="s">
        <v>4</v>
      </c>
      <c r="F496" t="s">
        <v>45</v>
      </c>
      <c r="G496" t="s">
        <v>5</v>
      </c>
    </row>
    <row r="497" spans="1:7" x14ac:dyDescent="0.3">
      <c r="A497" t="s">
        <v>15</v>
      </c>
      <c r="B497" s="1">
        <v>45930</v>
      </c>
      <c r="C497">
        <v>257018</v>
      </c>
      <c r="D497">
        <v>-4757.7359999999999</v>
      </c>
      <c r="E497" t="s">
        <v>4</v>
      </c>
      <c r="F497" t="s">
        <v>45</v>
      </c>
      <c r="G497" t="s">
        <v>5</v>
      </c>
    </row>
    <row r="498" spans="1:7" x14ac:dyDescent="0.3">
      <c r="A498" t="s">
        <v>15</v>
      </c>
      <c r="B498" s="1">
        <v>45930</v>
      </c>
      <c r="C498">
        <v>257020</v>
      </c>
      <c r="D498">
        <v>-0.245</v>
      </c>
      <c r="E498" t="s">
        <v>4</v>
      </c>
      <c r="F498" t="s">
        <v>45</v>
      </c>
      <c r="G498" t="s">
        <v>5</v>
      </c>
    </row>
    <row r="499" spans="1:7" x14ac:dyDescent="0.3">
      <c r="A499" t="s">
        <v>15</v>
      </c>
      <c r="B499" s="1">
        <v>45930</v>
      </c>
      <c r="C499">
        <v>257028</v>
      </c>
      <c r="D499">
        <v>-105.277</v>
      </c>
      <c r="E499" t="s">
        <v>4</v>
      </c>
      <c r="F499" t="s">
        <v>45</v>
      </c>
      <c r="G499" t="s">
        <v>5</v>
      </c>
    </row>
    <row r="500" spans="1:7" x14ac:dyDescent="0.3">
      <c r="A500" t="s">
        <v>15</v>
      </c>
      <c r="B500" s="1">
        <v>45930</v>
      </c>
      <c r="C500">
        <v>257029</v>
      </c>
      <c r="D500">
        <v>-210.39099999999999</v>
      </c>
      <c r="E500" t="s">
        <v>4</v>
      </c>
      <c r="F500" t="s">
        <v>45</v>
      </c>
      <c r="G500" t="s">
        <v>5</v>
      </c>
    </row>
    <row r="501" spans="1:7" x14ac:dyDescent="0.3">
      <c r="A501" t="s">
        <v>15</v>
      </c>
      <c r="B501" s="1">
        <v>45930</v>
      </c>
      <c r="C501">
        <v>257030</v>
      </c>
      <c r="D501">
        <v>-570.10599999999999</v>
      </c>
      <c r="E501" t="s">
        <v>4</v>
      </c>
      <c r="F501" t="s">
        <v>45</v>
      </c>
      <c r="G501" t="s">
        <v>5</v>
      </c>
    </row>
    <row r="502" spans="1:7" x14ac:dyDescent="0.3">
      <c r="A502" t="s">
        <v>15</v>
      </c>
      <c r="B502" s="1">
        <v>45930</v>
      </c>
      <c r="C502">
        <v>257035</v>
      </c>
      <c r="D502">
        <v>1E-3</v>
      </c>
      <c r="E502" t="s">
        <v>4</v>
      </c>
      <c r="F502" t="s">
        <v>45</v>
      </c>
      <c r="G502" t="s">
        <v>5</v>
      </c>
    </row>
    <row r="503" spans="1:7" x14ac:dyDescent="0.3">
      <c r="A503" t="s">
        <v>15</v>
      </c>
      <c r="B503" s="1">
        <v>45930</v>
      </c>
      <c r="C503">
        <v>257038</v>
      </c>
      <c r="D503">
        <v>-27.478000000000002</v>
      </c>
      <c r="E503" t="s">
        <v>4</v>
      </c>
      <c r="F503" t="s">
        <v>45</v>
      </c>
      <c r="G503" t="s">
        <v>5</v>
      </c>
    </row>
    <row r="504" spans="1:7" x14ac:dyDescent="0.3">
      <c r="A504" t="s">
        <v>15</v>
      </c>
      <c r="B504" s="1">
        <v>45930</v>
      </c>
      <c r="C504">
        <v>261014</v>
      </c>
      <c r="D504">
        <v>3165.6129999999998</v>
      </c>
      <c r="E504" t="s">
        <v>4</v>
      </c>
      <c r="F504" t="s">
        <v>45</v>
      </c>
      <c r="G504" t="s">
        <v>5</v>
      </c>
    </row>
    <row r="505" spans="1:7" x14ac:dyDescent="0.3">
      <c r="A505" t="s">
        <v>15</v>
      </c>
      <c r="B505" s="1">
        <v>45930</v>
      </c>
      <c r="C505">
        <v>261015</v>
      </c>
      <c r="D505">
        <v>0.70099999999999996</v>
      </c>
      <c r="E505" t="s">
        <v>4</v>
      </c>
      <c r="F505" t="s">
        <v>45</v>
      </c>
      <c r="G505" t="s">
        <v>5</v>
      </c>
    </row>
    <row r="506" spans="1:7" x14ac:dyDescent="0.3">
      <c r="A506" t="s">
        <v>15</v>
      </c>
      <c r="B506" s="1">
        <v>45930</v>
      </c>
      <c r="C506">
        <v>261016</v>
      </c>
      <c r="D506">
        <v>0.35</v>
      </c>
      <c r="E506" t="s">
        <v>4</v>
      </c>
      <c r="F506" t="s">
        <v>45</v>
      </c>
      <c r="G506" t="s">
        <v>5</v>
      </c>
    </row>
    <row r="507" spans="1:7" x14ac:dyDescent="0.3">
      <c r="A507" t="s">
        <v>15</v>
      </c>
      <c r="B507" s="1">
        <v>45930</v>
      </c>
      <c r="C507">
        <v>261017</v>
      </c>
      <c r="D507">
        <v>2.3809999999999998</v>
      </c>
      <c r="E507" t="s">
        <v>4</v>
      </c>
      <c r="F507" t="s">
        <v>45</v>
      </c>
      <c r="G507" t="s">
        <v>5</v>
      </c>
    </row>
    <row r="508" spans="1:7" x14ac:dyDescent="0.3">
      <c r="A508" t="s">
        <v>15</v>
      </c>
      <c r="B508" s="1">
        <v>45930</v>
      </c>
      <c r="C508">
        <v>261019</v>
      </c>
      <c r="D508">
        <v>628.71199999999999</v>
      </c>
      <c r="E508" t="s">
        <v>4</v>
      </c>
      <c r="F508" t="s">
        <v>45</v>
      </c>
      <c r="G508" t="s">
        <v>5</v>
      </c>
    </row>
    <row r="509" spans="1:7" x14ac:dyDescent="0.3">
      <c r="A509" t="s">
        <v>15</v>
      </c>
      <c r="B509" s="1">
        <v>45930</v>
      </c>
      <c r="C509">
        <v>261023</v>
      </c>
      <c r="D509">
        <v>17603.915000000001</v>
      </c>
      <c r="E509" t="s">
        <v>4</v>
      </c>
      <c r="F509" t="s">
        <v>45</v>
      </c>
      <c r="G509" t="s">
        <v>5</v>
      </c>
    </row>
    <row r="510" spans="1:7" x14ac:dyDescent="0.3">
      <c r="A510" t="s">
        <v>15</v>
      </c>
      <c r="B510" s="1">
        <v>45930</v>
      </c>
      <c r="C510">
        <v>261024</v>
      </c>
      <c r="D510">
        <v>628.71199999999999</v>
      </c>
      <c r="E510" t="s">
        <v>4</v>
      </c>
      <c r="F510" t="s">
        <v>45</v>
      </c>
      <c r="G510" t="s">
        <v>5</v>
      </c>
    </row>
    <row r="511" spans="1:7" x14ac:dyDescent="0.3">
      <c r="A511" t="s">
        <v>15</v>
      </c>
      <c r="B511" s="1">
        <v>45930</v>
      </c>
      <c r="C511">
        <v>263006</v>
      </c>
      <c r="D511">
        <v>-106448.933</v>
      </c>
      <c r="E511" t="s">
        <v>4</v>
      </c>
      <c r="F511" t="s">
        <v>45</v>
      </c>
      <c r="G511" t="s">
        <v>5</v>
      </c>
    </row>
    <row r="512" spans="1:7" x14ac:dyDescent="0.3">
      <c r="A512" t="s">
        <v>15</v>
      </c>
      <c r="B512" s="1">
        <v>45930</v>
      </c>
      <c r="C512">
        <v>263007</v>
      </c>
      <c r="D512">
        <v>-90098.160999999993</v>
      </c>
      <c r="E512" t="s">
        <v>4</v>
      </c>
      <c r="F512" t="s">
        <v>45</v>
      </c>
      <c r="G512" t="s">
        <v>5</v>
      </c>
    </row>
    <row r="513" spans="1:7" x14ac:dyDescent="0.3">
      <c r="A513" t="s">
        <v>15</v>
      </c>
      <c r="B513" s="1">
        <v>45930</v>
      </c>
      <c r="C513">
        <v>263008</v>
      </c>
      <c r="D513">
        <v>-240022.20300000001</v>
      </c>
      <c r="E513" t="s">
        <v>4</v>
      </c>
      <c r="F513" t="s">
        <v>45</v>
      </c>
      <c r="G513" t="s">
        <v>5</v>
      </c>
    </row>
    <row r="514" spans="1:7" x14ac:dyDescent="0.3">
      <c r="A514" t="s">
        <v>15</v>
      </c>
      <c r="B514" s="1">
        <v>45930</v>
      </c>
      <c r="C514">
        <v>263010</v>
      </c>
      <c r="D514">
        <v>-1022.831</v>
      </c>
      <c r="E514" t="s">
        <v>4</v>
      </c>
      <c r="F514" t="s">
        <v>45</v>
      </c>
      <c r="G514" t="s">
        <v>5</v>
      </c>
    </row>
    <row r="515" spans="1:7" x14ac:dyDescent="0.3">
      <c r="A515" t="s">
        <v>15</v>
      </c>
      <c r="B515" s="1">
        <v>45930</v>
      </c>
      <c r="C515">
        <v>263012</v>
      </c>
      <c r="D515">
        <v>-78.314999999999998</v>
      </c>
      <c r="E515" t="s">
        <v>4</v>
      </c>
      <c r="F515" t="s">
        <v>45</v>
      </c>
      <c r="G515" t="s">
        <v>5</v>
      </c>
    </row>
    <row r="516" spans="1:7" x14ac:dyDescent="0.3">
      <c r="A516" t="s">
        <v>15</v>
      </c>
      <c r="B516" s="1">
        <v>45930</v>
      </c>
      <c r="C516">
        <v>263013</v>
      </c>
      <c r="D516">
        <v>-78.314999999999998</v>
      </c>
      <c r="E516" t="s">
        <v>4</v>
      </c>
      <c r="F516" t="s">
        <v>45</v>
      </c>
      <c r="G516" t="s">
        <v>5</v>
      </c>
    </row>
    <row r="517" spans="1:7" x14ac:dyDescent="0.3">
      <c r="A517" t="s">
        <v>15</v>
      </c>
      <c r="B517" s="1">
        <v>45930</v>
      </c>
      <c r="C517">
        <v>263014</v>
      </c>
      <c r="D517">
        <v>-745.30700000000002</v>
      </c>
      <c r="E517" t="s">
        <v>4</v>
      </c>
      <c r="F517" t="s">
        <v>45</v>
      </c>
      <c r="G517" t="s">
        <v>5</v>
      </c>
    </row>
    <row r="518" spans="1:7" x14ac:dyDescent="0.3">
      <c r="A518" t="s">
        <v>15</v>
      </c>
      <c r="B518" s="1">
        <v>45930</v>
      </c>
      <c r="C518">
        <v>270003</v>
      </c>
      <c r="D518">
        <v>-6238.777</v>
      </c>
      <c r="E518" t="s">
        <v>4</v>
      </c>
      <c r="F518" t="s">
        <v>58</v>
      </c>
      <c r="G518" t="s">
        <v>5</v>
      </c>
    </row>
    <row r="519" spans="1:7" x14ac:dyDescent="0.3">
      <c r="A519" t="s">
        <v>15</v>
      </c>
      <c r="B519" s="1">
        <v>45930</v>
      </c>
      <c r="C519">
        <v>270005</v>
      </c>
      <c r="D519">
        <v>-44268.635999999999</v>
      </c>
      <c r="E519" t="s">
        <v>4</v>
      </c>
      <c r="F519" t="s">
        <v>58</v>
      </c>
      <c r="G519" t="s">
        <v>5</v>
      </c>
    </row>
    <row r="520" spans="1:7" x14ac:dyDescent="0.3">
      <c r="A520" t="s">
        <v>15</v>
      </c>
      <c r="B520" s="1">
        <v>45930</v>
      </c>
      <c r="C520">
        <v>270007</v>
      </c>
      <c r="D520">
        <v>-32285.670999999998</v>
      </c>
      <c r="E520" t="s">
        <v>4</v>
      </c>
      <c r="F520" t="s">
        <v>58</v>
      </c>
      <c r="G520" t="s">
        <v>5</v>
      </c>
    </row>
    <row r="521" spans="1:7" x14ac:dyDescent="0.3">
      <c r="A521" t="s">
        <v>15</v>
      </c>
      <c r="B521" s="1">
        <v>45930</v>
      </c>
      <c r="C521">
        <v>270009</v>
      </c>
      <c r="D521">
        <v>-1725.5920000000001</v>
      </c>
      <c r="E521" t="s">
        <v>4</v>
      </c>
      <c r="F521" t="s">
        <v>58</v>
      </c>
      <c r="G521" t="s">
        <v>5</v>
      </c>
    </row>
    <row r="522" spans="1:7" x14ac:dyDescent="0.3">
      <c r="A522" t="s">
        <v>15</v>
      </c>
      <c r="B522" s="1">
        <v>45930</v>
      </c>
      <c r="C522">
        <v>270011</v>
      </c>
      <c r="D522">
        <v>-607.17700000000002</v>
      </c>
      <c r="E522" t="s">
        <v>4</v>
      </c>
      <c r="F522" t="s">
        <v>58</v>
      </c>
      <c r="G522" t="s">
        <v>5</v>
      </c>
    </row>
    <row r="523" spans="1:7" x14ac:dyDescent="0.3">
      <c r="A523" t="s">
        <v>15</v>
      </c>
      <c r="B523" s="1">
        <v>45930</v>
      </c>
      <c r="C523">
        <v>270012</v>
      </c>
      <c r="D523">
        <v>-666.05399999999997</v>
      </c>
      <c r="E523" t="s">
        <v>4</v>
      </c>
      <c r="F523" t="s">
        <v>58</v>
      </c>
      <c r="G523" t="s">
        <v>5</v>
      </c>
    </row>
    <row r="524" spans="1:7" x14ac:dyDescent="0.3">
      <c r="A524" t="s">
        <v>15</v>
      </c>
      <c r="B524" s="1">
        <v>45930</v>
      </c>
      <c r="C524">
        <v>270016</v>
      </c>
      <c r="D524">
        <v>-556.70000000000005</v>
      </c>
      <c r="E524" t="s">
        <v>4</v>
      </c>
      <c r="F524" t="s">
        <v>58</v>
      </c>
      <c r="G524" t="s">
        <v>5</v>
      </c>
    </row>
    <row r="525" spans="1:7" x14ac:dyDescent="0.3">
      <c r="A525" t="s">
        <v>15</v>
      </c>
      <c r="B525" s="1">
        <v>45930</v>
      </c>
      <c r="C525">
        <v>270018</v>
      </c>
      <c r="D525">
        <v>-5731.09</v>
      </c>
      <c r="E525" t="s">
        <v>4</v>
      </c>
      <c r="F525" t="s">
        <v>58</v>
      </c>
      <c r="G525" t="s">
        <v>5</v>
      </c>
    </row>
    <row r="526" spans="1:7" x14ac:dyDescent="0.3">
      <c r="A526" t="s">
        <v>15</v>
      </c>
      <c r="B526" s="1">
        <v>45930</v>
      </c>
      <c r="C526">
        <v>270020</v>
      </c>
      <c r="D526">
        <v>-619848.52300000004</v>
      </c>
      <c r="E526" t="s">
        <v>4</v>
      </c>
      <c r="F526" t="s">
        <v>58</v>
      </c>
      <c r="G526" t="s">
        <v>5</v>
      </c>
    </row>
    <row r="527" spans="1:7" x14ac:dyDescent="0.3">
      <c r="A527" t="s">
        <v>15</v>
      </c>
      <c r="B527" s="1">
        <v>45930</v>
      </c>
      <c r="C527">
        <v>270021</v>
      </c>
      <c r="D527">
        <v>-4424.2290000000003</v>
      </c>
      <c r="E527" t="s">
        <v>4</v>
      </c>
      <c r="F527" t="s">
        <v>58</v>
      </c>
      <c r="G527" t="s">
        <v>5</v>
      </c>
    </row>
    <row r="528" spans="1:7" x14ac:dyDescent="0.3">
      <c r="A528" t="s">
        <v>15</v>
      </c>
      <c r="B528" s="1">
        <v>45930</v>
      </c>
      <c r="C528">
        <v>270024</v>
      </c>
      <c r="D528">
        <v>-378953.07500000001</v>
      </c>
      <c r="E528" t="s">
        <v>4</v>
      </c>
      <c r="F528" t="s">
        <v>58</v>
      </c>
      <c r="G528" t="s">
        <v>5</v>
      </c>
    </row>
    <row r="529" spans="1:7" x14ac:dyDescent="0.3">
      <c r="A529" t="s">
        <v>15</v>
      </c>
      <c r="B529" s="1">
        <v>45930</v>
      </c>
      <c r="C529">
        <v>270025</v>
      </c>
      <c r="D529">
        <v>-319374.87599999999</v>
      </c>
      <c r="E529" t="s">
        <v>4</v>
      </c>
      <c r="F529" t="s">
        <v>58</v>
      </c>
      <c r="G529" t="s">
        <v>5</v>
      </c>
    </row>
    <row r="530" spans="1:7" x14ac:dyDescent="0.3">
      <c r="A530" t="s">
        <v>15</v>
      </c>
      <c r="B530" s="1">
        <v>45930</v>
      </c>
      <c r="C530">
        <v>270026</v>
      </c>
      <c r="D530">
        <v>-1445042.3529999999</v>
      </c>
      <c r="E530" t="s">
        <v>4</v>
      </c>
      <c r="F530" t="s">
        <v>58</v>
      </c>
      <c r="G530" t="s">
        <v>5</v>
      </c>
    </row>
    <row r="531" spans="1:7" x14ac:dyDescent="0.3">
      <c r="A531" t="s">
        <v>15</v>
      </c>
      <c r="B531" s="1">
        <v>45930</v>
      </c>
      <c r="C531">
        <v>270027</v>
      </c>
      <c r="D531">
        <v>-666756.1</v>
      </c>
      <c r="E531" t="s">
        <v>4</v>
      </c>
      <c r="F531" t="s">
        <v>58</v>
      </c>
      <c r="G531" t="s">
        <v>5</v>
      </c>
    </row>
    <row r="532" spans="1:7" x14ac:dyDescent="0.3">
      <c r="A532" t="s">
        <v>15</v>
      </c>
      <c r="B532" s="1">
        <v>45930</v>
      </c>
      <c r="C532">
        <v>275002</v>
      </c>
      <c r="D532">
        <v>57203.267999999996</v>
      </c>
      <c r="E532" t="s">
        <v>4</v>
      </c>
      <c r="F532" t="s">
        <v>58</v>
      </c>
      <c r="G532" t="s">
        <v>5</v>
      </c>
    </row>
    <row r="533" spans="1:7" x14ac:dyDescent="0.3">
      <c r="A533" t="s">
        <v>15</v>
      </c>
      <c r="B533" s="1">
        <v>45930</v>
      </c>
      <c r="C533">
        <v>300002</v>
      </c>
      <c r="D533">
        <v>123858.61500000001</v>
      </c>
      <c r="E533" t="s">
        <v>4</v>
      </c>
      <c r="F533" t="s">
        <v>65</v>
      </c>
      <c r="G533" t="s">
        <v>5</v>
      </c>
    </row>
    <row r="534" spans="1:7" x14ac:dyDescent="0.3">
      <c r="A534" t="s">
        <v>15</v>
      </c>
      <c r="B534" s="1">
        <v>45930</v>
      </c>
      <c r="C534">
        <v>300003</v>
      </c>
      <c r="D534">
        <v>1124519.148</v>
      </c>
      <c r="E534" t="s">
        <v>4</v>
      </c>
      <c r="F534" t="s">
        <v>65</v>
      </c>
      <c r="G534" t="s">
        <v>5</v>
      </c>
    </row>
    <row r="535" spans="1:7" x14ac:dyDescent="0.3">
      <c r="A535" t="s">
        <v>15</v>
      </c>
      <c r="B535" s="1">
        <v>45930</v>
      </c>
      <c r="C535">
        <v>300004</v>
      </c>
      <c r="D535">
        <v>1034900.242</v>
      </c>
      <c r="E535" t="s">
        <v>4</v>
      </c>
      <c r="F535" t="s">
        <v>65</v>
      </c>
      <c r="G535" t="s">
        <v>5</v>
      </c>
    </row>
    <row r="536" spans="1:7" x14ac:dyDescent="0.3">
      <c r="A536" t="s">
        <v>15</v>
      </c>
      <c r="B536" s="1">
        <v>45930</v>
      </c>
      <c r="C536">
        <v>300005</v>
      </c>
      <c r="D536">
        <v>462806.33299999998</v>
      </c>
      <c r="E536" t="s">
        <v>4</v>
      </c>
      <c r="F536" t="s">
        <v>65</v>
      </c>
      <c r="G536" t="s">
        <v>5</v>
      </c>
    </row>
    <row r="537" spans="1:7" x14ac:dyDescent="0.3">
      <c r="A537" t="s">
        <v>15</v>
      </c>
      <c r="B537" s="1">
        <v>45930</v>
      </c>
      <c r="C537">
        <v>300006</v>
      </c>
      <c r="D537">
        <v>5661.5780000000004</v>
      </c>
      <c r="E537" t="s">
        <v>4</v>
      </c>
      <c r="F537" t="s">
        <v>65</v>
      </c>
      <c r="G537" t="s">
        <v>5</v>
      </c>
    </row>
    <row r="538" spans="1:7" x14ac:dyDescent="0.3">
      <c r="A538" t="s">
        <v>15</v>
      </c>
      <c r="B538" s="1">
        <v>45930</v>
      </c>
      <c r="C538">
        <v>300008</v>
      </c>
      <c r="D538">
        <v>1601796.264</v>
      </c>
      <c r="E538" t="s">
        <v>4</v>
      </c>
      <c r="F538" t="s">
        <v>65</v>
      </c>
      <c r="G538" t="s">
        <v>5</v>
      </c>
    </row>
    <row r="539" spans="1:7" x14ac:dyDescent="0.3">
      <c r="A539" t="s">
        <v>15</v>
      </c>
      <c r="B539" s="1">
        <v>45930</v>
      </c>
      <c r="C539">
        <v>300009</v>
      </c>
      <c r="D539">
        <v>272993.73100000003</v>
      </c>
      <c r="E539" t="s">
        <v>4</v>
      </c>
      <c r="F539" t="s">
        <v>65</v>
      </c>
      <c r="G539" t="s">
        <v>5</v>
      </c>
    </row>
    <row r="540" spans="1:7" x14ac:dyDescent="0.3">
      <c r="A540" t="s">
        <v>15</v>
      </c>
      <c r="B540" s="1">
        <v>45930</v>
      </c>
      <c r="C540">
        <v>300010</v>
      </c>
      <c r="D540">
        <v>17031.667000000001</v>
      </c>
      <c r="E540" t="s">
        <v>4</v>
      </c>
      <c r="F540" t="s">
        <v>65</v>
      </c>
      <c r="G540" t="s">
        <v>5</v>
      </c>
    </row>
    <row r="541" spans="1:7" x14ac:dyDescent="0.3">
      <c r="A541" t="s">
        <v>15</v>
      </c>
      <c r="B541" s="1">
        <v>45930</v>
      </c>
      <c r="C541">
        <v>300011</v>
      </c>
      <c r="D541">
        <v>22336.388999999999</v>
      </c>
      <c r="E541" t="s">
        <v>4</v>
      </c>
      <c r="F541" t="s">
        <v>65</v>
      </c>
      <c r="G541" t="s">
        <v>5</v>
      </c>
    </row>
    <row r="542" spans="1:7" x14ac:dyDescent="0.3">
      <c r="A542" t="s">
        <v>15</v>
      </c>
      <c r="B542" s="1">
        <v>45930</v>
      </c>
      <c r="C542">
        <v>300012</v>
      </c>
      <c r="D542">
        <v>1752152.517</v>
      </c>
      <c r="E542" t="s">
        <v>4</v>
      </c>
      <c r="F542" t="s">
        <v>65</v>
      </c>
      <c r="G542" t="s">
        <v>5</v>
      </c>
    </row>
    <row r="543" spans="1:7" x14ac:dyDescent="0.3">
      <c r="A543" t="s">
        <v>15</v>
      </c>
      <c r="B543" s="1">
        <v>45930</v>
      </c>
      <c r="C543">
        <v>300014</v>
      </c>
      <c r="D543">
        <v>1482029.45</v>
      </c>
      <c r="E543" t="s">
        <v>4</v>
      </c>
      <c r="F543" t="s">
        <v>65</v>
      </c>
      <c r="G543" t="s">
        <v>5</v>
      </c>
    </row>
    <row r="544" spans="1:7" x14ac:dyDescent="0.3">
      <c r="A544" t="s">
        <v>15</v>
      </c>
      <c r="B544" s="1">
        <v>45930</v>
      </c>
      <c r="C544">
        <v>300502</v>
      </c>
      <c r="D544">
        <v>-35376.07</v>
      </c>
      <c r="E544" t="s">
        <v>4</v>
      </c>
      <c r="F544" t="s">
        <v>65</v>
      </c>
      <c r="G544" t="s">
        <v>5</v>
      </c>
    </row>
    <row r="545" spans="1:7" x14ac:dyDescent="0.3">
      <c r="A545" t="s">
        <v>15</v>
      </c>
      <c r="B545" s="1">
        <v>45930</v>
      </c>
      <c r="C545">
        <v>300503</v>
      </c>
      <c r="D545">
        <v>-767174.05799999996</v>
      </c>
      <c r="E545" t="s">
        <v>4</v>
      </c>
      <c r="F545" t="s">
        <v>65</v>
      </c>
      <c r="G545" t="s">
        <v>5</v>
      </c>
    </row>
    <row r="546" spans="1:7" x14ac:dyDescent="0.3">
      <c r="A546" t="s">
        <v>15</v>
      </c>
      <c r="B546" s="1">
        <v>45930</v>
      </c>
      <c r="C546">
        <v>300504</v>
      </c>
      <c r="D546">
        <v>-779825.228</v>
      </c>
      <c r="E546" t="s">
        <v>4</v>
      </c>
      <c r="F546" t="s">
        <v>65</v>
      </c>
      <c r="G546" t="s">
        <v>5</v>
      </c>
    </row>
    <row r="547" spans="1:7" x14ac:dyDescent="0.3">
      <c r="A547" t="s">
        <v>15</v>
      </c>
      <c r="B547" s="1">
        <v>45930</v>
      </c>
      <c r="C547">
        <v>300505</v>
      </c>
      <c r="D547">
        <v>-436751.38099999999</v>
      </c>
      <c r="E547" t="s">
        <v>4</v>
      </c>
      <c r="F547" t="s">
        <v>65</v>
      </c>
      <c r="G547" t="s">
        <v>5</v>
      </c>
    </row>
    <row r="548" spans="1:7" x14ac:dyDescent="0.3">
      <c r="A548" t="s">
        <v>15</v>
      </c>
      <c r="B548" s="1">
        <v>45930</v>
      </c>
      <c r="C548">
        <v>300506</v>
      </c>
      <c r="D548">
        <v>-2030.46</v>
      </c>
      <c r="E548" t="s">
        <v>4</v>
      </c>
      <c r="F548" t="s">
        <v>65</v>
      </c>
      <c r="G548" t="s">
        <v>5</v>
      </c>
    </row>
    <row r="549" spans="1:7" x14ac:dyDescent="0.3">
      <c r="A549" t="s">
        <v>15</v>
      </c>
      <c r="B549" s="1">
        <v>45930</v>
      </c>
      <c r="C549">
        <v>300508</v>
      </c>
      <c r="D549">
        <v>-700408.91399999999</v>
      </c>
      <c r="E549" t="s">
        <v>4</v>
      </c>
      <c r="F549" t="s">
        <v>65</v>
      </c>
      <c r="G549" t="s">
        <v>5</v>
      </c>
    </row>
    <row r="550" spans="1:7" x14ac:dyDescent="0.3">
      <c r="A550" t="s">
        <v>15</v>
      </c>
      <c r="B550" s="1">
        <v>45930</v>
      </c>
      <c r="C550">
        <v>300509</v>
      </c>
      <c r="D550">
        <v>-251065.128</v>
      </c>
      <c r="E550" t="s">
        <v>4</v>
      </c>
      <c r="F550" t="s">
        <v>65</v>
      </c>
      <c r="G550" t="s">
        <v>5</v>
      </c>
    </row>
    <row r="551" spans="1:7" x14ac:dyDescent="0.3">
      <c r="A551" t="s">
        <v>15</v>
      </c>
      <c r="B551" s="1">
        <v>45930</v>
      </c>
      <c r="C551">
        <v>300510</v>
      </c>
      <c r="D551">
        <v>-16832.466</v>
      </c>
      <c r="E551" t="s">
        <v>4</v>
      </c>
      <c r="F551" t="s">
        <v>65</v>
      </c>
      <c r="G551" t="s">
        <v>5</v>
      </c>
    </row>
    <row r="552" spans="1:7" x14ac:dyDescent="0.3">
      <c r="A552" t="s">
        <v>15</v>
      </c>
      <c r="B552" s="1">
        <v>45930</v>
      </c>
      <c r="C552">
        <v>300511</v>
      </c>
      <c r="D552">
        <v>-21645.657999999999</v>
      </c>
      <c r="E552" t="s">
        <v>4</v>
      </c>
      <c r="F552" t="s">
        <v>65</v>
      </c>
      <c r="G552" t="s">
        <v>5</v>
      </c>
    </row>
    <row r="553" spans="1:7" x14ac:dyDescent="0.3">
      <c r="A553" t="s">
        <v>15</v>
      </c>
      <c r="B553" s="1">
        <v>45930</v>
      </c>
      <c r="C553">
        <v>300512</v>
      </c>
      <c r="D553">
        <v>-1512996.3160000001</v>
      </c>
      <c r="E553" t="s">
        <v>4</v>
      </c>
      <c r="F553" t="s">
        <v>65</v>
      </c>
      <c r="G553" t="s">
        <v>5</v>
      </c>
    </row>
    <row r="554" spans="1:7" x14ac:dyDescent="0.3">
      <c r="A554" t="s">
        <v>15</v>
      </c>
      <c r="B554" s="1">
        <v>45930</v>
      </c>
      <c r="C554">
        <v>300514</v>
      </c>
      <c r="D554">
        <v>-1020339.257</v>
      </c>
      <c r="E554" t="s">
        <v>4</v>
      </c>
      <c r="F554" t="s">
        <v>65</v>
      </c>
      <c r="G554" t="s">
        <v>5</v>
      </c>
    </row>
    <row r="555" spans="1:7" x14ac:dyDescent="0.3">
      <c r="A555" t="s">
        <v>15</v>
      </c>
      <c r="B555" s="1">
        <v>45930</v>
      </c>
      <c r="C555">
        <v>301002</v>
      </c>
      <c r="D555">
        <v>126927.077</v>
      </c>
      <c r="E555" t="s">
        <v>4</v>
      </c>
      <c r="F555" t="s">
        <v>68</v>
      </c>
      <c r="G555" t="s">
        <v>5</v>
      </c>
    </row>
    <row r="556" spans="1:7" x14ac:dyDescent="0.3">
      <c r="A556" t="s">
        <v>15</v>
      </c>
      <c r="B556" s="1">
        <v>45930</v>
      </c>
      <c r="C556">
        <v>301004</v>
      </c>
      <c r="D556">
        <v>1967526.5</v>
      </c>
      <c r="E556" t="s">
        <v>4</v>
      </c>
      <c r="F556" t="s">
        <v>65</v>
      </c>
      <c r="G556" t="s">
        <v>5</v>
      </c>
    </row>
    <row r="557" spans="1:7" x14ac:dyDescent="0.3">
      <c r="A557" t="s">
        <v>15</v>
      </c>
      <c r="B557" s="1">
        <v>45930</v>
      </c>
      <c r="C557">
        <v>301502</v>
      </c>
      <c r="D557">
        <v>-126927.07399999999</v>
      </c>
      <c r="E557" t="s">
        <v>4</v>
      </c>
      <c r="F557" t="s">
        <v>68</v>
      </c>
      <c r="G557" t="s">
        <v>5</v>
      </c>
    </row>
    <row r="558" spans="1:7" x14ac:dyDescent="0.3">
      <c r="A558" t="s">
        <v>15</v>
      </c>
      <c r="B558" s="1">
        <v>45930</v>
      </c>
      <c r="C558">
        <v>301504</v>
      </c>
      <c r="D558">
        <v>-1854653.996</v>
      </c>
      <c r="E558" t="s">
        <v>4</v>
      </c>
      <c r="F558" t="s">
        <v>65</v>
      </c>
      <c r="G558" t="s">
        <v>5</v>
      </c>
    </row>
    <row r="559" spans="1:7" x14ac:dyDescent="0.3">
      <c r="A559" t="s">
        <v>15</v>
      </c>
      <c r="B559" s="1">
        <v>45930</v>
      </c>
      <c r="C559">
        <v>303002</v>
      </c>
      <c r="D559">
        <v>75060.448999999993</v>
      </c>
      <c r="E559" t="s">
        <v>4</v>
      </c>
      <c r="F559" t="s">
        <v>65</v>
      </c>
      <c r="G559" t="s">
        <v>5</v>
      </c>
    </row>
    <row r="560" spans="1:7" x14ac:dyDescent="0.3">
      <c r="A560" t="s">
        <v>15</v>
      </c>
      <c r="B560" s="1">
        <v>45930</v>
      </c>
      <c r="C560">
        <v>303003</v>
      </c>
      <c r="D560">
        <v>30705.811000000002</v>
      </c>
      <c r="E560" t="s">
        <v>4</v>
      </c>
      <c r="F560" t="s">
        <v>65</v>
      </c>
      <c r="G560" t="s">
        <v>5</v>
      </c>
    </row>
    <row r="561" spans="1:7" x14ac:dyDescent="0.3">
      <c r="A561" t="s">
        <v>15</v>
      </c>
      <c r="B561" s="1">
        <v>45930</v>
      </c>
      <c r="C561">
        <v>304002</v>
      </c>
      <c r="D561">
        <v>2554290.2080000001</v>
      </c>
      <c r="E561" t="s">
        <v>4</v>
      </c>
      <c r="F561" t="s">
        <v>65</v>
      </c>
      <c r="G561" t="s">
        <v>5</v>
      </c>
    </row>
    <row r="562" spans="1:7" x14ac:dyDescent="0.3">
      <c r="A562" t="s">
        <v>15</v>
      </c>
      <c r="B562" s="1">
        <v>45930</v>
      </c>
      <c r="C562">
        <v>304502</v>
      </c>
      <c r="D562">
        <v>-1186434.446</v>
      </c>
      <c r="E562" t="s">
        <v>4</v>
      </c>
      <c r="F562" t="s">
        <v>65</v>
      </c>
      <c r="G562" t="s">
        <v>5</v>
      </c>
    </row>
    <row r="563" spans="1:7" x14ac:dyDescent="0.3">
      <c r="A563" t="s">
        <v>15</v>
      </c>
      <c r="B563" s="1">
        <v>45930</v>
      </c>
      <c r="C563">
        <v>310002</v>
      </c>
      <c r="D563">
        <v>4196708.7220000001</v>
      </c>
      <c r="E563" t="s">
        <v>4</v>
      </c>
      <c r="F563" t="s">
        <v>42</v>
      </c>
      <c r="G563" t="s">
        <v>5</v>
      </c>
    </row>
    <row r="564" spans="1:7" x14ac:dyDescent="0.3">
      <c r="A564" t="s">
        <v>15</v>
      </c>
      <c r="B564" s="1">
        <v>45930</v>
      </c>
      <c r="C564">
        <v>310004</v>
      </c>
      <c r="D564">
        <v>127099.955</v>
      </c>
      <c r="E564" t="s">
        <v>4</v>
      </c>
      <c r="F564" t="s">
        <v>42</v>
      </c>
      <c r="G564" t="s">
        <v>5</v>
      </c>
    </row>
    <row r="565" spans="1:7" x14ac:dyDescent="0.3">
      <c r="A565" t="s">
        <v>15</v>
      </c>
      <c r="B565" s="1">
        <v>45930</v>
      </c>
      <c r="C565">
        <v>310005</v>
      </c>
      <c r="D565">
        <v>138903.25</v>
      </c>
      <c r="E565" t="s">
        <v>4</v>
      </c>
      <c r="F565" t="s">
        <v>42</v>
      </c>
      <c r="G565" t="s">
        <v>5</v>
      </c>
    </row>
    <row r="566" spans="1:7" x14ac:dyDescent="0.3">
      <c r="A566" t="s">
        <v>15</v>
      </c>
      <c r="B566" s="1">
        <v>45930</v>
      </c>
      <c r="C566">
        <v>310007</v>
      </c>
      <c r="D566">
        <v>334751.18699999998</v>
      </c>
      <c r="E566" t="s">
        <v>4</v>
      </c>
      <c r="F566" t="s">
        <v>42</v>
      </c>
      <c r="G566" t="s">
        <v>5</v>
      </c>
    </row>
    <row r="567" spans="1:7" x14ac:dyDescent="0.3">
      <c r="A567" t="s">
        <v>15</v>
      </c>
      <c r="B567" s="1">
        <v>45930</v>
      </c>
      <c r="C567">
        <v>310016</v>
      </c>
      <c r="D567">
        <v>727512.65</v>
      </c>
      <c r="E567" t="s">
        <v>4</v>
      </c>
      <c r="F567" t="s">
        <v>42</v>
      </c>
      <c r="G567" t="s">
        <v>5</v>
      </c>
    </row>
    <row r="568" spans="1:7" x14ac:dyDescent="0.3">
      <c r="A568" t="s">
        <v>15</v>
      </c>
      <c r="B568" s="1">
        <v>45930</v>
      </c>
      <c r="C568">
        <v>310017</v>
      </c>
      <c r="D568">
        <v>39387.707000000002</v>
      </c>
      <c r="E568" t="s">
        <v>4</v>
      </c>
      <c r="F568" t="s">
        <v>42</v>
      </c>
      <c r="G568" t="s">
        <v>5</v>
      </c>
    </row>
    <row r="569" spans="1:7" x14ac:dyDescent="0.3">
      <c r="A569" t="s">
        <v>15</v>
      </c>
      <c r="B569" s="1">
        <v>45930</v>
      </c>
      <c r="C569">
        <v>310021</v>
      </c>
      <c r="D569">
        <v>63.031999999999996</v>
      </c>
      <c r="E569" t="s">
        <v>4</v>
      </c>
      <c r="F569" t="s">
        <v>42</v>
      </c>
      <c r="G569" t="s">
        <v>5</v>
      </c>
    </row>
    <row r="570" spans="1:7" x14ac:dyDescent="0.3">
      <c r="A570" t="s">
        <v>15</v>
      </c>
      <c r="B570" s="1">
        <v>45930</v>
      </c>
      <c r="C570">
        <v>310031</v>
      </c>
      <c r="D570">
        <v>73609.5</v>
      </c>
      <c r="E570" t="s">
        <v>4</v>
      </c>
      <c r="F570" t="s">
        <v>42</v>
      </c>
      <c r="G570" t="s">
        <v>5</v>
      </c>
    </row>
    <row r="571" spans="1:7" x14ac:dyDescent="0.3">
      <c r="A571" t="s">
        <v>15</v>
      </c>
      <c r="B571" s="1">
        <v>45930</v>
      </c>
      <c r="C571">
        <v>310034</v>
      </c>
      <c r="D571">
        <v>3.9E-2</v>
      </c>
      <c r="E571" t="s">
        <v>4</v>
      </c>
      <c r="F571" t="s">
        <v>42</v>
      </c>
      <c r="G571" t="s">
        <v>5</v>
      </c>
    </row>
    <row r="572" spans="1:7" x14ac:dyDescent="0.3">
      <c r="A572" t="s">
        <v>15</v>
      </c>
      <c r="B572" s="1">
        <v>45930</v>
      </c>
      <c r="C572">
        <v>310036</v>
      </c>
      <c r="D572">
        <v>40145.775000000001</v>
      </c>
      <c r="E572" t="s">
        <v>4</v>
      </c>
      <c r="F572" t="s">
        <v>42</v>
      </c>
      <c r="G572" t="s">
        <v>5</v>
      </c>
    </row>
    <row r="573" spans="1:7" x14ac:dyDescent="0.3">
      <c r="A573" t="s">
        <v>15</v>
      </c>
      <c r="B573" s="1">
        <v>45930</v>
      </c>
      <c r="C573">
        <v>315003</v>
      </c>
      <c r="D573">
        <v>729057.35100000002</v>
      </c>
      <c r="E573" t="s">
        <v>4</v>
      </c>
      <c r="F573" t="s">
        <v>47</v>
      </c>
      <c r="G573" t="s">
        <v>5</v>
      </c>
    </row>
    <row r="574" spans="1:7" x14ac:dyDescent="0.3">
      <c r="A574" t="s">
        <v>15</v>
      </c>
      <c r="B574" s="1">
        <v>45930</v>
      </c>
      <c r="C574">
        <v>315004</v>
      </c>
      <c r="D574">
        <v>465522.516</v>
      </c>
      <c r="E574" t="s">
        <v>4</v>
      </c>
      <c r="F574" t="s">
        <v>47</v>
      </c>
      <c r="G574" t="s">
        <v>5</v>
      </c>
    </row>
    <row r="575" spans="1:7" x14ac:dyDescent="0.3">
      <c r="A575" t="s">
        <v>15</v>
      </c>
      <c r="B575" s="1">
        <v>45930</v>
      </c>
      <c r="C575">
        <v>315010</v>
      </c>
      <c r="D575">
        <v>310957.44</v>
      </c>
      <c r="E575" t="s">
        <v>4</v>
      </c>
      <c r="F575" t="s">
        <v>47</v>
      </c>
      <c r="G575" t="s">
        <v>5</v>
      </c>
    </row>
    <row r="576" spans="1:7" x14ac:dyDescent="0.3">
      <c r="A576" t="s">
        <v>15</v>
      </c>
      <c r="B576" s="1">
        <v>45930</v>
      </c>
      <c r="C576">
        <v>315011</v>
      </c>
      <c r="D576">
        <v>310963.91100000002</v>
      </c>
      <c r="E576" t="s">
        <v>4</v>
      </c>
      <c r="F576" t="s">
        <v>47</v>
      </c>
      <c r="G576" t="s">
        <v>5</v>
      </c>
    </row>
    <row r="577" spans="1:7" x14ac:dyDescent="0.3">
      <c r="A577" t="s">
        <v>15</v>
      </c>
      <c r="B577" s="1">
        <v>45930</v>
      </c>
      <c r="C577">
        <v>315012</v>
      </c>
      <c r="D577">
        <v>752312.14300000004</v>
      </c>
      <c r="E577" t="s">
        <v>4</v>
      </c>
      <c r="F577" t="s">
        <v>47</v>
      </c>
      <c r="G577" t="s">
        <v>5</v>
      </c>
    </row>
    <row r="578" spans="1:7" x14ac:dyDescent="0.3">
      <c r="A578" t="s">
        <v>15</v>
      </c>
      <c r="B578" s="1">
        <v>45930</v>
      </c>
      <c r="C578">
        <v>315013</v>
      </c>
      <c r="D578">
        <v>373222.36599999998</v>
      </c>
      <c r="E578" t="s">
        <v>4</v>
      </c>
      <c r="F578" t="s">
        <v>47</v>
      </c>
      <c r="G578" t="s">
        <v>5</v>
      </c>
    </row>
    <row r="579" spans="1:7" x14ac:dyDescent="0.3">
      <c r="A579" t="s">
        <v>15</v>
      </c>
      <c r="B579" s="1">
        <v>45930</v>
      </c>
      <c r="C579">
        <v>315016</v>
      </c>
      <c r="D579">
        <v>311004.304</v>
      </c>
      <c r="E579" t="s">
        <v>4</v>
      </c>
      <c r="F579" t="s">
        <v>47</v>
      </c>
      <c r="G579" t="s">
        <v>5</v>
      </c>
    </row>
    <row r="580" spans="1:7" x14ac:dyDescent="0.3">
      <c r="A580" t="s">
        <v>15</v>
      </c>
      <c r="B580" s="1">
        <v>45930</v>
      </c>
      <c r="C580">
        <v>315017</v>
      </c>
      <c r="D580">
        <v>61996.9</v>
      </c>
      <c r="E580" t="s">
        <v>4</v>
      </c>
      <c r="F580" t="s">
        <v>47</v>
      </c>
      <c r="G580" t="s">
        <v>5</v>
      </c>
    </row>
    <row r="581" spans="1:7" x14ac:dyDescent="0.3">
      <c r="A581" t="s">
        <v>15</v>
      </c>
      <c r="B581" s="1">
        <v>45930</v>
      </c>
      <c r="C581">
        <v>315018</v>
      </c>
      <c r="D581">
        <v>827523.27300000004</v>
      </c>
      <c r="E581" t="s">
        <v>4</v>
      </c>
      <c r="F581" t="s">
        <v>47</v>
      </c>
      <c r="G581" t="s">
        <v>5</v>
      </c>
    </row>
    <row r="582" spans="1:7" x14ac:dyDescent="0.3">
      <c r="A582" t="s">
        <v>15</v>
      </c>
      <c r="B582" s="1">
        <v>45930</v>
      </c>
      <c r="C582">
        <v>316002</v>
      </c>
      <c r="D582">
        <v>155259.005</v>
      </c>
      <c r="E582" t="s">
        <v>4</v>
      </c>
      <c r="F582" t="s">
        <v>47</v>
      </c>
      <c r="G582" t="s">
        <v>5</v>
      </c>
    </row>
    <row r="583" spans="1:7" x14ac:dyDescent="0.3">
      <c r="A583" t="s">
        <v>15</v>
      </c>
      <c r="B583" s="1">
        <v>45930</v>
      </c>
      <c r="C583">
        <v>316003</v>
      </c>
      <c r="D583">
        <v>308953.74800000002</v>
      </c>
      <c r="E583" t="s">
        <v>4</v>
      </c>
      <c r="F583" t="s">
        <v>47</v>
      </c>
      <c r="G583" t="s">
        <v>5</v>
      </c>
    </row>
    <row r="584" spans="1:7" x14ac:dyDescent="0.3">
      <c r="A584" t="s">
        <v>15</v>
      </c>
      <c r="B584" s="1">
        <v>45930</v>
      </c>
      <c r="C584">
        <v>316004</v>
      </c>
      <c r="D584">
        <v>155000.155</v>
      </c>
      <c r="E584" t="s">
        <v>4</v>
      </c>
      <c r="F584" t="s">
        <v>47</v>
      </c>
      <c r="G584" t="s">
        <v>5</v>
      </c>
    </row>
    <row r="585" spans="1:7" x14ac:dyDescent="0.3">
      <c r="A585" t="s">
        <v>15</v>
      </c>
      <c r="B585" s="1">
        <v>45930</v>
      </c>
      <c r="C585">
        <v>316005</v>
      </c>
      <c r="D585">
        <v>312774.511</v>
      </c>
      <c r="E585" t="s">
        <v>4</v>
      </c>
      <c r="F585" t="s">
        <v>47</v>
      </c>
      <c r="G585" t="s">
        <v>5</v>
      </c>
    </row>
    <row r="586" spans="1:7" x14ac:dyDescent="0.3">
      <c r="A586" t="s">
        <v>15</v>
      </c>
      <c r="B586" s="1">
        <v>45930</v>
      </c>
      <c r="C586">
        <v>320002</v>
      </c>
      <c r="D586">
        <v>99631.395000000004</v>
      </c>
      <c r="E586" t="s">
        <v>4</v>
      </c>
      <c r="F586" t="s">
        <v>46</v>
      </c>
      <c r="G586" t="s">
        <v>5</v>
      </c>
    </row>
    <row r="587" spans="1:7" x14ac:dyDescent="0.3">
      <c r="A587" t="s">
        <v>15</v>
      </c>
      <c r="B587" s="1">
        <v>45930</v>
      </c>
      <c r="C587">
        <v>320003</v>
      </c>
      <c r="D587">
        <v>1345940.831</v>
      </c>
      <c r="E587" t="s">
        <v>4</v>
      </c>
      <c r="F587" t="s">
        <v>46</v>
      </c>
      <c r="G587" t="s">
        <v>5</v>
      </c>
    </row>
    <row r="588" spans="1:7" x14ac:dyDescent="0.3">
      <c r="A588" t="s">
        <v>15</v>
      </c>
      <c r="B588" s="1">
        <v>45930</v>
      </c>
      <c r="C588">
        <v>320004</v>
      </c>
      <c r="D588">
        <v>1343.547</v>
      </c>
      <c r="E588" t="s">
        <v>4</v>
      </c>
      <c r="F588" t="s">
        <v>46</v>
      </c>
      <c r="G588" t="s">
        <v>5</v>
      </c>
    </row>
    <row r="589" spans="1:7" x14ac:dyDescent="0.3">
      <c r="A589" t="s">
        <v>15</v>
      </c>
      <c r="B589" s="1">
        <v>45930</v>
      </c>
      <c r="C589">
        <v>320006</v>
      </c>
      <c r="D589">
        <v>-303.69</v>
      </c>
      <c r="E589" t="s">
        <v>4</v>
      </c>
      <c r="F589" t="s">
        <v>46</v>
      </c>
      <c r="G589" t="s">
        <v>5</v>
      </c>
    </row>
    <row r="590" spans="1:7" x14ac:dyDescent="0.3">
      <c r="A590" t="s">
        <v>15</v>
      </c>
      <c r="B590" s="1">
        <v>45930</v>
      </c>
      <c r="C590">
        <v>320008</v>
      </c>
      <c r="D590">
        <v>-354.83199999999999</v>
      </c>
      <c r="E590" t="s">
        <v>4</v>
      </c>
      <c r="F590" t="s">
        <v>46</v>
      </c>
      <c r="G590" t="s">
        <v>5</v>
      </c>
    </row>
    <row r="591" spans="1:7" x14ac:dyDescent="0.3">
      <c r="A591" t="s">
        <v>15</v>
      </c>
      <c r="B591" s="1">
        <v>45930</v>
      </c>
      <c r="C591">
        <v>320010</v>
      </c>
      <c r="D591">
        <v>-85318.854000000007</v>
      </c>
      <c r="E591" t="s">
        <v>4</v>
      </c>
      <c r="F591" t="s">
        <v>46</v>
      </c>
      <c r="G591" t="s">
        <v>5</v>
      </c>
    </row>
    <row r="592" spans="1:7" x14ac:dyDescent="0.3">
      <c r="A592" t="s">
        <v>15</v>
      </c>
      <c r="B592" s="1">
        <v>45930</v>
      </c>
      <c r="C592">
        <v>320013</v>
      </c>
      <c r="D592">
        <v>-36625.735000000001</v>
      </c>
      <c r="E592" t="s">
        <v>4</v>
      </c>
      <c r="F592" t="s">
        <v>46</v>
      </c>
      <c r="G592" t="s">
        <v>5</v>
      </c>
    </row>
    <row r="593" spans="1:7" x14ac:dyDescent="0.3">
      <c r="A593" t="s">
        <v>15</v>
      </c>
      <c r="B593" s="1">
        <v>45930</v>
      </c>
      <c r="C593">
        <v>320016</v>
      </c>
      <c r="D593">
        <v>-29296.07</v>
      </c>
      <c r="E593" t="s">
        <v>4</v>
      </c>
      <c r="F593" t="s">
        <v>46</v>
      </c>
      <c r="G593" t="s">
        <v>5</v>
      </c>
    </row>
    <row r="594" spans="1:7" x14ac:dyDescent="0.3">
      <c r="A594" t="s">
        <v>15</v>
      </c>
      <c r="B594" s="1">
        <v>45930</v>
      </c>
      <c r="C594">
        <v>320017</v>
      </c>
      <c r="D594">
        <v>1628.8520000000001</v>
      </c>
      <c r="E594" t="s">
        <v>4</v>
      </c>
      <c r="F594" t="s">
        <v>46</v>
      </c>
      <c r="G594" t="s">
        <v>5</v>
      </c>
    </row>
    <row r="595" spans="1:7" x14ac:dyDescent="0.3">
      <c r="A595" t="s">
        <v>15</v>
      </c>
      <c r="B595" s="1">
        <v>45930</v>
      </c>
      <c r="C595">
        <v>320018</v>
      </c>
      <c r="D595">
        <v>-1142.165</v>
      </c>
      <c r="E595" t="s">
        <v>4</v>
      </c>
      <c r="F595" t="s">
        <v>46</v>
      </c>
      <c r="G595" t="s">
        <v>5</v>
      </c>
    </row>
    <row r="596" spans="1:7" x14ac:dyDescent="0.3">
      <c r="A596" t="s">
        <v>15</v>
      </c>
      <c r="B596" s="1">
        <v>45930</v>
      </c>
      <c r="C596">
        <v>320019</v>
      </c>
      <c r="D596">
        <v>-21.434999999999999</v>
      </c>
      <c r="E596" t="s">
        <v>4</v>
      </c>
      <c r="F596" t="s">
        <v>46</v>
      </c>
      <c r="G596" t="s">
        <v>5</v>
      </c>
    </row>
    <row r="597" spans="1:7" x14ac:dyDescent="0.3">
      <c r="A597" t="s">
        <v>15</v>
      </c>
      <c r="B597" s="1">
        <v>45930</v>
      </c>
      <c r="C597">
        <v>320020</v>
      </c>
      <c r="D597">
        <v>-2456.989</v>
      </c>
      <c r="E597" t="s">
        <v>4</v>
      </c>
      <c r="F597" t="s">
        <v>46</v>
      </c>
      <c r="G597" t="s">
        <v>5</v>
      </c>
    </row>
    <row r="598" spans="1:7" x14ac:dyDescent="0.3">
      <c r="A598" t="s">
        <v>15</v>
      </c>
      <c r="B598" s="1">
        <v>45930</v>
      </c>
      <c r="C598">
        <v>320023</v>
      </c>
      <c r="D598">
        <v>-165781.50099999999</v>
      </c>
      <c r="E598" t="s">
        <v>4</v>
      </c>
      <c r="F598" t="s">
        <v>46</v>
      </c>
      <c r="G598" t="s">
        <v>5</v>
      </c>
    </row>
    <row r="599" spans="1:7" x14ac:dyDescent="0.3">
      <c r="A599" t="s">
        <v>15</v>
      </c>
      <c r="B599" s="1">
        <v>45930</v>
      </c>
      <c r="C599">
        <v>320024</v>
      </c>
      <c r="D599">
        <v>27773.574000000001</v>
      </c>
      <c r="E599" t="s">
        <v>4</v>
      </c>
      <c r="F599" t="s">
        <v>46</v>
      </c>
      <c r="G599" t="s">
        <v>5</v>
      </c>
    </row>
    <row r="600" spans="1:7" x14ac:dyDescent="0.3">
      <c r="A600" t="s">
        <v>15</v>
      </c>
      <c r="B600" s="1">
        <v>45930</v>
      </c>
      <c r="C600">
        <v>320025</v>
      </c>
      <c r="D600">
        <v>-15766.357</v>
      </c>
      <c r="E600" t="s">
        <v>4</v>
      </c>
      <c r="F600" t="s">
        <v>46</v>
      </c>
      <c r="G600" t="s">
        <v>5</v>
      </c>
    </row>
    <row r="601" spans="1:7" x14ac:dyDescent="0.3">
      <c r="A601" t="s">
        <v>15</v>
      </c>
      <c r="B601" s="1">
        <v>45930</v>
      </c>
      <c r="C601">
        <v>321002</v>
      </c>
      <c r="D601">
        <v>1310566.8559999999</v>
      </c>
      <c r="E601" t="s">
        <v>4</v>
      </c>
      <c r="F601" t="s">
        <v>46</v>
      </c>
      <c r="G601" t="s">
        <v>5</v>
      </c>
    </row>
    <row r="602" spans="1:7" x14ac:dyDescent="0.3">
      <c r="A602" t="s">
        <v>15</v>
      </c>
      <c r="B602" s="1">
        <v>45930</v>
      </c>
      <c r="C602">
        <v>321004</v>
      </c>
      <c r="D602">
        <v>18820.136999999999</v>
      </c>
      <c r="E602" t="s">
        <v>4</v>
      </c>
      <c r="F602" t="s">
        <v>46</v>
      </c>
      <c r="G602" t="s">
        <v>5</v>
      </c>
    </row>
    <row r="603" spans="1:7" x14ac:dyDescent="0.3">
      <c r="A603" t="s">
        <v>15</v>
      </c>
      <c r="B603" s="1">
        <v>45930</v>
      </c>
      <c r="C603">
        <v>321010</v>
      </c>
      <c r="D603">
        <v>-98681.462</v>
      </c>
      <c r="E603" t="s">
        <v>4</v>
      </c>
      <c r="F603" t="s">
        <v>46</v>
      </c>
      <c r="G603" t="s">
        <v>5</v>
      </c>
    </row>
    <row r="604" spans="1:7" x14ac:dyDescent="0.3">
      <c r="A604" t="s">
        <v>15</v>
      </c>
      <c r="B604" s="1">
        <v>45930</v>
      </c>
      <c r="C604">
        <v>321012</v>
      </c>
      <c r="D604">
        <v>223065.125</v>
      </c>
      <c r="E604" t="s">
        <v>4</v>
      </c>
      <c r="F604" t="s">
        <v>46</v>
      </c>
      <c r="G604" t="s">
        <v>5</v>
      </c>
    </row>
    <row r="605" spans="1:7" x14ac:dyDescent="0.3">
      <c r="A605" t="s">
        <v>15</v>
      </c>
      <c r="B605" s="1">
        <v>45930</v>
      </c>
      <c r="C605">
        <v>321013</v>
      </c>
      <c r="D605">
        <v>706562.47600000002</v>
      </c>
      <c r="E605" t="s">
        <v>4</v>
      </c>
      <c r="F605" t="s">
        <v>46</v>
      </c>
      <c r="G605" t="s">
        <v>5</v>
      </c>
    </row>
    <row r="606" spans="1:7" x14ac:dyDescent="0.3">
      <c r="A606" t="s">
        <v>15</v>
      </c>
      <c r="B606" s="1">
        <v>45930</v>
      </c>
      <c r="C606">
        <v>321014</v>
      </c>
      <c r="D606">
        <v>81988.212</v>
      </c>
      <c r="E606" t="s">
        <v>4</v>
      </c>
      <c r="F606" t="s">
        <v>46</v>
      </c>
      <c r="G606" t="s">
        <v>5</v>
      </c>
    </row>
    <row r="607" spans="1:7" x14ac:dyDescent="0.3">
      <c r="A607" t="s">
        <v>15</v>
      </c>
      <c r="B607" s="1">
        <v>45930</v>
      </c>
      <c r="C607">
        <v>321017</v>
      </c>
      <c r="D607">
        <v>20083.555</v>
      </c>
      <c r="E607" t="s">
        <v>4</v>
      </c>
      <c r="F607" t="s">
        <v>46</v>
      </c>
      <c r="G607" t="s">
        <v>5</v>
      </c>
    </row>
    <row r="608" spans="1:7" x14ac:dyDescent="0.3">
      <c r="A608" t="s">
        <v>15</v>
      </c>
      <c r="B608" s="1">
        <v>45930</v>
      </c>
      <c r="C608">
        <v>321018</v>
      </c>
      <c r="D608">
        <v>2143.3609999999999</v>
      </c>
      <c r="E608" t="s">
        <v>4</v>
      </c>
      <c r="F608" t="s">
        <v>46</v>
      </c>
      <c r="G608" t="s">
        <v>5</v>
      </c>
    </row>
    <row r="609" spans="1:7" x14ac:dyDescent="0.3">
      <c r="A609" t="s">
        <v>15</v>
      </c>
      <c r="B609" s="1">
        <v>45930</v>
      </c>
      <c r="C609">
        <v>321021</v>
      </c>
      <c r="D609">
        <v>317028.364</v>
      </c>
      <c r="E609" t="s">
        <v>4</v>
      </c>
      <c r="F609" t="s">
        <v>46</v>
      </c>
      <c r="G609" t="s">
        <v>5</v>
      </c>
    </row>
    <row r="610" spans="1:7" x14ac:dyDescent="0.3">
      <c r="A610" t="s">
        <v>15</v>
      </c>
      <c r="B610" s="1">
        <v>45930</v>
      </c>
      <c r="C610">
        <v>321025</v>
      </c>
      <c r="D610">
        <v>637319.82499999995</v>
      </c>
      <c r="E610" t="s">
        <v>4</v>
      </c>
      <c r="F610" t="s">
        <v>46</v>
      </c>
      <c r="G610" t="s">
        <v>5</v>
      </c>
    </row>
    <row r="611" spans="1:7" x14ac:dyDescent="0.3">
      <c r="A611" t="s">
        <v>15</v>
      </c>
      <c r="B611" s="1">
        <v>45930</v>
      </c>
      <c r="C611">
        <v>321027</v>
      </c>
      <c r="D611">
        <v>50853.612000000001</v>
      </c>
      <c r="E611" t="s">
        <v>4</v>
      </c>
      <c r="F611" t="s">
        <v>46</v>
      </c>
      <c r="G611" t="s">
        <v>5</v>
      </c>
    </row>
    <row r="612" spans="1:7" x14ac:dyDescent="0.3">
      <c r="A612" t="s">
        <v>15</v>
      </c>
      <c r="B612" s="1">
        <v>45930</v>
      </c>
      <c r="C612">
        <v>321028</v>
      </c>
      <c r="D612">
        <v>167715.261</v>
      </c>
      <c r="E612" t="s">
        <v>4</v>
      </c>
      <c r="F612" t="s">
        <v>46</v>
      </c>
      <c r="G612" t="s">
        <v>5</v>
      </c>
    </row>
    <row r="613" spans="1:7" x14ac:dyDescent="0.3">
      <c r="A613" t="s">
        <v>15</v>
      </c>
      <c r="B613" s="1">
        <v>45930</v>
      </c>
      <c r="C613">
        <v>321029</v>
      </c>
      <c r="D613">
        <v>-746168.74399999995</v>
      </c>
      <c r="E613" t="s">
        <v>4</v>
      </c>
      <c r="F613" t="s">
        <v>46</v>
      </c>
      <c r="G613" t="s">
        <v>5</v>
      </c>
    </row>
    <row r="614" spans="1:7" x14ac:dyDescent="0.3">
      <c r="A614" t="s">
        <v>15</v>
      </c>
      <c r="B614" s="1">
        <v>45930</v>
      </c>
      <c r="C614">
        <v>321030</v>
      </c>
      <c r="D614">
        <v>99729.002999999997</v>
      </c>
      <c r="E614" t="s">
        <v>4</v>
      </c>
      <c r="F614" t="s">
        <v>46</v>
      </c>
      <c r="G614" t="s">
        <v>5</v>
      </c>
    </row>
    <row r="615" spans="1:7" x14ac:dyDescent="0.3">
      <c r="A615" t="s">
        <v>15</v>
      </c>
      <c r="B615" s="1">
        <v>45930</v>
      </c>
      <c r="C615">
        <v>321031</v>
      </c>
      <c r="D615">
        <v>295871.98300000001</v>
      </c>
      <c r="E615" t="s">
        <v>4</v>
      </c>
      <c r="F615" t="s">
        <v>46</v>
      </c>
      <c r="G615" t="s">
        <v>5</v>
      </c>
    </row>
    <row r="616" spans="1:7" x14ac:dyDescent="0.3">
      <c r="A616" t="s">
        <v>15</v>
      </c>
      <c r="B616" s="1">
        <v>45930</v>
      </c>
      <c r="C616">
        <v>321038</v>
      </c>
      <c r="D616">
        <v>781.96500000000003</v>
      </c>
      <c r="E616" t="s">
        <v>4</v>
      </c>
      <c r="F616" t="s">
        <v>46</v>
      </c>
      <c r="G616" t="s">
        <v>5</v>
      </c>
    </row>
    <row r="617" spans="1:7" x14ac:dyDescent="0.3">
      <c r="A617" t="s">
        <v>15</v>
      </c>
      <c r="B617" s="1">
        <v>45930</v>
      </c>
      <c r="C617">
        <v>321041</v>
      </c>
      <c r="D617">
        <v>29360.432000000001</v>
      </c>
      <c r="E617" t="s">
        <v>4</v>
      </c>
      <c r="F617" t="s">
        <v>46</v>
      </c>
      <c r="G617" t="s">
        <v>5</v>
      </c>
    </row>
    <row r="618" spans="1:7" x14ac:dyDescent="0.3">
      <c r="A618" t="s">
        <v>15</v>
      </c>
      <c r="B618" s="1">
        <v>45930</v>
      </c>
      <c r="C618">
        <v>321042</v>
      </c>
      <c r="D618">
        <v>-15568.439</v>
      </c>
      <c r="E618" t="s">
        <v>4</v>
      </c>
      <c r="F618" t="s">
        <v>46</v>
      </c>
      <c r="G618" t="s">
        <v>5</v>
      </c>
    </row>
    <row r="619" spans="1:7" x14ac:dyDescent="0.3">
      <c r="A619" t="s">
        <v>15</v>
      </c>
      <c r="B619" s="1">
        <v>45930</v>
      </c>
      <c r="C619">
        <v>321045</v>
      </c>
      <c r="D619">
        <v>23827.832999999999</v>
      </c>
      <c r="E619" t="s">
        <v>4</v>
      </c>
      <c r="F619" t="s">
        <v>46</v>
      </c>
      <c r="G619" t="s">
        <v>5</v>
      </c>
    </row>
    <row r="620" spans="1:7" x14ac:dyDescent="0.3">
      <c r="A620" t="s">
        <v>15</v>
      </c>
      <c r="B620" s="1">
        <v>45930</v>
      </c>
      <c r="C620">
        <v>330002</v>
      </c>
      <c r="D620">
        <v>29119.321</v>
      </c>
      <c r="E620" t="s">
        <v>4</v>
      </c>
      <c r="F620" t="s">
        <v>43</v>
      </c>
      <c r="G620" t="s">
        <v>5</v>
      </c>
    </row>
    <row r="621" spans="1:7" x14ac:dyDescent="0.3">
      <c r="A621" t="s">
        <v>15</v>
      </c>
      <c r="B621" s="1">
        <v>45930</v>
      </c>
      <c r="C621">
        <v>330019</v>
      </c>
      <c r="D621">
        <v>-22239.883999999998</v>
      </c>
      <c r="E621" t="s">
        <v>4</v>
      </c>
      <c r="F621" t="s">
        <v>43</v>
      </c>
      <c r="G621" t="s">
        <v>5</v>
      </c>
    </row>
    <row r="622" spans="1:7" x14ac:dyDescent="0.3">
      <c r="A622" t="s">
        <v>15</v>
      </c>
      <c r="B622" s="1">
        <v>45930</v>
      </c>
      <c r="C622">
        <v>330020</v>
      </c>
      <c r="D622">
        <v>1477.365</v>
      </c>
      <c r="E622" t="s">
        <v>4</v>
      </c>
      <c r="F622" t="s">
        <v>43</v>
      </c>
      <c r="G622" t="s">
        <v>5</v>
      </c>
    </row>
    <row r="623" spans="1:7" x14ac:dyDescent="0.3">
      <c r="A623" t="s">
        <v>15</v>
      </c>
      <c r="B623" s="1">
        <v>45930</v>
      </c>
      <c r="C623">
        <v>330033</v>
      </c>
      <c r="D623">
        <v>31.401</v>
      </c>
      <c r="E623" t="s">
        <v>4</v>
      </c>
      <c r="F623" t="s">
        <v>43</v>
      </c>
      <c r="G623" t="s">
        <v>5</v>
      </c>
    </row>
    <row r="624" spans="1:7" x14ac:dyDescent="0.3">
      <c r="A624" t="s">
        <v>15</v>
      </c>
      <c r="B624" s="1">
        <v>45930</v>
      </c>
      <c r="C624">
        <v>330044</v>
      </c>
      <c r="D624">
        <v>-1934.3</v>
      </c>
      <c r="E624" t="s">
        <v>4</v>
      </c>
      <c r="F624" t="s">
        <v>43</v>
      </c>
      <c r="G624" t="s">
        <v>5</v>
      </c>
    </row>
    <row r="625" spans="1:7" x14ac:dyDescent="0.3">
      <c r="A625" t="s">
        <v>15</v>
      </c>
      <c r="B625" s="1">
        <v>45930</v>
      </c>
      <c r="C625">
        <v>330051</v>
      </c>
      <c r="D625">
        <v>9813.1010000000006</v>
      </c>
      <c r="E625" t="s">
        <v>4</v>
      </c>
      <c r="F625" t="s">
        <v>43</v>
      </c>
      <c r="G625" t="s">
        <v>5</v>
      </c>
    </row>
    <row r="626" spans="1:7" x14ac:dyDescent="0.3">
      <c r="A626" t="s">
        <v>15</v>
      </c>
      <c r="B626" s="1">
        <v>45930</v>
      </c>
      <c r="C626">
        <v>330052</v>
      </c>
      <c r="D626">
        <v>1196.1010000000001</v>
      </c>
      <c r="E626" t="s">
        <v>4</v>
      </c>
      <c r="F626" t="s">
        <v>43</v>
      </c>
      <c r="G626" t="s">
        <v>5</v>
      </c>
    </row>
    <row r="627" spans="1:7" x14ac:dyDescent="0.3">
      <c r="A627" t="s">
        <v>15</v>
      </c>
      <c r="B627" s="1">
        <v>45930</v>
      </c>
      <c r="C627">
        <v>330054</v>
      </c>
      <c r="D627">
        <v>2626.4760000000001</v>
      </c>
      <c r="E627" t="s">
        <v>4</v>
      </c>
      <c r="F627" t="s">
        <v>43</v>
      </c>
      <c r="G627" t="s">
        <v>5</v>
      </c>
    </row>
    <row r="628" spans="1:7" x14ac:dyDescent="0.3">
      <c r="A628" t="s">
        <v>15</v>
      </c>
      <c r="B628" s="1">
        <v>45930</v>
      </c>
      <c r="C628">
        <v>330055</v>
      </c>
      <c r="D628">
        <v>-134.07900000000001</v>
      </c>
      <c r="E628" t="s">
        <v>4</v>
      </c>
      <c r="F628" t="s">
        <v>43</v>
      </c>
      <c r="G628" t="s">
        <v>5</v>
      </c>
    </row>
    <row r="629" spans="1:7" x14ac:dyDescent="0.3">
      <c r="A629" t="s">
        <v>15</v>
      </c>
      <c r="B629" s="1">
        <v>45930</v>
      </c>
      <c r="C629">
        <v>330091</v>
      </c>
      <c r="D629">
        <v>17539.592000000001</v>
      </c>
      <c r="E629" t="s">
        <v>4</v>
      </c>
      <c r="F629" t="s">
        <v>43</v>
      </c>
      <c r="G629" t="s">
        <v>5</v>
      </c>
    </row>
    <row r="630" spans="1:7" x14ac:dyDescent="0.3">
      <c r="A630" t="s">
        <v>15</v>
      </c>
      <c r="B630" s="1">
        <v>45930</v>
      </c>
      <c r="C630">
        <v>330097</v>
      </c>
      <c r="D630">
        <v>463.95400000000001</v>
      </c>
      <c r="E630" t="s">
        <v>4</v>
      </c>
      <c r="F630" t="s">
        <v>43</v>
      </c>
      <c r="G630" t="s">
        <v>5</v>
      </c>
    </row>
    <row r="631" spans="1:7" x14ac:dyDescent="0.3">
      <c r="A631" t="s">
        <v>15</v>
      </c>
      <c r="B631" s="1">
        <v>45930</v>
      </c>
      <c r="C631">
        <v>330107</v>
      </c>
      <c r="D631">
        <v>2565.817</v>
      </c>
      <c r="E631" t="s">
        <v>4</v>
      </c>
      <c r="F631" t="s">
        <v>43</v>
      </c>
      <c r="G631" t="s">
        <v>5</v>
      </c>
    </row>
    <row r="632" spans="1:7" x14ac:dyDescent="0.3">
      <c r="A632" t="s">
        <v>15</v>
      </c>
      <c r="B632" s="1">
        <v>45930</v>
      </c>
      <c r="C632">
        <v>330126</v>
      </c>
      <c r="D632">
        <v>5130.393</v>
      </c>
      <c r="E632" t="s">
        <v>4</v>
      </c>
      <c r="F632" t="s">
        <v>43</v>
      </c>
      <c r="G632" t="s">
        <v>5</v>
      </c>
    </row>
    <row r="633" spans="1:7" x14ac:dyDescent="0.3">
      <c r="A633" t="s">
        <v>15</v>
      </c>
      <c r="B633" s="1">
        <v>45930</v>
      </c>
      <c r="C633">
        <v>330129</v>
      </c>
      <c r="D633">
        <v>40988.440999999999</v>
      </c>
      <c r="E633" t="s">
        <v>4</v>
      </c>
      <c r="F633" t="s">
        <v>43</v>
      </c>
      <c r="G633" t="s">
        <v>5</v>
      </c>
    </row>
    <row r="634" spans="1:7" x14ac:dyDescent="0.3">
      <c r="A634" t="s">
        <v>15</v>
      </c>
      <c r="B634" s="1">
        <v>45930</v>
      </c>
      <c r="C634">
        <v>330130</v>
      </c>
      <c r="D634">
        <v>39785.582000000002</v>
      </c>
      <c r="E634" t="s">
        <v>4</v>
      </c>
      <c r="F634" t="s">
        <v>43</v>
      </c>
      <c r="G634" t="s">
        <v>5</v>
      </c>
    </row>
    <row r="635" spans="1:7" x14ac:dyDescent="0.3">
      <c r="A635" t="s">
        <v>15</v>
      </c>
      <c r="B635" s="1">
        <v>45930</v>
      </c>
      <c r="C635">
        <v>330131</v>
      </c>
      <c r="D635">
        <v>-43752.343000000001</v>
      </c>
      <c r="E635" t="s">
        <v>4</v>
      </c>
      <c r="F635" t="s">
        <v>43</v>
      </c>
      <c r="G635" t="s">
        <v>5</v>
      </c>
    </row>
    <row r="636" spans="1:7" x14ac:dyDescent="0.3">
      <c r="A636" t="s">
        <v>15</v>
      </c>
      <c r="B636" s="1">
        <v>45930</v>
      </c>
      <c r="C636">
        <v>330132</v>
      </c>
      <c r="D636">
        <v>9484.8449999999993</v>
      </c>
      <c r="E636" t="s">
        <v>4</v>
      </c>
      <c r="F636" t="s">
        <v>43</v>
      </c>
      <c r="G636" t="s">
        <v>5</v>
      </c>
    </row>
    <row r="637" spans="1:7" x14ac:dyDescent="0.3">
      <c r="A637" t="s">
        <v>15</v>
      </c>
      <c r="B637" s="1">
        <v>45930</v>
      </c>
      <c r="C637">
        <v>330137</v>
      </c>
      <c r="D637">
        <v>6461.6859999999997</v>
      </c>
      <c r="E637" t="s">
        <v>4</v>
      </c>
      <c r="F637" t="s">
        <v>43</v>
      </c>
      <c r="G637" t="s">
        <v>5</v>
      </c>
    </row>
    <row r="638" spans="1:7" x14ac:dyDescent="0.3">
      <c r="A638" t="s">
        <v>15</v>
      </c>
      <c r="B638" s="1">
        <v>45930</v>
      </c>
      <c r="C638">
        <v>340003</v>
      </c>
      <c r="D638">
        <v>27.684000000000001</v>
      </c>
      <c r="E638" t="s">
        <v>4</v>
      </c>
      <c r="F638" t="s">
        <v>47</v>
      </c>
      <c r="G638" t="s">
        <v>5</v>
      </c>
    </row>
    <row r="639" spans="1:7" x14ac:dyDescent="0.3">
      <c r="A639" t="s">
        <v>15</v>
      </c>
      <c r="B639" s="1">
        <v>45930</v>
      </c>
      <c r="C639">
        <v>340004</v>
      </c>
      <c r="D639">
        <v>3905.19</v>
      </c>
      <c r="E639" t="s">
        <v>4</v>
      </c>
      <c r="F639" t="s">
        <v>47</v>
      </c>
      <c r="G639" t="s">
        <v>5</v>
      </c>
    </row>
    <row r="640" spans="1:7" x14ac:dyDescent="0.3">
      <c r="A640" t="s">
        <v>15</v>
      </c>
      <c r="B640" s="1">
        <v>45930</v>
      </c>
      <c r="C640">
        <v>340006</v>
      </c>
      <c r="D640">
        <v>4167815.1329999999</v>
      </c>
      <c r="E640" t="s">
        <v>4</v>
      </c>
      <c r="F640" t="s">
        <v>47</v>
      </c>
      <c r="G640" t="s">
        <v>5</v>
      </c>
    </row>
    <row r="641" spans="1:7" x14ac:dyDescent="0.3">
      <c r="A641" t="s">
        <v>15</v>
      </c>
      <c r="B641" s="1">
        <v>45930</v>
      </c>
      <c r="C641">
        <v>340012</v>
      </c>
      <c r="D641">
        <v>909155.58700000006</v>
      </c>
      <c r="E641" t="s">
        <v>4</v>
      </c>
      <c r="F641" t="s">
        <v>47</v>
      </c>
      <c r="G641" t="s">
        <v>5</v>
      </c>
    </row>
    <row r="642" spans="1:7" x14ac:dyDescent="0.3">
      <c r="A642" t="s">
        <v>15</v>
      </c>
      <c r="B642" s="1">
        <v>45930</v>
      </c>
      <c r="C642">
        <v>340013</v>
      </c>
      <c r="D642">
        <v>118329457.008</v>
      </c>
      <c r="E642" t="s">
        <v>4</v>
      </c>
      <c r="F642" t="s">
        <v>47</v>
      </c>
      <c r="G642" t="s">
        <v>5</v>
      </c>
    </row>
    <row r="643" spans="1:7" x14ac:dyDescent="0.3">
      <c r="A643" t="s">
        <v>15</v>
      </c>
      <c r="B643" s="1">
        <v>45930</v>
      </c>
      <c r="C643">
        <v>340014</v>
      </c>
      <c r="D643">
        <v>-119189977.41500001</v>
      </c>
      <c r="E643" t="s">
        <v>4</v>
      </c>
      <c r="F643" t="s">
        <v>47</v>
      </c>
      <c r="G643" t="s">
        <v>5</v>
      </c>
    </row>
    <row r="644" spans="1:7" x14ac:dyDescent="0.3">
      <c r="A644" t="s">
        <v>15</v>
      </c>
      <c r="B644" s="1">
        <v>45930</v>
      </c>
      <c r="C644">
        <v>340022</v>
      </c>
      <c r="D644">
        <v>817727.701</v>
      </c>
      <c r="E644" t="s">
        <v>4</v>
      </c>
      <c r="F644" t="s">
        <v>47</v>
      </c>
      <c r="G644" t="s">
        <v>5</v>
      </c>
    </row>
    <row r="645" spans="1:7" x14ac:dyDescent="0.3">
      <c r="A645" t="s">
        <v>15</v>
      </c>
      <c r="B645" s="1">
        <v>45930</v>
      </c>
      <c r="C645">
        <v>340023</v>
      </c>
      <c r="D645">
        <v>33452.457000000002</v>
      </c>
      <c r="E645" t="s">
        <v>4</v>
      </c>
      <c r="F645" t="s">
        <v>47</v>
      </c>
      <c r="G645" t="s">
        <v>5</v>
      </c>
    </row>
    <row r="646" spans="1:7" x14ac:dyDescent="0.3">
      <c r="A646" t="s">
        <v>15</v>
      </c>
      <c r="B646" s="1">
        <v>45930</v>
      </c>
      <c r="C646">
        <v>340024</v>
      </c>
      <c r="D646">
        <v>-851180.15800000005</v>
      </c>
      <c r="E646" t="s">
        <v>4</v>
      </c>
      <c r="F646" t="s">
        <v>47</v>
      </c>
      <c r="G646" t="s">
        <v>5</v>
      </c>
    </row>
    <row r="647" spans="1:7" x14ac:dyDescent="0.3">
      <c r="A647" t="s">
        <v>15</v>
      </c>
      <c r="B647" s="1">
        <v>45930</v>
      </c>
      <c r="C647">
        <v>340029</v>
      </c>
      <c r="D647">
        <v>187.33699999999999</v>
      </c>
      <c r="E647" t="s">
        <v>4</v>
      </c>
      <c r="F647" t="s">
        <v>47</v>
      </c>
      <c r="G647" t="s">
        <v>5</v>
      </c>
    </row>
    <row r="648" spans="1:7" x14ac:dyDescent="0.3">
      <c r="A648" t="s">
        <v>15</v>
      </c>
      <c r="B648" s="1">
        <v>45930</v>
      </c>
      <c r="C648">
        <v>340033</v>
      </c>
      <c r="D648">
        <v>164.06</v>
      </c>
      <c r="E648" t="s">
        <v>4</v>
      </c>
      <c r="F648" t="s">
        <v>47</v>
      </c>
      <c r="G648" t="s">
        <v>5</v>
      </c>
    </row>
    <row r="649" spans="1:7" x14ac:dyDescent="0.3">
      <c r="A649" t="s">
        <v>15</v>
      </c>
      <c r="B649" s="1">
        <v>45930</v>
      </c>
      <c r="C649">
        <v>340038</v>
      </c>
      <c r="D649">
        <v>1757.0360000000001</v>
      </c>
      <c r="E649" t="s">
        <v>4</v>
      </c>
      <c r="F649" t="s">
        <v>47</v>
      </c>
      <c r="G649" t="s">
        <v>5</v>
      </c>
    </row>
    <row r="650" spans="1:7" x14ac:dyDescent="0.3">
      <c r="A650" t="s">
        <v>15</v>
      </c>
      <c r="B650" s="1">
        <v>45930</v>
      </c>
      <c r="C650">
        <v>340055</v>
      </c>
      <c r="D650">
        <v>63.481999999999999</v>
      </c>
      <c r="E650" t="s">
        <v>4</v>
      </c>
      <c r="F650" t="s">
        <v>47</v>
      </c>
      <c r="G650" t="s">
        <v>5</v>
      </c>
    </row>
    <row r="651" spans="1:7" x14ac:dyDescent="0.3">
      <c r="A651" t="s">
        <v>15</v>
      </c>
      <c r="B651" s="1">
        <v>45930</v>
      </c>
      <c r="C651">
        <v>340056</v>
      </c>
      <c r="D651">
        <v>1200.933</v>
      </c>
      <c r="E651" t="s">
        <v>4</v>
      </c>
      <c r="F651" t="s">
        <v>47</v>
      </c>
      <c r="G651" t="s">
        <v>5</v>
      </c>
    </row>
    <row r="652" spans="1:7" x14ac:dyDescent="0.3">
      <c r="A652" t="s">
        <v>15</v>
      </c>
      <c r="B652" s="1">
        <v>45930</v>
      </c>
      <c r="C652">
        <v>340058</v>
      </c>
      <c r="D652">
        <v>114170.952</v>
      </c>
      <c r="E652" t="s">
        <v>4</v>
      </c>
      <c r="F652" t="s">
        <v>47</v>
      </c>
      <c r="G652" t="s">
        <v>5</v>
      </c>
    </row>
    <row r="653" spans="1:7" x14ac:dyDescent="0.3">
      <c r="A653" t="s">
        <v>15</v>
      </c>
      <c r="B653" s="1">
        <v>45930</v>
      </c>
      <c r="C653">
        <v>340060</v>
      </c>
      <c r="D653">
        <v>1603.6379999999999</v>
      </c>
      <c r="E653" t="s">
        <v>4</v>
      </c>
      <c r="F653" t="s">
        <v>47</v>
      </c>
      <c r="G653" t="s">
        <v>5</v>
      </c>
    </row>
    <row r="654" spans="1:7" x14ac:dyDescent="0.3">
      <c r="A654" t="s">
        <v>15</v>
      </c>
      <c r="B654" s="1">
        <v>45930</v>
      </c>
      <c r="C654">
        <v>340070</v>
      </c>
      <c r="D654">
        <v>11997.505999999999</v>
      </c>
      <c r="E654" t="s">
        <v>4</v>
      </c>
      <c r="F654" t="s">
        <v>47</v>
      </c>
      <c r="G654" t="s">
        <v>5</v>
      </c>
    </row>
    <row r="655" spans="1:7" x14ac:dyDescent="0.3">
      <c r="A655" t="s">
        <v>15</v>
      </c>
      <c r="B655" s="1">
        <v>45930</v>
      </c>
      <c r="C655">
        <v>340076</v>
      </c>
      <c r="D655">
        <v>6.7000000000000004E-2</v>
      </c>
      <c r="E655" t="s">
        <v>4</v>
      </c>
      <c r="F655" t="s">
        <v>47</v>
      </c>
      <c r="G655" t="s">
        <v>5</v>
      </c>
    </row>
    <row r="656" spans="1:7" x14ac:dyDescent="0.3">
      <c r="A656" t="s">
        <v>15</v>
      </c>
      <c r="B656" s="1">
        <v>45930</v>
      </c>
      <c r="C656">
        <v>340089</v>
      </c>
      <c r="D656">
        <v>2.7919999999999998</v>
      </c>
      <c r="E656" t="s">
        <v>4</v>
      </c>
      <c r="F656" t="s">
        <v>47</v>
      </c>
      <c r="G656" t="s">
        <v>5</v>
      </c>
    </row>
    <row r="657" spans="1:7" x14ac:dyDescent="0.3">
      <c r="A657" t="s">
        <v>15</v>
      </c>
      <c r="B657" s="1">
        <v>45930</v>
      </c>
      <c r="C657">
        <v>340126</v>
      </c>
      <c r="D657">
        <v>-1445.393</v>
      </c>
      <c r="E657" t="s">
        <v>4</v>
      </c>
      <c r="F657" t="s">
        <v>47</v>
      </c>
      <c r="G657" t="s">
        <v>5</v>
      </c>
    </row>
    <row r="658" spans="1:7" x14ac:dyDescent="0.3">
      <c r="A658" t="s">
        <v>15</v>
      </c>
      <c r="B658" s="1">
        <v>45930</v>
      </c>
      <c r="C658">
        <v>340135</v>
      </c>
      <c r="D658">
        <v>9938952.2789999992</v>
      </c>
      <c r="E658" t="s">
        <v>4</v>
      </c>
      <c r="F658" t="s">
        <v>47</v>
      </c>
      <c r="G658" t="s">
        <v>5</v>
      </c>
    </row>
    <row r="659" spans="1:7" x14ac:dyDescent="0.3">
      <c r="A659" t="s">
        <v>15</v>
      </c>
      <c r="B659" s="1">
        <v>45930</v>
      </c>
      <c r="C659">
        <v>340136</v>
      </c>
      <c r="D659">
        <v>-9923450.9360000007</v>
      </c>
      <c r="E659" t="s">
        <v>4</v>
      </c>
      <c r="F659" t="s">
        <v>47</v>
      </c>
      <c r="G659" t="s">
        <v>5</v>
      </c>
    </row>
    <row r="660" spans="1:7" x14ac:dyDescent="0.3">
      <c r="A660" t="s">
        <v>15</v>
      </c>
      <c r="B660" s="1">
        <v>45930</v>
      </c>
      <c r="C660">
        <v>340138</v>
      </c>
      <c r="D660">
        <v>-4838052.1069999998</v>
      </c>
      <c r="E660" t="s">
        <v>4</v>
      </c>
      <c r="F660" t="s">
        <v>47</v>
      </c>
      <c r="G660" t="s">
        <v>5</v>
      </c>
    </row>
    <row r="661" spans="1:7" x14ac:dyDescent="0.3">
      <c r="A661" t="s">
        <v>15</v>
      </c>
      <c r="B661" s="1">
        <v>45930</v>
      </c>
      <c r="C661">
        <v>340268</v>
      </c>
      <c r="D661">
        <v>808195.28599999996</v>
      </c>
      <c r="E661" t="s">
        <v>4</v>
      </c>
      <c r="F661" t="s">
        <v>47</v>
      </c>
      <c r="G661" t="s">
        <v>5</v>
      </c>
    </row>
    <row r="662" spans="1:7" x14ac:dyDescent="0.3">
      <c r="A662" t="s">
        <v>15</v>
      </c>
      <c r="B662" s="1">
        <v>45930</v>
      </c>
      <c r="C662">
        <v>340269</v>
      </c>
      <c r="D662">
        <v>3375323.9870000002</v>
      </c>
      <c r="E662" t="s">
        <v>4</v>
      </c>
      <c r="F662" t="s">
        <v>47</v>
      </c>
      <c r="G662" t="s">
        <v>5</v>
      </c>
    </row>
    <row r="663" spans="1:7" x14ac:dyDescent="0.3">
      <c r="A663" t="s">
        <v>15</v>
      </c>
      <c r="B663" s="1">
        <v>45930</v>
      </c>
      <c r="C663">
        <v>340270</v>
      </c>
      <c r="D663">
        <v>-4179075.5580000002</v>
      </c>
      <c r="E663" t="s">
        <v>4</v>
      </c>
      <c r="F663" t="s">
        <v>47</v>
      </c>
      <c r="G663" t="s">
        <v>5</v>
      </c>
    </row>
    <row r="664" spans="1:7" x14ac:dyDescent="0.3">
      <c r="A664" t="s">
        <v>15</v>
      </c>
      <c r="B664" s="1">
        <v>45930</v>
      </c>
      <c r="C664">
        <v>340274</v>
      </c>
      <c r="D664">
        <v>304949.625</v>
      </c>
      <c r="E664" t="s">
        <v>4</v>
      </c>
      <c r="F664" t="s">
        <v>47</v>
      </c>
      <c r="G664" t="s">
        <v>5</v>
      </c>
    </row>
    <row r="665" spans="1:7" x14ac:dyDescent="0.3">
      <c r="A665" t="s">
        <v>15</v>
      </c>
      <c r="B665" s="1">
        <v>45930</v>
      </c>
      <c r="C665">
        <v>340275</v>
      </c>
      <c r="D665">
        <v>50015715.465999998</v>
      </c>
      <c r="E665" t="s">
        <v>4</v>
      </c>
      <c r="F665" t="s">
        <v>47</v>
      </c>
      <c r="G665" t="s">
        <v>5</v>
      </c>
    </row>
    <row r="666" spans="1:7" x14ac:dyDescent="0.3">
      <c r="A666" t="s">
        <v>15</v>
      </c>
      <c r="B666" s="1">
        <v>45930</v>
      </c>
      <c r="C666">
        <v>340276</v>
      </c>
      <c r="D666">
        <v>-50283831.333999999</v>
      </c>
      <c r="E666" t="s">
        <v>4</v>
      </c>
      <c r="F666" t="s">
        <v>47</v>
      </c>
      <c r="G666" t="s">
        <v>5</v>
      </c>
    </row>
    <row r="667" spans="1:7" x14ac:dyDescent="0.3">
      <c r="A667" t="s">
        <v>15</v>
      </c>
      <c r="B667" s="1">
        <v>45930</v>
      </c>
      <c r="C667">
        <v>340286</v>
      </c>
      <c r="D667">
        <v>491.52600000000001</v>
      </c>
      <c r="E667" t="s">
        <v>4</v>
      </c>
      <c r="F667" t="s">
        <v>47</v>
      </c>
      <c r="G667" t="s">
        <v>5</v>
      </c>
    </row>
    <row r="668" spans="1:7" x14ac:dyDescent="0.3">
      <c r="A668" t="s">
        <v>15</v>
      </c>
      <c r="B668" s="1">
        <v>45930</v>
      </c>
      <c r="C668">
        <v>340289</v>
      </c>
      <c r="D668">
        <v>630.50900000000001</v>
      </c>
      <c r="E668" t="s">
        <v>4</v>
      </c>
      <c r="F668" t="s">
        <v>47</v>
      </c>
      <c r="G668" t="s">
        <v>5</v>
      </c>
    </row>
    <row r="669" spans="1:7" x14ac:dyDescent="0.3">
      <c r="A669" t="s">
        <v>15</v>
      </c>
      <c r="B669" s="1">
        <v>45930</v>
      </c>
      <c r="C669">
        <v>340299</v>
      </c>
      <c r="D669">
        <v>10172963.767999999</v>
      </c>
      <c r="E669" t="s">
        <v>4</v>
      </c>
      <c r="F669" t="s">
        <v>47</v>
      </c>
      <c r="G669" t="s">
        <v>5</v>
      </c>
    </row>
    <row r="670" spans="1:7" x14ac:dyDescent="0.3">
      <c r="A670" t="s">
        <v>15</v>
      </c>
      <c r="B670" s="1">
        <v>45930</v>
      </c>
      <c r="C670">
        <v>340300</v>
      </c>
      <c r="D670">
        <v>-9482699.8920000009</v>
      </c>
      <c r="E670" t="s">
        <v>4</v>
      </c>
      <c r="F670" t="s">
        <v>47</v>
      </c>
      <c r="G670" t="s">
        <v>5</v>
      </c>
    </row>
    <row r="671" spans="1:7" x14ac:dyDescent="0.3">
      <c r="A671" t="s">
        <v>15</v>
      </c>
      <c r="B671" s="1">
        <v>45930</v>
      </c>
      <c r="C671">
        <v>340301</v>
      </c>
      <c r="D671">
        <v>175101.842</v>
      </c>
      <c r="E671" t="s">
        <v>4</v>
      </c>
      <c r="F671" t="s">
        <v>47</v>
      </c>
      <c r="G671" t="s">
        <v>5</v>
      </c>
    </row>
    <row r="672" spans="1:7" x14ac:dyDescent="0.3">
      <c r="A672" t="s">
        <v>15</v>
      </c>
      <c r="B672" s="1">
        <v>45930</v>
      </c>
      <c r="C672">
        <v>340302</v>
      </c>
      <c r="D672">
        <v>-175886.614</v>
      </c>
      <c r="E672" t="s">
        <v>4</v>
      </c>
      <c r="F672" t="s">
        <v>47</v>
      </c>
      <c r="G672" t="s">
        <v>5</v>
      </c>
    </row>
    <row r="673" spans="1:7" x14ac:dyDescent="0.3">
      <c r="A673" t="s">
        <v>15</v>
      </c>
      <c r="B673" s="1">
        <v>45930</v>
      </c>
      <c r="C673">
        <v>340303</v>
      </c>
      <c r="D673">
        <v>215996.23199999999</v>
      </c>
      <c r="E673" t="s">
        <v>4</v>
      </c>
      <c r="F673" t="s">
        <v>47</v>
      </c>
      <c r="G673" t="s">
        <v>5</v>
      </c>
    </row>
    <row r="674" spans="1:7" x14ac:dyDescent="0.3">
      <c r="A674" t="s">
        <v>15</v>
      </c>
      <c r="B674" s="1">
        <v>45930</v>
      </c>
      <c r="C674">
        <v>340304</v>
      </c>
      <c r="D674">
        <v>-215611.04199999999</v>
      </c>
      <c r="E674" t="s">
        <v>4</v>
      </c>
      <c r="F674" t="s">
        <v>47</v>
      </c>
      <c r="G674" t="s">
        <v>5</v>
      </c>
    </row>
    <row r="675" spans="1:7" x14ac:dyDescent="0.3">
      <c r="A675" t="s">
        <v>15</v>
      </c>
      <c r="B675" s="1">
        <v>45930</v>
      </c>
      <c r="C675">
        <v>340305</v>
      </c>
      <c r="D675">
        <v>79568.535999999993</v>
      </c>
      <c r="E675" t="s">
        <v>4</v>
      </c>
      <c r="F675" t="s">
        <v>47</v>
      </c>
      <c r="G675" t="s">
        <v>5</v>
      </c>
    </row>
    <row r="676" spans="1:7" x14ac:dyDescent="0.3">
      <c r="A676" t="s">
        <v>15</v>
      </c>
      <c r="B676" s="1">
        <v>45930</v>
      </c>
      <c r="C676">
        <v>340306</v>
      </c>
      <c r="D676">
        <v>-66895.482000000004</v>
      </c>
      <c r="E676" t="s">
        <v>4</v>
      </c>
      <c r="F676" t="s">
        <v>47</v>
      </c>
      <c r="G676" t="s">
        <v>5</v>
      </c>
    </row>
    <row r="677" spans="1:7" x14ac:dyDescent="0.3">
      <c r="A677" t="s">
        <v>15</v>
      </c>
      <c r="B677" s="1">
        <v>45930</v>
      </c>
      <c r="C677">
        <v>340307</v>
      </c>
      <c r="D677">
        <v>1541274.7590000001</v>
      </c>
      <c r="E677" t="s">
        <v>4</v>
      </c>
      <c r="F677" t="s">
        <v>47</v>
      </c>
      <c r="G677" t="s">
        <v>5</v>
      </c>
    </row>
    <row r="678" spans="1:7" x14ac:dyDescent="0.3">
      <c r="A678" t="s">
        <v>15</v>
      </c>
      <c r="B678" s="1">
        <v>45930</v>
      </c>
      <c r="C678">
        <v>340308</v>
      </c>
      <c r="D678">
        <v>-1627388.537</v>
      </c>
      <c r="E678" t="s">
        <v>4</v>
      </c>
      <c r="F678" t="s">
        <v>47</v>
      </c>
      <c r="G678" t="s">
        <v>5</v>
      </c>
    </row>
    <row r="679" spans="1:7" x14ac:dyDescent="0.3">
      <c r="A679" t="s">
        <v>15</v>
      </c>
      <c r="B679" s="1">
        <v>45930</v>
      </c>
      <c r="C679">
        <v>340309</v>
      </c>
      <c r="D679">
        <v>1.141</v>
      </c>
      <c r="E679" t="s">
        <v>4</v>
      </c>
      <c r="F679" t="s">
        <v>47</v>
      </c>
      <c r="G679" t="s">
        <v>5</v>
      </c>
    </row>
    <row r="680" spans="1:7" x14ac:dyDescent="0.3">
      <c r="A680" t="s">
        <v>15</v>
      </c>
      <c r="B680" s="1">
        <v>45930</v>
      </c>
      <c r="C680">
        <v>340310</v>
      </c>
      <c r="D680">
        <v>-24.887</v>
      </c>
      <c r="E680" t="s">
        <v>4</v>
      </c>
      <c r="F680" t="s">
        <v>47</v>
      </c>
      <c r="G680" t="s">
        <v>5</v>
      </c>
    </row>
    <row r="681" spans="1:7" x14ac:dyDescent="0.3">
      <c r="A681" t="s">
        <v>15</v>
      </c>
      <c r="B681" s="1">
        <v>45930</v>
      </c>
      <c r="C681">
        <v>340311</v>
      </c>
      <c r="D681">
        <v>2265942.7930000001</v>
      </c>
      <c r="E681" t="s">
        <v>4</v>
      </c>
      <c r="F681" t="s">
        <v>47</v>
      </c>
      <c r="G681" t="s">
        <v>5</v>
      </c>
    </row>
    <row r="682" spans="1:7" x14ac:dyDescent="0.3">
      <c r="A682" t="s">
        <v>15</v>
      </c>
      <c r="B682" s="1">
        <v>45930</v>
      </c>
      <c r="C682">
        <v>340312</v>
      </c>
      <c r="D682">
        <v>-2264713.534</v>
      </c>
      <c r="E682" t="s">
        <v>4</v>
      </c>
      <c r="F682" t="s">
        <v>47</v>
      </c>
      <c r="G682" t="s">
        <v>5</v>
      </c>
    </row>
    <row r="683" spans="1:7" x14ac:dyDescent="0.3">
      <c r="A683" t="s">
        <v>15</v>
      </c>
      <c r="B683" s="1">
        <v>45930</v>
      </c>
      <c r="C683">
        <v>340321</v>
      </c>
      <c r="D683">
        <v>155</v>
      </c>
      <c r="E683" t="s">
        <v>4</v>
      </c>
      <c r="F683" t="s">
        <v>47</v>
      </c>
      <c r="G683" t="s">
        <v>5</v>
      </c>
    </row>
    <row r="684" spans="1:7" x14ac:dyDescent="0.3">
      <c r="A684" t="s">
        <v>15</v>
      </c>
      <c r="B684" s="1">
        <v>45930</v>
      </c>
      <c r="C684">
        <v>345004</v>
      </c>
      <c r="D684">
        <v>3420.7170000000001</v>
      </c>
      <c r="E684" t="s">
        <v>4</v>
      </c>
      <c r="F684" t="s">
        <v>47</v>
      </c>
      <c r="G684" t="s">
        <v>5</v>
      </c>
    </row>
    <row r="685" spans="1:7" x14ac:dyDescent="0.3">
      <c r="A685" t="s">
        <v>15</v>
      </c>
      <c r="B685" s="1">
        <v>45930</v>
      </c>
      <c r="C685">
        <v>345005</v>
      </c>
      <c r="D685">
        <v>114099.432</v>
      </c>
      <c r="E685" t="s">
        <v>4</v>
      </c>
      <c r="F685" t="s">
        <v>47</v>
      </c>
      <c r="G685" t="s">
        <v>5</v>
      </c>
    </row>
    <row r="686" spans="1:7" x14ac:dyDescent="0.3">
      <c r="A686" t="s">
        <v>15</v>
      </c>
      <c r="B686" s="1">
        <v>45930</v>
      </c>
      <c r="C686">
        <v>345006</v>
      </c>
      <c r="D686">
        <v>1790.037</v>
      </c>
      <c r="E686" t="s">
        <v>4</v>
      </c>
      <c r="F686" t="s">
        <v>47</v>
      </c>
      <c r="G686" t="s">
        <v>5</v>
      </c>
    </row>
    <row r="687" spans="1:7" x14ac:dyDescent="0.3">
      <c r="A687" t="s">
        <v>15</v>
      </c>
      <c r="B687" s="1">
        <v>45930</v>
      </c>
      <c r="C687">
        <v>345011</v>
      </c>
      <c r="D687">
        <v>2480</v>
      </c>
      <c r="E687" t="s">
        <v>4</v>
      </c>
      <c r="F687" t="s">
        <v>47</v>
      </c>
      <c r="G687" t="s">
        <v>5</v>
      </c>
    </row>
    <row r="688" spans="1:7" x14ac:dyDescent="0.3">
      <c r="A688" t="s">
        <v>15</v>
      </c>
      <c r="B688" s="1">
        <v>45930</v>
      </c>
      <c r="C688">
        <v>348007</v>
      </c>
      <c r="D688">
        <v>2747.308</v>
      </c>
      <c r="E688" t="s">
        <v>4</v>
      </c>
      <c r="F688" t="s">
        <v>47</v>
      </c>
      <c r="G688" t="s">
        <v>5</v>
      </c>
    </row>
    <row r="689" spans="1:7" x14ac:dyDescent="0.3">
      <c r="A689" t="s">
        <v>15</v>
      </c>
      <c r="B689" s="1">
        <v>45930</v>
      </c>
      <c r="C689">
        <v>348008</v>
      </c>
      <c r="D689">
        <v>1051.903</v>
      </c>
      <c r="E689" t="s">
        <v>4</v>
      </c>
      <c r="F689" t="s">
        <v>47</v>
      </c>
      <c r="G689" t="s">
        <v>5</v>
      </c>
    </row>
    <row r="690" spans="1:7" x14ac:dyDescent="0.3">
      <c r="A690" t="s">
        <v>15</v>
      </c>
      <c r="B690" s="1">
        <v>45930</v>
      </c>
      <c r="C690">
        <v>348009</v>
      </c>
      <c r="D690">
        <v>960.47900000000004</v>
      </c>
      <c r="E690" t="s">
        <v>4</v>
      </c>
      <c r="F690" t="s">
        <v>47</v>
      </c>
      <c r="G690" t="s">
        <v>5</v>
      </c>
    </row>
    <row r="691" spans="1:7" x14ac:dyDescent="0.3">
      <c r="A691" t="s">
        <v>15</v>
      </c>
      <c r="B691" s="1">
        <v>45930</v>
      </c>
      <c r="C691">
        <v>348010</v>
      </c>
      <c r="D691">
        <v>1830.6990000000001</v>
      </c>
      <c r="E691" t="s">
        <v>4</v>
      </c>
      <c r="F691" t="s">
        <v>47</v>
      </c>
      <c r="G691" t="s">
        <v>5</v>
      </c>
    </row>
    <row r="692" spans="1:7" x14ac:dyDescent="0.3">
      <c r="A692" t="s">
        <v>15</v>
      </c>
      <c r="B692" s="1">
        <v>45930</v>
      </c>
      <c r="C692">
        <v>348011</v>
      </c>
      <c r="D692">
        <v>1141.8989999999999</v>
      </c>
      <c r="E692" t="s">
        <v>4</v>
      </c>
      <c r="F692" t="s">
        <v>47</v>
      </c>
      <c r="G692" t="s">
        <v>5</v>
      </c>
    </row>
    <row r="693" spans="1:7" x14ac:dyDescent="0.3">
      <c r="A693" t="s">
        <v>15</v>
      </c>
      <c r="B693" s="1">
        <v>45930</v>
      </c>
      <c r="C693">
        <v>348014</v>
      </c>
      <c r="D693">
        <v>1015.917</v>
      </c>
      <c r="E693" t="s">
        <v>4</v>
      </c>
      <c r="F693" t="s">
        <v>47</v>
      </c>
      <c r="G693" t="s">
        <v>5</v>
      </c>
    </row>
    <row r="694" spans="1:7" x14ac:dyDescent="0.3">
      <c r="A694" t="s">
        <v>15</v>
      </c>
      <c r="B694" s="1">
        <v>45930</v>
      </c>
      <c r="C694">
        <v>348015</v>
      </c>
      <c r="D694">
        <v>596.66300000000001</v>
      </c>
      <c r="E694" t="s">
        <v>4</v>
      </c>
      <c r="F694" t="s">
        <v>47</v>
      </c>
      <c r="G694" t="s">
        <v>5</v>
      </c>
    </row>
    <row r="695" spans="1:7" x14ac:dyDescent="0.3">
      <c r="A695" t="s">
        <v>15</v>
      </c>
      <c r="B695" s="1">
        <v>45930</v>
      </c>
      <c r="C695">
        <v>348016</v>
      </c>
      <c r="D695">
        <v>570.14599999999996</v>
      </c>
      <c r="E695" t="s">
        <v>4</v>
      </c>
      <c r="F695" t="s">
        <v>47</v>
      </c>
      <c r="G695" t="s">
        <v>5</v>
      </c>
    </row>
    <row r="696" spans="1:7" x14ac:dyDescent="0.3">
      <c r="A696" t="s">
        <v>15</v>
      </c>
      <c r="B696" s="1">
        <v>45930</v>
      </c>
      <c r="C696">
        <v>348017</v>
      </c>
      <c r="D696">
        <v>569.62</v>
      </c>
      <c r="E696" t="s">
        <v>4</v>
      </c>
      <c r="F696" t="s">
        <v>47</v>
      </c>
      <c r="G696" t="s">
        <v>5</v>
      </c>
    </row>
    <row r="697" spans="1:7" x14ac:dyDescent="0.3">
      <c r="A697" t="s">
        <v>15</v>
      </c>
      <c r="B697" s="1">
        <v>45930</v>
      </c>
      <c r="C697">
        <v>348018</v>
      </c>
      <c r="D697">
        <v>1198.9839999999999</v>
      </c>
      <c r="E697" t="s">
        <v>4</v>
      </c>
      <c r="F697" t="s">
        <v>47</v>
      </c>
      <c r="G697" t="s">
        <v>5</v>
      </c>
    </row>
    <row r="698" spans="1:7" x14ac:dyDescent="0.3">
      <c r="A698" t="s">
        <v>15</v>
      </c>
      <c r="B698" s="1">
        <v>45930</v>
      </c>
      <c r="C698">
        <v>348019</v>
      </c>
      <c r="D698">
        <v>858.93</v>
      </c>
      <c r="E698" t="s">
        <v>4</v>
      </c>
      <c r="F698" t="s">
        <v>47</v>
      </c>
      <c r="G698" t="s">
        <v>5</v>
      </c>
    </row>
    <row r="699" spans="1:7" x14ac:dyDescent="0.3">
      <c r="A699" t="s">
        <v>15</v>
      </c>
      <c r="B699" s="1">
        <v>45930</v>
      </c>
      <c r="C699">
        <v>348020</v>
      </c>
      <c r="D699">
        <v>23250</v>
      </c>
      <c r="E699" t="s">
        <v>4</v>
      </c>
      <c r="F699" t="s">
        <v>47</v>
      </c>
      <c r="G699" t="s">
        <v>5</v>
      </c>
    </row>
    <row r="700" spans="1:7" x14ac:dyDescent="0.3">
      <c r="A700" t="s">
        <v>15</v>
      </c>
      <c r="B700" s="1">
        <v>45930</v>
      </c>
      <c r="C700">
        <v>348021</v>
      </c>
      <c r="D700">
        <v>1086.3969999999999</v>
      </c>
      <c r="E700" t="s">
        <v>4</v>
      </c>
      <c r="F700" t="s">
        <v>47</v>
      </c>
      <c r="G700" t="s">
        <v>5</v>
      </c>
    </row>
    <row r="701" spans="1:7" x14ac:dyDescent="0.3">
      <c r="A701" t="s">
        <v>15</v>
      </c>
      <c r="B701" s="1">
        <v>45930</v>
      </c>
      <c r="C701">
        <v>350002</v>
      </c>
      <c r="D701">
        <v>7892.98</v>
      </c>
      <c r="E701" t="s">
        <v>4</v>
      </c>
      <c r="F701" t="s">
        <v>49</v>
      </c>
      <c r="G701" t="s">
        <v>5</v>
      </c>
    </row>
    <row r="702" spans="1:7" x14ac:dyDescent="0.3">
      <c r="A702" t="s">
        <v>15</v>
      </c>
      <c r="B702" s="1">
        <v>45930</v>
      </c>
      <c r="C702">
        <v>350003</v>
      </c>
      <c r="D702">
        <v>32361.473000000002</v>
      </c>
      <c r="E702" t="s">
        <v>4</v>
      </c>
      <c r="F702" t="s">
        <v>49</v>
      </c>
      <c r="G702" t="s">
        <v>5</v>
      </c>
    </row>
    <row r="703" spans="1:7" x14ac:dyDescent="0.3">
      <c r="A703" t="s">
        <v>15</v>
      </c>
      <c r="B703" s="1">
        <v>45930</v>
      </c>
      <c r="C703">
        <v>350006</v>
      </c>
      <c r="D703">
        <v>371317.94699999999</v>
      </c>
      <c r="E703" t="s">
        <v>4</v>
      </c>
      <c r="F703" t="s">
        <v>43</v>
      </c>
      <c r="G703" t="s">
        <v>5</v>
      </c>
    </row>
    <row r="704" spans="1:7" x14ac:dyDescent="0.3">
      <c r="A704" t="s">
        <v>15</v>
      </c>
      <c r="B704" s="1">
        <v>45930</v>
      </c>
      <c r="C704">
        <v>350007</v>
      </c>
      <c r="D704">
        <v>16.917000000000002</v>
      </c>
      <c r="E704" t="s">
        <v>4</v>
      </c>
      <c r="F704" t="s">
        <v>49</v>
      </c>
      <c r="G704" t="s">
        <v>5</v>
      </c>
    </row>
    <row r="705" spans="1:7" x14ac:dyDescent="0.3">
      <c r="A705" t="s">
        <v>15</v>
      </c>
      <c r="B705" s="1">
        <v>45930</v>
      </c>
      <c r="C705">
        <v>350012</v>
      </c>
      <c r="D705">
        <v>-167270.26</v>
      </c>
      <c r="E705" t="s">
        <v>4</v>
      </c>
      <c r="F705" t="s">
        <v>49</v>
      </c>
      <c r="G705" t="s">
        <v>5</v>
      </c>
    </row>
    <row r="706" spans="1:7" x14ac:dyDescent="0.3">
      <c r="A706" t="s">
        <v>15</v>
      </c>
      <c r="B706" s="1">
        <v>45930</v>
      </c>
      <c r="C706">
        <v>350031</v>
      </c>
      <c r="D706">
        <v>-59868.678</v>
      </c>
      <c r="E706" t="s">
        <v>4</v>
      </c>
      <c r="F706" t="s">
        <v>43</v>
      </c>
      <c r="G706" t="s">
        <v>5</v>
      </c>
    </row>
    <row r="707" spans="1:7" x14ac:dyDescent="0.3">
      <c r="A707" t="s">
        <v>15</v>
      </c>
      <c r="B707" s="1">
        <v>45930</v>
      </c>
      <c r="C707">
        <v>350034</v>
      </c>
      <c r="D707">
        <v>9094.16</v>
      </c>
      <c r="E707" t="s">
        <v>4</v>
      </c>
      <c r="F707" t="s">
        <v>49</v>
      </c>
      <c r="G707" t="s">
        <v>5</v>
      </c>
    </row>
    <row r="708" spans="1:7" x14ac:dyDescent="0.3">
      <c r="A708" t="s">
        <v>15</v>
      </c>
      <c r="B708" s="1">
        <v>45930</v>
      </c>
      <c r="C708">
        <v>350035</v>
      </c>
      <c r="D708">
        <v>165727.25200000001</v>
      </c>
      <c r="E708" t="s">
        <v>4</v>
      </c>
      <c r="F708" t="s">
        <v>49</v>
      </c>
      <c r="G708" t="s">
        <v>5</v>
      </c>
    </row>
    <row r="709" spans="1:7" x14ac:dyDescent="0.3">
      <c r="A709" t="s">
        <v>15</v>
      </c>
      <c r="B709" s="1">
        <v>45930</v>
      </c>
      <c r="C709">
        <v>352002</v>
      </c>
      <c r="D709">
        <v>281556.217</v>
      </c>
      <c r="E709" t="s">
        <v>4</v>
      </c>
      <c r="F709" t="s">
        <v>48</v>
      </c>
      <c r="G709" t="s">
        <v>5</v>
      </c>
    </row>
    <row r="710" spans="1:7" x14ac:dyDescent="0.3">
      <c r="A710" t="s">
        <v>15</v>
      </c>
      <c r="B710" s="1">
        <v>45930</v>
      </c>
      <c r="C710">
        <v>352003</v>
      </c>
      <c r="D710">
        <v>14719.718999999999</v>
      </c>
      <c r="E710" t="s">
        <v>4</v>
      </c>
      <c r="F710" t="s">
        <v>48</v>
      </c>
      <c r="G710" t="s">
        <v>5</v>
      </c>
    </row>
    <row r="711" spans="1:7" x14ac:dyDescent="0.3">
      <c r="A711" t="s">
        <v>15</v>
      </c>
      <c r="B711" s="1">
        <v>45930</v>
      </c>
      <c r="C711">
        <v>352005</v>
      </c>
      <c r="D711">
        <v>-14228.74</v>
      </c>
      <c r="E711" t="s">
        <v>4</v>
      </c>
      <c r="F711" t="s">
        <v>48</v>
      </c>
      <c r="G711" t="s">
        <v>5</v>
      </c>
    </row>
    <row r="712" spans="1:7" x14ac:dyDescent="0.3">
      <c r="A712" t="s">
        <v>15</v>
      </c>
      <c r="B712" s="1">
        <v>45930</v>
      </c>
      <c r="C712">
        <v>352006</v>
      </c>
      <c r="D712">
        <v>-46252.192999999999</v>
      </c>
      <c r="E712" t="s">
        <v>4</v>
      </c>
      <c r="F712" t="s">
        <v>48</v>
      </c>
      <c r="G712" t="s">
        <v>5</v>
      </c>
    </row>
    <row r="713" spans="1:7" x14ac:dyDescent="0.3">
      <c r="A713" t="s">
        <v>15</v>
      </c>
      <c r="B713" s="1">
        <v>45930</v>
      </c>
      <c r="C713">
        <v>354008</v>
      </c>
      <c r="D713">
        <v>-447427.68800000002</v>
      </c>
      <c r="E713" t="s">
        <v>4</v>
      </c>
      <c r="F713" t="s">
        <v>46</v>
      </c>
      <c r="G713" t="s">
        <v>5</v>
      </c>
    </row>
    <row r="714" spans="1:7" x14ac:dyDescent="0.3">
      <c r="A714" t="s">
        <v>15</v>
      </c>
      <c r="B714" s="1">
        <v>45930</v>
      </c>
      <c r="C714">
        <v>354011</v>
      </c>
      <c r="D714">
        <v>-20629.742999999999</v>
      </c>
      <c r="E714" t="s">
        <v>4</v>
      </c>
      <c r="F714" t="s">
        <v>46</v>
      </c>
      <c r="G714" t="s">
        <v>5</v>
      </c>
    </row>
    <row r="715" spans="1:7" x14ac:dyDescent="0.3">
      <c r="A715" t="s">
        <v>15</v>
      </c>
      <c r="B715" s="1">
        <v>45930</v>
      </c>
      <c r="C715">
        <v>354012</v>
      </c>
      <c r="D715">
        <v>71786.403000000006</v>
      </c>
      <c r="E715" t="s">
        <v>4</v>
      </c>
      <c r="F715" t="s">
        <v>46</v>
      </c>
      <c r="G715" t="s">
        <v>5</v>
      </c>
    </row>
    <row r="716" spans="1:7" x14ac:dyDescent="0.3">
      <c r="A716" t="s">
        <v>15</v>
      </c>
      <c r="B716" s="1">
        <v>45930</v>
      </c>
      <c r="C716">
        <v>354013</v>
      </c>
      <c r="D716">
        <v>46329.62</v>
      </c>
      <c r="E716" t="s">
        <v>4</v>
      </c>
      <c r="F716" t="s">
        <v>46</v>
      </c>
      <c r="G716" t="s">
        <v>5</v>
      </c>
    </row>
    <row r="717" spans="1:7" x14ac:dyDescent="0.3">
      <c r="A717" t="s">
        <v>15</v>
      </c>
      <c r="B717" s="1">
        <v>45930</v>
      </c>
      <c r="C717">
        <v>354014</v>
      </c>
      <c r="D717">
        <v>264961.19099999999</v>
      </c>
      <c r="E717" t="s">
        <v>4</v>
      </c>
      <c r="F717" t="s">
        <v>46</v>
      </c>
      <c r="G717" t="s">
        <v>5</v>
      </c>
    </row>
    <row r="718" spans="1:7" x14ac:dyDescent="0.3">
      <c r="A718" t="s">
        <v>15</v>
      </c>
      <c r="B718" s="1">
        <v>45930</v>
      </c>
      <c r="C718">
        <v>354015</v>
      </c>
      <c r="D718">
        <v>8561.4480000000003</v>
      </c>
      <c r="E718" t="s">
        <v>4</v>
      </c>
      <c r="F718" t="s">
        <v>46</v>
      </c>
      <c r="G718" t="s">
        <v>5</v>
      </c>
    </row>
    <row r="719" spans="1:7" x14ac:dyDescent="0.3">
      <c r="A719" t="s">
        <v>15</v>
      </c>
      <c r="B719" s="1">
        <v>45930</v>
      </c>
      <c r="C719">
        <v>355002</v>
      </c>
      <c r="D719">
        <v>486662.55800000002</v>
      </c>
      <c r="E719" t="s">
        <v>4</v>
      </c>
      <c r="F719" t="s">
        <v>49</v>
      </c>
      <c r="G719" t="s">
        <v>5</v>
      </c>
    </row>
    <row r="720" spans="1:7" x14ac:dyDescent="0.3">
      <c r="A720" t="s">
        <v>15</v>
      </c>
      <c r="B720" s="1">
        <v>45930</v>
      </c>
      <c r="C720">
        <v>355009</v>
      </c>
      <c r="D720">
        <v>381.41199999999998</v>
      </c>
      <c r="E720" t="s">
        <v>4</v>
      </c>
      <c r="F720" t="s">
        <v>49</v>
      </c>
      <c r="G720" t="s">
        <v>5</v>
      </c>
    </row>
    <row r="721" spans="1:7" x14ac:dyDescent="0.3">
      <c r="A721" t="s">
        <v>15</v>
      </c>
      <c r="B721" s="1">
        <v>45930</v>
      </c>
      <c r="C721">
        <v>355014</v>
      </c>
      <c r="D721">
        <v>21377.984</v>
      </c>
      <c r="E721" t="s">
        <v>4</v>
      </c>
      <c r="F721" t="s">
        <v>49</v>
      </c>
      <c r="G721" t="s">
        <v>5</v>
      </c>
    </row>
    <row r="722" spans="1:7" x14ac:dyDescent="0.3">
      <c r="A722" t="s">
        <v>15</v>
      </c>
      <c r="B722" s="1">
        <v>45930</v>
      </c>
      <c r="C722">
        <v>355015</v>
      </c>
      <c r="D722">
        <v>197412.302</v>
      </c>
      <c r="E722" t="s">
        <v>4</v>
      </c>
      <c r="F722" t="s">
        <v>49</v>
      </c>
      <c r="G722" t="s">
        <v>5</v>
      </c>
    </row>
    <row r="723" spans="1:7" x14ac:dyDescent="0.3">
      <c r="A723" t="s">
        <v>15</v>
      </c>
      <c r="B723" s="1">
        <v>45930</v>
      </c>
      <c r="C723">
        <v>355017</v>
      </c>
      <c r="D723">
        <v>51735.383999999998</v>
      </c>
      <c r="E723" t="s">
        <v>4</v>
      </c>
      <c r="F723" t="s">
        <v>49</v>
      </c>
      <c r="G723" t="s">
        <v>5</v>
      </c>
    </row>
    <row r="724" spans="1:7" x14ac:dyDescent="0.3">
      <c r="A724" t="s">
        <v>15</v>
      </c>
      <c r="B724" s="1">
        <v>45930</v>
      </c>
      <c r="C724">
        <v>355018</v>
      </c>
      <c r="D724">
        <v>86940.035999999993</v>
      </c>
      <c r="E724" t="s">
        <v>4</v>
      </c>
      <c r="F724" t="s">
        <v>49</v>
      </c>
      <c r="G724" t="s">
        <v>5</v>
      </c>
    </row>
    <row r="725" spans="1:7" x14ac:dyDescent="0.3">
      <c r="A725" t="s">
        <v>15</v>
      </c>
      <c r="B725" s="1">
        <v>45930</v>
      </c>
      <c r="C725">
        <v>356002</v>
      </c>
      <c r="D725">
        <v>6907.6490000000003</v>
      </c>
      <c r="E725" t="s">
        <v>4</v>
      </c>
      <c r="F725" t="s">
        <v>48</v>
      </c>
      <c r="G725" t="s">
        <v>5</v>
      </c>
    </row>
    <row r="726" spans="1:7" x14ac:dyDescent="0.3">
      <c r="A726" t="s">
        <v>15</v>
      </c>
      <c r="B726" s="1">
        <v>45930</v>
      </c>
      <c r="C726">
        <v>356003</v>
      </c>
      <c r="D726">
        <v>-227267.65700000001</v>
      </c>
      <c r="E726" t="s">
        <v>4</v>
      </c>
      <c r="F726" t="s">
        <v>48</v>
      </c>
      <c r="G726" t="s">
        <v>5</v>
      </c>
    </row>
    <row r="727" spans="1:7" x14ac:dyDescent="0.3">
      <c r="A727" t="s">
        <v>15</v>
      </c>
      <c r="B727" s="1">
        <v>45930</v>
      </c>
      <c r="C727">
        <v>356004</v>
      </c>
      <c r="D727">
        <v>16608.964</v>
      </c>
      <c r="E727" t="s">
        <v>4</v>
      </c>
      <c r="F727" t="s">
        <v>48</v>
      </c>
      <c r="G727" t="s">
        <v>5</v>
      </c>
    </row>
    <row r="728" spans="1:7" x14ac:dyDescent="0.3">
      <c r="A728" t="s">
        <v>15</v>
      </c>
      <c r="B728" s="1">
        <v>45930</v>
      </c>
      <c r="C728">
        <v>356005</v>
      </c>
      <c r="D728">
        <v>1907.4770000000001</v>
      </c>
      <c r="E728" t="s">
        <v>4</v>
      </c>
      <c r="F728" t="s">
        <v>48</v>
      </c>
      <c r="G728" t="s">
        <v>5</v>
      </c>
    </row>
    <row r="729" spans="1:7" x14ac:dyDescent="0.3">
      <c r="A729" t="s">
        <v>15</v>
      </c>
      <c r="B729" s="1">
        <v>45930</v>
      </c>
      <c r="C729">
        <v>360003</v>
      </c>
      <c r="D729">
        <v>4351.6270000000004</v>
      </c>
      <c r="E729" t="s">
        <v>4</v>
      </c>
      <c r="F729" t="s">
        <v>58</v>
      </c>
      <c r="G729" t="s">
        <v>5</v>
      </c>
    </row>
    <row r="730" spans="1:7" x14ac:dyDescent="0.3">
      <c r="A730" t="s">
        <v>15</v>
      </c>
      <c r="B730" s="1">
        <v>45930</v>
      </c>
      <c r="C730">
        <v>360005</v>
      </c>
      <c r="D730">
        <v>46653.572999999997</v>
      </c>
      <c r="E730" t="s">
        <v>4</v>
      </c>
      <c r="F730" t="s">
        <v>58</v>
      </c>
      <c r="G730" t="s">
        <v>5</v>
      </c>
    </row>
    <row r="731" spans="1:7" x14ac:dyDescent="0.3">
      <c r="A731" t="s">
        <v>15</v>
      </c>
      <c r="B731" s="1">
        <v>45930</v>
      </c>
      <c r="C731">
        <v>360009</v>
      </c>
      <c r="D731">
        <v>40429.805999999997</v>
      </c>
      <c r="E731" t="s">
        <v>4</v>
      </c>
      <c r="F731" t="s">
        <v>58</v>
      </c>
      <c r="G731" t="s">
        <v>5</v>
      </c>
    </row>
    <row r="732" spans="1:7" x14ac:dyDescent="0.3">
      <c r="A732" t="s">
        <v>15</v>
      </c>
      <c r="B732" s="1">
        <v>45930</v>
      </c>
      <c r="C732">
        <v>360013</v>
      </c>
      <c r="D732">
        <v>59455.959000000003</v>
      </c>
      <c r="E732" t="s">
        <v>4</v>
      </c>
      <c r="F732" t="s">
        <v>58</v>
      </c>
      <c r="G732" t="s">
        <v>5</v>
      </c>
    </row>
    <row r="733" spans="1:7" x14ac:dyDescent="0.3">
      <c r="A733" t="s">
        <v>15</v>
      </c>
      <c r="B733" s="1">
        <v>45930</v>
      </c>
      <c r="C733">
        <v>360016</v>
      </c>
      <c r="D733">
        <v>10108.454</v>
      </c>
      <c r="E733" t="s">
        <v>4</v>
      </c>
      <c r="F733" t="s">
        <v>58</v>
      </c>
      <c r="G733" t="s">
        <v>5</v>
      </c>
    </row>
    <row r="734" spans="1:7" x14ac:dyDescent="0.3">
      <c r="A734" t="s">
        <v>15</v>
      </c>
      <c r="B734" s="1">
        <v>45930</v>
      </c>
      <c r="C734">
        <v>360017</v>
      </c>
      <c r="D734">
        <v>71672.911999999997</v>
      </c>
      <c r="E734" t="s">
        <v>4</v>
      </c>
      <c r="F734" t="s">
        <v>58</v>
      </c>
      <c r="G734" t="s">
        <v>5</v>
      </c>
    </row>
    <row r="735" spans="1:7" x14ac:dyDescent="0.3">
      <c r="A735" t="s">
        <v>15</v>
      </c>
      <c r="B735" s="1">
        <v>45930</v>
      </c>
      <c r="C735">
        <v>360019</v>
      </c>
      <c r="D735">
        <v>1147</v>
      </c>
      <c r="E735" t="s">
        <v>4</v>
      </c>
      <c r="F735" t="s">
        <v>58</v>
      </c>
      <c r="G735" t="s">
        <v>5</v>
      </c>
    </row>
    <row r="736" spans="1:7" x14ac:dyDescent="0.3">
      <c r="A736" t="s">
        <v>15</v>
      </c>
      <c r="B736" s="1">
        <v>45930</v>
      </c>
      <c r="C736">
        <v>360030</v>
      </c>
      <c r="D736">
        <v>1073375</v>
      </c>
      <c r="E736" t="s">
        <v>4</v>
      </c>
      <c r="F736" t="s">
        <v>58</v>
      </c>
      <c r="G736" t="s">
        <v>5</v>
      </c>
    </row>
    <row r="737" spans="1:7" x14ac:dyDescent="0.3">
      <c r="A737" t="s">
        <v>15</v>
      </c>
      <c r="B737" s="1">
        <v>45930</v>
      </c>
      <c r="C737">
        <v>360031</v>
      </c>
      <c r="D737">
        <v>673.58500000000004</v>
      </c>
      <c r="E737" t="s">
        <v>4</v>
      </c>
      <c r="F737" t="s">
        <v>58</v>
      </c>
      <c r="G737" t="s">
        <v>5</v>
      </c>
    </row>
    <row r="738" spans="1:7" x14ac:dyDescent="0.3">
      <c r="A738" t="s">
        <v>15</v>
      </c>
      <c r="B738" s="1">
        <v>45930</v>
      </c>
      <c r="C738">
        <v>360032</v>
      </c>
      <c r="D738">
        <v>573500</v>
      </c>
      <c r="E738" t="s">
        <v>4</v>
      </c>
      <c r="F738" t="s">
        <v>58</v>
      </c>
      <c r="G738" t="s">
        <v>5</v>
      </c>
    </row>
    <row r="739" spans="1:7" x14ac:dyDescent="0.3">
      <c r="A739" t="s">
        <v>15</v>
      </c>
      <c r="B739" s="1">
        <v>45930</v>
      </c>
      <c r="C739">
        <v>360033</v>
      </c>
      <c r="D739">
        <v>7694.8810000000003</v>
      </c>
      <c r="E739" t="s">
        <v>4</v>
      </c>
      <c r="F739" t="s">
        <v>58</v>
      </c>
      <c r="G739" t="s">
        <v>5</v>
      </c>
    </row>
    <row r="740" spans="1:7" x14ac:dyDescent="0.3">
      <c r="A740" t="s">
        <v>15</v>
      </c>
      <c r="B740" s="1">
        <v>45930</v>
      </c>
      <c r="C740">
        <v>362006</v>
      </c>
      <c r="D740">
        <v>-1E-3</v>
      </c>
      <c r="E740" t="s">
        <v>4</v>
      </c>
      <c r="F740" t="s">
        <v>58</v>
      </c>
      <c r="G740" t="s">
        <v>5</v>
      </c>
    </row>
    <row r="741" spans="1:7" x14ac:dyDescent="0.3">
      <c r="A741" t="s">
        <v>15</v>
      </c>
      <c r="B741" s="1">
        <v>45930</v>
      </c>
      <c r="C741">
        <v>362007</v>
      </c>
      <c r="D741">
        <v>18564.174999999999</v>
      </c>
      <c r="E741" t="s">
        <v>4</v>
      </c>
      <c r="F741" t="s">
        <v>58</v>
      </c>
      <c r="G741" t="s">
        <v>5</v>
      </c>
    </row>
    <row r="742" spans="1:7" x14ac:dyDescent="0.3">
      <c r="A742" t="s">
        <v>15</v>
      </c>
      <c r="B742" s="1">
        <v>45930</v>
      </c>
      <c r="C742">
        <v>362012</v>
      </c>
      <c r="D742">
        <v>-1E-3</v>
      </c>
      <c r="E742" t="s">
        <v>4</v>
      </c>
      <c r="F742" t="s">
        <v>58</v>
      </c>
      <c r="G742" t="s">
        <v>5</v>
      </c>
    </row>
    <row r="743" spans="1:7" x14ac:dyDescent="0.3">
      <c r="A743" t="s">
        <v>15</v>
      </c>
      <c r="B743" s="1">
        <v>45930</v>
      </c>
      <c r="C743">
        <v>362015</v>
      </c>
      <c r="D743">
        <v>491310.32400000002</v>
      </c>
      <c r="E743" t="s">
        <v>4</v>
      </c>
      <c r="F743" t="s">
        <v>58</v>
      </c>
      <c r="G743" t="s">
        <v>5</v>
      </c>
    </row>
    <row r="744" spans="1:7" x14ac:dyDescent="0.3">
      <c r="A744" t="s">
        <v>15</v>
      </c>
      <c r="B744" s="1">
        <v>45930</v>
      </c>
      <c r="C744">
        <v>362016</v>
      </c>
      <c r="D744">
        <v>391249.57799999998</v>
      </c>
      <c r="E744" t="s">
        <v>4</v>
      </c>
      <c r="F744" t="s">
        <v>58</v>
      </c>
      <c r="G744" t="s">
        <v>5</v>
      </c>
    </row>
    <row r="745" spans="1:7" x14ac:dyDescent="0.3">
      <c r="A745" t="s">
        <v>15</v>
      </c>
      <c r="B745" s="1">
        <v>45930</v>
      </c>
      <c r="C745">
        <v>362017</v>
      </c>
      <c r="D745">
        <v>351758.04399999999</v>
      </c>
      <c r="E745" t="s">
        <v>4</v>
      </c>
      <c r="F745" t="s">
        <v>58</v>
      </c>
      <c r="G745" t="s">
        <v>5</v>
      </c>
    </row>
    <row r="746" spans="1:7" x14ac:dyDescent="0.3">
      <c r="A746" t="s">
        <v>15</v>
      </c>
      <c r="B746" s="1">
        <v>45930</v>
      </c>
      <c r="C746">
        <v>362018</v>
      </c>
      <c r="D746">
        <v>313010.283</v>
      </c>
      <c r="E746" t="s">
        <v>4</v>
      </c>
      <c r="F746" t="s">
        <v>58</v>
      </c>
      <c r="G746" t="s">
        <v>5</v>
      </c>
    </row>
    <row r="747" spans="1:7" x14ac:dyDescent="0.3">
      <c r="A747" t="s">
        <v>15</v>
      </c>
      <c r="B747" s="1">
        <v>45930</v>
      </c>
      <c r="C747">
        <v>362019</v>
      </c>
      <c r="D747">
        <v>66510.868000000002</v>
      </c>
      <c r="E747" t="s">
        <v>4</v>
      </c>
      <c r="F747" t="s">
        <v>58</v>
      </c>
      <c r="G747" t="s">
        <v>5</v>
      </c>
    </row>
    <row r="748" spans="1:7" x14ac:dyDescent="0.3">
      <c r="A748" t="s">
        <v>15</v>
      </c>
      <c r="B748" s="1">
        <v>45930</v>
      </c>
      <c r="C748">
        <v>364502</v>
      </c>
      <c r="D748">
        <v>639521.20700000005</v>
      </c>
      <c r="E748" t="s">
        <v>4</v>
      </c>
      <c r="F748" t="s">
        <v>58</v>
      </c>
      <c r="G748" t="s">
        <v>5</v>
      </c>
    </row>
    <row r="749" spans="1:7" x14ac:dyDescent="0.3">
      <c r="A749" t="s">
        <v>15</v>
      </c>
      <c r="B749" s="1">
        <v>45930</v>
      </c>
      <c r="C749">
        <v>365002</v>
      </c>
      <c r="D749">
        <v>35.969000000000001</v>
      </c>
      <c r="E749" t="s">
        <v>4</v>
      </c>
      <c r="F749" t="s">
        <v>45</v>
      </c>
      <c r="G749" t="s">
        <v>5</v>
      </c>
    </row>
    <row r="750" spans="1:7" x14ac:dyDescent="0.3">
      <c r="A750" t="s">
        <v>15</v>
      </c>
      <c r="B750" s="1">
        <v>45930</v>
      </c>
      <c r="C750">
        <v>365003</v>
      </c>
      <c r="D750">
        <v>47061.212</v>
      </c>
      <c r="E750" t="s">
        <v>4</v>
      </c>
      <c r="F750" t="s">
        <v>45</v>
      </c>
      <c r="G750" t="s">
        <v>5</v>
      </c>
    </row>
    <row r="751" spans="1:7" x14ac:dyDescent="0.3">
      <c r="A751" t="s">
        <v>15</v>
      </c>
      <c r="B751" s="1">
        <v>45930</v>
      </c>
      <c r="C751">
        <v>365004</v>
      </c>
      <c r="D751">
        <v>193612.495</v>
      </c>
      <c r="E751" t="s">
        <v>4</v>
      </c>
      <c r="F751" t="s">
        <v>45</v>
      </c>
      <c r="G751" t="s">
        <v>5</v>
      </c>
    </row>
    <row r="752" spans="1:7" x14ac:dyDescent="0.3">
      <c r="A752" t="s">
        <v>15</v>
      </c>
      <c r="B752" s="1">
        <v>45930</v>
      </c>
      <c r="C752">
        <v>365005</v>
      </c>
      <c r="D752">
        <v>35.969000000000001</v>
      </c>
      <c r="E752" t="s">
        <v>4</v>
      </c>
      <c r="F752" t="s">
        <v>45</v>
      </c>
      <c r="G752" t="s">
        <v>5</v>
      </c>
    </row>
    <row r="753" spans="1:7" x14ac:dyDescent="0.3">
      <c r="A753" t="s">
        <v>15</v>
      </c>
      <c r="B753" s="1">
        <v>45930</v>
      </c>
      <c r="C753">
        <v>365006</v>
      </c>
      <c r="D753">
        <v>46905.720999999998</v>
      </c>
      <c r="E753" t="s">
        <v>4</v>
      </c>
      <c r="F753" t="s">
        <v>45</v>
      </c>
      <c r="G753" t="s">
        <v>5</v>
      </c>
    </row>
    <row r="754" spans="1:7" x14ac:dyDescent="0.3">
      <c r="A754" t="s">
        <v>15</v>
      </c>
      <c r="B754" s="1">
        <v>45930</v>
      </c>
      <c r="C754">
        <v>365007</v>
      </c>
      <c r="D754">
        <v>162962.747</v>
      </c>
      <c r="E754" t="s">
        <v>4</v>
      </c>
      <c r="F754" t="s">
        <v>45</v>
      </c>
      <c r="G754" t="s">
        <v>5</v>
      </c>
    </row>
    <row r="755" spans="1:7" x14ac:dyDescent="0.3">
      <c r="A755" t="s">
        <v>15</v>
      </c>
      <c r="B755" s="1">
        <v>45930</v>
      </c>
      <c r="C755">
        <v>365008</v>
      </c>
      <c r="D755">
        <v>1478.4559999999999</v>
      </c>
      <c r="E755" t="s">
        <v>4</v>
      </c>
      <c r="F755" t="s">
        <v>45</v>
      </c>
      <c r="G755" t="s">
        <v>5</v>
      </c>
    </row>
    <row r="756" spans="1:7" x14ac:dyDescent="0.3">
      <c r="A756" t="s">
        <v>15</v>
      </c>
      <c r="B756" s="1">
        <v>45930</v>
      </c>
      <c r="C756">
        <v>365009</v>
      </c>
      <c r="D756">
        <v>167336.81200000001</v>
      </c>
      <c r="E756" t="s">
        <v>4</v>
      </c>
      <c r="F756" t="s">
        <v>45</v>
      </c>
      <c r="G756" t="s">
        <v>5</v>
      </c>
    </row>
    <row r="757" spans="1:7" x14ac:dyDescent="0.3">
      <c r="A757" t="s">
        <v>15</v>
      </c>
      <c r="B757" s="1">
        <v>45930</v>
      </c>
      <c r="C757">
        <v>365010</v>
      </c>
      <c r="D757">
        <v>246807.935</v>
      </c>
      <c r="E757" t="s">
        <v>4</v>
      </c>
      <c r="F757" t="s">
        <v>45</v>
      </c>
      <c r="G757" t="s">
        <v>5</v>
      </c>
    </row>
    <row r="758" spans="1:7" x14ac:dyDescent="0.3">
      <c r="A758" t="s">
        <v>15</v>
      </c>
      <c r="B758" s="1">
        <v>45930</v>
      </c>
      <c r="C758">
        <v>365020</v>
      </c>
      <c r="D758">
        <v>539.70500000000004</v>
      </c>
      <c r="E758" t="s">
        <v>4</v>
      </c>
      <c r="F758" t="s">
        <v>45</v>
      </c>
      <c r="G758" t="s">
        <v>5</v>
      </c>
    </row>
    <row r="759" spans="1:7" x14ac:dyDescent="0.3">
      <c r="A759" t="s">
        <v>15</v>
      </c>
      <c r="B759" s="1">
        <v>45930</v>
      </c>
      <c r="C759">
        <v>365021</v>
      </c>
      <c r="D759">
        <v>325028.07199999999</v>
      </c>
      <c r="E759" t="s">
        <v>4</v>
      </c>
      <c r="F759" t="s">
        <v>45</v>
      </c>
      <c r="G759" t="s">
        <v>5</v>
      </c>
    </row>
    <row r="760" spans="1:7" x14ac:dyDescent="0.3">
      <c r="A760" t="s">
        <v>15</v>
      </c>
      <c r="B760" s="1">
        <v>45930</v>
      </c>
      <c r="C760">
        <v>370002</v>
      </c>
      <c r="D760">
        <v>54408.339</v>
      </c>
      <c r="E760" t="s">
        <v>4</v>
      </c>
      <c r="F760" t="s">
        <v>45</v>
      </c>
      <c r="G760" t="s">
        <v>5</v>
      </c>
    </row>
    <row r="761" spans="1:7" x14ac:dyDescent="0.3">
      <c r="A761" t="s">
        <v>15</v>
      </c>
      <c r="B761" s="1">
        <v>45930</v>
      </c>
      <c r="C761">
        <v>372008</v>
      </c>
      <c r="D761">
        <v>1162.0940000000001</v>
      </c>
      <c r="E761" t="s">
        <v>4</v>
      </c>
      <c r="F761" t="s">
        <v>45</v>
      </c>
      <c r="G761" t="s">
        <v>5</v>
      </c>
    </row>
    <row r="762" spans="1:7" x14ac:dyDescent="0.3">
      <c r="A762" t="s">
        <v>15</v>
      </c>
      <c r="B762" s="1">
        <v>45930</v>
      </c>
      <c r="C762">
        <v>400002</v>
      </c>
      <c r="D762">
        <v>-163199.51699999999</v>
      </c>
      <c r="E762" t="s">
        <v>6</v>
      </c>
      <c r="F762" t="s">
        <v>50</v>
      </c>
      <c r="G762" t="s">
        <v>5</v>
      </c>
    </row>
    <row r="763" spans="1:7" x14ac:dyDescent="0.3">
      <c r="A763" t="s">
        <v>15</v>
      </c>
      <c r="B763" s="1">
        <v>45930</v>
      </c>
      <c r="C763">
        <v>410002</v>
      </c>
      <c r="D763">
        <v>-5461880.9160000002</v>
      </c>
      <c r="E763" t="s">
        <v>6</v>
      </c>
      <c r="F763" t="s">
        <v>51</v>
      </c>
      <c r="G763" t="s">
        <v>5</v>
      </c>
    </row>
    <row r="764" spans="1:7" x14ac:dyDescent="0.3">
      <c r="A764" t="s">
        <v>15</v>
      </c>
      <c r="B764" s="1">
        <v>45930</v>
      </c>
      <c r="C764">
        <v>410005</v>
      </c>
      <c r="D764">
        <v>-301339.261</v>
      </c>
      <c r="E764" t="s">
        <v>6</v>
      </c>
      <c r="F764" t="s">
        <v>51</v>
      </c>
      <c r="G764" t="s">
        <v>5</v>
      </c>
    </row>
    <row r="765" spans="1:7" x14ac:dyDescent="0.3">
      <c r="A765" t="s">
        <v>15</v>
      </c>
      <c r="B765" s="1">
        <v>45930</v>
      </c>
      <c r="C765">
        <v>410006</v>
      </c>
      <c r="D765">
        <v>-923862.03399999999</v>
      </c>
      <c r="E765" t="s">
        <v>6</v>
      </c>
      <c r="F765" t="s">
        <v>51</v>
      </c>
      <c r="G765" t="s">
        <v>5</v>
      </c>
    </row>
    <row r="766" spans="1:7" x14ac:dyDescent="0.3">
      <c r="A766" t="s">
        <v>15</v>
      </c>
      <c r="B766" s="1">
        <v>45930</v>
      </c>
      <c r="C766">
        <v>410008</v>
      </c>
      <c r="D766">
        <v>-31535.88</v>
      </c>
      <c r="E766" t="s">
        <v>6</v>
      </c>
      <c r="F766" t="s">
        <v>51</v>
      </c>
      <c r="G766" t="s">
        <v>5</v>
      </c>
    </row>
    <row r="767" spans="1:7" x14ac:dyDescent="0.3">
      <c r="A767" t="s">
        <v>15</v>
      </c>
      <c r="B767" s="1">
        <v>45930</v>
      </c>
      <c r="C767">
        <v>410009</v>
      </c>
      <c r="D767">
        <v>-477167.56599999999</v>
      </c>
      <c r="E767" t="s">
        <v>6</v>
      </c>
      <c r="F767" t="s">
        <v>51</v>
      </c>
      <c r="G767" t="s">
        <v>5</v>
      </c>
    </row>
    <row r="768" spans="1:7" x14ac:dyDescent="0.3">
      <c r="A768" t="s">
        <v>15</v>
      </c>
      <c r="B768" s="1">
        <v>45930</v>
      </c>
      <c r="C768">
        <v>410015</v>
      </c>
      <c r="D768">
        <v>-406782.402</v>
      </c>
      <c r="E768" t="s">
        <v>6</v>
      </c>
      <c r="F768" t="s">
        <v>51</v>
      </c>
      <c r="G768" t="s">
        <v>5</v>
      </c>
    </row>
    <row r="769" spans="1:7" x14ac:dyDescent="0.3">
      <c r="A769" t="s">
        <v>15</v>
      </c>
      <c r="B769" s="1">
        <v>45930</v>
      </c>
      <c r="C769">
        <v>410016</v>
      </c>
      <c r="D769">
        <v>-16946.506000000001</v>
      </c>
      <c r="E769" t="s">
        <v>6</v>
      </c>
      <c r="F769" t="s">
        <v>51</v>
      </c>
      <c r="G769" t="s">
        <v>5</v>
      </c>
    </row>
    <row r="770" spans="1:7" x14ac:dyDescent="0.3">
      <c r="A770" t="s">
        <v>15</v>
      </c>
      <c r="B770" s="1">
        <v>45930</v>
      </c>
      <c r="C770">
        <v>410018</v>
      </c>
      <c r="D770">
        <v>-262121.02100000001</v>
      </c>
      <c r="E770" t="s">
        <v>6</v>
      </c>
      <c r="F770" t="s">
        <v>51</v>
      </c>
      <c r="G770" t="s">
        <v>5</v>
      </c>
    </row>
    <row r="771" spans="1:7" x14ac:dyDescent="0.3">
      <c r="A771" t="s">
        <v>15</v>
      </c>
      <c r="B771" s="1">
        <v>45930</v>
      </c>
      <c r="C771">
        <v>410019</v>
      </c>
      <c r="D771">
        <v>-72168.221999999994</v>
      </c>
      <c r="E771" t="s">
        <v>6</v>
      </c>
      <c r="F771" t="s">
        <v>51</v>
      </c>
      <c r="G771" t="s">
        <v>5</v>
      </c>
    </row>
    <row r="772" spans="1:7" x14ac:dyDescent="0.3">
      <c r="A772" t="s">
        <v>15</v>
      </c>
      <c r="B772" s="1">
        <v>45930</v>
      </c>
      <c r="C772">
        <v>410032</v>
      </c>
      <c r="D772">
        <v>-565638.95900000003</v>
      </c>
      <c r="E772" t="s">
        <v>6</v>
      </c>
      <c r="F772" t="s">
        <v>51</v>
      </c>
      <c r="G772" t="s">
        <v>5</v>
      </c>
    </row>
    <row r="773" spans="1:7" x14ac:dyDescent="0.3">
      <c r="A773" t="s">
        <v>15</v>
      </c>
      <c r="B773" s="1">
        <v>45930</v>
      </c>
      <c r="C773">
        <v>410035</v>
      </c>
      <c r="D773">
        <v>-41899.54</v>
      </c>
      <c r="E773" t="s">
        <v>6</v>
      </c>
      <c r="F773" t="s">
        <v>51</v>
      </c>
      <c r="G773" t="s">
        <v>5</v>
      </c>
    </row>
    <row r="774" spans="1:7" x14ac:dyDescent="0.3">
      <c r="A774" t="s">
        <v>15</v>
      </c>
      <c r="B774" s="1">
        <v>45930</v>
      </c>
      <c r="C774">
        <v>410036</v>
      </c>
      <c r="D774">
        <v>-465596.63699999999</v>
      </c>
      <c r="E774" t="s">
        <v>6</v>
      </c>
      <c r="F774" t="s">
        <v>51</v>
      </c>
      <c r="G774" t="s">
        <v>5</v>
      </c>
    </row>
    <row r="775" spans="1:7" x14ac:dyDescent="0.3">
      <c r="A775" t="s">
        <v>15</v>
      </c>
      <c r="B775" s="1">
        <v>45930</v>
      </c>
      <c r="C775">
        <v>410037</v>
      </c>
      <c r="D775">
        <v>-5597552.1519999998</v>
      </c>
      <c r="E775" t="s">
        <v>6</v>
      </c>
      <c r="F775" t="s">
        <v>51</v>
      </c>
      <c r="G775" t="s">
        <v>5</v>
      </c>
    </row>
    <row r="776" spans="1:7" x14ac:dyDescent="0.3">
      <c r="A776" t="s">
        <v>15</v>
      </c>
      <c r="B776" s="1">
        <v>45930</v>
      </c>
      <c r="C776">
        <v>410039</v>
      </c>
      <c r="D776">
        <v>-484281.50199999998</v>
      </c>
      <c r="E776" t="s">
        <v>6</v>
      </c>
      <c r="F776" t="s">
        <v>51</v>
      </c>
      <c r="G776" t="s">
        <v>5</v>
      </c>
    </row>
    <row r="777" spans="1:7" x14ac:dyDescent="0.3">
      <c r="A777" t="s">
        <v>15</v>
      </c>
      <c r="B777" s="1">
        <v>45930</v>
      </c>
      <c r="C777">
        <v>410040</v>
      </c>
      <c r="D777">
        <v>-90971.572</v>
      </c>
      <c r="E777" t="s">
        <v>6</v>
      </c>
      <c r="F777" t="s">
        <v>51</v>
      </c>
      <c r="G777" t="s">
        <v>5</v>
      </c>
    </row>
    <row r="778" spans="1:7" x14ac:dyDescent="0.3">
      <c r="A778" t="s">
        <v>15</v>
      </c>
      <c r="B778" s="1">
        <v>45930</v>
      </c>
      <c r="C778">
        <v>410046</v>
      </c>
      <c r="D778">
        <v>-13185.17</v>
      </c>
      <c r="E778" t="s">
        <v>6</v>
      </c>
      <c r="F778" t="s">
        <v>51</v>
      </c>
      <c r="G778" t="s">
        <v>5</v>
      </c>
    </row>
    <row r="779" spans="1:7" x14ac:dyDescent="0.3">
      <c r="A779" t="s">
        <v>15</v>
      </c>
      <c r="B779" s="1">
        <v>45930</v>
      </c>
      <c r="C779">
        <v>410049</v>
      </c>
      <c r="D779">
        <v>84.331999999999994</v>
      </c>
      <c r="E779" t="s">
        <v>6</v>
      </c>
      <c r="F779" t="s">
        <v>51</v>
      </c>
      <c r="G779" t="s">
        <v>5</v>
      </c>
    </row>
    <row r="780" spans="1:7" x14ac:dyDescent="0.3">
      <c r="A780" t="s">
        <v>15</v>
      </c>
      <c r="B780" s="1">
        <v>45930</v>
      </c>
      <c r="C780">
        <v>414008</v>
      </c>
      <c r="D780">
        <v>0</v>
      </c>
      <c r="E780" t="s">
        <v>6</v>
      </c>
      <c r="F780" t="s">
        <v>51</v>
      </c>
      <c r="G780" t="s">
        <v>5</v>
      </c>
    </row>
    <row r="781" spans="1:7" x14ac:dyDescent="0.3">
      <c r="A781" t="s">
        <v>15</v>
      </c>
      <c r="B781" s="1">
        <v>45930</v>
      </c>
      <c r="C781">
        <v>414013</v>
      </c>
      <c r="D781">
        <v>-618.90899999999999</v>
      </c>
      <c r="E781" t="s">
        <v>6</v>
      </c>
      <c r="F781" t="s">
        <v>51</v>
      </c>
      <c r="G781" t="s">
        <v>5</v>
      </c>
    </row>
    <row r="782" spans="1:7" x14ac:dyDescent="0.3">
      <c r="A782" t="s">
        <v>15</v>
      </c>
      <c r="B782" s="1">
        <v>45930</v>
      </c>
      <c r="C782">
        <v>414020</v>
      </c>
      <c r="D782">
        <v>46.93</v>
      </c>
      <c r="E782" t="s">
        <v>6</v>
      </c>
      <c r="F782" t="s">
        <v>51</v>
      </c>
      <c r="G782" t="s">
        <v>5</v>
      </c>
    </row>
    <row r="783" spans="1:7" x14ac:dyDescent="0.3">
      <c r="A783" t="s">
        <v>15</v>
      </c>
      <c r="B783" s="1">
        <v>45930</v>
      </c>
      <c r="C783">
        <v>415002</v>
      </c>
      <c r="D783">
        <v>-1770383.3870000001</v>
      </c>
      <c r="E783" t="s">
        <v>6</v>
      </c>
      <c r="F783" t="s">
        <v>50</v>
      </c>
      <c r="G783" t="s">
        <v>5</v>
      </c>
    </row>
    <row r="784" spans="1:7" x14ac:dyDescent="0.3">
      <c r="A784" t="s">
        <v>15</v>
      </c>
      <c r="B784" s="1">
        <v>45930</v>
      </c>
      <c r="C784">
        <v>415003</v>
      </c>
      <c r="D784">
        <v>-111.938</v>
      </c>
      <c r="E784" t="s">
        <v>6</v>
      </c>
      <c r="F784" t="s">
        <v>50</v>
      </c>
      <c r="G784" t="s">
        <v>5</v>
      </c>
    </row>
    <row r="785" spans="1:7" x14ac:dyDescent="0.3">
      <c r="A785" t="s">
        <v>15</v>
      </c>
      <c r="B785" s="1">
        <v>45930</v>
      </c>
      <c r="C785">
        <v>415008</v>
      </c>
      <c r="D785">
        <v>-355.875</v>
      </c>
      <c r="E785" t="s">
        <v>6</v>
      </c>
      <c r="F785" t="s">
        <v>50</v>
      </c>
      <c r="G785" t="s">
        <v>5</v>
      </c>
    </row>
    <row r="786" spans="1:7" x14ac:dyDescent="0.3">
      <c r="A786" t="s">
        <v>15</v>
      </c>
      <c r="B786" s="1">
        <v>45930</v>
      </c>
      <c r="C786">
        <v>420003</v>
      </c>
      <c r="D786">
        <v>-6997.1509999999998</v>
      </c>
      <c r="E786" t="s">
        <v>6</v>
      </c>
      <c r="F786" t="s">
        <v>52</v>
      </c>
      <c r="G786" t="s">
        <v>5</v>
      </c>
    </row>
    <row r="787" spans="1:7" x14ac:dyDescent="0.3">
      <c r="A787" t="s">
        <v>15</v>
      </c>
      <c r="B787" s="1">
        <v>45930</v>
      </c>
      <c r="C787">
        <v>420004</v>
      </c>
      <c r="D787">
        <v>-115599.019</v>
      </c>
      <c r="E787" t="s">
        <v>6</v>
      </c>
      <c r="F787" t="s">
        <v>52</v>
      </c>
      <c r="G787" t="s">
        <v>5</v>
      </c>
    </row>
    <row r="788" spans="1:7" x14ac:dyDescent="0.3">
      <c r="A788" t="s">
        <v>15</v>
      </c>
      <c r="B788" s="1">
        <v>45930</v>
      </c>
      <c r="C788">
        <v>420006</v>
      </c>
      <c r="D788">
        <v>-25166.967000000001</v>
      </c>
      <c r="E788" t="s">
        <v>6</v>
      </c>
      <c r="F788" t="s">
        <v>52</v>
      </c>
      <c r="G788" t="s">
        <v>5</v>
      </c>
    </row>
    <row r="789" spans="1:7" x14ac:dyDescent="0.3">
      <c r="A789" t="s">
        <v>15</v>
      </c>
      <c r="B789" s="1">
        <v>45930</v>
      </c>
      <c r="C789">
        <v>420007</v>
      </c>
      <c r="D789">
        <v>-1886.855</v>
      </c>
      <c r="E789" t="s">
        <v>6</v>
      </c>
      <c r="F789" t="s">
        <v>52</v>
      </c>
      <c r="G789" t="s">
        <v>5</v>
      </c>
    </row>
    <row r="790" spans="1:7" x14ac:dyDescent="0.3">
      <c r="A790" t="s">
        <v>15</v>
      </c>
      <c r="B790" s="1">
        <v>45930</v>
      </c>
      <c r="C790">
        <v>421002</v>
      </c>
      <c r="D790">
        <v>-4452.8159999999998</v>
      </c>
      <c r="E790" t="s">
        <v>6</v>
      </c>
      <c r="F790" t="s">
        <v>52</v>
      </c>
      <c r="G790" t="s">
        <v>5</v>
      </c>
    </row>
    <row r="791" spans="1:7" x14ac:dyDescent="0.3">
      <c r="A791" t="s">
        <v>15</v>
      </c>
      <c r="B791" s="1">
        <v>45930</v>
      </c>
      <c r="C791">
        <v>421003</v>
      </c>
      <c r="D791">
        <v>23735.994999999999</v>
      </c>
      <c r="E791" t="s">
        <v>6</v>
      </c>
      <c r="F791" t="s">
        <v>52</v>
      </c>
      <c r="G791" t="s">
        <v>5</v>
      </c>
    </row>
    <row r="792" spans="1:7" x14ac:dyDescent="0.3">
      <c r="A792" t="s">
        <v>15</v>
      </c>
      <c r="B792" s="1">
        <v>45930</v>
      </c>
      <c r="C792">
        <v>421004</v>
      </c>
      <c r="D792">
        <v>-413.27300000000002</v>
      </c>
      <c r="E792" t="s">
        <v>6</v>
      </c>
      <c r="F792" t="s">
        <v>52</v>
      </c>
      <c r="G792" t="s">
        <v>5</v>
      </c>
    </row>
    <row r="793" spans="1:7" x14ac:dyDescent="0.3">
      <c r="A793" t="s">
        <v>15</v>
      </c>
      <c r="B793" s="1">
        <v>45930</v>
      </c>
      <c r="C793">
        <v>421007</v>
      </c>
      <c r="D793">
        <v>28357.456999999999</v>
      </c>
      <c r="E793" t="s">
        <v>6</v>
      </c>
      <c r="F793" t="s">
        <v>52</v>
      </c>
      <c r="G793" t="s">
        <v>5</v>
      </c>
    </row>
    <row r="794" spans="1:7" x14ac:dyDescent="0.3">
      <c r="A794" t="s">
        <v>15</v>
      </c>
      <c r="B794" s="1">
        <v>45930</v>
      </c>
      <c r="C794">
        <v>421008</v>
      </c>
      <c r="D794">
        <v>-116931.602</v>
      </c>
      <c r="E794" t="s">
        <v>6</v>
      </c>
      <c r="F794" t="s">
        <v>52</v>
      </c>
      <c r="G794" t="s">
        <v>5</v>
      </c>
    </row>
    <row r="795" spans="1:7" x14ac:dyDescent="0.3">
      <c r="A795" t="s">
        <v>15</v>
      </c>
      <c r="B795" s="1">
        <v>45930</v>
      </c>
      <c r="C795">
        <v>423002</v>
      </c>
      <c r="D795">
        <v>-1597.2829999999999</v>
      </c>
      <c r="E795" t="s">
        <v>6</v>
      </c>
      <c r="F795" t="s">
        <v>52</v>
      </c>
      <c r="G795" t="s">
        <v>5</v>
      </c>
    </row>
    <row r="796" spans="1:7" x14ac:dyDescent="0.3">
      <c r="A796" t="s">
        <v>15</v>
      </c>
      <c r="B796" s="1">
        <v>45930</v>
      </c>
      <c r="C796">
        <v>423005</v>
      </c>
      <c r="D796">
        <v>0</v>
      </c>
      <c r="E796" t="s">
        <v>6</v>
      </c>
      <c r="F796" t="s">
        <v>52</v>
      </c>
      <c r="G796" t="s">
        <v>5</v>
      </c>
    </row>
    <row r="797" spans="1:7" x14ac:dyDescent="0.3">
      <c r="A797" t="s">
        <v>15</v>
      </c>
      <c r="B797" s="1">
        <v>45930</v>
      </c>
      <c r="C797">
        <v>423011</v>
      </c>
      <c r="D797">
        <v>-7432.7640000000001</v>
      </c>
      <c r="E797" t="s">
        <v>6</v>
      </c>
      <c r="F797" t="s">
        <v>52</v>
      </c>
      <c r="G797" t="s">
        <v>5</v>
      </c>
    </row>
    <row r="798" spans="1:7" x14ac:dyDescent="0.3">
      <c r="A798" t="s">
        <v>15</v>
      </c>
      <c r="B798" s="1">
        <v>45930</v>
      </c>
      <c r="C798">
        <v>423012</v>
      </c>
      <c r="D798">
        <v>-62879.025000000001</v>
      </c>
      <c r="E798" t="s">
        <v>6</v>
      </c>
      <c r="F798" t="s">
        <v>52</v>
      </c>
      <c r="G798" t="s">
        <v>5</v>
      </c>
    </row>
    <row r="799" spans="1:7" x14ac:dyDescent="0.3">
      <c r="A799" t="s">
        <v>15</v>
      </c>
      <c r="B799" s="1">
        <v>45930</v>
      </c>
      <c r="C799">
        <v>510002</v>
      </c>
      <c r="D799">
        <v>3731538.3080000002</v>
      </c>
      <c r="E799" t="s">
        <v>6</v>
      </c>
      <c r="F799" t="s">
        <v>53</v>
      </c>
      <c r="G799" t="s">
        <v>5</v>
      </c>
    </row>
    <row r="800" spans="1:7" x14ac:dyDescent="0.3">
      <c r="A800" t="s">
        <v>15</v>
      </c>
      <c r="B800" s="1">
        <v>45930</v>
      </c>
      <c r="C800">
        <v>510003</v>
      </c>
      <c r="D800">
        <v>466559.272</v>
      </c>
      <c r="E800" t="s">
        <v>6</v>
      </c>
      <c r="F800" t="s">
        <v>53</v>
      </c>
      <c r="G800" t="s">
        <v>5</v>
      </c>
    </row>
    <row r="801" spans="1:7" x14ac:dyDescent="0.3">
      <c r="A801" t="s">
        <v>15</v>
      </c>
      <c r="B801" s="1">
        <v>45930</v>
      </c>
      <c r="C801">
        <v>510004</v>
      </c>
      <c r="D801">
        <v>6170429.9409999996</v>
      </c>
      <c r="E801" t="s">
        <v>6</v>
      </c>
      <c r="F801" t="s">
        <v>53</v>
      </c>
      <c r="G801" t="s">
        <v>5</v>
      </c>
    </row>
    <row r="802" spans="1:7" x14ac:dyDescent="0.3">
      <c r="A802" t="s">
        <v>15</v>
      </c>
      <c r="B802" s="1">
        <v>45930</v>
      </c>
      <c r="C802">
        <v>510005</v>
      </c>
      <c r="D802">
        <v>189862.08799999999</v>
      </c>
      <c r="E802" t="s">
        <v>6</v>
      </c>
      <c r="F802" t="s">
        <v>53</v>
      </c>
      <c r="G802" t="s">
        <v>5</v>
      </c>
    </row>
    <row r="803" spans="1:7" x14ac:dyDescent="0.3">
      <c r="A803" t="s">
        <v>15</v>
      </c>
      <c r="B803" s="1">
        <v>45930</v>
      </c>
      <c r="C803">
        <v>510006</v>
      </c>
      <c r="D803">
        <v>110088.734</v>
      </c>
      <c r="E803" t="s">
        <v>6</v>
      </c>
      <c r="F803" t="s">
        <v>53</v>
      </c>
      <c r="G803" t="s">
        <v>5</v>
      </c>
    </row>
    <row r="804" spans="1:7" x14ac:dyDescent="0.3">
      <c r="A804" t="s">
        <v>15</v>
      </c>
      <c r="B804" s="1">
        <v>45930</v>
      </c>
      <c r="C804">
        <v>510007</v>
      </c>
      <c r="D804">
        <v>613866.20600000001</v>
      </c>
      <c r="E804" t="s">
        <v>6</v>
      </c>
      <c r="F804" t="s">
        <v>53</v>
      </c>
      <c r="G804" t="s">
        <v>5</v>
      </c>
    </row>
    <row r="805" spans="1:7" x14ac:dyDescent="0.3">
      <c r="A805" t="s">
        <v>15</v>
      </c>
      <c r="B805" s="1">
        <v>45930</v>
      </c>
      <c r="C805">
        <v>510009</v>
      </c>
      <c r="D805">
        <v>36102.993999999999</v>
      </c>
      <c r="E805" t="s">
        <v>6</v>
      </c>
      <c r="F805" t="s">
        <v>53</v>
      </c>
      <c r="G805" t="s">
        <v>5</v>
      </c>
    </row>
    <row r="806" spans="1:7" x14ac:dyDescent="0.3">
      <c r="A806" t="s">
        <v>15</v>
      </c>
      <c r="B806" s="1">
        <v>45930</v>
      </c>
      <c r="C806">
        <v>510011</v>
      </c>
      <c r="D806">
        <v>211427.27600000001</v>
      </c>
      <c r="E806" t="s">
        <v>6</v>
      </c>
      <c r="F806" t="s">
        <v>53</v>
      </c>
      <c r="G806" t="s">
        <v>5</v>
      </c>
    </row>
    <row r="807" spans="1:7" x14ac:dyDescent="0.3">
      <c r="A807" t="s">
        <v>15</v>
      </c>
      <c r="B807" s="1">
        <v>45930</v>
      </c>
      <c r="C807">
        <v>510012</v>
      </c>
      <c r="D807">
        <v>77296.286999999997</v>
      </c>
      <c r="E807" t="s">
        <v>6</v>
      </c>
      <c r="F807" t="s">
        <v>53</v>
      </c>
      <c r="G807" t="s">
        <v>5</v>
      </c>
    </row>
    <row r="808" spans="1:7" x14ac:dyDescent="0.3">
      <c r="A808" t="s">
        <v>15</v>
      </c>
      <c r="B808" s="1">
        <v>45930</v>
      </c>
      <c r="C808">
        <v>510013</v>
      </c>
      <c r="D808">
        <v>-858.35299999999995</v>
      </c>
      <c r="E808" t="s">
        <v>6</v>
      </c>
      <c r="F808" t="s">
        <v>53</v>
      </c>
      <c r="G808" t="s">
        <v>5</v>
      </c>
    </row>
    <row r="809" spans="1:7" x14ac:dyDescent="0.3">
      <c r="A809" t="s">
        <v>15</v>
      </c>
      <c r="B809" s="1">
        <v>45930</v>
      </c>
      <c r="C809">
        <v>510018</v>
      </c>
      <c r="D809">
        <v>161424.878</v>
      </c>
      <c r="E809" t="s">
        <v>6</v>
      </c>
      <c r="F809" t="s">
        <v>53</v>
      </c>
      <c r="G809" t="s">
        <v>5</v>
      </c>
    </row>
    <row r="810" spans="1:7" x14ac:dyDescent="0.3">
      <c r="A810" t="s">
        <v>15</v>
      </c>
      <c r="B810" s="1">
        <v>45930</v>
      </c>
      <c r="C810">
        <v>510021</v>
      </c>
      <c r="D810">
        <v>25206.038</v>
      </c>
      <c r="E810" t="s">
        <v>6</v>
      </c>
      <c r="F810" t="s">
        <v>53</v>
      </c>
      <c r="G810" t="s">
        <v>5</v>
      </c>
    </row>
    <row r="811" spans="1:7" x14ac:dyDescent="0.3">
      <c r="A811" t="s">
        <v>15</v>
      </c>
      <c r="B811" s="1">
        <v>45930</v>
      </c>
      <c r="C811">
        <v>510026</v>
      </c>
      <c r="D811">
        <v>56303.114000000001</v>
      </c>
      <c r="E811" t="s">
        <v>6</v>
      </c>
      <c r="F811" t="s">
        <v>53</v>
      </c>
      <c r="G811" t="s">
        <v>5</v>
      </c>
    </row>
    <row r="812" spans="1:7" x14ac:dyDescent="0.3">
      <c r="A812" t="s">
        <v>15</v>
      </c>
      <c r="B812" s="1">
        <v>45930</v>
      </c>
      <c r="C812">
        <v>510046</v>
      </c>
      <c r="D812">
        <v>14.473000000000001</v>
      </c>
      <c r="E812" t="s">
        <v>6</v>
      </c>
      <c r="F812" t="s">
        <v>53</v>
      </c>
      <c r="G812" t="s">
        <v>5</v>
      </c>
    </row>
    <row r="813" spans="1:7" x14ac:dyDescent="0.3">
      <c r="A813" t="s">
        <v>15</v>
      </c>
      <c r="B813" s="1">
        <v>45930</v>
      </c>
      <c r="C813">
        <v>510048</v>
      </c>
      <c r="D813">
        <v>18086.627</v>
      </c>
      <c r="E813" t="s">
        <v>6</v>
      </c>
      <c r="F813" t="s">
        <v>61</v>
      </c>
      <c r="G813" t="s">
        <v>5</v>
      </c>
    </row>
    <row r="814" spans="1:7" x14ac:dyDescent="0.3">
      <c r="A814" t="s">
        <v>15</v>
      </c>
      <c r="B814" s="1">
        <v>45930</v>
      </c>
      <c r="C814">
        <v>510049</v>
      </c>
      <c r="D814">
        <v>531.64200000000005</v>
      </c>
      <c r="E814" t="s">
        <v>6</v>
      </c>
      <c r="F814" t="s">
        <v>60</v>
      </c>
      <c r="G814" t="s">
        <v>5</v>
      </c>
    </row>
    <row r="815" spans="1:7" x14ac:dyDescent="0.3">
      <c r="A815" t="s">
        <v>15</v>
      </c>
      <c r="B815" s="1">
        <v>45930</v>
      </c>
      <c r="C815">
        <v>510057</v>
      </c>
      <c r="D815">
        <v>3159.99</v>
      </c>
      <c r="E815" t="s">
        <v>6</v>
      </c>
      <c r="F815" t="s">
        <v>53</v>
      </c>
      <c r="G815" t="s">
        <v>5</v>
      </c>
    </row>
    <row r="816" spans="1:7" x14ac:dyDescent="0.3">
      <c r="A816" t="s">
        <v>15</v>
      </c>
      <c r="B816" s="1">
        <v>45930</v>
      </c>
      <c r="C816">
        <v>510059</v>
      </c>
      <c r="D816">
        <v>9151.3150000000005</v>
      </c>
      <c r="E816" t="s">
        <v>6</v>
      </c>
      <c r="F816" t="s">
        <v>53</v>
      </c>
      <c r="G816" t="s">
        <v>5</v>
      </c>
    </row>
    <row r="817" spans="1:7" x14ac:dyDescent="0.3">
      <c r="A817" t="s">
        <v>15</v>
      </c>
      <c r="B817" s="1">
        <v>45930</v>
      </c>
      <c r="C817">
        <v>510060</v>
      </c>
      <c r="D817">
        <v>-100183.84600000001</v>
      </c>
      <c r="E817" t="s">
        <v>6</v>
      </c>
      <c r="F817" t="s">
        <v>53</v>
      </c>
      <c r="G817" t="s">
        <v>5</v>
      </c>
    </row>
    <row r="818" spans="1:7" x14ac:dyDescent="0.3">
      <c r="A818" t="s">
        <v>15</v>
      </c>
      <c r="B818" s="1">
        <v>45930</v>
      </c>
      <c r="C818">
        <v>510062</v>
      </c>
      <c r="D818">
        <v>74650.645999999993</v>
      </c>
      <c r="E818" t="s">
        <v>6</v>
      </c>
      <c r="F818" t="s">
        <v>53</v>
      </c>
      <c r="G818" t="s">
        <v>5</v>
      </c>
    </row>
    <row r="819" spans="1:7" x14ac:dyDescent="0.3">
      <c r="A819" t="s">
        <v>15</v>
      </c>
      <c r="B819" s="1">
        <v>45930</v>
      </c>
      <c r="C819">
        <v>510063</v>
      </c>
      <c r="D819">
        <v>28348.916000000001</v>
      </c>
      <c r="E819" t="s">
        <v>6</v>
      </c>
      <c r="F819" t="s">
        <v>53</v>
      </c>
      <c r="G819" t="s">
        <v>5</v>
      </c>
    </row>
    <row r="820" spans="1:7" x14ac:dyDescent="0.3">
      <c r="A820" t="s">
        <v>15</v>
      </c>
      <c r="B820" s="1">
        <v>45930</v>
      </c>
      <c r="C820">
        <v>510064</v>
      </c>
      <c r="D820">
        <v>215273.74</v>
      </c>
      <c r="E820" t="s">
        <v>6</v>
      </c>
      <c r="F820" t="s">
        <v>53</v>
      </c>
      <c r="G820" t="s">
        <v>5</v>
      </c>
    </row>
    <row r="821" spans="1:7" x14ac:dyDescent="0.3">
      <c r="A821" t="s">
        <v>15</v>
      </c>
      <c r="B821" s="1">
        <v>45930</v>
      </c>
      <c r="C821">
        <v>520020</v>
      </c>
      <c r="D821">
        <v>19396.766</v>
      </c>
      <c r="E821" t="s">
        <v>6</v>
      </c>
      <c r="F821" t="s">
        <v>53</v>
      </c>
      <c r="G821" t="s">
        <v>5</v>
      </c>
    </row>
    <row r="822" spans="1:7" x14ac:dyDescent="0.3">
      <c r="A822" t="s">
        <v>15</v>
      </c>
      <c r="B822" s="1">
        <v>45930</v>
      </c>
      <c r="C822">
        <v>520021</v>
      </c>
      <c r="D822">
        <v>4448.3040000000001</v>
      </c>
      <c r="E822" t="s">
        <v>6</v>
      </c>
      <c r="F822" t="s">
        <v>60</v>
      </c>
      <c r="G822" t="s">
        <v>5</v>
      </c>
    </row>
    <row r="823" spans="1:7" x14ac:dyDescent="0.3">
      <c r="A823" t="s">
        <v>15</v>
      </c>
      <c r="B823" s="1">
        <v>45930</v>
      </c>
      <c r="C823">
        <v>520022</v>
      </c>
      <c r="D823">
        <v>3074.4630000000002</v>
      </c>
      <c r="E823" t="s">
        <v>6</v>
      </c>
      <c r="F823" t="s">
        <v>53</v>
      </c>
      <c r="G823" t="s">
        <v>5</v>
      </c>
    </row>
    <row r="824" spans="1:7" x14ac:dyDescent="0.3">
      <c r="A824" t="s">
        <v>15</v>
      </c>
      <c r="B824" s="1">
        <v>45930</v>
      </c>
      <c r="C824">
        <v>520037</v>
      </c>
      <c r="D824">
        <v>13576.683000000001</v>
      </c>
      <c r="E824" t="s">
        <v>6</v>
      </c>
      <c r="F824" t="s">
        <v>53</v>
      </c>
      <c r="G824" t="s">
        <v>5</v>
      </c>
    </row>
    <row r="825" spans="1:7" x14ac:dyDescent="0.3">
      <c r="A825" t="s">
        <v>15</v>
      </c>
      <c r="B825" s="1">
        <v>45930</v>
      </c>
      <c r="C825">
        <v>521002</v>
      </c>
      <c r="D825">
        <v>0</v>
      </c>
      <c r="E825" t="s">
        <v>6</v>
      </c>
      <c r="F825" t="s">
        <v>53</v>
      </c>
      <c r="G825" t="s">
        <v>5</v>
      </c>
    </row>
    <row r="826" spans="1:7" x14ac:dyDescent="0.3">
      <c r="A826" t="s">
        <v>15</v>
      </c>
      <c r="B826" s="1">
        <v>45930</v>
      </c>
      <c r="C826">
        <v>521003</v>
      </c>
      <c r="D826">
        <v>0</v>
      </c>
      <c r="E826" t="s">
        <v>6</v>
      </c>
      <c r="F826" t="s">
        <v>53</v>
      </c>
      <c r="G826" t="s">
        <v>5</v>
      </c>
    </row>
    <row r="827" spans="1:7" x14ac:dyDescent="0.3">
      <c r="A827" t="s">
        <v>15</v>
      </c>
      <c r="B827" s="1">
        <v>45930</v>
      </c>
      <c r="C827">
        <v>540004</v>
      </c>
      <c r="D827">
        <v>309.185</v>
      </c>
      <c r="E827" t="s">
        <v>6</v>
      </c>
      <c r="F827" t="s">
        <v>67</v>
      </c>
      <c r="G827" t="s">
        <v>5</v>
      </c>
    </row>
    <row r="828" spans="1:7" x14ac:dyDescent="0.3">
      <c r="A828" t="s">
        <v>15</v>
      </c>
      <c r="B828" s="1">
        <v>45930</v>
      </c>
      <c r="C828">
        <v>540008</v>
      </c>
      <c r="D828">
        <v>69846.460000000006</v>
      </c>
      <c r="E828" t="s">
        <v>6</v>
      </c>
      <c r="F828" t="s">
        <v>67</v>
      </c>
      <c r="G828" t="s">
        <v>5</v>
      </c>
    </row>
    <row r="829" spans="1:7" x14ac:dyDescent="0.3">
      <c r="A829" t="s">
        <v>15</v>
      </c>
      <c r="B829" s="1">
        <v>45930</v>
      </c>
      <c r="C829">
        <v>541003</v>
      </c>
      <c r="D829">
        <v>42009.084999999999</v>
      </c>
      <c r="E829" t="s">
        <v>6</v>
      </c>
      <c r="F829" t="s">
        <v>61</v>
      </c>
      <c r="G829" t="s">
        <v>5</v>
      </c>
    </row>
    <row r="830" spans="1:7" x14ac:dyDescent="0.3">
      <c r="A830" t="s">
        <v>15</v>
      </c>
      <c r="B830" s="1">
        <v>45930</v>
      </c>
      <c r="C830">
        <v>541004</v>
      </c>
      <c r="D830">
        <v>9693.2019999999993</v>
      </c>
      <c r="E830" t="s">
        <v>6</v>
      </c>
      <c r="F830" t="s">
        <v>61</v>
      </c>
      <c r="G830" t="s">
        <v>5</v>
      </c>
    </row>
    <row r="831" spans="1:7" x14ac:dyDescent="0.3">
      <c r="A831" t="s">
        <v>15</v>
      </c>
      <c r="B831" s="1">
        <v>45930</v>
      </c>
      <c r="C831">
        <v>541008</v>
      </c>
      <c r="D831">
        <v>22005.143</v>
      </c>
      <c r="E831" t="s">
        <v>6</v>
      </c>
      <c r="F831" t="s">
        <v>61</v>
      </c>
      <c r="G831" t="s">
        <v>5</v>
      </c>
    </row>
    <row r="832" spans="1:7" x14ac:dyDescent="0.3">
      <c r="A832" t="s">
        <v>15</v>
      </c>
      <c r="B832" s="1">
        <v>45930</v>
      </c>
      <c r="C832">
        <v>541009</v>
      </c>
      <c r="D832">
        <v>-12429.83</v>
      </c>
      <c r="E832" t="s">
        <v>6</v>
      </c>
      <c r="F832" t="s">
        <v>61</v>
      </c>
      <c r="G832" t="s">
        <v>5</v>
      </c>
    </row>
    <row r="833" spans="1:7" x14ac:dyDescent="0.3">
      <c r="A833" t="s">
        <v>15</v>
      </c>
      <c r="B833" s="1">
        <v>45930</v>
      </c>
      <c r="C833">
        <v>541010</v>
      </c>
      <c r="D833">
        <v>36528.847000000002</v>
      </c>
      <c r="E833" t="s">
        <v>6</v>
      </c>
      <c r="F833" t="s">
        <v>61</v>
      </c>
      <c r="G833" t="s">
        <v>5</v>
      </c>
    </row>
    <row r="834" spans="1:7" x14ac:dyDescent="0.3">
      <c r="A834" t="s">
        <v>15</v>
      </c>
      <c r="B834" s="1">
        <v>45930</v>
      </c>
      <c r="C834">
        <v>541013</v>
      </c>
      <c r="D834">
        <v>54957.387999999999</v>
      </c>
      <c r="E834" t="s">
        <v>6</v>
      </c>
      <c r="F834" t="s">
        <v>61</v>
      </c>
      <c r="G834" t="s">
        <v>5</v>
      </c>
    </row>
    <row r="835" spans="1:7" x14ac:dyDescent="0.3">
      <c r="A835" t="s">
        <v>15</v>
      </c>
      <c r="B835" s="1">
        <v>45930</v>
      </c>
      <c r="C835">
        <v>541019</v>
      </c>
      <c r="D835">
        <v>606.22799999999995</v>
      </c>
      <c r="E835" t="s">
        <v>6</v>
      </c>
      <c r="F835" t="s">
        <v>61</v>
      </c>
      <c r="G835" t="s">
        <v>5</v>
      </c>
    </row>
    <row r="836" spans="1:7" x14ac:dyDescent="0.3">
      <c r="A836" t="s">
        <v>15</v>
      </c>
      <c r="B836" s="1">
        <v>45930</v>
      </c>
      <c r="C836">
        <v>541021</v>
      </c>
      <c r="D836">
        <v>-26709.441999999999</v>
      </c>
      <c r="E836" t="s">
        <v>6</v>
      </c>
      <c r="F836" t="s">
        <v>61</v>
      </c>
      <c r="G836" t="s">
        <v>5</v>
      </c>
    </row>
    <row r="837" spans="1:7" x14ac:dyDescent="0.3">
      <c r="A837" t="s">
        <v>15</v>
      </c>
      <c r="B837" s="1">
        <v>45930</v>
      </c>
      <c r="C837">
        <v>541022</v>
      </c>
      <c r="D837">
        <v>1417.1410000000001</v>
      </c>
      <c r="E837" t="s">
        <v>6</v>
      </c>
      <c r="F837" t="s">
        <v>61</v>
      </c>
      <c r="G837" t="s">
        <v>5</v>
      </c>
    </row>
    <row r="838" spans="1:7" x14ac:dyDescent="0.3">
      <c r="A838" t="s">
        <v>15</v>
      </c>
      <c r="B838" s="1">
        <v>45930</v>
      </c>
      <c r="C838">
        <v>541023</v>
      </c>
      <c r="D838">
        <v>12120.538</v>
      </c>
      <c r="E838" t="s">
        <v>6</v>
      </c>
      <c r="F838" t="s">
        <v>61</v>
      </c>
      <c r="G838" t="s">
        <v>5</v>
      </c>
    </row>
    <row r="839" spans="1:7" x14ac:dyDescent="0.3">
      <c r="A839" t="s">
        <v>15</v>
      </c>
      <c r="B839" s="1">
        <v>45930</v>
      </c>
      <c r="C839">
        <v>544002</v>
      </c>
      <c r="D839">
        <v>26119.228999999999</v>
      </c>
      <c r="E839" t="s">
        <v>6</v>
      </c>
      <c r="F839" t="s">
        <v>61</v>
      </c>
      <c r="G839" t="s">
        <v>5</v>
      </c>
    </row>
    <row r="840" spans="1:7" x14ac:dyDescent="0.3">
      <c r="A840" t="s">
        <v>15</v>
      </c>
      <c r="B840" s="1">
        <v>45930</v>
      </c>
      <c r="C840">
        <v>544003</v>
      </c>
      <c r="D840">
        <v>9061.866</v>
      </c>
      <c r="E840" t="s">
        <v>6</v>
      </c>
      <c r="F840" t="s">
        <v>61</v>
      </c>
      <c r="G840" t="s">
        <v>5</v>
      </c>
    </row>
    <row r="841" spans="1:7" x14ac:dyDescent="0.3">
      <c r="A841" t="s">
        <v>15</v>
      </c>
      <c r="B841" s="1">
        <v>45930</v>
      </c>
      <c r="C841">
        <v>544006</v>
      </c>
      <c r="D841">
        <v>1083.0609999999999</v>
      </c>
      <c r="E841" t="s">
        <v>6</v>
      </c>
      <c r="F841" t="s">
        <v>61</v>
      </c>
      <c r="G841" t="s">
        <v>5</v>
      </c>
    </row>
    <row r="842" spans="1:7" x14ac:dyDescent="0.3">
      <c r="A842" t="s">
        <v>15</v>
      </c>
      <c r="B842" s="1">
        <v>45930</v>
      </c>
      <c r="C842">
        <v>547002</v>
      </c>
      <c r="D842">
        <v>127342.02</v>
      </c>
      <c r="E842" t="s">
        <v>6</v>
      </c>
      <c r="F842" t="s">
        <v>54</v>
      </c>
      <c r="G842" t="s">
        <v>5</v>
      </c>
    </row>
    <row r="843" spans="1:7" x14ac:dyDescent="0.3">
      <c r="A843" t="s">
        <v>15</v>
      </c>
      <c r="B843" s="1">
        <v>45930</v>
      </c>
      <c r="C843">
        <v>547006</v>
      </c>
      <c r="D843">
        <v>135131.42800000001</v>
      </c>
      <c r="E843" t="s">
        <v>6</v>
      </c>
      <c r="F843" t="s">
        <v>54</v>
      </c>
      <c r="G843" t="s">
        <v>5</v>
      </c>
    </row>
    <row r="844" spans="1:7" x14ac:dyDescent="0.3">
      <c r="A844" t="s">
        <v>15</v>
      </c>
      <c r="B844" s="1">
        <v>45930</v>
      </c>
      <c r="C844">
        <v>547011</v>
      </c>
      <c r="D844">
        <v>995.82399999999996</v>
      </c>
      <c r="E844" t="s">
        <v>6</v>
      </c>
      <c r="F844" t="s">
        <v>54</v>
      </c>
      <c r="G844" t="s">
        <v>5</v>
      </c>
    </row>
    <row r="845" spans="1:7" x14ac:dyDescent="0.3">
      <c r="A845" t="s">
        <v>15</v>
      </c>
      <c r="B845" s="1">
        <v>45930</v>
      </c>
      <c r="C845">
        <v>550002</v>
      </c>
      <c r="D845">
        <v>143520.99600000001</v>
      </c>
      <c r="E845" t="s">
        <v>6</v>
      </c>
      <c r="F845" t="s">
        <v>62</v>
      </c>
      <c r="G845" t="s">
        <v>5</v>
      </c>
    </row>
    <row r="846" spans="1:7" x14ac:dyDescent="0.3">
      <c r="A846" t="s">
        <v>15</v>
      </c>
      <c r="B846" s="1">
        <v>45930</v>
      </c>
      <c r="C846">
        <v>550003</v>
      </c>
      <c r="D846">
        <v>145067.58900000001</v>
      </c>
      <c r="E846" t="s">
        <v>6</v>
      </c>
      <c r="F846" t="s">
        <v>62</v>
      </c>
      <c r="G846" t="s">
        <v>5</v>
      </c>
    </row>
    <row r="847" spans="1:7" x14ac:dyDescent="0.3">
      <c r="A847" t="s">
        <v>15</v>
      </c>
      <c r="B847" s="1">
        <v>45930</v>
      </c>
      <c r="C847">
        <v>550004</v>
      </c>
      <c r="D847">
        <v>8420.3829999999998</v>
      </c>
      <c r="E847" t="s">
        <v>6</v>
      </c>
      <c r="F847" t="s">
        <v>62</v>
      </c>
      <c r="G847" t="s">
        <v>5</v>
      </c>
    </row>
    <row r="848" spans="1:7" x14ac:dyDescent="0.3">
      <c r="A848" t="s">
        <v>15</v>
      </c>
      <c r="B848" s="1">
        <v>45930</v>
      </c>
      <c r="C848">
        <v>550007</v>
      </c>
      <c r="D848">
        <v>-556.30899999999997</v>
      </c>
      <c r="E848" t="s">
        <v>6</v>
      </c>
      <c r="F848" t="s">
        <v>62</v>
      </c>
      <c r="G848" t="s">
        <v>5</v>
      </c>
    </row>
    <row r="849" spans="1:7" x14ac:dyDescent="0.3">
      <c r="A849" t="s">
        <v>15</v>
      </c>
      <c r="B849" s="1">
        <v>45930</v>
      </c>
      <c r="C849">
        <v>551002</v>
      </c>
      <c r="D849">
        <v>26044.597000000002</v>
      </c>
      <c r="E849" t="s">
        <v>6</v>
      </c>
      <c r="F849" t="s">
        <v>63</v>
      </c>
      <c r="G849" t="s">
        <v>5</v>
      </c>
    </row>
    <row r="850" spans="1:7" x14ac:dyDescent="0.3">
      <c r="A850" t="s">
        <v>15</v>
      </c>
      <c r="B850" s="1">
        <v>45930</v>
      </c>
      <c r="C850">
        <v>551003</v>
      </c>
      <c r="D850">
        <v>272677.35499999998</v>
      </c>
      <c r="E850" t="s">
        <v>6</v>
      </c>
      <c r="F850" t="s">
        <v>63</v>
      </c>
      <c r="G850" t="s">
        <v>5</v>
      </c>
    </row>
    <row r="851" spans="1:7" x14ac:dyDescent="0.3">
      <c r="A851" t="s">
        <v>15</v>
      </c>
      <c r="B851" s="1">
        <v>45930</v>
      </c>
      <c r="C851">
        <v>551007</v>
      </c>
      <c r="D851">
        <v>186</v>
      </c>
      <c r="E851" t="s">
        <v>6</v>
      </c>
      <c r="F851" t="s">
        <v>63</v>
      </c>
      <c r="G851" t="s">
        <v>5</v>
      </c>
    </row>
    <row r="852" spans="1:7" x14ac:dyDescent="0.3">
      <c r="A852" t="s">
        <v>15</v>
      </c>
      <c r="B852" s="1">
        <v>45930</v>
      </c>
      <c r="C852">
        <v>551008</v>
      </c>
      <c r="D852">
        <v>23174.080999999998</v>
      </c>
      <c r="E852" t="s">
        <v>6</v>
      </c>
      <c r="F852" t="s">
        <v>63</v>
      </c>
      <c r="G852" t="s">
        <v>5</v>
      </c>
    </row>
    <row r="853" spans="1:7" x14ac:dyDescent="0.3">
      <c r="A853" t="s">
        <v>15</v>
      </c>
      <c r="B853" s="1">
        <v>45930</v>
      </c>
      <c r="C853">
        <v>551011</v>
      </c>
      <c r="D853">
        <v>4507.8639999999996</v>
      </c>
      <c r="E853" t="s">
        <v>6</v>
      </c>
      <c r="F853" t="s">
        <v>61</v>
      </c>
      <c r="G853" t="s">
        <v>5</v>
      </c>
    </row>
    <row r="854" spans="1:7" x14ac:dyDescent="0.3">
      <c r="A854" t="s">
        <v>15</v>
      </c>
      <c r="B854" s="1">
        <v>45930</v>
      </c>
      <c r="C854">
        <v>551012</v>
      </c>
      <c r="D854">
        <v>15020.791999999999</v>
      </c>
      <c r="E854" t="s">
        <v>6</v>
      </c>
      <c r="F854" t="s">
        <v>63</v>
      </c>
      <c r="G854" t="s">
        <v>5</v>
      </c>
    </row>
    <row r="855" spans="1:7" x14ac:dyDescent="0.3">
      <c r="A855" t="s">
        <v>15</v>
      </c>
      <c r="B855" s="1">
        <v>45930</v>
      </c>
      <c r="C855">
        <v>551014</v>
      </c>
      <c r="D855">
        <v>20281.120999999999</v>
      </c>
      <c r="E855" t="s">
        <v>6</v>
      </c>
      <c r="F855" t="s">
        <v>63</v>
      </c>
      <c r="G855" t="s">
        <v>5</v>
      </c>
    </row>
    <row r="856" spans="1:7" x14ac:dyDescent="0.3">
      <c r="A856" t="s">
        <v>15</v>
      </c>
      <c r="B856" s="1">
        <v>45930</v>
      </c>
      <c r="C856">
        <v>552002</v>
      </c>
      <c r="D856">
        <v>56137.286999999997</v>
      </c>
      <c r="E856" t="s">
        <v>6</v>
      </c>
      <c r="F856" t="s">
        <v>55</v>
      </c>
      <c r="G856" t="s">
        <v>5</v>
      </c>
    </row>
    <row r="857" spans="1:7" x14ac:dyDescent="0.3">
      <c r="A857" t="s">
        <v>15</v>
      </c>
      <c r="B857" s="1">
        <v>45930</v>
      </c>
      <c r="C857">
        <v>552502</v>
      </c>
      <c r="D857">
        <v>-2911.56</v>
      </c>
      <c r="E857" t="s">
        <v>6</v>
      </c>
      <c r="F857" t="s">
        <v>55</v>
      </c>
      <c r="G857" t="s">
        <v>5</v>
      </c>
    </row>
    <row r="858" spans="1:7" x14ac:dyDescent="0.3">
      <c r="A858" t="s">
        <v>15</v>
      </c>
      <c r="B858" s="1">
        <v>45930</v>
      </c>
      <c r="C858">
        <v>552503</v>
      </c>
      <c r="D858">
        <v>4289.12</v>
      </c>
      <c r="E858" t="s">
        <v>6</v>
      </c>
      <c r="F858" t="s">
        <v>55</v>
      </c>
      <c r="G858" t="s">
        <v>5</v>
      </c>
    </row>
    <row r="859" spans="1:7" x14ac:dyDescent="0.3">
      <c r="A859" t="s">
        <v>15</v>
      </c>
      <c r="B859" s="1">
        <v>45930</v>
      </c>
      <c r="C859">
        <v>552504</v>
      </c>
      <c r="D859">
        <v>1313.9880000000001</v>
      </c>
      <c r="E859" t="s">
        <v>6</v>
      </c>
      <c r="F859" t="s">
        <v>55</v>
      </c>
      <c r="G859" t="s">
        <v>5</v>
      </c>
    </row>
    <row r="860" spans="1:7" x14ac:dyDescent="0.3">
      <c r="A860" t="s">
        <v>15</v>
      </c>
      <c r="B860" s="1">
        <v>45930</v>
      </c>
      <c r="C860">
        <v>554002</v>
      </c>
      <c r="D860">
        <v>43413.983</v>
      </c>
      <c r="E860" t="s">
        <v>6</v>
      </c>
      <c r="F860" t="s">
        <v>55</v>
      </c>
      <c r="G860" t="s">
        <v>5</v>
      </c>
    </row>
    <row r="861" spans="1:7" x14ac:dyDescent="0.3">
      <c r="A861" t="s">
        <v>15</v>
      </c>
      <c r="B861" s="1">
        <v>45930</v>
      </c>
      <c r="C861">
        <v>554003</v>
      </c>
      <c r="D861">
        <v>44828.894</v>
      </c>
      <c r="E861" t="s">
        <v>6</v>
      </c>
      <c r="F861" t="s">
        <v>55</v>
      </c>
      <c r="G861" t="s">
        <v>5</v>
      </c>
    </row>
    <row r="862" spans="1:7" x14ac:dyDescent="0.3">
      <c r="A862" t="s">
        <v>15</v>
      </c>
      <c r="B862" s="1">
        <v>45930</v>
      </c>
      <c r="C862">
        <v>554004</v>
      </c>
      <c r="D862">
        <v>41962.961000000003</v>
      </c>
      <c r="E862" t="s">
        <v>6</v>
      </c>
      <c r="F862" t="s">
        <v>55</v>
      </c>
      <c r="G862" t="s">
        <v>5</v>
      </c>
    </row>
    <row r="863" spans="1:7" x14ac:dyDescent="0.3">
      <c r="A863" t="s">
        <v>15</v>
      </c>
      <c r="B863" s="1">
        <v>45930</v>
      </c>
      <c r="C863">
        <v>554005</v>
      </c>
      <c r="D863">
        <v>9908.5020000000004</v>
      </c>
      <c r="E863" t="s">
        <v>6</v>
      </c>
      <c r="F863" t="s">
        <v>55</v>
      </c>
      <c r="G863" t="s">
        <v>5</v>
      </c>
    </row>
    <row r="864" spans="1:7" x14ac:dyDescent="0.3">
      <c r="A864" t="s">
        <v>15</v>
      </c>
      <c r="B864" s="1">
        <v>45930</v>
      </c>
      <c r="C864">
        <v>554006</v>
      </c>
      <c r="D864">
        <v>6547.1880000000001</v>
      </c>
      <c r="E864" t="s">
        <v>6</v>
      </c>
      <c r="F864" t="s">
        <v>55</v>
      </c>
      <c r="G864" t="s">
        <v>5</v>
      </c>
    </row>
    <row r="865" spans="1:7" x14ac:dyDescent="0.3">
      <c r="A865" t="s">
        <v>15</v>
      </c>
      <c r="B865" s="1">
        <v>45930</v>
      </c>
      <c r="C865">
        <v>554007</v>
      </c>
      <c r="D865">
        <v>395038.36599999998</v>
      </c>
      <c r="E865" t="s">
        <v>6</v>
      </c>
      <c r="F865" t="s">
        <v>55</v>
      </c>
      <c r="G865" t="s">
        <v>5</v>
      </c>
    </row>
    <row r="866" spans="1:7" x14ac:dyDescent="0.3">
      <c r="A866" t="s">
        <v>15</v>
      </c>
      <c r="B866" s="1">
        <v>45930</v>
      </c>
      <c r="C866">
        <v>554008</v>
      </c>
      <c r="D866">
        <v>1713.249</v>
      </c>
      <c r="E866" t="s">
        <v>6</v>
      </c>
      <c r="F866" t="s">
        <v>55</v>
      </c>
      <c r="G866" t="s">
        <v>5</v>
      </c>
    </row>
    <row r="867" spans="1:7" x14ac:dyDescent="0.3">
      <c r="A867" t="s">
        <v>15</v>
      </c>
      <c r="B867" s="1">
        <v>45930</v>
      </c>
      <c r="C867">
        <v>555002</v>
      </c>
      <c r="D867">
        <v>182.48099999999999</v>
      </c>
      <c r="E867" t="s">
        <v>6</v>
      </c>
      <c r="F867" t="s">
        <v>55</v>
      </c>
      <c r="G867" t="s">
        <v>5</v>
      </c>
    </row>
    <row r="868" spans="1:7" x14ac:dyDescent="0.3">
      <c r="A868" t="s">
        <v>15</v>
      </c>
      <c r="B868" s="1">
        <v>45930</v>
      </c>
      <c r="C868">
        <v>555003</v>
      </c>
      <c r="D868">
        <v>76.016999999999996</v>
      </c>
      <c r="E868" t="s">
        <v>6</v>
      </c>
      <c r="F868" t="s">
        <v>55</v>
      </c>
      <c r="G868" t="s">
        <v>5</v>
      </c>
    </row>
    <row r="869" spans="1:7" x14ac:dyDescent="0.3">
      <c r="A869" t="s">
        <v>15</v>
      </c>
      <c r="B869" s="1">
        <v>45930</v>
      </c>
      <c r="C869">
        <v>555004</v>
      </c>
      <c r="D869">
        <v>17.648</v>
      </c>
      <c r="E869" t="s">
        <v>6</v>
      </c>
      <c r="F869" t="s">
        <v>55</v>
      </c>
      <c r="G869" t="s">
        <v>5</v>
      </c>
    </row>
    <row r="870" spans="1:7" x14ac:dyDescent="0.3">
      <c r="A870" t="s">
        <v>15</v>
      </c>
      <c r="B870" s="1">
        <v>45930</v>
      </c>
      <c r="C870">
        <v>555005</v>
      </c>
      <c r="D870">
        <v>1763.155</v>
      </c>
      <c r="E870" t="s">
        <v>6</v>
      </c>
      <c r="F870" t="s">
        <v>55</v>
      </c>
      <c r="G870" t="s">
        <v>5</v>
      </c>
    </row>
    <row r="871" spans="1:7" x14ac:dyDescent="0.3">
      <c r="A871" t="s">
        <v>15</v>
      </c>
      <c r="B871" s="1">
        <v>45930</v>
      </c>
      <c r="C871">
        <v>555007</v>
      </c>
      <c r="D871">
        <v>12276.787</v>
      </c>
      <c r="E871" t="s">
        <v>6</v>
      </c>
      <c r="F871" t="s">
        <v>55</v>
      </c>
      <c r="G871" t="s">
        <v>5</v>
      </c>
    </row>
    <row r="872" spans="1:7" x14ac:dyDescent="0.3">
      <c r="A872" t="s">
        <v>15</v>
      </c>
      <c r="B872" s="1">
        <v>45930</v>
      </c>
      <c r="C872">
        <v>555008</v>
      </c>
      <c r="D872">
        <v>1159.3230000000001</v>
      </c>
      <c r="E872" t="s">
        <v>6</v>
      </c>
      <c r="F872" t="s">
        <v>55</v>
      </c>
      <c r="G872" t="s">
        <v>5</v>
      </c>
    </row>
    <row r="873" spans="1:7" x14ac:dyDescent="0.3">
      <c r="A873" t="s">
        <v>15</v>
      </c>
      <c r="B873" s="1">
        <v>45930</v>
      </c>
      <c r="C873">
        <v>555009</v>
      </c>
      <c r="D873">
        <v>33445.705000000002</v>
      </c>
      <c r="E873" t="s">
        <v>6</v>
      </c>
      <c r="F873" t="s">
        <v>53</v>
      </c>
      <c r="G873" t="s">
        <v>5</v>
      </c>
    </row>
    <row r="874" spans="1:7" x14ac:dyDescent="0.3">
      <c r="A874" t="s">
        <v>15</v>
      </c>
      <c r="B874" s="1">
        <v>45930</v>
      </c>
      <c r="C874">
        <v>555010</v>
      </c>
      <c r="D874">
        <v>4305.1170000000002</v>
      </c>
      <c r="E874" t="s">
        <v>6</v>
      </c>
      <c r="F874" t="s">
        <v>55</v>
      </c>
      <c r="G874" t="s">
        <v>5</v>
      </c>
    </row>
    <row r="875" spans="1:7" x14ac:dyDescent="0.3">
      <c r="A875" t="s">
        <v>15</v>
      </c>
      <c r="B875" s="1">
        <v>45930</v>
      </c>
      <c r="C875">
        <v>555504</v>
      </c>
      <c r="D875">
        <v>2304.2269999999999</v>
      </c>
      <c r="E875" t="s">
        <v>6</v>
      </c>
      <c r="F875" t="s">
        <v>55</v>
      </c>
      <c r="G875" t="s">
        <v>5</v>
      </c>
    </row>
    <row r="876" spans="1:7" x14ac:dyDescent="0.3">
      <c r="A876" t="s">
        <v>15</v>
      </c>
      <c r="B876" s="1">
        <v>45930</v>
      </c>
      <c r="C876">
        <v>555508</v>
      </c>
      <c r="D876">
        <v>5695.723</v>
      </c>
      <c r="E876" t="s">
        <v>6</v>
      </c>
      <c r="F876" t="s">
        <v>55</v>
      </c>
      <c r="G876" t="s">
        <v>5</v>
      </c>
    </row>
    <row r="877" spans="1:7" x14ac:dyDescent="0.3">
      <c r="A877" t="s">
        <v>15</v>
      </c>
      <c r="B877" s="1">
        <v>45930</v>
      </c>
      <c r="C877">
        <v>555511</v>
      </c>
      <c r="D877">
        <v>1996.2360000000001</v>
      </c>
      <c r="E877" t="s">
        <v>6</v>
      </c>
      <c r="F877" t="s">
        <v>55</v>
      </c>
      <c r="G877" t="s">
        <v>5</v>
      </c>
    </row>
    <row r="878" spans="1:7" x14ac:dyDescent="0.3">
      <c r="A878" t="s">
        <v>15</v>
      </c>
      <c r="B878" s="1">
        <v>45930</v>
      </c>
      <c r="C878">
        <v>556002</v>
      </c>
      <c r="D878">
        <v>23320.273000000001</v>
      </c>
      <c r="E878" t="s">
        <v>6</v>
      </c>
      <c r="F878" t="s">
        <v>60</v>
      </c>
      <c r="G878" t="s">
        <v>5</v>
      </c>
    </row>
    <row r="879" spans="1:7" x14ac:dyDescent="0.3">
      <c r="A879" t="s">
        <v>15</v>
      </c>
      <c r="B879" s="1">
        <v>45930</v>
      </c>
      <c r="C879">
        <v>556003</v>
      </c>
      <c r="D879">
        <v>31706.611000000001</v>
      </c>
      <c r="E879" t="s">
        <v>6</v>
      </c>
      <c r="F879" t="s">
        <v>55</v>
      </c>
      <c r="G879" t="s">
        <v>5</v>
      </c>
    </row>
    <row r="880" spans="1:7" x14ac:dyDescent="0.3">
      <c r="A880" t="s">
        <v>15</v>
      </c>
      <c r="B880" s="1">
        <v>45930</v>
      </c>
      <c r="C880">
        <v>556004</v>
      </c>
      <c r="D880">
        <v>12264.358</v>
      </c>
      <c r="E880" t="s">
        <v>6</v>
      </c>
      <c r="F880" t="s">
        <v>55</v>
      </c>
      <c r="G880" t="s">
        <v>5</v>
      </c>
    </row>
    <row r="881" spans="1:7" x14ac:dyDescent="0.3">
      <c r="A881" t="s">
        <v>15</v>
      </c>
      <c r="B881" s="1">
        <v>45930</v>
      </c>
      <c r="C881">
        <v>557002</v>
      </c>
      <c r="D881">
        <v>572066.58900000004</v>
      </c>
      <c r="E881" t="s">
        <v>6</v>
      </c>
      <c r="F881" t="s">
        <v>56</v>
      </c>
      <c r="G881" t="s">
        <v>5</v>
      </c>
    </row>
    <row r="882" spans="1:7" x14ac:dyDescent="0.3">
      <c r="A882" t="s">
        <v>15</v>
      </c>
      <c r="B882" s="1">
        <v>45930</v>
      </c>
      <c r="C882">
        <v>557003</v>
      </c>
      <c r="D882">
        <v>12278.403</v>
      </c>
      <c r="E882" t="s">
        <v>6</v>
      </c>
      <c r="F882" t="s">
        <v>56</v>
      </c>
      <c r="G882" t="s">
        <v>5</v>
      </c>
    </row>
    <row r="883" spans="1:7" x14ac:dyDescent="0.3">
      <c r="A883" t="s">
        <v>15</v>
      </c>
      <c r="B883" s="1">
        <v>45930</v>
      </c>
      <c r="C883">
        <v>557006</v>
      </c>
      <c r="D883">
        <v>3875</v>
      </c>
      <c r="E883" t="s">
        <v>6</v>
      </c>
      <c r="F883" t="s">
        <v>56</v>
      </c>
      <c r="G883" t="s">
        <v>5</v>
      </c>
    </row>
    <row r="884" spans="1:7" x14ac:dyDescent="0.3">
      <c r="A884" t="s">
        <v>15</v>
      </c>
      <c r="B884" s="1">
        <v>45930</v>
      </c>
      <c r="C884">
        <v>557008</v>
      </c>
      <c r="D884">
        <v>51.789000000000001</v>
      </c>
      <c r="E884" t="s">
        <v>6</v>
      </c>
      <c r="F884" t="s">
        <v>56</v>
      </c>
      <c r="G884" t="s">
        <v>5</v>
      </c>
    </row>
    <row r="885" spans="1:7" x14ac:dyDescent="0.3">
      <c r="A885" t="s">
        <v>15</v>
      </c>
      <c r="B885" s="1">
        <v>45930</v>
      </c>
      <c r="C885">
        <v>558003</v>
      </c>
      <c r="D885">
        <v>12832.67</v>
      </c>
      <c r="E885" t="s">
        <v>6</v>
      </c>
      <c r="F885" t="s">
        <v>57</v>
      </c>
      <c r="G885" t="s">
        <v>5</v>
      </c>
    </row>
    <row r="886" spans="1:7" x14ac:dyDescent="0.3">
      <c r="A886" t="s">
        <v>15</v>
      </c>
      <c r="B886" s="1">
        <v>45930</v>
      </c>
      <c r="C886">
        <v>558006</v>
      </c>
      <c r="D886">
        <v>62940.211000000003</v>
      </c>
      <c r="E886" t="s">
        <v>6</v>
      </c>
      <c r="F886" t="s">
        <v>57</v>
      </c>
      <c r="G886" t="s">
        <v>5</v>
      </c>
    </row>
    <row r="887" spans="1:7" x14ac:dyDescent="0.3">
      <c r="A887" t="s">
        <v>15</v>
      </c>
      <c r="B887" s="1">
        <v>45930</v>
      </c>
      <c r="C887">
        <v>558011</v>
      </c>
      <c r="D887">
        <v>1533.338</v>
      </c>
      <c r="E887" t="s">
        <v>6</v>
      </c>
      <c r="F887" t="s">
        <v>57</v>
      </c>
      <c r="G887" t="s">
        <v>5</v>
      </c>
    </row>
    <row r="888" spans="1:7" x14ac:dyDescent="0.3">
      <c r="A888" t="s">
        <v>15</v>
      </c>
      <c r="B888" s="1">
        <v>45930</v>
      </c>
      <c r="C888">
        <v>558012</v>
      </c>
      <c r="D888">
        <v>686.77499999999998</v>
      </c>
      <c r="E888" t="s">
        <v>6</v>
      </c>
      <c r="F888" t="s">
        <v>60</v>
      </c>
      <c r="G888" t="s">
        <v>5</v>
      </c>
    </row>
    <row r="889" spans="1:7" x14ac:dyDescent="0.3">
      <c r="A889" t="s">
        <v>15</v>
      </c>
      <c r="B889" s="1">
        <v>45930</v>
      </c>
      <c r="C889">
        <v>559002</v>
      </c>
      <c r="D889">
        <v>5170.2619999999997</v>
      </c>
      <c r="E889" t="s">
        <v>6</v>
      </c>
      <c r="F889" t="s">
        <v>60</v>
      </c>
      <c r="G889" t="s">
        <v>5</v>
      </c>
    </row>
    <row r="890" spans="1:7" x14ac:dyDescent="0.3">
      <c r="A890" t="s">
        <v>15</v>
      </c>
      <c r="B890" s="1">
        <v>45930</v>
      </c>
      <c r="C890">
        <v>560002</v>
      </c>
      <c r="D890">
        <v>7895.7870000000003</v>
      </c>
      <c r="E890" t="s">
        <v>6</v>
      </c>
      <c r="F890" t="s">
        <v>56</v>
      </c>
      <c r="G890" t="s">
        <v>5</v>
      </c>
    </row>
    <row r="891" spans="1:7" x14ac:dyDescent="0.3">
      <c r="A891" t="s">
        <v>15</v>
      </c>
      <c r="B891" s="1">
        <v>45930</v>
      </c>
      <c r="C891">
        <v>560006</v>
      </c>
      <c r="D891">
        <v>1046.25</v>
      </c>
      <c r="E891" t="s">
        <v>6</v>
      </c>
      <c r="F891" t="s">
        <v>56</v>
      </c>
      <c r="G891" t="s">
        <v>5</v>
      </c>
    </row>
    <row r="892" spans="1:7" x14ac:dyDescent="0.3">
      <c r="A892" t="s">
        <v>15</v>
      </c>
      <c r="B892" s="1">
        <v>45930</v>
      </c>
      <c r="C892">
        <v>560007</v>
      </c>
      <c r="D892">
        <v>3927.2049999999999</v>
      </c>
      <c r="E892" t="s">
        <v>6</v>
      </c>
      <c r="F892" t="s">
        <v>56</v>
      </c>
      <c r="G892" t="s">
        <v>5</v>
      </c>
    </row>
    <row r="893" spans="1:7" x14ac:dyDescent="0.3">
      <c r="A893" t="s">
        <v>15</v>
      </c>
      <c r="B893" s="1">
        <v>45930</v>
      </c>
      <c r="C893">
        <v>561002</v>
      </c>
      <c r="D893">
        <v>-4224.7640000000001</v>
      </c>
      <c r="E893" t="s">
        <v>6</v>
      </c>
      <c r="F893" t="s">
        <v>70</v>
      </c>
      <c r="G893" t="s">
        <v>5</v>
      </c>
    </row>
    <row r="894" spans="1:7" x14ac:dyDescent="0.3">
      <c r="A894" t="s">
        <v>15</v>
      </c>
      <c r="B894" s="1">
        <v>45930</v>
      </c>
      <c r="C894">
        <v>562002</v>
      </c>
      <c r="D894">
        <v>5406.3559999999998</v>
      </c>
      <c r="E894" t="s">
        <v>6</v>
      </c>
      <c r="F894" t="s">
        <v>57</v>
      </c>
      <c r="G894" t="s">
        <v>5</v>
      </c>
    </row>
    <row r="895" spans="1:7" x14ac:dyDescent="0.3">
      <c r="A895" t="s">
        <v>15</v>
      </c>
      <c r="B895" s="1">
        <v>45930</v>
      </c>
      <c r="C895">
        <v>563002</v>
      </c>
      <c r="D895">
        <v>5396.8710000000001</v>
      </c>
      <c r="E895" t="s">
        <v>6</v>
      </c>
      <c r="F895" t="s">
        <v>57</v>
      </c>
      <c r="G895" t="s">
        <v>5</v>
      </c>
    </row>
    <row r="896" spans="1:7" x14ac:dyDescent="0.3">
      <c r="A896" t="s">
        <v>15</v>
      </c>
      <c r="B896" s="1">
        <v>45930</v>
      </c>
      <c r="C896">
        <v>564004</v>
      </c>
      <c r="D896">
        <v>-605542.647</v>
      </c>
      <c r="E896" t="s">
        <v>6</v>
      </c>
      <c r="F896" t="s">
        <v>51</v>
      </c>
      <c r="G896" t="s">
        <v>5</v>
      </c>
    </row>
    <row r="897" spans="1:7" x14ac:dyDescent="0.3">
      <c r="A897" t="s">
        <v>15</v>
      </c>
      <c r="B897" s="1">
        <v>45930</v>
      </c>
      <c r="C897">
        <v>564005</v>
      </c>
      <c r="D897">
        <v>12787.509</v>
      </c>
      <c r="E897" t="s">
        <v>6</v>
      </c>
      <c r="F897" t="s">
        <v>56</v>
      </c>
      <c r="G897" t="s">
        <v>5</v>
      </c>
    </row>
    <row r="898" spans="1:7" x14ac:dyDescent="0.3">
      <c r="A898" t="s">
        <v>15</v>
      </c>
      <c r="B898" s="1">
        <v>45930</v>
      </c>
      <c r="C898">
        <v>564006</v>
      </c>
      <c r="D898">
        <v>9.7530000000000001</v>
      </c>
      <c r="E898" t="s">
        <v>6</v>
      </c>
      <c r="F898" t="s">
        <v>57</v>
      </c>
      <c r="G898" t="s">
        <v>5</v>
      </c>
    </row>
    <row r="899" spans="1:7" x14ac:dyDescent="0.3">
      <c r="A899" t="s">
        <v>15</v>
      </c>
      <c r="B899" s="1">
        <v>45930</v>
      </c>
      <c r="C899">
        <v>564007</v>
      </c>
      <c r="D899">
        <v>0.14000000000000001</v>
      </c>
      <c r="E899" t="s">
        <v>6</v>
      </c>
      <c r="F899" t="s">
        <v>57</v>
      </c>
      <c r="G899" t="s">
        <v>5</v>
      </c>
    </row>
    <row r="900" spans="1:7" x14ac:dyDescent="0.3">
      <c r="A900" t="s">
        <v>15</v>
      </c>
      <c r="B900" s="1">
        <v>45930</v>
      </c>
      <c r="C900">
        <v>564008</v>
      </c>
      <c r="D900">
        <v>2016.596</v>
      </c>
      <c r="E900" t="s">
        <v>6</v>
      </c>
      <c r="F900" t="s">
        <v>55</v>
      </c>
      <c r="G900" t="s">
        <v>5</v>
      </c>
    </row>
    <row r="901" spans="1:7" x14ac:dyDescent="0.3">
      <c r="A901" t="s">
        <v>15</v>
      </c>
      <c r="B901" s="1">
        <v>45930</v>
      </c>
      <c r="C901">
        <v>564011</v>
      </c>
      <c r="D901">
        <v>944.14400000000001</v>
      </c>
      <c r="E901" t="s">
        <v>6</v>
      </c>
      <c r="F901" t="s">
        <v>55</v>
      </c>
      <c r="G901" t="s">
        <v>5</v>
      </c>
    </row>
    <row r="902" spans="1:7" x14ac:dyDescent="0.3">
      <c r="A902" t="s">
        <v>15</v>
      </c>
      <c r="B902" s="1">
        <v>45930</v>
      </c>
      <c r="C902">
        <v>564014</v>
      </c>
      <c r="D902">
        <v>2630.9140000000002</v>
      </c>
      <c r="E902" t="s">
        <v>6</v>
      </c>
      <c r="F902" t="s">
        <v>55</v>
      </c>
      <c r="G902" t="s">
        <v>5</v>
      </c>
    </row>
    <row r="903" spans="1:7" x14ac:dyDescent="0.3">
      <c r="A903" t="s">
        <v>15</v>
      </c>
      <c r="B903" s="1">
        <v>45930</v>
      </c>
      <c r="C903">
        <v>564015</v>
      </c>
      <c r="D903">
        <v>32741.528999999999</v>
      </c>
      <c r="E903" t="s">
        <v>6</v>
      </c>
      <c r="F903" t="s">
        <v>55</v>
      </c>
      <c r="G903" t="s">
        <v>5</v>
      </c>
    </row>
    <row r="904" spans="1:7" x14ac:dyDescent="0.3">
      <c r="A904" t="s">
        <v>15</v>
      </c>
      <c r="B904" s="1">
        <v>45930</v>
      </c>
      <c r="C904">
        <v>564016</v>
      </c>
      <c r="D904">
        <v>38706.133000000002</v>
      </c>
      <c r="E904" t="s">
        <v>6</v>
      </c>
      <c r="F904" t="s">
        <v>55</v>
      </c>
      <c r="G904" t="s">
        <v>5</v>
      </c>
    </row>
    <row r="905" spans="1:7" x14ac:dyDescent="0.3">
      <c r="A905" t="s">
        <v>15</v>
      </c>
      <c r="B905" s="1">
        <v>45930</v>
      </c>
      <c r="C905">
        <v>564017</v>
      </c>
      <c r="D905">
        <v>32500.273000000001</v>
      </c>
      <c r="E905" t="s">
        <v>6</v>
      </c>
      <c r="F905" t="s">
        <v>55</v>
      </c>
      <c r="G905" t="s">
        <v>5</v>
      </c>
    </row>
    <row r="906" spans="1:7" x14ac:dyDescent="0.3">
      <c r="A906" t="s">
        <v>15</v>
      </c>
      <c r="B906" s="1">
        <v>45930</v>
      </c>
      <c r="C906">
        <v>564019</v>
      </c>
      <c r="D906">
        <v>-69636.789999999994</v>
      </c>
      <c r="E906" t="s">
        <v>6</v>
      </c>
      <c r="F906" t="s">
        <v>51</v>
      </c>
      <c r="G906" t="s">
        <v>5</v>
      </c>
    </row>
    <row r="907" spans="1:7" x14ac:dyDescent="0.3">
      <c r="A907" t="s">
        <v>15</v>
      </c>
      <c r="B907" s="1">
        <v>45930</v>
      </c>
      <c r="C907">
        <v>564020</v>
      </c>
      <c r="D907">
        <v>2110.319</v>
      </c>
      <c r="E907" t="s">
        <v>6</v>
      </c>
      <c r="F907" t="s">
        <v>57</v>
      </c>
      <c r="G907" t="s">
        <v>5</v>
      </c>
    </row>
    <row r="908" spans="1:7" x14ac:dyDescent="0.3">
      <c r="A908" t="s">
        <v>15</v>
      </c>
      <c r="B908" s="1">
        <v>45930</v>
      </c>
      <c r="C908">
        <v>564021</v>
      </c>
      <c r="D908">
        <v>292.173</v>
      </c>
      <c r="E908" t="s">
        <v>6</v>
      </c>
      <c r="F908" t="s">
        <v>57</v>
      </c>
      <c r="G908" t="s">
        <v>5</v>
      </c>
    </row>
    <row r="909" spans="1:7" x14ac:dyDescent="0.3">
      <c r="A909" t="s">
        <v>15</v>
      </c>
      <c r="B909" s="1">
        <v>45930</v>
      </c>
      <c r="C909">
        <v>564023</v>
      </c>
      <c r="D909">
        <v>5728.9970000000003</v>
      </c>
      <c r="E909" t="s">
        <v>6</v>
      </c>
      <c r="F909" t="s">
        <v>67</v>
      </c>
      <c r="G909" t="s">
        <v>5</v>
      </c>
    </row>
    <row r="910" spans="1:7" x14ac:dyDescent="0.3">
      <c r="A910" t="s">
        <v>15</v>
      </c>
      <c r="B910" s="1">
        <v>45930</v>
      </c>
      <c r="C910">
        <v>564030</v>
      </c>
      <c r="D910">
        <v>46820.108</v>
      </c>
      <c r="E910" t="s">
        <v>6</v>
      </c>
      <c r="F910" t="s">
        <v>69</v>
      </c>
      <c r="G910" t="s">
        <v>5</v>
      </c>
    </row>
    <row r="911" spans="1:7" x14ac:dyDescent="0.3">
      <c r="A911" t="s">
        <v>15</v>
      </c>
      <c r="B911" s="1">
        <v>45930</v>
      </c>
      <c r="C911">
        <v>570002</v>
      </c>
      <c r="D911">
        <v>372238.36499999999</v>
      </c>
      <c r="E911" t="s">
        <v>6</v>
      </c>
      <c r="F911" t="s">
        <v>66</v>
      </c>
      <c r="G911" t="s">
        <v>5</v>
      </c>
    </row>
    <row r="912" spans="1:7" x14ac:dyDescent="0.3">
      <c r="A912" t="s">
        <v>15</v>
      </c>
      <c r="B912" s="1">
        <v>45930</v>
      </c>
      <c r="C912">
        <v>570004</v>
      </c>
      <c r="D912">
        <v>208025.14799999999</v>
      </c>
      <c r="E912" t="s">
        <v>6</v>
      </c>
      <c r="F912" t="s">
        <v>66</v>
      </c>
      <c r="G912" t="s">
        <v>5</v>
      </c>
    </row>
    <row r="913" spans="1:7" x14ac:dyDescent="0.3">
      <c r="A913" t="s">
        <v>15</v>
      </c>
      <c r="B913" s="1">
        <v>45930</v>
      </c>
      <c r="C913">
        <v>580002</v>
      </c>
      <c r="D913">
        <v>667308.26300000004</v>
      </c>
      <c r="E913" t="s">
        <v>6</v>
      </c>
      <c r="F913" t="s">
        <v>64</v>
      </c>
      <c r="G913" t="s">
        <v>5</v>
      </c>
    </row>
    <row r="914" spans="1:7" x14ac:dyDescent="0.3">
      <c r="A914" t="s">
        <v>15</v>
      </c>
      <c r="B914" s="1">
        <v>45930</v>
      </c>
      <c r="C914">
        <v>580003</v>
      </c>
      <c r="D914">
        <v>-16401.189999999999</v>
      </c>
      <c r="E914" t="s">
        <v>6</v>
      </c>
      <c r="F914" t="s">
        <v>64</v>
      </c>
      <c r="G914" t="s">
        <v>5</v>
      </c>
    </row>
    <row r="915" spans="1:7" x14ac:dyDescent="0.3">
      <c r="A915" t="s">
        <v>15</v>
      </c>
      <c r="B915" s="1">
        <v>45930</v>
      </c>
      <c r="C915">
        <v>580005</v>
      </c>
      <c r="D915">
        <v>-3983.107</v>
      </c>
      <c r="E915" t="s">
        <v>6</v>
      </c>
      <c r="F915" t="s">
        <v>64</v>
      </c>
      <c r="G915" t="s">
        <v>5</v>
      </c>
    </row>
    <row r="916" spans="1:7" x14ac:dyDescent="0.3">
      <c r="A916" t="s">
        <v>15</v>
      </c>
      <c r="B916" s="1">
        <v>45930</v>
      </c>
      <c r="C916">
        <v>590002</v>
      </c>
      <c r="D916">
        <v>1302025.2120000001</v>
      </c>
      <c r="E916" t="s">
        <v>4</v>
      </c>
      <c r="F916" t="s">
        <v>42</v>
      </c>
      <c r="G916" t="s">
        <v>5</v>
      </c>
    </row>
    <row r="917" spans="1:7" x14ac:dyDescent="0.3">
      <c r="A917" t="s">
        <v>16</v>
      </c>
      <c r="B917" s="1">
        <v>45930</v>
      </c>
      <c r="C917">
        <v>210002</v>
      </c>
      <c r="D917">
        <v>48095.641000000003</v>
      </c>
      <c r="E917" t="s">
        <v>4</v>
      </c>
      <c r="F917" t="s">
        <v>42</v>
      </c>
      <c r="G917" t="s">
        <v>5</v>
      </c>
    </row>
    <row r="918" spans="1:7" x14ac:dyDescent="0.3">
      <c r="A918" t="s">
        <v>16</v>
      </c>
      <c r="B918" s="1">
        <v>45930</v>
      </c>
      <c r="C918">
        <v>220003</v>
      </c>
      <c r="D918">
        <v>-3170112.03</v>
      </c>
      <c r="E918" t="s">
        <v>4</v>
      </c>
      <c r="F918" t="s">
        <v>42</v>
      </c>
      <c r="G918" t="s">
        <v>5</v>
      </c>
    </row>
    <row r="919" spans="1:7" x14ac:dyDescent="0.3">
      <c r="A919" t="s">
        <v>16</v>
      </c>
      <c r="B919" s="1">
        <v>45930</v>
      </c>
      <c r="C919">
        <v>220004</v>
      </c>
      <c r="D919">
        <v>-707177.39500000002</v>
      </c>
      <c r="E919" t="s">
        <v>4</v>
      </c>
      <c r="F919" t="s">
        <v>42</v>
      </c>
      <c r="G919" t="s">
        <v>5</v>
      </c>
    </row>
    <row r="920" spans="1:7" x14ac:dyDescent="0.3">
      <c r="A920" t="s">
        <v>16</v>
      </c>
      <c r="B920" s="1">
        <v>45930</v>
      </c>
      <c r="C920">
        <v>220006</v>
      </c>
      <c r="D920">
        <v>4334952.2359999996</v>
      </c>
      <c r="E920" t="s">
        <v>4</v>
      </c>
      <c r="F920" t="s">
        <v>42</v>
      </c>
      <c r="G920" t="s">
        <v>5</v>
      </c>
    </row>
    <row r="921" spans="1:7" x14ac:dyDescent="0.3">
      <c r="A921" t="s">
        <v>16</v>
      </c>
      <c r="B921" s="1">
        <v>45930</v>
      </c>
      <c r="C921">
        <v>220007</v>
      </c>
      <c r="D921">
        <v>-458761.53</v>
      </c>
      <c r="E921" t="s">
        <v>4</v>
      </c>
      <c r="F921" t="s">
        <v>42</v>
      </c>
      <c r="G921" t="s">
        <v>5</v>
      </c>
    </row>
    <row r="922" spans="1:7" x14ac:dyDescent="0.3">
      <c r="A922" t="s">
        <v>16</v>
      </c>
      <c r="B922" s="1">
        <v>45930</v>
      </c>
      <c r="C922">
        <v>310016</v>
      </c>
      <c r="D922">
        <v>-7227.65</v>
      </c>
      <c r="E922" t="s">
        <v>4</v>
      </c>
      <c r="F922" t="s">
        <v>42</v>
      </c>
      <c r="G922" t="s">
        <v>5</v>
      </c>
    </row>
    <row r="923" spans="1:7" x14ac:dyDescent="0.3">
      <c r="A923" t="s">
        <v>16</v>
      </c>
      <c r="B923" s="1">
        <v>45930</v>
      </c>
      <c r="C923">
        <v>310017</v>
      </c>
      <c r="D923">
        <v>-39387.707000000002</v>
      </c>
      <c r="E923" t="s">
        <v>4</v>
      </c>
      <c r="F923" t="s">
        <v>42</v>
      </c>
      <c r="G923" t="s">
        <v>5</v>
      </c>
    </row>
    <row r="924" spans="1:7" x14ac:dyDescent="0.3">
      <c r="A924" t="s">
        <v>16</v>
      </c>
      <c r="B924" s="1">
        <v>45930</v>
      </c>
      <c r="C924">
        <v>310021</v>
      </c>
      <c r="D924">
        <v>-63.031999999999996</v>
      </c>
      <c r="E924" t="s">
        <v>4</v>
      </c>
      <c r="F924" t="s">
        <v>42</v>
      </c>
      <c r="G924" t="s">
        <v>5</v>
      </c>
    </row>
    <row r="925" spans="1:7" x14ac:dyDescent="0.3">
      <c r="A925" t="s">
        <v>16</v>
      </c>
      <c r="B925" s="1">
        <v>45930</v>
      </c>
      <c r="C925">
        <v>310032</v>
      </c>
      <c r="D925">
        <v>-318.53399999999999</v>
      </c>
      <c r="E925" t="s">
        <v>4</v>
      </c>
      <c r="F925" t="s">
        <v>42</v>
      </c>
      <c r="G925" t="s">
        <v>5</v>
      </c>
    </row>
    <row r="926" spans="1:7" x14ac:dyDescent="0.3">
      <c r="A926" t="s">
        <v>18</v>
      </c>
      <c r="B926" s="1">
        <v>45930</v>
      </c>
      <c r="C926">
        <v>220006</v>
      </c>
      <c r="D926">
        <v>1554.345</v>
      </c>
      <c r="E926" t="s">
        <v>4</v>
      </c>
      <c r="F926" t="s">
        <v>42</v>
      </c>
      <c r="G926" t="s">
        <v>5</v>
      </c>
    </row>
    <row r="927" spans="1:7" x14ac:dyDescent="0.3">
      <c r="A927" t="s">
        <v>18</v>
      </c>
      <c r="B927" s="1">
        <v>45930</v>
      </c>
      <c r="C927">
        <v>420003</v>
      </c>
      <c r="D927">
        <v>-0.93100000000000005</v>
      </c>
      <c r="E927" t="s">
        <v>6</v>
      </c>
      <c r="F927" t="s">
        <v>52</v>
      </c>
      <c r="G927" t="s">
        <v>5</v>
      </c>
    </row>
    <row r="928" spans="1:7" x14ac:dyDescent="0.3">
      <c r="A928" t="s">
        <v>18</v>
      </c>
      <c r="B928" s="1">
        <v>45930</v>
      </c>
      <c r="C928">
        <v>421002</v>
      </c>
      <c r="D928">
        <v>16.518999999999998</v>
      </c>
      <c r="E928" t="s">
        <v>6</v>
      </c>
      <c r="F928" t="s">
        <v>52</v>
      </c>
      <c r="G928" t="s">
        <v>5</v>
      </c>
    </row>
    <row r="929" spans="1:7" x14ac:dyDescent="0.3">
      <c r="A929" t="s">
        <v>18</v>
      </c>
      <c r="B929" s="1">
        <v>45930</v>
      </c>
      <c r="C929">
        <v>421003</v>
      </c>
      <c r="D929">
        <v>-1972.3150000000001</v>
      </c>
      <c r="E929" t="s">
        <v>6</v>
      </c>
      <c r="F929" t="s">
        <v>52</v>
      </c>
      <c r="G929" t="s">
        <v>5</v>
      </c>
    </row>
    <row r="930" spans="1:7" x14ac:dyDescent="0.3">
      <c r="A930" t="s">
        <v>18</v>
      </c>
      <c r="B930" s="1">
        <v>45930</v>
      </c>
      <c r="C930">
        <v>564021</v>
      </c>
      <c r="D930">
        <v>5.3070000000000004</v>
      </c>
      <c r="E930" t="s">
        <v>6</v>
      </c>
      <c r="F930" t="s">
        <v>57</v>
      </c>
      <c r="G930" t="s">
        <v>5</v>
      </c>
    </row>
    <row r="931" spans="1:7" x14ac:dyDescent="0.3">
      <c r="A931" t="s">
        <v>18</v>
      </c>
      <c r="B931" s="1">
        <v>45930</v>
      </c>
      <c r="C931">
        <v>580005</v>
      </c>
      <c r="D931">
        <v>302.31200000000001</v>
      </c>
      <c r="E931" t="s">
        <v>6</v>
      </c>
      <c r="F931" t="s">
        <v>64</v>
      </c>
      <c r="G931" t="s">
        <v>5</v>
      </c>
    </row>
    <row r="932" spans="1:7" x14ac:dyDescent="0.3">
      <c r="A932" t="s">
        <v>19</v>
      </c>
      <c r="B932" s="1">
        <v>45930</v>
      </c>
      <c r="C932">
        <v>210002</v>
      </c>
      <c r="D932">
        <v>-40709.288999999997</v>
      </c>
      <c r="E932" t="s">
        <v>4</v>
      </c>
      <c r="F932" t="s">
        <v>42</v>
      </c>
      <c r="G932" t="s">
        <v>5</v>
      </c>
    </row>
    <row r="933" spans="1:7" x14ac:dyDescent="0.3">
      <c r="A933" t="s">
        <v>19</v>
      </c>
      <c r="B933" s="1">
        <v>45930</v>
      </c>
      <c r="C933">
        <v>220006</v>
      </c>
      <c r="D933">
        <v>-333702.06300000002</v>
      </c>
      <c r="E933" t="s">
        <v>4</v>
      </c>
      <c r="F933" t="s">
        <v>42</v>
      </c>
      <c r="G933" t="s">
        <v>5</v>
      </c>
    </row>
    <row r="934" spans="1:7" x14ac:dyDescent="0.3">
      <c r="A934" t="s">
        <v>19</v>
      </c>
      <c r="B934" s="1">
        <v>45930</v>
      </c>
      <c r="C934">
        <v>240002</v>
      </c>
      <c r="D934">
        <v>1093.2929999999999</v>
      </c>
      <c r="E934" t="s">
        <v>4</v>
      </c>
      <c r="F934" t="s">
        <v>43</v>
      </c>
      <c r="G934" t="s">
        <v>5</v>
      </c>
    </row>
    <row r="935" spans="1:7" x14ac:dyDescent="0.3">
      <c r="A935" t="s">
        <v>19</v>
      </c>
      <c r="B935" s="1">
        <v>45930</v>
      </c>
      <c r="C935">
        <v>240009</v>
      </c>
      <c r="D935">
        <v>-1122.6079999999999</v>
      </c>
      <c r="E935" t="s">
        <v>4</v>
      </c>
      <c r="F935" t="s">
        <v>43</v>
      </c>
      <c r="G935" t="s">
        <v>5</v>
      </c>
    </row>
    <row r="936" spans="1:7" x14ac:dyDescent="0.3">
      <c r="A936" t="s">
        <v>19</v>
      </c>
      <c r="B936" s="1">
        <v>45930</v>
      </c>
      <c r="C936">
        <v>242003</v>
      </c>
      <c r="D936">
        <v>-21764.880000000001</v>
      </c>
      <c r="E936" t="s">
        <v>4</v>
      </c>
      <c r="F936" t="s">
        <v>43</v>
      </c>
      <c r="G936" t="s">
        <v>5</v>
      </c>
    </row>
    <row r="937" spans="1:7" x14ac:dyDescent="0.3">
      <c r="A937" t="s">
        <v>19</v>
      </c>
      <c r="B937" s="1">
        <v>45930</v>
      </c>
      <c r="C937">
        <v>242041</v>
      </c>
      <c r="D937">
        <v>31.724</v>
      </c>
      <c r="E937" t="s">
        <v>4</v>
      </c>
      <c r="F937" t="s">
        <v>43</v>
      </c>
      <c r="G937" t="s">
        <v>5</v>
      </c>
    </row>
    <row r="938" spans="1:7" x14ac:dyDescent="0.3">
      <c r="A938" t="s">
        <v>19</v>
      </c>
      <c r="B938" s="1">
        <v>45930</v>
      </c>
      <c r="C938">
        <v>243002</v>
      </c>
      <c r="D938">
        <v>-1232.5309999999999</v>
      </c>
      <c r="E938" t="s">
        <v>4</v>
      </c>
      <c r="F938" t="s">
        <v>43</v>
      </c>
      <c r="G938" t="s">
        <v>5</v>
      </c>
    </row>
    <row r="939" spans="1:7" x14ac:dyDescent="0.3">
      <c r="A939" t="s">
        <v>19</v>
      </c>
      <c r="B939" s="1">
        <v>45930</v>
      </c>
      <c r="C939">
        <v>245010</v>
      </c>
      <c r="D939">
        <v>-4015.7730000000001</v>
      </c>
      <c r="E939" t="s">
        <v>4</v>
      </c>
      <c r="F939" t="s">
        <v>44</v>
      </c>
      <c r="G939" t="s">
        <v>5</v>
      </c>
    </row>
    <row r="940" spans="1:7" x14ac:dyDescent="0.3">
      <c r="A940" t="s">
        <v>19</v>
      </c>
      <c r="B940" s="1">
        <v>45930</v>
      </c>
      <c r="C940">
        <v>245056</v>
      </c>
      <c r="D940">
        <v>-23.704999999999998</v>
      </c>
      <c r="E940" t="s">
        <v>4</v>
      </c>
      <c r="F940" t="s">
        <v>49</v>
      </c>
      <c r="G940" t="s">
        <v>5</v>
      </c>
    </row>
    <row r="941" spans="1:7" x14ac:dyDescent="0.3">
      <c r="A941" t="s">
        <v>19</v>
      </c>
      <c r="B941" s="1">
        <v>45930</v>
      </c>
      <c r="C941">
        <v>245062</v>
      </c>
      <c r="D941">
        <v>-2090.2269999999999</v>
      </c>
      <c r="E941" t="s">
        <v>4</v>
      </c>
      <c r="F941" t="s">
        <v>43</v>
      </c>
      <c r="G941" t="s">
        <v>5</v>
      </c>
    </row>
    <row r="942" spans="1:7" x14ac:dyDescent="0.3">
      <c r="A942" t="s">
        <v>19</v>
      </c>
      <c r="B942" s="1">
        <v>45930</v>
      </c>
      <c r="C942">
        <v>249002</v>
      </c>
      <c r="D942">
        <v>-13655.620999999999</v>
      </c>
      <c r="E942" t="s">
        <v>4</v>
      </c>
      <c r="F942" t="s">
        <v>44</v>
      </c>
      <c r="G942" t="s">
        <v>5</v>
      </c>
    </row>
    <row r="943" spans="1:7" x14ac:dyDescent="0.3">
      <c r="A943" t="s">
        <v>19</v>
      </c>
      <c r="B943" s="1">
        <v>45930</v>
      </c>
      <c r="C943">
        <v>251003</v>
      </c>
      <c r="D943">
        <v>-182.63</v>
      </c>
      <c r="E943" t="s">
        <v>4</v>
      </c>
      <c r="F943" t="s">
        <v>45</v>
      </c>
      <c r="G943" t="s">
        <v>5</v>
      </c>
    </row>
    <row r="944" spans="1:7" x14ac:dyDescent="0.3">
      <c r="A944" t="s">
        <v>19</v>
      </c>
      <c r="B944" s="1">
        <v>45930</v>
      </c>
      <c r="C944">
        <v>260004</v>
      </c>
      <c r="D944">
        <v>-423.48899999999998</v>
      </c>
      <c r="E944" t="s">
        <v>4</v>
      </c>
      <c r="F944" t="s">
        <v>45</v>
      </c>
      <c r="G944" t="s">
        <v>5</v>
      </c>
    </row>
    <row r="945" spans="1:7" x14ac:dyDescent="0.3">
      <c r="A945" t="s">
        <v>19</v>
      </c>
      <c r="B945" s="1">
        <v>45930</v>
      </c>
      <c r="C945">
        <v>300005</v>
      </c>
      <c r="D945">
        <v>6772.86</v>
      </c>
      <c r="E945" t="s">
        <v>4</v>
      </c>
      <c r="F945" t="s">
        <v>65</v>
      </c>
      <c r="G945" t="s">
        <v>5</v>
      </c>
    </row>
    <row r="946" spans="1:7" x14ac:dyDescent="0.3">
      <c r="A946" t="s">
        <v>19</v>
      </c>
      <c r="B946" s="1">
        <v>45930</v>
      </c>
      <c r="C946">
        <v>300008</v>
      </c>
      <c r="D946">
        <v>4969.7929999999997</v>
      </c>
      <c r="E946" t="s">
        <v>4</v>
      </c>
      <c r="F946" t="s">
        <v>65</v>
      </c>
      <c r="G946" t="s">
        <v>5</v>
      </c>
    </row>
    <row r="947" spans="1:7" x14ac:dyDescent="0.3">
      <c r="A947" t="s">
        <v>19</v>
      </c>
      <c r="B947" s="1">
        <v>45930</v>
      </c>
      <c r="C947">
        <v>300011</v>
      </c>
      <c r="D947">
        <v>20.428999999999998</v>
      </c>
      <c r="E947" t="s">
        <v>4</v>
      </c>
      <c r="F947" t="s">
        <v>65</v>
      </c>
      <c r="G947" t="s">
        <v>5</v>
      </c>
    </row>
    <row r="948" spans="1:7" x14ac:dyDescent="0.3">
      <c r="A948" t="s">
        <v>19</v>
      </c>
      <c r="B948" s="1">
        <v>45930</v>
      </c>
      <c r="C948">
        <v>300012</v>
      </c>
      <c r="D948">
        <v>3844.2849999999999</v>
      </c>
      <c r="E948" t="s">
        <v>4</v>
      </c>
      <c r="F948" t="s">
        <v>65</v>
      </c>
      <c r="G948" t="s">
        <v>5</v>
      </c>
    </row>
    <row r="949" spans="1:7" x14ac:dyDescent="0.3">
      <c r="A949" t="s">
        <v>19</v>
      </c>
      <c r="B949" s="1">
        <v>45930</v>
      </c>
      <c r="C949">
        <v>300505</v>
      </c>
      <c r="D949">
        <v>-6529.3559999999998</v>
      </c>
      <c r="E949" t="s">
        <v>4</v>
      </c>
      <c r="F949" t="s">
        <v>65</v>
      </c>
      <c r="G949" t="s">
        <v>5</v>
      </c>
    </row>
    <row r="950" spans="1:7" x14ac:dyDescent="0.3">
      <c r="A950" t="s">
        <v>19</v>
      </c>
      <c r="B950" s="1">
        <v>45930</v>
      </c>
      <c r="C950">
        <v>300508</v>
      </c>
      <c r="D950">
        <v>-4969.7929999999997</v>
      </c>
      <c r="E950" t="s">
        <v>4</v>
      </c>
      <c r="F950" t="s">
        <v>65</v>
      </c>
      <c r="G950" t="s">
        <v>5</v>
      </c>
    </row>
    <row r="951" spans="1:7" x14ac:dyDescent="0.3">
      <c r="A951" t="s">
        <v>19</v>
      </c>
      <c r="B951" s="1">
        <v>45930</v>
      </c>
      <c r="C951">
        <v>300511</v>
      </c>
      <c r="D951">
        <v>-20.428999999999998</v>
      </c>
      <c r="E951" t="s">
        <v>4</v>
      </c>
      <c r="F951" t="s">
        <v>65</v>
      </c>
      <c r="G951" t="s">
        <v>5</v>
      </c>
    </row>
    <row r="952" spans="1:7" x14ac:dyDescent="0.3">
      <c r="A952" t="s">
        <v>19</v>
      </c>
      <c r="B952" s="1">
        <v>45930</v>
      </c>
      <c r="C952">
        <v>300512</v>
      </c>
      <c r="D952">
        <v>-3844.2849999999999</v>
      </c>
      <c r="E952" t="s">
        <v>4</v>
      </c>
      <c r="F952" t="s">
        <v>65</v>
      </c>
      <c r="G952" t="s">
        <v>5</v>
      </c>
    </row>
    <row r="953" spans="1:7" x14ac:dyDescent="0.3">
      <c r="A953" t="s">
        <v>19</v>
      </c>
      <c r="B953" s="1">
        <v>45930</v>
      </c>
      <c r="C953">
        <v>320002</v>
      </c>
      <c r="D953">
        <v>25846.482</v>
      </c>
      <c r="E953" t="s">
        <v>4</v>
      </c>
      <c r="F953" t="s">
        <v>46</v>
      </c>
      <c r="G953" t="s">
        <v>5</v>
      </c>
    </row>
    <row r="954" spans="1:7" x14ac:dyDescent="0.3">
      <c r="A954" t="s">
        <v>19</v>
      </c>
      <c r="B954" s="1">
        <v>45930</v>
      </c>
      <c r="C954">
        <v>320003</v>
      </c>
      <c r="D954">
        <v>8893.2669999999998</v>
      </c>
      <c r="E954" t="s">
        <v>4</v>
      </c>
      <c r="F954" t="s">
        <v>46</v>
      </c>
      <c r="G954" t="s">
        <v>5</v>
      </c>
    </row>
    <row r="955" spans="1:7" x14ac:dyDescent="0.3">
      <c r="A955" t="s">
        <v>19</v>
      </c>
      <c r="B955" s="1">
        <v>45930</v>
      </c>
      <c r="C955">
        <v>320004</v>
      </c>
      <c r="D955">
        <v>0.31900000000000001</v>
      </c>
      <c r="E955" t="s">
        <v>4</v>
      </c>
      <c r="F955" t="s">
        <v>46</v>
      </c>
      <c r="G955" t="s">
        <v>5</v>
      </c>
    </row>
    <row r="956" spans="1:7" x14ac:dyDescent="0.3">
      <c r="A956" t="s">
        <v>19</v>
      </c>
      <c r="B956" s="1">
        <v>45930</v>
      </c>
      <c r="C956">
        <v>321006</v>
      </c>
      <c r="D956">
        <v>25067.612000000001</v>
      </c>
      <c r="E956" t="s">
        <v>4</v>
      </c>
      <c r="F956" t="s">
        <v>46</v>
      </c>
      <c r="G956" t="s">
        <v>5</v>
      </c>
    </row>
    <row r="957" spans="1:7" x14ac:dyDescent="0.3">
      <c r="A957" t="s">
        <v>19</v>
      </c>
      <c r="B957" s="1">
        <v>45930</v>
      </c>
      <c r="C957">
        <v>321014</v>
      </c>
      <c r="D957">
        <v>11657.412</v>
      </c>
      <c r="E957" t="s">
        <v>4</v>
      </c>
      <c r="F957" t="s">
        <v>46</v>
      </c>
      <c r="G957" t="s">
        <v>5</v>
      </c>
    </row>
    <row r="958" spans="1:7" x14ac:dyDescent="0.3">
      <c r="A958" t="s">
        <v>19</v>
      </c>
      <c r="B958" s="1">
        <v>45930</v>
      </c>
      <c r="C958">
        <v>321031</v>
      </c>
      <c r="D958">
        <v>8787.4480000000003</v>
      </c>
      <c r="E958" t="s">
        <v>4</v>
      </c>
      <c r="F958" t="s">
        <v>46</v>
      </c>
      <c r="G958" t="s">
        <v>5</v>
      </c>
    </row>
    <row r="959" spans="1:7" x14ac:dyDescent="0.3">
      <c r="A959" t="s">
        <v>19</v>
      </c>
      <c r="B959" s="1">
        <v>45930</v>
      </c>
      <c r="C959">
        <v>321042</v>
      </c>
      <c r="D959">
        <v>17.785</v>
      </c>
      <c r="E959" t="s">
        <v>4</v>
      </c>
      <c r="F959" t="s">
        <v>46</v>
      </c>
      <c r="G959" t="s">
        <v>5</v>
      </c>
    </row>
    <row r="960" spans="1:7" x14ac:dyDescent="0.3">
      <c r="A960" t="s">
        <v>19</v>
      </c>
      <c r="B960" s="1">
        <v>45930</v>
      </c>
      <c r="C960">
        <v>330049</v>
      </c>
      <c r="D960">
        <v>169079.391</v>
      </c>
      <c r="E960" t="s">
        <v>4</v>
      </c>
      <c r="F960" t="s">
        <v>43</v>
      </c>
      <c r="G960" t="s">
        <v>5</v>
      </c>
    </row>
    <row r="961" spans="1:7" x14ac:dyDescent="0.3">
      <c r="A961" t="s">
        <v>19</v>
      </c>
      <c r="B961" s="1">
        <v>45930</v>
      </c>
      <c r="C961">
        <v>340101</v>
      </c>
      <c r="D961">
        <v>4725.5950000000003</v>
      </c>
      <c r="E961" t="s">
        <v>4</v>
      </c>
      <c r="F961" t="s">
        <v>48</v>
      </c>
      <c r="G961" t="s">
        <v>5</v>
      </c>
    </row>
    <row r="962" spans="1:7" x14ac:dyDescent="0.3">
      <c r="A962" t="s">
        <v>19</v>
      </c>
      <c r="B962" s="1">
        <v>45930</v>
      </c>
      <c r="C962">
        <v>340121</v>
      </c>
      <c r="D962">
        <v>142414.01300000001</v>
      </c>
      <c r="E962" t="s">
        <v>4</v>
      </c>
      <c r="F962" t="s">
        <v>47</v>
      </c>
      <c r="G962" t="s">
        <v>5</v>
      </c>
    </row>
    <row r="963" spans="1:7" x14ac:dyDescent="0.3">
      <c r="A963" t="s">
        <v>19</v>
      </c>
      <c r="B963" s="1">
        <v>45930</v>
      </c>
      <c r="C963">
        <v>340325</v>
      </c>
      <c r="D963">
        <v>2632.7040000000002</v>
      </c>
      <c r="E963" t="s">
        <v>4</v>
      </c>
      <c r="F963" t="s">
        <v>47</v>
      </c>
      <c r="G963" t="s">
        <v>5</v>
      </c>
    </row>
    <row r="964" spans="1:7" x14ac:dyDescent="0.3">
      <c r="A964" t="s">
        <v>19</v>
      </c>
      <c r="B964" s="1">
        <v>45930</v>
      </c>
      <c r="C964">
        <v>350003</v>
      </c>
      <c r="D964">
        <v>-23.704999999999998</v>
      </c>
      <c r="E964" t="s">
        <v>4</v>
      </c>
      <c r="F964" t="s">
        <v>49</v>
      </c>
      <c r="G964" t="s">
        <v>5</v>
      </c>
    </row>
    <row r="965" spans="1:7" x14ac:dyDescent="0.3">
      <c r="A965" t="s">
        <v>19</v>
      </c>
      <c r="B965" s="1">
        <v>45930</v>
      </c>
      <c r="C965">
        <v>350031</v>
      </c>
      <c r="D965">
        <v>1122.6079999999999</v>
      </c>
      <c r="E965" t="s">
        <v>4</v>
      </c>
      <c r="F965" t="s">
        <v>43</v>
      </c>
      <c r="G965" t="s">
        <v>5</v>
      </c>
    </row>
    <row r="966" spans="1:7" x14ac:dyDescent="0.3">
      <c r="A966" t="s">
        <v>19</v>
      </c>
      <c r="B966" s="1">
        <v>45930</v>
      </c>
      <c r="C966">
        <v>350034</v>
      </c>
      <c r="D966">
        <v>23.704999999999998</v>
      </c>
      <c r="E966" t="s">
        <v>4</v>
      </c>
      <c r="F966" t="s">
        <v>49</v>
      </c>
      <c r="G966" t="s">
        <v>5</v>
      </c>
    </row>
    <row r="967" spans="1:7" x14ac:dyDescent="0.3">
      <c r="A967" t="s">
        <v>19</v>
      </c>
      <c r="B967" s="1">
        <v>45930</v>
      </c>
      <c r="C967">
        <v>352002</v>
      </c>
      <c r="D967">
        <v>1030.0409999999999</v>
      </c>
      <c r="E967" t="s">
        <v>4</v>
      </c>
      <c r="F967" t="s">
        <v>48</v>
      </c>
      <c r="G967" t="s">
        <v>5</v>
      </c>
    </row>
    <row r="968" spans="1:7" x14ac:dyDescent="0.3">
      <c r="A968" t="s">
        <v>19</v>
      </c>
      <c r="B968" s="1">
        <v>45930</v>
      </c>
      <c r="C968">
        <v>355016</v>
      </c>
      <c r="D968">
        <v>4668.8289999999997</v>
      </c>
      <c r="E968" t="s">
        <v>4</v>
      </c>
      <c r="F968" t="s">
        <v>49</v>
      </c>
      <c r="G968" t="s">
        <v>5</v>
      </c>
    </row>
    <row r="969" spans="1:7" x14ac:dyDescent="0.3">
      <c r="A969" t="s">
        <v>19</v>
      </c>
      <c r="B969" s="1">
        <v>45930</v>
      </c>
      <c r="C969">
        <v>355018</v>
      </c>
      <c r="D969">
        <v>36.183999999999997</v>
      </c>
      <c r="E969" t="s">
        <v>4</v>
      </c>
      <c r="F969" t="s">
        <v>49</v>
      </c>
      <c r="G969" t="s">
        <v>5</v>
      </c>
    </row>
    <row r="970" spans="1:7" x14ac:dyDescent="0.3">
      <c r="A970" t="s">
        <v>19</v>
      </c>
      <c r="B970" s="1">
        <v>45930</v>
      </c>
      <c r="C970">
        <v>372004</v>
      </c>
      <c r="D970">
        <v>25.265000000000001</v>
      </c>
      <c r="E970" t="s">
        <v>4</v>
      </c>
      <c r="F970" t="s">
        <v>45</v>
      </c>
      <c r="G970" t="s">
        <v>5</v>
      </c>
    </row>
    <row r="971" spans="1:7" x14ac:dyDescent="0.3">
      <c r="A971" t="s">
        <v>19</v>
      </c>
      <c r="B971" s="1">
        <v>45930</v>
      </c>
      <c r="C971">
        <v>400004</v>
      </c>
      <c r="D971">
        <v>-25073.041000000001</v>
      </c>
      <c r="E971" t="s">
        <v>6</v>
      </c>
      <c r="F971" t="s">
        <v>50</v>
      </c>
      <c r="G971" t="s">
        <v>5</v>
      </c>
    </row>
    <row r="972" spans="1:7" x14ac:dyDescent="0.3">
      <c r="A972" t="s">
        <v>19</v>
      </c>
      <c r="B972" s="1">
        <v>45930</v>
      </c>
      <c r="C972">
        <v>410009</v>
      </c>
      <c r="D972">
        <v>-4752.8580000000002</v>
      </c>
      <c r="E972" t="s">
        <v>6</v>
      </c>
      <c r="F972" t="s">
        <v>51</v>
      </c>
      <c r="G972" t="s">
        <v>5</v>
      </c>
    </row>
    <row r="973" spans="1:7" x14ac:dyDescent="0.3">
      <c r="A973" t="s">
        <v>19</v>
      </c>
      <c r="B973" s="1">
        <v>45930</v>
      </c>
      <c r="C973">
        <v>410039</v>
      </c>
      <c r="D973">
        <v>-4756.8720000000003</v>
      </c>
      <c r="E973" t="s">
        <v>6</v>
      </c>
      <c r="F973" t="s">
        <v>51</v>
      </c>
      <c r="G973" t="s">
        <v>5</v>
      </c>
    </row>
    <row r="974" spans="1:7" x14ac:dyDescent="0.3">
      <c r="A974" t="s">
        <v>19</v>
      </c>
      <c r="B974" s="1">
        <v>45930</v>
      </c>
      <c r="C974">
        <v>415004</v>
      </c>
      <c r="D974">
        <v>-10485.31</v>
      </c>
      <c r="E974" t="s">
        <v>6</v>
      </c>
      <c r="F974" t="s">
        <v>50</v>
      </c>
      <c r="G974" t="s">
        <v>5</v>
      </c>
    </row>
    <row r="975" spans="1:7" x14ac:dyDescent="0.3">
      <c r="A975" t="s">
        <v>19</v>
      </c>
      <c r="B975" s="1">
        <v>45930</v>
      </c>
      <c r="C975">
        <v>421003</v>
      </c>
      <c r="D975">
        <v>-791.71</v>
      </c>
      <c r="E975" t="s">
        <v>6</v>
      </c>
      <c r="F975" t="s">
        <v>52</v>
      </c>
      <c r="G975" t="s">
        <v>5</v>
      </c>
    </row>
    <row r="976" spans="1:7" x14ac:dyDescent="0.3">
      <c r="A976" t="s">
        <v>19</v>
      </c>
      <c r="B976" s="1">
        <v>45930</v>
      </c>
      <c r="C976">
        <v>421004</v>
      </c>
      <c r="D976">
        <v>14.536</v>
      </c>
      <c r="E976" t="s">
        <v>6</v>
      </c>
      <c r="F976" t="s">
        <v>52</v>
      </c>
      <c r="G976" t="s">
        <v>5</v>
      </c>
    </row>
    <row r="977" spans="1:7" x14ac:dyDescent="0.3">
      <c r="A977" t="s">
        <v>19</v>
      </c>
      <c r="B977" s="1">
        <v>45930</v>
      </c>
      <c r="C977">
        <v>421007</v>
      </c>
      <c r="D977">
        <v>-6.0990000000000002</v>
      </c>
      <c r="E977" t="s">
        <v>6</v>
      </c>
      <c r="F977" t="s">
        <v>52</v>
      </c>
      <c r="G977" t="s">
        <v>5</v>
      </c>
    </row>
    <row r="978" spans="1:7" x14ac:dyDescent="0.3">
      <c r="A978" t="s">
        <v>19</v>
      </c>
      <c r="B978" s="1">
        <v>45930</v>
      </c>
      <c r="C978">
        <v>510002</v>
      </c>
      <c r="D978">
        <v>16053.674999999999</v>
      </c>
      <c r="E978" t="s">
        <v>6</v>
      </c>
      <c r="F978" t="s">
        <v>53</v>
      </c>
      <c r="G978" t="s">
        <v>5</v>
      </c>
    </row>
    <row r="979" spans="1:7" x14ac:dyDescent="0.3">
      <c r="A979" t="s">
        <v>19</v>
      </c>
      <c r="B979" s="1">
        <v>45930</v>
      </c>
      <c r="C979">
        <v>510005</v>
      </c>
      <c r="D979">
        <v>1324.752</v>
      </c>
      <c r="E979" t="s">
        <v>6</v>
      </c>
      <c r="F979" t="s">
        <v>53</v>
      </c>
      <c r="G979" t="s">
        <v>5</v>
      </c>
    </row>
    <row r="980" spans="1:7" x14ac:dyDescent="0.3">
      <c r="A980" t="s">
        <v>19</v>
      </c>
      <c r="B980" s="1">
        <v>45930</v>
      </c>
      <c r="C980">
        <v>510006</v>
      </c>
      <c r="D980">
        <v>1155.616</v>
      </c>
      <c r="E980" t="s">
        <v>6</v>
      </c>
      <c r="F980" t="s">
        <v>53</v>
      </c>
      <c r="G980" t="s">
        <v>5</v>
      </c>
    </row>
    <row r="981" spans="1:7" x14ac:dyDescent="0.3">
      <c r="A981" t="s">
        <v>19</v>
      </c>
      <c r="B981" s="1">
        <v>45930</v>
      </c>
      <c r="C981">
        <v>510007</v>
      </c>
      <c r="D981">
        <v>-1415.9860000000001</v>
      </c>
      <c r="E981" t="s">
        <v>6</v>
      </c>
      <c r="F981" t="s">
        <v>53</v>
      </c>
      <c r="G981" t="s">
        <v>5</v>
      </c>
    </row>
    <row r="982" spans="1:7" x14ac:dyDescent="0.3">
      <c r="A982" t="s">
        <v>19</v>
      </c>
      <c r="B982" s="1">
        <v>45930</v>
      </c>
      <c r="C982">
        <v>510062</v>
      </c>
      <c r="D982">
        <v>1947.8969999999999</v>
      </c>
      <c r="E982" t="s">
        <v>6</v>
      </c>
      <c r="F982" t="s">
        <v>53</v>
      </c>
      <c r="G982" t="s">
        <v>5</v>
      </c>
    </row>
    <row r="983" spans="1:7" x14ac:dyDescent="0.3">
      <c r="A983" t="s">
        <v>19</v>
      </c>
      <c r="B983" s="1">
        <v>45930</v>
      </c>
      <c r="C983">
        <v>510065</v>
      </c>
      <c r="D983">
        <v>84.108999999999995</v>
      </c>
      <c r="E983" t="s">
        <v>6</v>
      </c>
      <c r="F983" t="s">
        <v>53</v>
      </c>
      <c r="G983" t="s">
        <v>5</v>
      </c>
    </row>
    <row r="984" spans="1:7" x14ac:dyDescent="0.3">
      <c r="A984" t="s">
        <v>19</v>
      </c>
      <c r="B984" s="1">
        <v>45930</v>
      </c>
      <c r="C984">
        <v>520021</v>
      </c>
      <c r="D984">
        <v>12.64</v>
      </c>
      <c r="E984" t="s">
        <v>6</v>
      </c>
      <c r="F984" t="s">
        <v>60</v>
      </c>
      <c r="G984" t="s">
        <v>5</v>
      </c>
    </row>
    <row r="985" spans="1:7" x14ac:dyDescent="0.3">
      <c r="A985" t="s">
        <v>19</v>
      </c>
      <c r="B985" s="1">
        <v>45930</v>
      </c>
      <c r="C985">
        <v>541004</v>
      </c>
      <c r="D985">
        <v>14.988</v>
      </c>
      <c r="E985" t="s">
        <v>6</v>
      </c>
      <c r="F985" t="s">
        <v>61</v>
      </c>
      <c r="G985" t="s">
        <v>5</v>
      </c>
    </row>
    <row r="986" spans="1:7" x14ac:dyDescent="0.3">
      <c r="A986" t="s">
        <v>19</v>
      </c>
      <c r="B986" s="1">
        <v>45930</v>
      </c>
      <c r="C986">
        <v>541010</v>
      </c>
      <c r="D986">
        <v>323.64</v>
      </c>
      <c r="E986" t="s">
        <v>6</v>
      </c>
      <c r="F986" t="s">
        <v>61</v>
      </c>
      <c r="G986" t="s">
        <v>5</v>
      </c>
    </row>
    <row r="987" spans="1:7" x14ac:dyDescent="0.3">
      <c r="A987" t="s">
        <v>19</v>
      </c>
      <c r="B987" s="1">
        <v>45930</v>
      </c>
      <c r="C987">
        <v>546002</v>
      </c>
      <c r="D987">
        <v>31291.35</v>
      </c>
      <c r="E987" t="s">
        <v>6</v>
      </c>
      <c r="F987" t="s">
        <v>51</v>
      </c>
      <c r="G987" t="s">
        <v>5</v>
      </c>
    </row>
    <row r="988" spans="1:7" x14ac:dyDescent="0.3">
      <c r="A988" t="s">
        <v>19</v>
      </c>
      <c r="B988" s="1">
        <v>45930</v>
      </c>
      <c r="C988">
        <v>552502</v>
      </c>
      <c r="D988">
        <v>1557.83</v>
      </c>
      <c r="E988" t="s">
        <v>6</v>
      </c>
      <c r="F988" t="s">
        <v>55</v>
      </c>
      <c r="G988" t="s">
        <v>5</v>
      </c>
    </row>
    <row r="989" spans="1:7" x14ac:dyDescent="0.3">
      <c r="A989" t="s">
        <v>19</v>
      </c>
      <c r="B989" s="1">
        <v>45930</v>
      </c>
      <c r="C989">
        <v>552504</v>
      </c>
      <c r="D989">
        <v>193.626</v>
      </c>
      <c r="E989" t="s">
        <v>6</v>
      </c>
      <c r="F989" t="s">
        <v>55</v>
      </c>
      <c r="G989" t="s">
        <v>5</v>
      </c>
    </row>
    <row r="990" spans="1:7" x14ac:dyDescent="0.3">
      <c r="A990" t="s">
        <v>19</v>
      </c>
      <c r="B990" s="1">
        <v>45930</v>
      </c>
      <c r="C990">
        <v>555007</v>
      </c>
      <c r="D990">
        <v>1809.105</v>
      </c>
      <c r="E990" t="s">
        <v>6</v>
      </c>
      <c r="F990" t="s">
        <v>55</v>
      </c>
      <c r="G990" t="s">
        <v>5</v>
      </c>
    </row>
    <row r="991" spans="1:7" x14ac:dyDescent="0.3">
      <c r="A991" t="s">
        <v>19</v>
      </c>
      <c r="B991" s="1">
        <v>45930</v>
      </c>
      <c r="C991">
        <v>555508</v>
      </c>
      <c r="D991">
        <v>1.998</v>
      </c>
      <c r="E991" t="s">
        <v>6</v>
      </c>
      <c r="F991" t="s">
        <v>55</v>
      </c>
      <c r="G991" t="s">
        <v>5</v>
      </c>
    </row>
    <row r="992" spans="1:7" x14ac:dyDescent="0.3">
      <c r="A992" t="s">
        <v>19</v>
      </c>
      <c r="B992" s="1">
        <v>45930</v>
      </c>
      <c r="C992">
        <v>556002</v>
      </c>
      <c r="D992">
        <v>813.596</v>
      </c>
      <c r="E992" t="s">
        <v>6</v>
      </c>
      <c r="F992" t="s">
        <v>60</v>
      </c>
      <c r="G992" t="s">
        <v>5</v>
      </c>
    </row>
    <row r="993" spans="1:7" x14ac:dyDescent="0.3">
      <c r="A993" t="s">
        <v>19</v>
      </c>
      <c r="B993" s="1">
        <v>45930</v>
      </c>
      <c r="C993">
        <v>557002</v>
      </c>
      <c r="D993">
        <v>713.43600000000004</v>
      </c>
      <c r="E993" t="s">
        <v>6</v>
      </c>
      <c r="F993" t="s">
        <v>56</v>
      </c>
      <c r="G993" t="s">
        <v>5</v>
      </c>
    </row>
    <row r="994" spans="1:7" x14ac:dyDescent="0.3">
      <c r="A994" t="s">
        <v>19</v>
      </c>
      <c r="B994" s="1">
        <v>45930</v>
      </c>
      <c r="C994">
        <v>558006</v>
      </c>
      <c r="D994">
        <v>444.68599999999998</v>
      </c>
      <c r="E994" t="s">
        <v>6</v>
      </c>
      <c r="F994" t="s">
        <v>57</v>
      </c>
      <c r="G994" t="s">
        <v>5</v>
      </c>
    </row>
    <row r="995" spans="1:7" x14ac:dyDescent="0.3">
      <c r="A995" t="s">
        <v>19</v>
      </c>
      <c r="B995" s="1">
        <v>45930</v>
      </c>
      <c r="C995">
        <v>559002</v>
      </c>
      <c r="D995">
        <v>32.573999999999998</v>
      </c>
      <c r="E995" t="s">
        <v>6</v>
      </c>
      <c r="F995" t="s">
        <v>60</v>
      </c>
      <c r="G995" t="s">
        <v>5</v>
      </c>
    </row>
    <row r="996" spans="1:7" x14ac:dyDescent="0.3">
      <c r="A996" t="s">
        <v>19</v>
      </c>
      <c r="B996" s="1">
        <v>45930</v>
      </c>
      <c r="C996">
        <v>560008</v>
      </c>
      <c r="D996">
        <v>174.863</v>
      </c>
      <c r="E996" t="s">
        <v>6</v>
      </c>
      <c r="F996" t="s">
        <v>56</v>
      </c>
      <c r="G996" t="s">
        <v>5</v>
      </c>
    </row>
    <row r="997" spans="1:7" x14ac:dyDescent="0.3">
      <c r="A997" t="s">
        <v>19</v>
      </c>
      <c r="B997" s="1">
        <v>45930</v>
      </c>
      <c r="C997">
        <v>564004</v>
      </c>
      <c r="D997">
        <v>156.11099999999999</v>
      </c>
      <c r="E997" t="s">
        <v>6</v>
      </c>
      <c r="F997" t="s">
        <v>51</v>
      </c>
      <c r="G997" t="s">
        <v>5</v>
      </c>
    </row>
    <row r="998" spans="1:7" x14ac:dyDescent="0.3">
      <c r="A998" t="s">
        <v>19</v>
      </c>
      <c r="B998" s="1">
        <v>45930</v>
      </c>
      <c r="C998">
        <v>564006</v>
      </c>
      <c r="D998">
        <v>-2E-3</v>
      </c>
      <c r="E998" t="s">
        <v>6</v>
      </c>
      <c r="F998" t="s">
        <v>57</v>
      </c>
      <c r="G998" t="s">
        <v>5</v>
      </c>
    </row>
    <row r="999" spans="1:7" x14ac:dyDescent="0.3">
      <c r="A999" t="s">
        <v>19</v>
      </c>
      <c r="B999" s="1">
        <v>45930</v>
      </c>
      <c r="C999">
        <v>564020</v>
      </c>
      <c r="D999">
        <v>293.46300000000002</v>
      </c>
      <c r="E999" t="s">
        <v>6</v>
      </c>
      <c r="F999" t="s">
        <v>57</v>
      </c>
      <c r="G999" t="s">
        <v>5</v>
      </c>
    </row>
    <row r="1000" spans="1:7" x14ac:dyDescent="0.3">
      <c r="A1000" t="s">
        <v>19</v>
      </c>
      <c r="B1000" s="1">
        <v>45930</v>
      </c>
      <c r="C1000">
        <v>570002</v>
      </c>
      <c r="D1000">
        <v>71.117999999999995</v>
      </c>
      <c r="E1000" t="s">
        <v>6</v>
      </c>
      <c r="F1000" t="s">
        <v>66</v>
      </c>
      <c r="G1000" t="s">
        <v>5</v>
      </c>
    </row>
    <row r="1001" spans="1:7" x14ac:dyDescent="0.3">
      <c r="A1001" t="s">
        <v>20</v>
      </c>
      <c r="B1001" s="1">
        <v>45930</v>
      </c>
      <c r="C1001">
        <v>210002</v>
      </c>
      <c r="D1001">
        <v>-136.661</v>
      </c>
      <c r="E1001" t="s">
        <v>4</v>
      </c>
      <c r="F1001" t="s">
        <v>42</v>
      </c>
      <c r="G1001" t="s">
        <v>5</v>
      </c>
    </row>
    <row r="1002" spans="1:7" x14ac:dyDescent="0.3">
      <c r="A1002" t="s">
        <v>20</v>
      </c>
      <c r="B1002" s="1">
        <v>45930</v>
      </c>
      <c r="C1002">
        <v>220006</v>
      </c>
      <c r="D1002">
        <v>-40668.040999999997</v>
      </c>
      <c r="E1002" t="s">
        <v>4</v>
      </c>
      <c r="F1002" t="s">
        <v>42</v>
      </c>
      <c r="G1002" t="s">
        <v>5</v>
      </c>
    </row>
    <row r="1003" spans="1:7" x14ac:dyDescent="0.3">
      <c r="A1003" t="s">
        <v>20</v>
      </c>
      <c r="B1003" s="1">
        <v>45930</v>
      </c>
      <c r="C1003">
        <v>240002</v>
      </c>
      <c r="D1003">
        <v>-3.3239999999999998</v>
      </c>
      <c r="E1003" t="s">
        <v>4</v>
      </c>
      <c r="F1003" t="s">
        <v>43</v>
      </c>
      <c r="G1003" t="s">
        <v>5</v>
      </c>
    </row>
    <row r="1004" spans="1:7" x14ac:dyDescent="0.3">
      <c r="A1004" t="s">
        <v>20</v>
      </c>
      <c r="B1004" s="1">
        <v>45930</v>
      </c>
      <c r="C1004">
        <v>242003</v>
      </c>
      <c r="D1004">
        <v>-50511.256999999998</v>
      </c>
      <c r="E1004" t="s">
        <v>4</v>
      </c>
      <c r="F1004" t="s">
        <v>43</v>
      </c>
      <c r="G1004" t="s">
        <v>5</v>
      </c>
    </row>
    <row r="1005" spans="1:7" x14ac:dyDescent="0.3">
      <c r="A1005" t="s">
        <v>20</v>
      </c>
      <c r="B1005" s="1">
        <v>45930</v>
      </c>
      <c r="C1005">
        <v>243002</v>
      </c>
      <c r="D1005">
        <v>-361.79700000000003</v>
      </c>
      <c r="E1005" t="s">
        <v>4</v>
      </c>
      <c r="F1005" t="s">
        <v>43</v>
      </c>
      <c r="G1005" t="s">
        <v>5</v>
      </c>
    </row>
    <row r="1006" spans="1:7" x14ac:dyDescent="0.3">
      <c r="A1006" t="s">
        <v>20</v>
      </c>
      <c r="B1006" s="1">
        <v>45930</v>
      </c>
      <c r="C1006">
        <v>251002</v>
      </c>
      <c r="D1006">
        <v>0</v>
      </c>
      <c r="E1006" t="s">
        <v>4</v>
      </c>
      <c r="F1006" t="s">
        <v>45</v>
      </c>
      <c r="G1006" t="s">
        <v>5</v>
      </c>
    </row>
    <row r="1007" spans="1:7" x14ac:dyDescent="0.3">
      <c r="A1007" t="s">
        <v>20</v>
      </c>
      <c r="B1007" s="1">
        <v>45930</v>
      </c>
      <c r="C1007">
        <v>260004</v>
      </c>
      <c r="D1007">
        <v>-2289.1999999999998</v>
      </c>
      <c r="E1007" t="s">
        <v>4</v>
      </c>
      <c r="F1007" t="s">
        <v>45</v>
      </c>
      <c r="G1007" t="s">
        <v>5</v>
      </c>
    </row>
    <row r="1008" spans="1:7" x14ac:dyDescent="0.3">
      <c r="A1008" t="s">
        <v>20</v>
      </c>
      <c r="B1008" s="1">
        <v>45930</v>
      </c>
      <c r="C1008">
        <v>270026</v>
      </c>
      <c r="D1008">
        <v>-2491.471</v>
      </c>
      <c r="E1008" t="s">
        <v>4</v>
      </c>
      <c r="F1008" t="s">
        <v>58</v>
      </c>
      <c r="G1008" t="s">
        <v>5</v>
      </c>
    </row>
    <row r="1009" spans="1:7" x14ac:dyDescent="0.3">
      <c r="A1009" t="s">
        <v>20</v>
      </c>
      <c r="B1009" s="1">
        <v>45930</v>
      </c>
      <c r="C1009">
        <v>270027</v>
      </c>
      <c r="D1009">
        <v>-1269.528</v>
      </c>
      <c r="E1009" t="s">
        <v>4</v>
      </c>
      <c r="F1009" t="s">
        <v>58</v>
      </c>
      <c r="G1009" t="s">
        <v>5</v>
      </c>
    </row>
    <row r="1010" spans="1:7" x14ac:dyDescent="0.3">
      <c r="A1010" t="s">
        <v>20</v>
      </c>
      <c r="B1010" s="1">
        <v>45930</v>
      </c>
      <c r="C1010">
        <v>300008</v>
      </c>
      <c r="D1010">
        <v>237.76300000000001</v>
      </c>
      <c r="E1010" t="s">
        <v>4</v>
      </c>
      <c r="F1010" t="s">
        <v>65</v>
      </c>
      <c r="G1010" t="s">
        <v>5</v>
      </c>
    </row>
    <row r="1011" spans="1:7" x14ac:dyDescent="0.3">
      <c r="A1011" t="s">
        <v>20</v>
      </c>
      <c r="B1011" s="1">
        <v>45930</v>
      </c>
      <c r="C1011">
        <v>300508</v>
      </c>
      <c r="D1011">
        <v>-237.76300000000001</v>
      </c>
      <c r="E1011" t="s">
        <v>4</v>
      </c>
      <c r="F1011" t="s">
        <v>65</v>
      </c>
      <c r="G1011" t="s">
        <v>5</v>
      </c>
    </row>
    <row r="1012" spans="1:7" x14ac:dyDescent="0.3">
      <c r="A1012" t="s">
        <v>20</v>
      </c>
      <c r="B1012" s="1">
        <v>45930</v>
      </c>
      <c r="C1012">
        <v>320003</v>
      </c>
      <c r="D1012">
        <v>33425.243999999999</v>
      </c>
      <c r="E1012" t="s">
        <v>4</v>
      </c>
      <c r="F1012" t="s">
        <v>46</v>
      </c>
      <c r="G1012" t="s">
        <v>5</v>
      </c>
    </row>
    <row r="1013" spans="1:7" x14ac:dyDescent="0.3">
      <c r="A1013" t="s">
        <v>20</v>
      </c>
      <c r="B1013" s="1">
        <v>45930</v>
      </c>
      <c r="C1013">
        <v>320004</v>
      </c>
      <c r="D1013">
        <v>209.27500000000001</v>
      </c>
      <c r="E1013" t="s">
        <v>4</v>
      </c>
      <c r="F1013" t="s">
        <v>46</v>
      </c>
      <c r="G1013" t="s">
        <v>5</v>
      </c>
    </row>
    <row r="1014" spans="1:7" x14ac:dyDescent="0.3">
      <c r="A1014" t="s">
        <v>20</v>
      </c>
      <c r="B1014" s="1">
        <v>45930</v>
      </c>
      <c r="C1014">
        <v>321002</v>
      </c>
      <c r="D1014">
        <v>383.30200000000002</v>
      </c>
      <c r="E1014" t="s">
        <v>4</v>
      </c>
      <c r="F1014" t="s">
        <v>46</v>
      </c>
      <c r="G1014" t="s">
        <v>5</v>
      </c>
    </row>
    <row r="1015" spans="1:7" x14ac:dyDescent="0.3">
      <c r="A1015" t="s">
        <v>20</v>
      </c>
      <c r="B1015" s="1">
        <v>45930</v>
      </c>
      <c r="C1015">
        <v>340261</v>
      </c>
      <c r="D1015">
        <v>48324.696000000004</v>
      </c>
      <c r="E1015" t="s">
        <v>4</v>
      </c>
      <c r="F1015" t="s">
        <v>47</v>
      </c>
      <c r="G1015" t="s">
        <v>5</v>
      </c>
    </row>
    <row r="1016" spans="1:7" x14ac:dyDescent="0.3">
      <c r="A1016" t="s">
        <v>20</v>
      </c>
      <c r="B1016" s="1">
        <v>45930</v>
      </c>
      <c r="C1016">
        <v>354012</v>
      </c>
      <c r="D1016">
        <v>11608.52</v>
      </c>
      <c r="E1016" t="s">
        <v>4</v>
      </c>
      <c r="F1016" t="s">
        <v>46</v>
      </c>
      <c r="G1016" t="s">
        <v>5</v>
      </c>
    </row>
    <row r="1017" spans="1:7" x14ac:dyDescent="0.3">
      <c r="A1017" t="s">
        <v>20</v>
      </c>
      <c r="B1017" s="1">
        <v>45930</v>
      </c>
      <c r="C1017">
        <v>354014</v>
      </c>
      <c r="D1017">
        <v>5905.652</v>
      </c>
      <c r="E1017" t="s">
        <v>4</v>
      </c>
      <c r="F1017" t="s">
        <v>46</v>
      </c>
      <c r="G1017" t="s">
        <v>5</v>
      </c>
    </row>
    <row r="1018" spans="1:7" x14ac:dyDescent="0.3">
      <c r="A1018" t="s">
        <v>20</v>
      </c>
      <c r="B1018" s="1">
        <v>45930</v>
      </c>
      <c r="C1018">
        <v>355018</v>
      </c>
      <c r="D1018">
        <v>14.004</v>
      </c>
      <c r="E1018" t="s">
        <v>4</v>
      </c>
      <c r="F1018" t="s">
        <v>49</v>
      </c>
      <c r="G1018" t="s">
        <v>5</v>
      </c>
    </row>
    <row r="1019" spans="1:7" x14ac:dyDescent="0.3">
      <c r="A1019" t="s">
        <v>20</v>
      </c>
      <c r="B1019" s="1">
        <v>45930</v>
      </c>
      <c r="C1019">
        <v>360028</v>
      </c>
      <c r="D1019">
        <v>134.994</v>
      </c>
      <c r="E1019" t="s">
        <v>4</v>
      </c>
      <c r="F1019" t="s">
        <v>58</v>
      </c>
      <c r="G1019" t="s">
        <v>5</v>
      </c>
    </row>
    <row r="1020" spans="1:7" x14ac:dyDescent="0.3">
      <c r="A1020" t="s">
        <v>20</v>
      </c>
      <c r="B1020" s="1">
        <v>45930</v>
      </c>
      <c r="C1020">
        <v>360030</v>
      </c>
      <c r="D1020">
        <v>943.673</v>
      </c>
      <c r="E1020" t="s">
        <v>4</v>
      </c>
      <c r="F1020" t="s">
        <v>58</v>
      </c>
      <c r="G1020" t="s">
        <v>5</v>
      </c>
    </row>
    <row r="1021" spans="1:7" x14ac:dyDescent="0.3">
      <c r="A1021" t="s">
        <v>20</v>
      </c>
      <c r="B1021" s="1">
        <v>45930</v>
      </c>
      <c r="C1021">
        <v>360032</v>
      </c>
      <c r="D1021">
        <v>802.14700000000005</v>
      </c>
      <c r="E1021" t="s">
        <v>4</v>
      </c>
      <c r="F1021" t="s">
        <v>58</v>
      </c>
      <c r="G1021" t="s">
        <v>5</v>
      </c>
    </row>
    <row r="1022" spans="1:7" x14ac:dyDescent="0.3">
      <c r="A1022" t="s">
        <v>20</v>
      </c>
      <c r="B1022" s="1">
        <v>45930</v>
      </c>
      <c r="C1022">
        <v>410002</v>
      </c>
      <c r="D1022">
        <v>-2315.183</v>
      </c>
      <c r="E1022" t="s">
        <v>6</v>
      </c>
      <c r="F1022" t="s">
        <v>51</v>
      </c>
      <c r="G1022" t="s">
        <v>5</v>
      </c>
    </row>
    <row r="1023" spans="1:7" x14ac:dyDescent="0.3">
      <c r="A1023" t="s">
        <v>20</v>
      </c>
      <c r="B1023" s="1">
        <v>45930</v>
      </c>
      <c r="C1023">
        <v>415002</v>
      </c>
      <c r="D1023">
        <v>-15.827</v>
      </c>
      <c r="E1023" t="s">
        <v>6</v>
      </c>
      <c r="F1023" t="s">
        <v>50</v>
      </c>
      <c r="G1023" t="s">
        <v>5</v>
      </c>
    </row>
    <row r="1024" spans="1:7" x14ac:dyDescent="0.3">
      <c r="A1024" t="s">
        <v>20</v>
      </c>
      <c r="B1024" s="1">
        <v>45930</v>
      </c>
      <c r="C1024">
        <v>415004</v>
      </c>
      <c r="D1024">
        <v>-49455.720999999998</v>
      </c>
      <c r="E1024" t="s">
        <v>6</v>
      </c>
      <c r="F1024" t="s">
        <v>50</v>
      </c>
      <c r="G1024" t="s">
        <v>5</v>
      </c>
    </row>
    <row r="1025" spans="1:7" x14ac:dyDescent="0.3">
      <c r="A1025" t="s">
        <v>20</v>
      </c>
      <c r="B1025" s="1">
        <v>45930</v>
      </c>
      <c r="C1025">
        <v>421002</v>
      </c>
      <c r="D1025">
        <v>-69.936000000000007</v>
      </c>
      <c r="E1025" t="s">
        <v>6</v>
      </c>
      <c r="F1025" t="s">
        <v>52</v>
      </c>
      <c r="G1025" t="s">
        <v>5</v>
      </c>
    </row>
    <row r="1026" spans="1:7" x14ac:dyDescent="0.3">
      <c r="A1026" t="s">
        <v>20</v>
      </c>
      <c r="B1026" s="1">
        <v>45930</v>
      </c>
      <c r="C1026">
        <v>421003</v>
      </c>
      <c r="D1026">
        <v>15.675000000000001</v>
      </c>
      <c r="E1026" t="s">
        <v>6</v>
      </c>
      <c r="F1026" t="s">
        <v>52</v>
      </c>
      <c r="G1026" t="s">
        <v>5</v>
      </c>
    </row>
    <row r="1027" spans="1:7" x14ac:dyDescent="0.3">
      <c r="A1027" t="s">
        <v>20</v>
      </c>
      <c r="B1027" s="1">
        <v>45930</v>
      </c>
      <c r="C1027">
        <v>421007</v>
      </c>
      <c r="D1027">
        <v>-181.77500000000001</v>
      </c>
      <c r="E1027" t="s">
        <v>6</v>
      </c>
      <c r="F1027" t="s">
        <v>52</v>
      </c>
      <c r="G1027" t="s">
        <v>5</v>
      </c>
    </row>
    <row r="1028" spans="1:7" x14ac:dyDescent="0.3">
      <c r="A1028" t="s">
        <v>20</v>
      </c>
      <c r="B1028" s="1">
        <v>45930</v>
      </c>
      <c r="C1028">
        <v>546002</v>
      </c>
      <c r="D1028">
        <v>43130</v>
      </c>
      <c r="E1028" t="s">
        <v>6</v>
      </c>
      <c r="F1028" t="s">
        <v>51</v>
      </c>
      <c r="G1028" t="s">
        <v>5</v>
      </c>
    </row>
    <row r="1029" spans="1:7" x14ac:dyDescent="0.3">
      <c r="A1029" t="s">
        <v>20</v>
      </c>
      <c r="B1029" s="1">
        <v>45930</v>
      </c>
      <c r="C1029">
        <v>546005</v>
      </c>
      <c r="D1029">
        <v>262.07</v>
      </c>
      <c r="E1029" t="s">
        <v>6</v>
      </c>
      <c r="F1029" t="s">
        <v>51</v>
      </c>
      <c r="G1029" t="s">
        <v>5</v>
      </c>
    </row>
    <row r="1030" spans="1:7" x14ac:dyDescent="0.3">
      <c r="A1030" t="s">
        <v>20</v>
      </c>
      <c r="B1030" s="1">
        <v>45930</v>
      </c>
      <c r="C1030">
        <v>556004</v>
      </c>
      <c r="D1030">
        <v>4.375</v>
      </c>
      <c r="E1030" t="s">
        <v>6</v>
      </c>
      <c r="F1030" t="s">
        <v>55</v>
      </c>
      <c r="G1030" t="s">
        <v>5</v>
      </c>
    </row>
    <row r="1031" spans="1:7" x14ac:dyDescent="0.3">
      <c r="A1031" t="s">
        <v>20</v>
      </c>
      <c r="B1031" s="1">
        <v>45930</v>
      </c>
      <c r="C1031">
        <v>557002</v>
      </c>
      <c r="D1031">
        <v>3186.7440000000001</v>
      </c>
      <c r="E1031" t="s">
        <v>6</v>
      </c>
      <c r="F1031" t="s">
        <v>56</v>
      </c>
      <c r="G1031" t="s">
        <v>5</v>
      </c>
    </row>
    <row r="1032" spans="1:7" x14ac:dyDescent="0.3">
      <c r="A1032" t="s">
        <v>20</v>
      </c>
      <c r="B1032" s="1">
        <v>45930</v>
      </c>
      <c r="C1032">
        <v>558006</v>
      </c>
      <c r="D1032">
        <v>27.734999999999999</v>
      </c>
      <c r="E1032" t="s">
        <v>6</v>
      </c>
      <c r="F1032" t="s">
        <v>57</v>
      </c>
      <c r="G1032" t="s">
        <v>5</v>
      </c>
    </row>
    <row r="1033" spans="1:7" x14ac:dyDescent="0.3">
      <c r="A1033" t="s">
        <v>20</v>
      </c>
      <c r="B1033" s="1">
        <v>45930</v>
      </c>
      <c r="C1033">
        <v>560008</v>
      </c>
      <c r="D1033">
        <v>78.418000000000006</v>
      </c>
      <c r="E1033" t="s">
        <v>6</v>
      </c>
      <c r="F1033" t="s">
        <v>56</v>
      </c>
      <c r="G1033" t="s">
        <v>5</v>
      </c>
    </row>
    <row r="1034" spans="1:7" x14ac:dyDescent="0.3">
      <c r="A1034" t="s">
        <v>20</v>
      </c>
      <c r="B1034" s="1">
        <v>45930</v>
      </c>
      <c r="C1034">
        <v>564006</v>
      </c>
      <c r="D1034">
        <v>1.2999999999999999E-2</v>
      </c>
      <c r="E1034" t="s">
        <v>6</v>
      </c>
      <c r="F1034" t="s">
        <v>57</v>
      </c>
      <c r="G1034" t="s">
        <v>5</v>
      </c>
    </row>
    <row r="1035" spans="1:7" x14ac:dyDescent="0.3">
      <c r="A1035" t="s">
        <v>20</v>
      </c>
      <c r="B1035" s="1">
        <v>45930</v>
      </c>
      <c r="C1035">
        <v>564020</v>
      </c>
      <c r="D1035">
        <v>8.3040000000000003</v>
      </c>
      <c r="E1035" t="s">
        <v>6</v>
      </c>
      <c r="F1035" t="s">
        <v>57</v>
      </c>
      <c r="G1035" t="s">
        <v>5</v>
      </c>
    </row>
    <row r="1036" spans="1:7" x14ac:dyDescent="0.3">
      <c r="A1036" t="s">
        <v>20</v>
      </c>
      <c r="B1036" s="1">
        <v>45930</v>
      </c>
      <c r="C1036">
        <v>580002</v>
      </c>
      <c r="D1036">
        <v>1278.0139999999999</v>
      </c>
      <c r="E1036" t="s">
        <v>6</v>
      </c>
      <c r="F1036" t="s">
        <v>64</v>
      </c>
      <c r="G1036" t="s">
        <v>5</v>
      </c>
    </row>
    <row r="1037" spans="1:7" x14ac:dyDescent="0.3">
      <c r="A1037" t="s">
        <v>21</v>
      </c>
      <c r="B1037" s="1">
        <v>45930</v>
      </c>
      <c r="C1037">
        <v>210002</v>
      </c>
      <c r="D1037">
        <v>-313.43200000000002</v>
      </c>
      <c r="E1037" t="s">
        <v>4</v>
      </c>
      <c r="F1037" t="s">
        <v>42</v>
      </c>
      <c r="G1037" t="s">
        <v>7</v>
      </c>
    </row>
    <row r="1038" spans="1:7" x14ac:dyDescent="0.3">
      <c r="A1038" t="s">
        <v>21</v>
      </c>
      <c r="B1038" s="1">
        <v>45930</v>
      </c>
      <c r="C1038">
        <v>220006</v>
      </c>
      <c r="D1038">
        <v>10645.317999999999</v>
      </c>
      <c r="E1038" t="s">
        <v>4</v>
      </c>
      <c r="F1038" t="s">
        <v>42</v>
      </c>
      <c r="G1038" t="s">
        <v>7</v>
      </c>
    </row>
    <row r="1039" spans="1:7" x14ac:dyDescent="0.3">
      <c r="A1039" t="s">
        <v>21</v>
      </c>
      <c r="B1039" s="1">
        <v>45930</v>
      </c>
      <c r="C1039">
        <v>242003</v>
      </c>
      <c r="D1039">
        <v>-29171.221000000001</v>
      </c>
      <c r="E1039" t="s">
        <v>4</v>
      </c>
      <c r="F1039" t="s">
        <v>43</v>
      </c>
      <c r="G1039" t="s">
        <v>7</v>
      </c>
    </row>
    <row r="1040" spans="1:7" x14ac:dyDescent="0.3">
      <c r="A1040" t="s">
        <v>21</v>
      </c>
      <c r="B1040" s="1">
        <v>45930</v>
      </c>
      <c r="C1040">
        <v>242011</v>
      </c>
      <c r="D1040">
        <v>-19232.097000000002</v>
      </c>
      <c r="E1040" t="s">
        <v>4</v>
      </c>
      <c r="F1040" t="s">
        <v>43</v>
      </c>
      <c r="G1040" t="s">
        <v>7</v>
      </c>
    </row>
    <row r="1041" spans="1:7" x14ac:dyDescent="0.3">
      <c r="A1041" t="s">
        <v>21</v>
      </c>
      <c r="B1041" s="1">
        <v>45930</v>
      </c>
      <c r="C1041">
        <v>242012</v>
      </c>
      <c r="D1041">
        <v>-15511.032999999999</v>
      </c>
      <c r="E1041" t="s">
        <v>4</v>
      </c>
      <c r="F1041" t="s">
        <v>43</v>
      </c>
      <c r="G1041" t="s">
        <v>7</v>
      </c>
    </row>
    <row r="1042" spans="1:7" x14ac:dyDescent="0.3">
      <c r="A1042" t="s">
        <v>21</v>
      </c>
      <c r="B1042" s="1">
        <v>45930</v>
      </c>
      <c r="C1042">
        <v>242013</v>
      </c>
      <c r="D1042">
        <v>-352.642</v>
      </c>
      <c r="E1042" t="s">
        <v>4</v>
      </c>
      <c r="F1042" t="s">
        <v>43</v>
      </c>
      <c r="G1042" t="s">
        <v>7</v>
      </c>
    </row>
    <row r="1043" spans="1:7" x14ac:dyDescent="0.3">
      <c r="A1043" t="s">
        <v>21</v>
      </c>
      <c r="B1043" s="1">
        <v>45930</v>
      </c>
      <c r="C1043">
        <v>242014</v>
      </c>
      <c r="D1043">
        <v>-5975.0020000000004</v>
      </c>
      <c r="E1043" t="s">
        <v>4</v>
      </c>
      <c r="F1043" t="s">
        <v>43</v>
      </c>
      <c r="G1043" t="s">
        <v>7</v>
      </c>
    </row>
    <row r="1044" spans="1:7" x14ac:dyDescent="0.3">
      <c r="A1044" t="s">
        <v>21</v>
      </c>
      <c r="B1044" s="1">
        <v>45930</v>
      </c>
      <c r="C1044">
        <v>242030</v>
      </c>
      <c r="D1044">
        <v>-1525.146</v>
      </c>
      <c r="E1044" t="s">
        <v>4</v>
      </c>
      <c r="F1044" t="s">
        <v>43</v>
      </c>
      <c r="G1044" t="s">
        <v>7</v>
      </c>
    </row>
    <row r="1045" spans="1:7" x14ac:dyDescent="0.3">
      <c r="A1045" t="s">
        <v>21</v>
      </c>
      <c r="B1045" s="1">
        <v>45930</v>
      </c>
      <c r="C1045">
        <v>242041</v>
      </c>
      <c r="D1045">
        <v>3289.777</v>
      </c>
      <c r="E1045" t="s">
        <v>4</v>
      </c>
      <c r="F1045" t="s">
        <v>43</v>
      </c>
      <c r="G1045" t="s">
        <v>7</v>
      </c>
    </row>
    <row r="1046" spans="1:7" x14ac:dyDescent="0.3">
      <c r="A1046" t="s">
        <v>21</v>
      </c>
      <c r="B1046" s="1">
        <v>45930</v>
      </c>
      <c r="C1046">
        <v>243002</v>
      </c>
      <c r="D1046">
        <v>-126.414</v>
      </c>
      <c r="E1046" t="s">
        <v>4</v>
      </c>
      <c r="F1046" t="s">
        <v>43</v>
      </c>
      <c r="G1046" t="s">
        <v>7</v>
      </c>
    </row>
    <row r="1047" spans="1:7" x14ac:dyDescent="0.3">
      <c r="A1047" t="s">
        <v>21</v>
      </c>
      <c r="B1047" s="1">
        <v>45930</v>
      </c>
      <c r="C1047">
        <v>251002</v>
      </c>
      <c r="D1047">
        <v>-4089.7489999999998</v>
      </c>
      <c r="E1047" t="s">
        <v>4</v>
      </c>
      <c r="F1047" t="s">
        <v>45</v>
      </c>
      <c r="G1047" t="s">
        <v>7</v>
      </c>
    </row>
    <row r="1048" spans="1:7" x14ac:dyDescent="0.3">
      <c r="A1048" t="s">
        <v>21</v>
      </c>
      <c r="B1048" s="1">
        <v>45930</v>
      </c>
      <c r="C1048">
        <v>251003</v>
      </c>
      <c r="D1048">
        <v>-37581.987999999998</v>
      </c>
      <c r="E1048" t="s">
        <v>4</v>
      </c>
      <c r="F1048" t="s">
        <v>45</v>
      </c>
      <c r="G1048" t="s">
        <v>7</v>
      </c>
    </row>
    <row r="1049" spans="1:7" x14ac:dyDescent="0.3">
      <c r="A1049" t="s">
        <v>21</v>
      </c>
      <c r="B1049" s="1">
        <v>45930</v>
      </c>
      <c r="C1049">
        <v>257008</v>
      </c>
      <c r="D1049">
        <v>-3055.0880000000002</v>
      </c>
      <c r="E1049" t="s">
        <v>4</v>
      </c>
      <c r="F1049" t="s">
        <v>45</v>
      </c>
      <c r="G1049" t="s">
        <v>7</v>
      </c>
    </row>
    <row r="1050" spans="1:7" x14ac:dyDescent="0.3">
      <c r="A1050" t="s">
        <v>21</v>
      </c>
      <c r="B1050" s="1">
        <v>45930</v>
      </c>
      <c r="C1050">
        <v>257028</v>
      </c>
      <c r="D1050">
        <v>1411.692</v>
      </c>
      <c r="E1050" t="s">
        <v>4</v>
      </c>
      <c r="F1050" t="s">
        <v>45</v>
      </c>
      <c r="G1050" t="s">
        <v>7</v>
      </c>
    </row>
    <row r="1051" spans="1:7" x14ac:dyDescent="0.3">
      <c r="A1051" t="s">
        <v>21</v>
      </c>
      <c r="B1051" s="1">
        <v>45930</v>
      </c>
      <c r="C1051">
        <v>257030</v>
      </c>
      <c r="D1051">
        <v>-1089.7639999999999</v>
      </c>
      <c r="E1051" t="s">
        <v>4</v>
      </c>
      <c r="F1051" t="s">
        <v>45</v>
      </c>
      <c r="G1051" t="s">
        <v>7</v>
      </c>
    </row>
    <row r="1052" spans="1:7" x14ac:dyDescent="0.3">
      <c r="A1052" t="s">
        <v>21</v>
      </c>
      <c r="B1052" s="1">
        <v>45930</v>
      </c>
      <c r="C1052">
        <v>260004</v>
      </c>
      <c r="D1052">
        <v>-14499.886</v>
      </c>
      <c r="E1052" t="s">
        <v>4</v>
      </c>
      <c r="F1052" t="s">
        <v>45</v>
      </c>
      <c r="G1052" t="s">
        <v>7</v>
      </c>
    </row>
    <row r="1053" spans="1:7" x14ac:dyDescent="0.3">
      <c r="A1053" t="s">
        <v>21</v>
      </c>
      <c r="B1053" s="1">
        <v>45930</v>
      </c>
      <c r="C1053">
        <v>270026</v>
      </c>
      <c r="D1053">
        <v>-5100.9759999999997</v>
      </c>
      <c r="E1053" t="s">
        <v>4</v>
      </c>
      <c r="F1053" t="s">
        <v>58</v>
      </c>
      <c r="G1053" t="s">
        <v>7</v>
      </c>
    </row>
    <row r="1054" spans="1:7" x14ac:dyDescent="0.3">
      <c r="A1054" t="s">
        <v>21</v>
      </c>
      <c r="B1054" s="1">
        <v>45930</v>
      </c>
      <c r="C1054">
        <v>270027</v>
      </c>
      <c r="D1054">
        <v>-1847.164</v>
      </c>
      <c r="E1054" t="s">
        <v>4</v>
      </c>
      <c r="F1054" t="s">
        <v>58</v>
      </c>
      <c r="G1054" t="s">
        <v>7</v>
      </c>
    </row>
    <row r="1055" spans="1:7" x14ac:dyDescent="0.3">
      <c r="A1055" t="s">
        <v>21</v>
      </c>
      <c r="B1055" s="1">
        <v>45930</v>
      </c>
      <c r="C1055">
        <v>320003</v>
      </c>
      <c r="D1055">
        <v>10493.682000000001</v>
      </c>
      <c r="E1055" t="s">
        <v>4</v>
      </c>
      <c r="F1055" t="s">
        <v>46</v>
      </c>
      <c r="G1055" t="s">
        <v>7</v>
      </c>
    </row>
    <row r="1056" spans="1:7" x14ac:dyDescent="0.3">
      <c r="A1056" t="s">
        <v>21</v>
      </c>
      <c r="B1056" s="1">
        <v>45930</v>
      </c>
      <c r="C1056">
        <v>320004</v>
      </c>
      <c r="D1056">
        <v>9.8089999999999993</v>
      </c>
      <c r="E1056" t="s">
        <v>4</v>
      </c>
      <c r="F1056" t="s">
        <v>46</v>
      </c>
      <c r="G1056" t="s">
        <v>7</v>
      </c>
    </row>
    <row r="1057" spans="1:7" x14ac:dyDescent="0.3">
      <c r="A1057" t="s">
        <v>21</v>
      </c>
      <c r="B1057" s="1">
        <v>45930</v>
      </c>
      <c r="C1057">
        <v>321002</v>
      </c>
      <c r="D1057">
        <v>13454.127</v>
      </c>
      <c r="E1057" t="s">
        <v>4</v>
      </c>
      <c r="F1057" t="s">
        <v>46</v>
      </c>
      <c r="G1057" t="s">
        <v>7</v>
      </c>
    </row>
    <row r="1058" spans="1:7" x14ac:dyDescent="0.3">
      <c r="A1058" t="s">
        <v>21</v>
      </c>
      <c r="B1058" s="1">
        <v>45930</v>
      </c>
      <c r="C1058">
        <v>321010</v>
      </c>
      <c r="D1058">
        <v>12.88</v>
      </c>
      <c r="E1058" t="s">
        <v>4</v>
      </c>
      <c r="F1058" t="s">
        <v>46</v>
      </c>
      <c r="G1058" t="s">
        <v>7</v>
      </c>
    </row>
    <row r="1059" spans="1:7" x14ac:dyDescent="0.3">
      <c r="A1059" t="s">
        <v>21</v>
      </c>
      <c r="B1059" s="1">
        <v>45930</v>
      </c>
      <c r="C1059">
        <v>321012</v>
      </c>
      <c r="D1059">
        <v>4390.875</v>
      </c>
      <c r="E1059" t="s">
        <v>4</v>
      </c>
      <c r="F1059" t="s">
        <v>46</v>
      </c>
      <c r="G1059" t="s">
        <v>7</v>
      </c>
    </row>
    <row r="1060" spans="1:7" x14ac:dyDescent="0.3">
      <c r="A1060" t="s">
        <v>21</v>
      </c>
      <c r="B1060" s="1">
        <v>45930</v>
      </c>
      <c r="C1060">
        <v>321014</v>
      </c>
      <c r="D1060">
        <v>12.88</v>
      </c>
      <c r="E1060" t="s">
        <v>4</v>
      </c>
      <c r="F1060" t="s">
        <v>46</v>
      </c>
      <c r="G1060" t="s">
        <v>7</v>
      </c>
    </row>
    <row r="1061" spans="1:7" x14ac:dyDescent="0.3">
      <c r="A1061" t="s">
        <v>21</v>
      </c>
      <c r="B1061" s="1">
        <v>45930</v>
      </c>
      <c r="C1061">
        <v>321029</v>
      </c>
      <c r="D1061">
        <v>4928.7539999999999</v>
      </c>
      <c r="E1061" t="s">
        <v>4</v>
      </c>
      <c r="F1061" t="s">
        <v>46</v>
      </c>
      <c r="G1061" t="s">
        <v>7</v>
      </c>
    </row>
    <row r="1062" spans="1:7" x14ac:dyDescent="0.3">
      <c r="A1062" t="s">
        <v>21</v>
      </c>
      <c r="B1062" s="1">
        <v>45930</v>
      </c>
      <c r="C1062">
        <v>321031</v>
      </c>
      <c r="D1062">
        <v>322.50200000000001</v>
      </c>
      <c r="E1062" t="s">
        <v>4</v>
      </c>
      <c r="F1062" t="s">
        <v>46</v>
      </c>
      <c r="G1062" t="s">
        <v>7</v>
      </c>
    </row>
    <row r="1063" spans="1:7" x14ac:dyDescent="0.3">
      <c r="A1063" t="s">
        <v>21</v>
      </c>
      <c r="B1063" s="1">
        <v>45930</v>
      </c>
      <c r="C1063">
        <v>340265</v>
      </c>
      <c r="D1063">
        <v>348894.02399999998</v>
      </c>
      <c r="E1063" t="s">
        <v>4</v>
      </c>
      <c r="F1063" t="s">
        <v>47</v>
      </c>
      <c r="G1063" t="s">
        <v>7</v>
      </c>
    </row>
    <row r="1064" spans="1:7" x14ac:dyDescent="0.3">
      <c r="A1064" t="s">
        <v>21</v>
      </c>
      <c r="B1064" s="1">
        <v>45930</v>
      </c>
      <c r="C1064">
        <v>340266</v>
      </c>
      <c r="D1064">
        <v>-304733.17499999999</v>
      </c>
      <c r="E1064" t="s">
        <v>4</v>
      </c>
      <c r="F1064" t="s">
        <v>47</v>
      </c>
      <c r="G1064" t="s">
        <v>7</v>
      </c>
    </row>
    <row r="1065" spans="1:7" x14ac:dyDescent="0.3">
      <c r="A1065" t="s">
        <v>21</v>
      </c>
      <c r="B1065" s="1">
        <v>45930</v>
      </c>
      <c r="C1065">
        <v>340324</v>
      </c>
      <c r="D1065">
        <v>1914.1790000000001</v>
      </c>
      <c r="E1065" t="s">
        <v>4</v>
      </c>
      <c r="F1065" t="s">
        <v>45</v>
      </c>
      <c r="G1065" t="s">
        <v>7</v>
      </c>
    </row>
    <row r="1066" spans="1:7" x14ac:dyDescent="0.3">
      <c r="A1066" t="s">
        <v>21</v>
      </c>
      <c r="B1066" s="1">
        <v>45930</v>
      </c>
      <c r="C1066">
        <v>352002</v>
      </c>
      <c r="D1066">
        <v>1504.4760000000001</v>
      </c>
      <c r="E1066" t="s">
        <v>4</v>
      </c>
      <c r="F1066" t="s">
        <v>48</v>
      </c>
      <c r="G1066" t="s">
        <v>7</v>
      </c>
    </row>
    <row r="1067" spans="1:7" x14ac:dyDescent="0.3">
      <c r="A1067" t="s">
        <v>21</v>
      </c>
      <c r="B1067" s="1">
        <v>45930</v>
      </c>
      <c r="C1067">
        <v>354012</v>
      </c>
      <c r="D1067">
        <v>7081.2250000000004</v>
      </c>
      <c r="E1067" t="s">
        <v>4</v>
      </c>
      <c r="F1067" t="s">
        <v>46</v>
      </c>
      <c r="G1067" t="s">
        <v>7</v>
      </c>
    </row>
    <row r="1068" spans="1:7" x14ac:dyDescent="0.3">
      <c r="A1068" t="s">
        <v>21</v>
      </c>
      <c r="B1068" s="1">
        <v>45930</v>
      </c>
      <c r="C1068">
        <v>354014</v>
      </c>
      <c r="D1068">
        <v>1509.43</v>
      </c>
      <c r="E1068" t="s">
        <v>4</v>
      </c>
      <c r="F1068" t="s">
        <v>46</v>
      </c>
      <c r="G1068" t="s">
        <v>7</v>
      </c>
    </row>
    <row r="1069" spans="1:7" x14ac:dyDescent="0.3">
      <c r="A1069" t="s">
        <v>21</v>
      </c>
      <c r="B1069" s="1">
        <v>45930</v>
      </c>
      <c r="C1069">
        <v>355016</v>
      </c>
      <c r="D1069">
        <v>432.55599999999998</v>
      </c>
      <c r="E1069" t="s">
        <v>4</v>
      </c>
      <c r="F1069" t="s">
        <v>49</v>
      </c>
      <c r="G1069" t="s">
        <v>7</v>
      </c>
    </row>
    <row r="1070" spans="1:7" x14ac:dyDescent="0.3">
      <c r="A1070" t="s">
        <v>21</v>
      </c>
      <c r="B1070" s="1">
        <v>45930</v>
      </c>
      <c r="C1070">
        <v>360028</v>
      </c>
      <c r="D1070">
        <v>5100.9759999999997</v>
      </c>
      <c r="E1070" t="s">
        <v>4</v>
      </c>
      <c r="F1070" t="s">
        <v>58</v>
      </c>
      <c r="G1070" t="s">
        <v>7</v>
      </c>
    </row>
    <row r="1071" spans="1:7" x14ac:dyDescent="0.3">
      <c r="A1071" t="s">
        <v>21</v>
      </c>
      <c r="B1071" s="1">
        <v>45930</v>
      </c>
      <c r="C1071">
        <v>360030</v>
      </c>
      <c r="D1071">
        <v>1847.164</v>
      </c>
      <c r="E1071" t="s">
        <v>4</v>
      </c>
      <c r="F1071" t="s">
        <v>58</v>
      </c>
      <c r="G1071" t="s">
        <v>7</v>
      </c>
    </row>
    <row r="1072" spans="1:7" x14ac:dyDescent="0.3">
      <c r="A1072" t="s">
        <v>21</v>
      </c>
      <c r="B1072" s="1">
        <v>45930</v>
      </c>
      <c r="C1072">
        <v>372004</v>
      </c>
      <c r="D1072">
        <v>6006.357</v>
      </c>
      <c r="E1072" t="s">
        <v>4</v>
      </c>
      <c r="F1072" t="s">
        <v>45</v>
      </c>
      <c r="G1072" t="s">
        <v>7</v>
      </c>
    </row>
    <row r="1073" spans="1:7" x14ac:dyDescent="0.3">
      <c r="A1073" t="s">
        <v>21</v>
      </c>
      <c r="B1073" s="1">
        <v>45930</v>
      </c>
      <c r="C1073">
        <v>410002</v>
      </c>
      <c r="D1073">
        <v>-13604.33</v>
      </c>
      <c r="E1073" t="s">
        <v>6</v>
      </c>
      <c r="F1073" t="s">
        <v>51</v>
      </c>
      <c r="G1073" t="s">
        <v>7</v>
      </c>
    </row>
    <row r="1074" spans="1:7" x14ac:dyDescent="0.3">
      <c r="A1074" t="s">
        <v>21</v>
      </c>
      <c r="B1074" s="1">
        <v>45930</v>
      </c>
      <c r="C1074">
        <v>410006</v>
      </c>
      <c r="D1074">
        <v>-45.180999999999997</v>
      </c>
      <c r="E1074" t="s">
        <v>6</v>
      </c>
      <c r="F1074" t="s">
        <v>51</v>
      </c>
      <c r="G1074" t="s">
        <v>7</v>
      </c>
    </row>
    <row r="1075" spans="1:7" x14ac:dyDescent="0.3">
      <c r="A1075" t="s">
        <v>21</v>
      </c>
      <c r="B1075" s="1">
        <v>45930</v>
      </c>
      <c r="C1075">
        <v>410032</v>
      </c>
      <c r="D1075">
        <v>-363.73200000000003</v>
      </c>
      <c r="E1075" t="s">
        <v>6</v>
      </c>
      <c r="F1075" t="s">
        <v>51</v>
      </c>
      <c r="G1075" t="s">
        <v>7</v>
      </c>
    </row>
    <row r="1076" spans="1:7" x14ac:dyDescent="0.3">
      <c r="A1076" t="s">
        <v>21</v>
      </c>
      <c r="B1076" s="1">
        <v>45930</v>
      </c>
      <c r="C1076">
        <v>410037</v>
      </c>
      <c r="D1076">
        <v>-12781.392</v>
      </c>
      <c r="E1076" t="s">
        <v>6</v>
      </c>
      <c r="F1076" t="s">
        <v>51</v>
      </c>
      <c r="G1076" t="s">
        <v>7</v>
      </c>
    </row>
    <row r="1077" spans="1:7" x14ac:dyDescent="0.3">
      <c r="A1077" t="s">
        <v>21</v>
      </c>
      <c r="B1077" s="1">
        <v>45930</v>
      </c>
      <c r="C1077">
        <v>410039</v>
      </c>
      <c r="D1077">
        <v>-1072.5719999999999</v>
      </c>
      <c r="E1077" t="s">
        <v>6</v>
      </c>
      <c r="F1077" t="s">
        <v>51</v>
      </c>
      <c r="G1077" t="s">
        <v>7</v>
      </c>
    </row>
    <row r="1078" spans="1:7" x14ac:dyDescent="0.3">
      <c r="A1078" t="s">
        <v>21</v>
      </c>
      <c r="B1078" s="1">
        <v>45930</v>
      </c>
      <c r="C1078">
        <v>415002</v>
      </c>
      <c r="D1078">
        <v>-4825.9210000000003</v>
      </c>
      <c r="E1078" t="s">
        <v>6</v>
      </c>
      <c r="F1078" t="s">
        <v>50</v>
      </c>
      <c r="G1078" t="s">
        <v>7</v>
      </c>
    </row>
    <row r="1079" spans="1:7" x14ac:dyDescent="0.3">
      <c r="A1079" t="s">
        <v>21</v>
      </c>
      <c r="B1079" s="1">
        <v>45930</v>
      </c>
      <c r="C1079">
        <v>415004</v>
      </c>
      <c r="D1079">
        <v>-13978.886</v>
      </c>
      <c r="E1079" t="s">
        <v>6</v>
      </c>
      <c r="F1079" t="s">
        <v>50</v>
      </c>
      <c r="G1079" t="s">
        <v>7</v>
      </c>
    </row>
    <row r="1080" spans="1:7" x14ac:dyDescent="0.3">
      <c r="A1080" t="s">
        <v>21</v>
      </c>
      <c r="B1080" s="1">
        <v>45930</v>
      </c>
      <c r="C1080">
        <v>421002</v>
      </c>
      <c r="D1080">
        <v>204.369</v>
      </c>
      <c r="E1080" t="s">
        <v>6</v>
      </c>
      <c r="F1080" t="s">
        <v>52</v>
      </c>
      <c r="G1080" t="s">
        <v>7</v>
      </c>
    </row>
    <row r="1081" spans="1:7" x14ac:dyDescent="0.3">
      <c r="A1081" t="s">
        <v>21</v>
      </c>
      <c r="B1081" s="1">
        <v>45930</v>
      </c>
      <c r="C1081">
        <v>421003</v>
      </c>
      <c r="D1081">
        <v>167.19200000000001</v>
      </c>
      <c r="E1081" t="s">
        <v>6</v>
      </c>
      <c r="F1081" t="s">
        <v>52</v>
      </c>
      <c r="G1081" t="s">
        <v>7</v>
      </c>
    </row>
    <row r="1082" spans="1:7" x14ac:dyDescent="0.3">
      <c r="A1082" t="s">
        <v>21</v>
      </c>
      <c r="B1082" s="1">
        <v>45930</v>
      </c>
      <c r="C1082">
        <v>421007</v>
      </c>
      <c r="D1082">
        <v>-261.07499999999999</v>
      </c>
      <c r="E1082" t="s">
        <v>6</v>
      </c>
      <c r="F1082" t="s">
        <v>52</v>
      </c>
      <c r="G1082" t="s">
        <v>7</v>
      </c>
    </row>
    <row r="1083" spans="1:7" x14ac:dyDescent="0.3">
      <c r="A1083" t="s">
        <v>21</v>
      </c>
      <c r="B1083" s="1">
        <v>45930</v>
      </c>
      <c r="C1083">
        <v>510002</v>
      </c>
      <c r="D1083">
        <v>24242.394</v>
      </c>
      <c r="E1083" t="s">
        <v>6</v>
      </c>
      <c r="F1083" t="s">
        <v>53</v>
      </c>
      <c r="G1083" t="s">
        <v>7</v>
      </c>
    </row>
    <row r="1084" spans="1:7" x14ac:dyDescent="0.3">
      <c r="A1084" t="s">
        <v>21</v>
      </c>
      <c r="B1084" s="1">
        <v>45930</v>
      </c>
      <c r="C1084">
        <v>510007</v>
      </c>
      <c r="D1084">
        <v>1044.26</v>
      </c>
      <c r="E1084" t="s">
        <v>6</v>
      </c>
      <c r="F1084" t="s">
        <v>53</v>
      </c>
      <c r="G1084" t="s">
        <v>7</v>
      </c>
    </row>
    <row r="1085" spans="1:7" x14ac:dyDescent="0.3">
      <c r="A1085" t="s">
        <v>21</v>
      </c>
      <c r="B1085" s="1">
        <v>45930</v>
      </c>
      <c r="C1085">
        <v>510015</v>
      </c>
      <c r="D1085">
        <v>4519.6130000000003</v>
      </c>
      <c r="E1085" t="s">
        <v>6</v>
      </c>
      <c r="F1085" t="s">
        <v>53</v>
      </c>
      <c r="G1085" t="s">
        <v>7</v>
      </c>
    </row>
    <row r="1086" spans="1:7" x14ac:dyDescent="0.3">
      <c r="A1086" t="s">
        <v>21</v>
      </c>
      <c r="B1086" s="1">
        <v>45930</v>
      </c>
      <c r="C1086">
        <v>510018</v>
      </c>
      <c r="D1086">
        <v>269.78699999999998</v>
      </c>
      <c r="E1086" t="s">
        <v>6</v>
      </c>
      <c r="F1086" t="s">
        <v>53</v>
      </c>
      <c r="G1086" t="s">
        <v>7</v>
      </c>
    </row>
    <row r="1087" spans="1:7" x14ac:dyDescent="0.3">
      <c r="A1087" t="s">
        <v>21</v>
      </c>
      <c r="B1087" s="1">
        <v>45930</v>
      </c>
      <c r="C1087">
        <v>510062</v>
      </c>
      <c r="D1087">
        <v>885.21299999999997</v>
      </c>
      <c r="E1087" t="s">
        <v>6</v>
      </c>
      <c r="F1087" t="s">
        <v>53</v>
      </c>
      <c r="G1087" t="s">
        <v>7</v>
      </c>
    </row>
    <row r="1088" spans="1:7" x14ac:dyDescent="0.3">
      <c r="A1088" t="s">
        <v>21</v>
      </c>
      <c r="B1088" s="1">
        <v>45930</v>
      </c>
      <c r="C1088">
        <v>510065</v>
      </c>
      <c r="D1088">
        <v>43.792000000000002</v>
      </c>
      <c r="E1088" t="s">
        <v>6</v>
      </c>
      <c r="F1088" t="s">
        <v>53</v>
      </c>
      <c r="G1088" t="s">
        <v>7</v>
      </c>
    </row>
    <row r="1089" spans="1:7" x14ac:dyDescent="0.3">
      <c r="A1089" t="s">
        <v>21</v>
      </c>
      <c r="B1089" s="1">
        <v>45930</v>
      </c>
      <c r="C1089">
        <v>541010</v>
      </c>
      <c r="D1089">
        <v>333.34</v>
      </c>
      <c r="E1089" t="s">
        <v>6</v>
      </c>
      <c r="F1089" t="s">
        <v>61</v>
      </c>
      <c r="G1089" t="s">
        <v>7</v>
      </c>
    </row>
    <row r="1090" spans="1:7" x14ac:dyDescent="0.3">
      <c r="A1090" t="s">
        <v>21</v>
      </c>
      <c r="B1090" s="1">
        <v>45930</v>
      </c>
      <c r="C1090">
        <v>546002</v>
      </c>
      <c r="D1090">
        <v>13279.941000000001</v>
      </c>
      <c r="E1090" t="s">
        <v>6</v>
      </c>
      <c r="F1090" t="s">
        <v>51</v>
      </c>
      <c r="G1090" t="s">
        <v>7</v>
      </c>
    </row>
    <row r="1091" spans="1:7" x14ac:dyDescent="0.3">
      <c r="A1091" t="s">
        <v>21</v>
      </c>
      <c r="B1091" s="1">
        <v>45930</v>
      </c>
      <c r="C1091">
        <v>546008</v>
      </c>
      <c r="D1091">
        <v>3558.1660000000002</v>
      </c>
      <c r="E1091" t="s">
        <v>6</v>
      </c>
      <c r="F1091" t="s">
        <v>51</v>
      </c>
      <c r="G1091" t="s">
        <v>7</v>
      </c>
    </row>
    <row r="1092" spans="1:7" x14ac:dyDescent="0.3">
      <c r="A1092" t="s">
        <v>21</v>
      </c>
      <c r="B1092" s="1">
        <v>45930</v>
      </c>
      <c r="C1092">
        <v>546013</v>
      </c>
      <c r="D1092">
        <v>668.91499999999996</v>
      </c>
      <c r="E1092" t="s">
        <v>6</v>
      </c>
      <c r="F1092" t="s">
        <v>51</v>
      </c>
      <c r="G1092" t="s">
        <v>7</v>
      </c>
    </row>
    <row r="1093" spans="1:7" x14ac:dyDescent="0.3">
      <c r="A1093" t="s">
        <v>21</v>
      </c>
      <c r="B1093" s="1">
        <v>45930</v>
      </c>
      <c r="C1093">
        <v>546016</v>
      </c>
      <c r="D1093">
        <v>341.88299999999998</v>
      </c>
      <c r="E1093" t="s">
        <v>6</v>
      </c>
      <c r="F1093" t="s">
        <v>51</v>
      </c>
      <c r="G1093" t="s">
        <v>7</v>
      </c>
    </row>
    <row r="1094" spans="1:7" x14ac:dyDescent="0.3">
      <c r="A1094" t="s">
        <v>21</v>
      </c>
      <c r="B1094" s="1">
        <v>45930</v>
      </c>
      <c r="C1094">
        <v>546040</v>
      </c>
      <c r="D1094">
        <v>1478.615</v>
      </c>
      <c r="E1094" t="s">
        <v>6</v>
      </c>
      <c r="F1094" t="s">
        <v>51</v>
      </c>
      <c r="G1094" t="s">
        <v>7</v>
      </c>
    </row>
    <row r="1095" spans="1:7" x14ac:dyDescent="0.3">
      <c r="A1095" t="s">
        <v>21</v>
      </c>
      <c r="B1095" s="1">
        <v>45930</v>
      </c>
      <c r="C1095">
        <v>550003</v>
      </c>
      <c r="D1095">
        <v>703.18700000000001</v>
      </c>
      <c r="E1095" t="s">
        <v>6</v>
      </c>
      <c r="F1095" t="s">
        <v>62</v>
      </c>
      <c r="G1095" t="s">
        <v>7</v>
      </c>
    </row>
    <row r="1096" spans="1:7" x14ac:dyDescent="0.3">
      <c r="A1096" t="s">
        <v>21</v>
      </c>
      <c r="B1096" s="1">
        <v>45930</v>
      </c>
      <c r="C1096">
        <v>551003</v>
      </c>
      <c r="D1096">
        <v>1458.576</v>
      </c>
      <c r="E1096" t="s">
        <v>6</v>
      </c>
      <c r="F1096" t="s">
        <v>63</v>
      </c>
      <c r="G1096" t="s">
        <v>7</v>
      </c>
    </row>
    <row r="1097" spans="1:7" x14ac:dyDescent="0.3">
      <c r="A1097" t="s">
        <v>21</v>
      </c>
      <c r="B1097" s="1">
        <v>45930</v>
      </c>
      <c r="C1097">
        <v>552502</v>
      </c>
      <c r="D1097">
        <v>4375.7280000000001</v>
      </c>
      <c r="E1097" t="s">
        <v>6</v>
      </c>
      <c r="F1097" t="s">
        <v>55</v>
      </c>
      <c r="G1097" t="s">
        <v>7</v>
      </c>
    </row>
    <row r="1098" spans="1:7" x14ac:dyDescent="0.3">
      <c r="A1098" t="s">
        <v>21</v>
      </c>
      <c r="B1098" s="1">
        <v>45930</v>
      </c>
      <c r="C1098">
        <v>555508</v>
      </c>
      <c r="D1098">
        <v>289.339</v>
      </c>
      <c r="E1098" t="s">
        <v>6</v>
      </c>
      <c r="F1098" t="s">
        <v>55</v>
      </c>
      <c r="G1098" t="s">
        <v>7</v>
      </c>
    </row>
    <row r="1099" spans="1:7" x14ac:dyDescent="0.3">
      <c r="A1099" t="s">
        <v>21</v>
      </c>
      <c r="B1099" s="1">
        <v>45930</v>
      </c>
      <c r="C1099">
        <v>556002</v>
      </c>
      <c r="D1099">
        <v>6.7249999999999996</v>
      </c>
      <c r="E1099" t="s">
        <v>6</v>
      </c>
      <c r="F1099" t="s">
        <v>60</v>
      </c>
      <c r="G1099" t="s">
        <v>7</v>
      </c>
    </row>
    <row r="1100" spans="1:7" x14ac:dyDescent="0.3">
      <c r="A1100" t="s">
        <v>21</v>
      </c>
      <c r="B1100" s="1">
        <v>45930</v>
      </c>
      <c r="C1100">
        <v>557002</v>
      </c>
      <c r="D1100">
        <v>6515.4080000000004</v>
      </c>
      <c r="E1100" t="s">
        <v>6</v>
      </c>
      <c r="F1100" t="s">
        <v>56</v>
      </c>
      <c r="G1100" t="s">
        <v>7</v>
      </c>
    </row>
    <row r="1101" spans="1:7" x14ac:dyDescent="0.3">
      <c r="A1101" t="s">
        <v>21</v>
      </c>
      <c r="B1101" s="1">
        <v>45930</v>
      </c>
      <c r="C1101">
        <v>558003</v>
      </c>
      <c r="D1101">
        <v>127.625</v>
      </c>
      <c r="E1101" t="s">
        <v>6</v>
      </c>
      <c r="F1101" t="s">
        <v>57</v>
      </c>
      <c r="G1101" t="s">
        <v>7</v>
      </c>
    </row>
    <row r="1102" spans="1:7" x14ac:dyDescent="0.3">
      <c r="A1102" t="s">
        <v>21</v>
      </c>
      <c r="B1102" s="1">
        <v>45930</v>
      </c>
      <c r="C1102">
        <v>558012</v>
      </c>
      <c r="D1102">
        <v>13.37</v>
      </c>
      <c r="E1102" t="s">
        <v>6</v>
      </c>
      <c r="F1102" t="s">
        <v>60</v>
      </c>
      <c r="G1102" t="s">
        <v>7</v>
      </c>
    </row>
    <row r="1103" spans="1:7" x14ac:dyDescent="0.3">
      <c r="A1103" t="s">
        <v>21</v>
      </c>
      <c r="B1103" s="1">
        <v>45930</v>
      </c>
      <c r="C1103">
        <v>564004</v>
      </c>
      <c r="D1103">
        <v>854.197</v>
      </c>
      <c r="E1103" t="s">
        <v>6</v>
      </c>
      <c r="F1103" t="s">
        <v>51</v>
      </c>
      <c r="G1103" t="s">
        <v>7</v>
      </c>
    </row>
    <row r="1104" spans="1:7" x14ac:dyDescent="0.3">
      <c r="A1104" t="s">
        <v>21</v>
      </c>
      <c r="B1104" s="1">
        <v>45930</v>
      </c>
      <c r="C1104">
        <v>564006</v>
      </c>
      <c r="D1104">
        <v>6.0000000000000001E-3</v>
      </c>
      <c r="E1104" t="s">
        <v>6</v>
      </c>
      <c r="F1104" t="s">
        <v>57</v>
      </c>
      <c r="G1104" t="s">
        <v>7</v>
      </c>
    </row>
    <row r="1105" spans="1:7" x14ac:dyDescent="0.3">
      <c r="A1105" t="s">
        <v>21</v>
      </c>
      <c r="B1105" s="1">
        <v>45930</v>
      </c>
      <c r="C1105">
        <v>564020</v>
      </c>
      <c r="D1105">
        <v>63.814</v>
      </c>
      <c r="E1105" t="s">
        <v>6</v>
      </c>
      <c r="F1105" t="s">
        <v>57</v>
      </c>
      <c r="G1105" t="s">
        <v>7</v>
      </c>
    </row>
    <row r="1106" spans="1:7" x14ac:dyDescent="0.3">
      <c r="A1106" t="s">
        <v>21</v>
      </c>
      <c r="B1106" s="1">
        <v>45930</v>
      </c>
      <c r="C1106">
        <v>580002</v>
      </c>
      <c r="D1106">
        <v>1790.809</v>
      </c>
      <c r="E1106" t="s">
        <v>6</v>
      </c>
      <c r="F1106" t="s">
        <v>64</v>
      </c>
      <c r="G1106" t="s">
        <v>7</v>
      </c>
    </row>
    <row r="1107" spans="1:7" x14ac:dyDescent="0.3">
      <c r="A1107" t="s">
        <v>22</v>
      </c>
      <c r="B1107" s="1">
        <v>45930</v>
      </c>
      <c r="C1107">
        <v>220006</v>
      </c>
      <c r="D1107">
        <v>-63799.868999999999</v>
      </c>
      <c r="E1107" t="s">
        <v>4</v>
      </c>
      <c r="F1107" t="s">
        <v>42</v>
      </c>
      <c r="G1107" t="s">
        <v>8</v>
      </c>
    </row>
    <row r="1108" spans="1:7" x14ac:dyDescent="0.3">
      <c r="A1108" t="s">
        <v>22</v>
      </c>
      <c r="B1108" s="1">
        <v>45930</v>
      </c>
      <c r="C1108">
        <v>242003</v>
      </c>
      <c r="D1108">
        <v>-97004.384999999995</v>
      </c>
      <c r="E1108" t="s">
        <v>4</v>
      </c>
      <c r="F1108" t="s">
        <v>43</v>
      </c>
      <c r="G1108" t="s">
        <v>8</v>
      </c>
    </row>
    <row r="1109" spans="1:7" x14ac:dyDescent="0.3">
      <c r="A1109" t="s">
        <v>22</v>
      </c>
      <c r="B1109" s="1">
        <v>45930</v>
      </c>
      <c r="C1109">
        <v>242011</v>
      </c>
      <c r="D1109">
        <v>2.121</v>
      </c>
      <c r="E1109" t="s">
        <v>4</v>
      </c>
      <c r="F1109" t="s">
        <v>43</v>
      </c>
      <c r="G1109" t="s">
        <v>8</v>
      </c>
    </row>
    <row r="1110" spans="1:7" x14ac:dyDescent="0.3">
      <c r="A1110" t="s">
        <v>22</v>
      </c>
      <c r="B1110" s="1">
        <v>45930</v>
      </c>
      <c r="C1110">
        <v>242030</v>
      </c>
      <c r="D1110">
        <v>-90.225999999999999</v>
      </c>
      <c r="E1110" t="s">
        <v>4</v>
      </c>
      <c r="F1110" t="s">
        <v>43</v>
      </c>
      <c r="G1110" t="s">
        <v>8</v>
      </c>
    </row>
    <row r="1111" spans="1:7" x14ac:dyDescent="0.3">
      <c r="A1111" t="s">
        <v>22</v>
      </c>
      <c r="B1111" s="1">
        <v>45930</v>
      </c>
      <c r="C1111">
        <v>242039</v>
      </c>
      <c r="D1111">
        <v>-5081.7190000000001</v>
      </c>
      <c r="E1111" t="s">
        <v>4</v>
      </c>
      <c r="F1111" t="s">
        <v>43</v>
      </c>
      <c r="G1111" t="s">
        <v>8</v>
      </c>
    </row>
    <row r="1112" spans="1:7" x14ac:dyDescent="0.3">
      <c r="A1112" t="s">
        <v>22</v>
      </c>
      <c r="B1112" s="1">
        <v>45930</v>
      </c>
      <c r="C1112">
        <v>242041</v>
      </c>
      <c r="D1112">
        <v>88.965000000000003</v>
      </c>
      <c r="E1112" t="s">
        <v>4</v>
      </c>
      <c r="F1112" t="s">
        <v>43</v>
      </c>
      <c r="G1112" t="s">
        <v>8</v>
      </c>
    </row>
    <row r="1113" spans="1:7" x14ac:dyDescent="0.3">
      <c r="A1113" t="s">
        <v>22</v>
      </c>
      <c r="B1113" s="1">
        <v>45930</v>
      </c>
      <c r="C1113">
        <v>243002</v>
      </c>
      <c r="D1113">
        <v>-2511.518</v>
      </c>
      <c r="E1113" t="s">
        <v>4</v>
      </c>
      <c r="F1113" t="s">
        <v>43</v>
      </c>
      <c r="G1113" t="s">
        <v>8</v>
      </c>
    </row>
    <row r="1114" spans="1:7" x14ac:dyDescent="0.3">
      <c r="A1114" t="s">
        <v>22</v>
      </c>
      <c r="B1114" s="1">
        <v>45930</v>
      </c>
      <c r="C1114">
        <v>243003</v>
      </c>
      <c r="D1114">
        <v>-3265.9870000000001</v>
      </c>
      <c r="E1114" t="s">
        <v>4</v>
      </c>
      <c r="F1114" t="s">
        <v>43</v>
      </c>
      <c r="G1114" t="s">
        <v>8</v>
      </c>
    </row>
    <row r="1115" spans="1:7" x14ac:dyDescent="0.3">
      <c r="A1115" t="s">
        <v>22</v>
      </c>
      <c r="B1115" s="1">
        <v>45930</v>
      </c>
      <c r="C1115">
        <v>243010</v>
      </c>
      <c r="D1115">
        <v>-276.21699999999998</v>
      </c>
      <c r="E1115" t="s">
        <v>4</v>
      </c>
      <c r="F1115" t="s">
        <v>43</v>
      </c>
      <c r="G1115" t="s">
        <v>8</v>
      </c>
    </row>
    <row r="1116" spans="1:7" x14ac:dyDescent="0.3">
      <c r="A1116" t="s">
        <v>22</v>
      </c>
      <c r="B1116" s="1">
        <v>45930</v>
      </c>
      <c r="C1116">
        <v>245056</v>
      </c>
      <c r="D1116">
        <v>-421.25</v>
      </c>
      <c r="E1116" t="s">
        <v>4</v>
      </c>
      <c r="F1116" t="s">
        <v>49</v>
      </c>
      <c r="G1116" t="s">
        <v>8</v>
      </c>
    </row>
    <row r="1117" spans="1:7" x14ac:dyDescent="0.3">
      <c r="A1117" t="s">
        <v>22</v>
      </c>
      <c r="B1117" s="1">
        <v>45930</v>
      </c>
      <c r="C1117">
        <v>245062</v>
      </c>
      <c r="D1117">
        <v>-901.92600000000004</v>
      </c>
      <c r="E1117" t="s">
        <v>4</v>
      </c>
      <c r="F1117" t="s">
        <v>43</v>
      </c>
      <c r="G1117" t="s">
        <v>8</v>
      </c>
    </row>
    <row r="1118" spans="1:7" x14ac:dyDescent="0.3">
      <c r="A1118" t="s">
        <v>22</v>
      </c>
      <c r="B1118" s="1">
        <v>45930</v>
      </c>
      <c r="C1118">
        <v>257030</v>
      </c>
      <c r="D1118">
        <v>-4642.4639999999999</v>
      </c>
      <c r="E1118" t="s">
        <v>4</v>
      </c>
      <c r="F1118" t="s">
        <v>45</v>
      </c>
      <c r="G1118" t="s">
        <v>8</v>
      </c>
    </row>
    <row r="1119" spans="1:7" x14ac:dyDescent="0.3">
      <c r="A1119" t="s">
        <v>22</v>
      </c>
      <c r="B1119" s="1">
        <v>45930</v>
      </c>
      <c r="C1119">
        <v>260004</v>
      </c>
      <c r="D1119">
        <v>-15391.892</v>
      </c>
      <c r="E1119" t="s">
        <v>4</v>
      </c>
      <c r="F1119" t="s">
        <v>45</v>
      </c>
      <c r="G1119" t="s">
        <v>8</v>
      </c>
    </row>
    <row r="1120" spans="1:7" x14ac:dyDescent="0.3">
      <c r="A1120" t="s">
        <v>22</v>
      </c>
      <c r="B1120" s="1">
        <v>45930</v>
      </c>
      <c r="C1120">
        <v>320002</v>
      </c>
      <c r="D1120">
        <v>36443.64</v>
      </c>
      <c r="E1120" t="s">
        <v>4</v>
      </c>
      <c r="F1120" t="s">
        <v>46</v>
      </c>
      <c r="G1120" t="s">
        <v>8</v>
      </c>
    </row>
    <row r="1121" spans="1:7" x14ac:dyDescent="0.3">
      <c r="A1121" t="s">
        <v>22</v>
      </c>
      <c r="B1121" s="1">
        <v>45930</v>
      </c>
      <c r="C1121">
        <v>321002</v>
      </c>
      <c r="D1121">
        <v>-20.39</v>
      </c>
      <c r="E1121" t="s">
        <v>4</v>
      </c>
      <c r="F1121" t="s">
        <v>46</v>
      </c>
      <c r="G1121" t="s">
        <v>8</v>
      </c>
    </row>
    <row r="1122" spans="1:7" x14ac:dyDescent="0.3">
      <c r="A1122" t="s">
        <v>22</v>
      </c>
      <c r="B1122" s="1">
        <v>45930</v>
      </c>
      <c r="C1122">
        <v>330116</v>
      </c>
      <c r="D1122">
        <v>1937.4349999999999</v>
      </c>
      <c r="E1122" t="s">
        <v>4</v>
      </c>
      <c r="F1122" t="s">
        <v>43</v>
      </c>
      <c r="G1122" t="s">
        <v>8</v>
      </c>
    </row>
    <row r="1123" spans="1:7" x14ac:dyDescent="0.3">
      <c r="A1123" t="s">
        <v>22</v>
      </c>
      <c r="B1123" s="1">
        <v>45930</v>
      </c>
      <c r="C1123">
        <v>330137</v>
      </c>
      <c r="D1123">
        <v>-6461.6859999999997</v>
      </c>
      <c r="E1123" t="s">
        <v>4</v>
      </c>
      <c r="F1123" t="s">
        <v>43</v>
      </c>
      <c r="G1123" t="s">
        <v>8</v>
      </c>
    </row>
    <row r="1124" spans="1:7" x14ac:dyDescent="0.3">
      <c r="A1124" t="s">
        <v>22</v>
      </c>
      <c r="B1124" s="1">
        <v>45930</v>
      </c>
      <c r="C1124">
        <v>340208</v>
      </c>
      <c r="D1124">
        <v>104361.117</v>
      </c>
      <c r="E1124" t="s">
        <v>4</v>
      </c>
      <c r="F1124" t="s">
        <v>47</v>
      </c>
      <c r="G1124" t="s">
        <v>8</v>
      </c>
    </row>
    <row r="1125" spans="1:7" x14ac:dyDescent="0.3">
      <c r="A1125" t="s">
        <v>22</v>
      </c>
      <c r="B1125" s="1">
        <v>45930</v>
      </c>
      <c r="C1125">
        <v>350002</v>
      </c>
      <c r="D1125">
        <v>5829.61</v>
      </c>
      <c r="E1125" t="s">
        <v>4</v>
      </c>
      <c r="F1125" t="s">
        <v>49</v>
      </c>
      <c r="G1125" t="s">
        <v>8</v>
      </c>
    </row>
    <row r="1126" spans="1:7" x14ac:dyDescent="0.3">
      <c r="A1126" t="s">
        <v>22</v>
      </c>
      <c r="B1126" s="1">
        <v>45930</v>
      </c>
      <c r="C1126">
        <v>350003</v>
      </c>
      <c r="D1126">
        <v>-3655.3560000000002</v>
      </c>
      <c r="E1126" t="s">
        <v>4</v>
      </c>
      <c r="F1126" t="s">
        <v>49</v>
      </c>
      <c r="G1126" t="s">
        <v>8</v>
      </c>
    </row>
    <row r="1127" spans="1:7" x14ac:dyDescent="0.3">
      <c r="A1127" t="s">
        <v>22</v>
      </c>
      <c r="B1127" s="1">
        <v>45930</v>
      </c>
      <c r="C1127">
        <v>350007</v>
      </c>
      <c r="D1127">
        <v>0.22900000000000001</v>
      </c>
      <c r="E1127" t="s">
        <v>4</v>
      </c>
      <c r="F1127" t="s">
        <v>49</v>
      </c>
      <c r="G1127" t="s">
        <v>8</v>
      </c>
    </row>
    <row r="1128" spans="1:7" x14ac:dyDescent="0.3">
      <c r="A1128" t="s">
        <v>22</v>
      </c>
      <c r="B1128" s="1">
        <v>45930</v>
      </c>
      <c r="C1128">
        <v>350034</v>
      </c>
      <c r="D1128">
        <v>421.25</v>
      </c>
      <c r="E1128" t="s">
        <v>4</v>
      </c>
      <c r="F1128" t="s">
        <v>49</v>
      </c>
      <c r="G1128" t="s">
        <v>8</v>
      </c>
    </row>
    <row r="1129" spans="1:7" x14ac:dyDescent="0.3">
      <c r="A1129" t="s">
        <v>22</v>
      </c>
      <c r="B1129" s="1">
        <v>45930</v>
      </c>
      <c r="C1129">
        <v>354013</v>
      </c>
      <c r="D1129">
        <v>7645.1660000000002</v>
      </c>
      <c r="E1129" t="s">
        <v>4</v>
      </c>
      <c r="F1129" t="s">
        <v>46</v>
      </c>
      <c r="G1129" t="s">
        <v>8</v>
      </c>
    </row>
    <row r="1130" spans="1:7" x14ac:dyDescent="0.3">
      <c r="A1130" t="s">
        <v>22</v>
      </c>
      <c r="B1130" s="1">
        <v>45930</v>
      </c>
      <c r="C1130">
        <v>354015</v>
      </c>
      <c r="D1130">
        <v>16657.239000000001</v>
      </c>
      <c r="E1130" t="s">
        <v>4</v>
      </c>
      <c r="F1130" t="s">
        <v>46</v>
      </c>
      <c r="G1130" t="s">
        <v>8</v>
      </c>
    </row>
    <row r="1131" spans="1:7" x14ac:dyDescent="0.3">
      <c r="A1131" t="s">
        <v>22</v>
      </c>
      <c r="B1131" s="1">
        <v>45930</v>
      </c>
      <c r="C1131">
        <v>355002</v>
      </c>
      <c r="D1131">
        <v>37.426000000000002</v>
      </c>
      <c r="E1131" t="s">
        <v>4</v>
      </c>
      <c r="F1131" t="s">
        <v>49</v>
      </c>
      <c r="G1131" t="s">
        <v>8</v>
      </c>
    </row>
    <row r="1132" spans="1:7" x14ac:dyDescent="0.3">
      <c r="A1132" t="s">
        <v>22</v>
      </c>
      <c r="B1132" s="1">
        <v>45930</v>
      </c>
      <c r="C1132">
        <v>360026</v>
      </c>
      <c r="D1132">
        <v>1704.009</v>
      </c>
      <c r="E1132" t="s">
        <v>4</v>
      </c>
      <c r="F1132" t="s">
        <v>58</v>
      </c>
      <c r="G1132" t="s">
        <v>8</v>
      </c>
    </row>
    <row r="1133" spans="1:7" x14ac:dyDescent="0.3">
      <c r="A1133" t="s">
        <v>22</v>
      </c>
      <c r="B1133" s="1">
        <v>45930</v>
      </c>
      <c r="C1133">
        <v>360028</v>
      </c>
      <c r="D1133">
        <v>12376.554</v>
      </c>
      <c r="E1133" t="s">
        <v>4</v>
      </c>
      <c r="F1133" t="s">
        <v>58</v>
      </c>
      <c r="G1133" t="s">
        <v>8</v>
      </c>
    </row>
    <row r="1134" spans="1:7" x14ac:dyDescent="0.3">
      <c r="A1134" t="s">
        <v>22</v>
      </c>
      <c r="B1134" s="1">
        <v>45930</v>
      </c>
      <c r="C1134">
        <v>360030</v>
      </c>
      <c r="D1134">
        <v>624.29600000000005</v>
      </c>
      <c r="E1134" t="s">
        <v>4</v>
      </c>
      <c r="F1134" t="s">
        <v>58</v>
      </c>
      <c r="G1134" t="s">
        <v>8</v>
      </c>
    </row>
    <row r="1135" spans="1:7" x14ac:dyDescent="0.3">
      <c r="A1135" t="s">
        <v>22</v>
      </c>
      <c r="B1135" s="1">
        <v>45930</v>
      </c>
      <c r="C1135">
        <v>360032</v>
      </c>
      <c r="D1135">
        <v>426.83699999999999</v>
      </c>
      <c r="E1135" t="s">
        <v>4</v>
      </c>
      <c r="F1135" t="s">
        <v>58</v>
      </c>
      <c r="G1135" t="s">
        <v>8</v>
      </c>
    </row>
    <row r="1136" spans="1:7" x14ac:dyDescent="0.3">
      <c r="A1136" t="s">
        <v>22</v>
      </c>
      <c r="B1136" s="1">
        <v>45930</v>
      </c>
      <c r="C1136">
        <v>372004</v>
      </c>
      <c r="D1136">
        <v>2366.1880000000001</v>
      </c>
      <c r="E1136" t="s">
        <v>4</v>
      </c>
      <c r="F1136" t="s">
        <v>45</v>
      </c>
      <c r="G1136" t="s">
        <v>8</v>
      </c>
    </row>
    <row r="1137" spans="1:7" x14ac:dyDescent="0.3">
      <c r="A1137" t="s">
        <v>22</v>
      </c>
      <c r="B1137" s="1">
        <v>45930</v>
      </c>
      <c r="C1137">
        <v>400002</v>
      </c>
      <c r="D1137">
        <v>-54978.036999999997</v>
      </c>
      <c r="E1137" t="s">
        <v>6</v>
      </c>
      <c r="F1137" t="s">
        <v>50</v>
      </c>
      <c r="G1137" t="s">
        <v>8</v>
      </c>
    </row>
    <row r="1138" spans="1:7" x14ac:dyDescent="0.3">
      <c r="A1138" t="s">
        <v>22</v>
      </c>
      <c r="B1138" s="1">
        <v>45930</v>
      </c>
      <c r="C1138">
        <v>400004</v>
      </c>
      <c r="D1138">
        <v>-103385.334</v>
      </c>
      <c r="E1138" t="s">
        <v>6</v>
      </c>
      <c r="F1138" t="s">
        <v>50</v>
      </c>
      <c r="G1138" t="s">
        <v>8</v>
      </c>
    </row>
    <row r="1139" spans="1:7" x14ac:dyDescent="0.3">
      <c r="A1139" t="s">
        <v>22</v>
      </c>
      <c r="B1139" s="1">
        <v>45930</v>
      </c>
      <c r="C1139">
        <v>410002</v>
      </c>
      <c r="D1139">
        <v>-5170.6530000000002</v>
      </c>
      <c r="E1139" t="s">
        <v>6</v>
      </c>
      <c r="F1139" t="s">
        <v>51</v>
      </c>
      <c r="G1139" t="s">
        <v>8</v>
      </c>
    </row>
    <row r="1140" spans="1:7" x14ac:dyDescent="0.3">
      <c r="A1140" t="s">
        <v>22</v>
      </c>
      <c r="B1140" s="1">
        <v>45930</v>
      </c>
      <c r="C1140">
        <v>421002</v>
      </c>
      <c r="D1140">
        <v>-54.59</v>
      </c>
      <c r="E1140" t="s">
        <v>6</v>
      </c>
      <c r="F1140" t="s">
        <v>52</v>
      </c>
      <c r="G1140" t="s">
        <v>8</v>
      </c>
    </row>
    <row r="1141" spans="1:7" x14ac:dyDescent="0.3">
      <c r="A1141" t="s">
        <v>22</v>
      </c>
      <c r="B1141" s="1">
        <v>45930</v>
      </c>
      <c r="C1141">
        <v>421003</v>
      </c>
      <c r="D1141">
        <v>43.14</v>
      </c>
      <c r="E1141" t="s">
        <v>6</v>
      </c>
      <c r="F1141" t="s">
        <v>52</v>
      </c>
      <c r="G1141" t="s">
        <v>8</v>
      </c>
    </row>
    <row r="1142" spans="1:7" x14ac:dyDescent="0.3">
      <c r="A1142" t="s">
        <v>22</v>
      </c>
      <c r="B1142" s="1">
        <v>45930</v>
      </c>
      <c r="C1142">
        <v>421007</v>
      </c>
      <c r="D1142">
        <v>5.0000000000000001E-3</v>
      </c>
      <c r="E1142" t="s">
        <v>6</v>
      </c>
      <c r="F1142" t="s">
        <v>52</v>
      </c>
      <c r="G1142" t="s">
        <v>8</v>
      </c>
    </row>
    <row r="1143" spans="1:7" x14ac:dyDescent="0.3">
      <c r="A1143" t="s">
        <v>22</v>
      </c>
      <c r="B1143" s="1">
        <v>45930</v>
      </c>
      <c r="C1143">
        <v>510002</v>
      </c>
      <c r="D1143">
        <v>34846.055</v>
      </c>
      <c r="E1143" t="s">
        <v>6</v>
      </c>
      <c r="F1143" t="s">
        <v>53</v>
      </c>
      <c r="G1143" t="s">
        <v>8</v>
      </c>
    </row>
    <row r="1144" spans="1:7" x14ac:dyDescent="0.3">
      <c r="A1144" t="s">
        <v>22</v>
      </c>
      <c r="B1144" s="1">
        <v>45930</v>
      </c>
      <c r="C1144">
        <v>510005</v>
      </c>
      <c r="D1144">
        <v>2700.0149999999999</v>
      </c>
      <c r="E1144" t="s">
        <v>6</v>
      </c>
      <c r="F1144" t="s">
        <v>53</v>
      </c>
      <c r="G1144" t="s">
        <v>8</v>
      </c>
    </row>
    <row r="1145" spans="1:7" x14ac:dyDescent="0.3">
      <c r="A1145" t="s">
        <v>22</v>
      </c>
      <c r="B1145" s="1">
        <v>45930</v>
      </c>
      <c r="C1145">
        <v>510007</v>
      </c>
      <c r="D1145">
        <v>1583.809</v>
      </c>
      <c r="E1145" t="s">
        <v>6</v>
      </c>
      <c r="F1145" t="s">
        <v>53</v>
      </c>
      <c r="G1145" t="s">
        <v>8</v>
      </c>
    </row>
    <row r="1146" spans="1:7" x14ac:dyDescent="0.3">
      <c r="A1146" t="s">
        <v>22</v>
      </c>
      <c r="B1146" s="1">
        <v>45930</v>
      </c>
      <c r="C1146">
        <v>510015</v>
      </c>
      <c r="D1146">
        <v>5383.107</v>
      </c>
      <c r="E1146" t="s">
        <v>6</v>
      </c>
      <c r="F1146" t="s">
        <v>53</v>
      </c>
      <c r="G1146" t="s">
        <v>8</v>
      </c>
    </row>
    <row r="1147" spans="1:7" x14ac:dyDescent="0.3">
      <c r="A1147" t="s">
        <v>22</v>
      </c>
      <c r="B1147" s="1">
        <v>45930</v>
      </c>
      <c r="C1147">
        <v>510062</v>
      </c>
      <c r="D1147">
        <v>110.202</v>
      </c>
      <c r="E1147" t="s">
        <v>6</v>
      </c>
      <c r="F1147" t="s">
        <v>53</v>
      </c>
      <c r="G1147" t="s">
        <v>8</v>
      </c>
    </row>
    <row r="1148" spans="1:7" x14ac:dyDescent="0.3">
      <c r="A1148" t="s">
        <v>22</v>
      </c>
      <c r="B1148" s="1">
        <v>45930</v>
      </c>
      <c r="C1148">
        <v>510064</v>
      </c>
      <c r="D1148">
        <v>636.47400000000005</v>
      </c>
      <c r="E1148" t="s">
        <v>6</v>
      </c>
      <c r="F1148" t="s">
        <v>53</v>
      </c>
      <c r="G1148" t="s">
        <v>8</v>
      </c>
    </row>
    <row r="1149" spans="1:7" x14ac:dyDescent="0.3">
      <c r="A1149" t="s">
        <v>22</v>
      </c>
      <c r="B1149" s="1">
        <v>45930</v>
      </c>
      <c r="C1149">
        <v>510065</v>
      </c>
      <c r="D1149">
        <v>4249.6980000000003</v>
      </c>
      <c r="E1149" t="s">
        <v>6</v>
      </c>
      <c r="F1149" t="s">
        <v>53</v>
      </c>
      <c r="G1149" t="s">
        <v>8</v>
      </c>
    </row>
    <row r="1150" spans="1:7" x14ac:dyDescent="0.3">
      <c r="A1150" t="s">
        <v>22</v>
      </c>
      <c r="B1150" s="1">
        <v>45930</v>
      </c>
      <c r="C1150">
        <v>520020</v>
      </c>
      <c r="D1150">
        <v>534.66</v>
      </c>
      <c r="E1150" t="s">
        <v>6</v>
      </c>
      <c r="F1150" t="s">
        <v>53</v>
      </c>
      <c r="G1150" t="s">
        <v>8</v>
      </c>
    </row>
    <row r="1151" spans="1:7" x14ac:dyDescent="0.3">
      <c r="A1151" t="s">
        <v>22</v>
      </c>
      <c r="B1151" s="1">
        <v>45930</v>
      </c>
      <c r="C1151">
        <v>541003</v>
      </c>
      <c r="D1151">
        <v>12.585000000000001</v>
      </c>
      <c r="E1151" t="s">
        <v>6</v>
      </c>
      <c r="F1151" t="s">
        <v>61</v>
      </c>
      <c r="G1151" t="s">
        <v>8</v>
      </c>
    </row>
    <row r="1152" spans="1:7" x14ac:dyDescent="0.3">
      <c r="A1152" t="s">
        <v>22</v>
      </c>
      <c r="B1152" s="1">
        <v>45930</v>
      </c>
      <c r="C1152">
        <v>541009</v>
      </c>
      <c r="D1152">
        <v>221.572</v>
      </c>
      <c r="E1152" t="s">
        <v>6</v>
      </c>
      <c r="F1152" t="s">
        <v>61</v>
      </c>
      <c r="G1152" t="s">
        <v>8</v>
      </c>
    </row>
    <row r="1153" spans="1:7" x14ac:dyDescent="0.3">
      <c r="A1153" t="s">
        <v>22</v>
      </c>
      <c r="B1153" s="1">
        <v>45930</v>
      </c>
      <c r="C1153">
        <v>541010</v>
      </c>
      <c r="D1153">
        <v>3218.5120000000002</v>
      </c>
      <c r="E1153" t="s">
        <v>6</v>
      </c>
      <c r="F1153" t="s">
        <v>61</v>
      </c>
      <c r="G1153" t="s">
        <v>8</v>
      </c>
    </row>
    <row r="1154" spans="1:7" x14ac:dyDescent="0.3">
      <c r="A1154" t="s">
        <v>22</v>
      </c>
      <c r="B1154" s="1">
        <v>45930</v>
      </c>
      <c r="C1154">
        <v>546002</v>
      </c>
      <c r="D1154">
        <v>90979.092000000004</v>
      </c>
      <c r="E1154" t="s">
        <v>6</v>
      </c>
      <c r="F1154" t="s">
        <v>51</v>
      </c>
      <c r="G1154" t="s">
        <v>8</v>
      </c>
    </row>
    <row r="1155" spans="1:7" x14ac:dyDescent="0.3">
      <c r="A1155" t="s">
        <v>22</v>
      </c>
      <c r="B1155" s="1">
        <v>45930</v>
      </c>
      <c r="C1155">
        <v>546013</v>
      </c>
      <c r="D1155">
        <v>90.855999999999995</v>
      </c>
      <c r="E1155" t="s">
        <v>6</v>
      </c>
      <c r="F1155" t="s">
        <v>51</v>
      </c>
      <c r="G1155" t="s">
        <v>8</v>
      </c>
    </row>
    <row r="1156" spans="1:7" x14ac:dyDescent="0.3">
      <c r="A1156" t="s">
        <v>22</v>
      </c>
      <c r="B1156" s="1">
        <v>45930</v>
      </c>
      <c r="C1156">
        <v>546035</v>
      </c>
      <c r="D1156">
        <v>508.42099999999999</v>
      </c>
      <c r="E1156" t="s">
        <v>6</v>
      </c>
      <c r="F1156" t="s">
        <v>51</v>
      </c>
      <c r="G1156" t="s">
        <v>8</v>
      </c>
    </row>
    <row r="1157" spans="1:7" x14ac:dyDescent="0.3">
      <c r="A1157" t="s">
        <v>22</v>
      </c>
      <c r="B1157" s="1">
        <v>45930</v>
      </c>
      <c r="C1157">
        <v>546040</v>
      </c>
      <c r="D1157">
        <v>398.35700000000003</v>
      </c>
      <c r="E1157" t="s">
        <v>6</v>
      </c>
      <c r="F1157" t="s">
        <v>51</v>
      </c>
      <c r="G1157" t="s">
        <v>8</v>
      </c>
    </row>
    <row r="1158" spans="1:7" x14ac:dyDescent="0.3">
      <c r="A1158" t="s">
        <v>22</v>
      </c>
      <c r="B1158" s="1">
        <v>45930</v>
      </c>
      <c r="C1158">
        <v>546045</v>
      </c>
      <c r="D1158">
        <v>321.512</v>
      </c>
      <c r="E1158" t="s">
        <v>6</v>
      </c>
      <c r="F1158" t="s">
        <v>51</v>
      </c>
      <c r="G1158" t="s">
        <v>8</v>
      </c>
    </row>
    <row r="1159" spans="1:7" x14ac:dyDescent="0.3">
      <c r="A1159" t="s">
        <v>22</v>
      </c>
      <c r="B1159" s="1">
        <v>45930</v>
      </c>
      <c r="C1159">
        <v>550002</v>
      </c>
      <c r="D1159">
        <v>6960.9430000000002</v>
      </c>
      <c r="E1159" t="s">
        <v>6</v>
      </c>
      <c r="F1159" t="s">
        <v>62</v>
      </c>
      <c r="G1159" t="s">
        <v>8</v>
      </c>
    </row>
    <row r="1160" spans="1:7" x14ac:dyDescent="0.3">
      <c r="A1160" t="s">
        <v>22</v>
      </c>
      <c r="B1160" s="1">
        <v>45930</v>
      </c>
      <c r="C1160">
        <v>550003</v>
      </c>
      <c r="D1160">
        <v>13748.495999999999</v>
      </c>
      <c r="E1160" t="s">
        <v>6</v>
      </c>
      <c r="F1160" t="s">
        <v>62</v>
      </c>
      <c r="G1160" t="s">
        <v>8</v>
      </c>
    </row>
    <row r="1161" spans="1:7" x14ac:dyDescent="0.3">
      <c r="A1161" t="s">
        <v>22</v>
      </c>
      <c r="B1161" s="1">
        <v>45930</v>
      </c>
      <c r="C1161">
        <v>552502</v>
      </c>
      <c r="D1161">
        <v>228.41200000000001</v>
      </c>
      <c r="E1161" t="s">
        <v>6</v>
      </c>
      <c r="F1161" t="s">
        <v>55</v>
      </c>
      <c r="G1161" t="s">
        <v>8</v>
      </c>
    </row>
    <row r="1162" spans="1:7" x14ac:dyDescent="0.3">
      <c r="A1162" t="s">
        <v>22</v>
      </c>
      <c r="B1162" s="1">
        <v>45930</v>
      </c>
      <c r="C1162">
        <v>556002</v>
      </c>
      <c r="D1162">
        <v>38.485999999999997</v>
      </c>
      <c r="E1162" t="s">
        <v>6</v>
      </c>
      <c r="F1162" t="s">
        <v>60</v>
      </c>
      <c r="G1162" t="s">
        <v>8</v>
      </c>
    </row>
    <row r="1163" spans="1:7" x14ac:dyDescent="0.3">
      <c r="A1163" t="s">
        <v>22</v>
      </c>
      <c r="B1163" s="1">
        <v>45930</v>
      </c>
      <c r="C1163">
        <v>557002</v>
      </c>
      <c r="D1163">
        <v>2537.2649999999999</v>
      </c>
      <c r="E1163" t="s">
        <v>6</v>
      </c>
      <c r="F1163" t="s">
        <v>56</v>
      </c>
      <c r="G1163" t="s">
        <v>8</v>
      </c>
    </row>
    <row r="1164" spans="1:7" x14ac:dyDescent="0.3">
      <c r="A1164" t="s">
        <v>22</v>
      </c>
      <c r="B1164" s="1">
        <v>45930</v>
      </c>
      <c r="C1164">
        <v>558012</v>
      </c>
      <c r="D1164">
        <v>17.623999999999999</v>
      </c>
      <c r="E1164" t="s">
        <v>6</v>
      </c>
      <c r="F1164" t="s">
        <v>60</v>
      </c>
      <c r="G1164" t="s">
        <v>8</v>
      </c>
    </row>
    <row r="1165" spans="1:7" x14ac:dyDescent="0.3">
      <c r="A1165" t="s">
        <v>22</v>
      </c>
      <c r="B1165" s="1">
        <v>45930</v>
      </c>
      <c r="C1165">
        <v>564004</v>
      </c>
      <c r="D1165">
        <v>7202.7169999999996</v>
      </c>
      <c r="E1165" t="s">
        <v>6</v>
      </c>
      <c r="F1165" t="s">
        <v>51</v>
      </c>
      <c r="G1165" t="s">
        <v>8</v>
      </c>
    </row>
    <row r="1166" spans="1:7" x14ac:dyDescent="0.3">
      <c r="A1166" t="s">
        <v>22</v>
      </c>
      <c r="B1166" s="1">
        <v>45930</v>
      </c>
      <c r="C1166">
        <v>564006</v>
      </c>
      <c r="D1166">
        <v>-1E-3</v>
      </c>
      <c r="E1166" t="s">
        <v>6</v>
      </c>
      <c r="F1166" t="s">
        <v>57</v>
      </c>
      <c r="G1166" t="s">
        <v>8</v>
      </c>
    </row>
    <row r="1167" spans="1:7" x14ac:dyDescent="0.3">
      <c r="A1167" t="s">
        <v>22</v>
      </c>
      <c r="B1167" s="1">
        <v>45930</v>
      </c>
      <c r="C1167">
        <v>564020</v>
      </c>
      <c r="D1167">
        <v>455.24200000000002</v>
      </c>
      <c r="E1167" t="s">
        <v>6</v>
      </c>
      <c r="F1167" t="s">
        <v>57</v>
      </c>
      <c r="G1167" t="s">
        <v>8</v>
      </c>
    </row>
    <row r="1168" spans="1:7" x14ac:dyDescent="0.3">
      <c r="A1168" t="s">
        <v>22</v>
      </c>
      <c r="B1168" s="1">
        <v>45930</v>
      </c>
      <c r="C1168">
        <v>580005</v>
      </c>
      <c r="D1168">
        <v>-619.29200000000003</v>
      </c>
      <c r="E1168" t="s">
        <v>6</v>
      </c>
      <c r="F1168" t="s">
        <v>64</v>
      </c>
      <c r="G1168" t="s">
        <v>8</v>
      </c>
    </row>
    <row r="1169" spans="1:7" x14ac:dyDescent="0.3">
      <c r="A1169" t="s">
        <v>23</v>
      </c>
      <c r="B1169" s="1">
        <v>45930</v>
      </c>
      <c r="C1169">
        <v>220006</v>
      </c>
      <c r="D1169">
        <v>3206.511</v>
      </c>
      <c r="E1169" t="s">
        <v>4</v>
      </c>
      <c r="F1169" t="s">
        <v>42</v>
      </c>
      <c r="G1169" t="s">
        <v>5</v>
      </c>
    </row>
    <row r="1170" spans="1:7" x14ac:dyDescent="0.3">
      <c r="A1170" t="s">
        <v>23</v>
      </c>
      <c r="B1170" s="1">
        <v>45930</v>
      </c>
      <c r="C1170">
        <v>240002</v>
      </c>
      <c r="D1170">
        <v>-401.86799999999999</v>
      </c>
      <c r="E1170" t="s">
        <v>4</v>
      </c>
      <c r="F1170" t="s">
        <v>43</v>
      </c>
      <c r="G1170" t="s">
        <v>5</v>
      </c>
    </row>
    <row r="1171" spans="1:7" x14ac:dyDescent="0.3">
      <c r="A1171" t="s">
        <v>23</v>
      </c>
      <c r="B1171" s="1">
        <v>45930</v>
      </c>
      <c r="C1171">
        <v>242003</v>
      </c>
      <c r="D1171">
        <v>-21319.703000000001</v>
      </c>
      <c r="E1171" t="s">
        <v>4</v>
      </c>
      <c r="F1171" t="s">
        <v>43</v>
      </c>
      <c r="G1171" t="s">
        <v>5</v>
      </c>
    </row>
    <row r="1172" spans="1:7" x14ac:dyDescent="0.3">
      <c r="A1172" t="s">
        <v>23</v>
      </c>
      <c r="B1172" s="1">
        <v>45930</v>
      </c>
      <c r="C1172">
        <v>242019</v>
      </c>
      <c r="D1172">
        <v>-29610.155999999999</v>
      </c>
      <c r="E1172" t="s">
        <v>4</v>
      </c>
      <c r="F1172" t="s">
        <v>43</v>
      </c>
      <c r="G1172" t="s">
        <v>5</v>
      </c>
    </row>
    <row r="1173" spans="1:7" x14ac:dyDescent="0.3">
      <c r="A1173" t="s">
        <v>23</v>
      </c>
      <c r="B1173" s="1">
        <v>45930</v>
      </c>
      <c r="C1173">
        <v>242041</v>
      </c>
      <c r="D1173">
        <v>-0.26</v>
      </c>
      <c r="E1173" t="s">
        <v>4</v>
      </c>
      <c r="F1173" t="s">
        <v>43</v>
      </c>
      <c r="G1173" t="s">
        <v>5</v>
      </c>
    </row>
    <row r="1174" spans="1:7" x14ac:dyDescent="0.3">
      <c r="A1174" t="s">
        <v>23</v>
      </c>
      <c r="B1174" s="1">
        <v>45930</v>
      </c>
      <c r="C1174">
        <v>243002</v>
      </c>
      <c r="D1174">
        <v>-11379.284</v>
      </c>
      <c r="E1174" t="s">
        <v>4</v>
      </c>
      <c r="F1174" t="s">
        <v>43</v>
      </c>
      <c r="G1174" t="s">
        <v>5</v>
      </c>
    </row>
    <row r="1175" spans="1:7" x14ac:dyDescent="0.3">
      <c r="A1175" t="s">
        <v>23</v>
      </c>
      <c r="B1175" s="1">
        <v>45930</v>
      </c>
      <c r="C1175">
        <v>251005</v>
      </c>
      <c r="D1175">
        <v>862.55600000000004</v>
      </c>
      <c r="E1175" t="s">
        <v>4</v>
      </c>
      <c r="F1175" t="s">
        <v>46</v>
      </c>
      <c r="G1175" t="s">
        <v>5</v>
      </c>
    </row>
    <row r="1176" spans="1:7" x14ac:dyDescent="0.3">
      <c r="A1176" t="s">
        <v>23</v>
      </c>
      <c r="B1176" s="1">
        <v>45930</v>
      </c>
      <c r="C1176">
        <v>260004</v>
      </c>
      <c r="D1176">
        <v>-1887.5650000000001</v>
      </c>
      <c r="E1176" t="s">
        <v>4</v>
      </c>
      <c r="F1176" t="s">
        <v>45</v>
      </c>
      <c r="G1176" t="s">
        <v>5</v>
      </c>
    </row>
    <row r="1177" spans="1:7" x14ac:dyDescent="0.3">
      <c r="A1177" t="s">
        <v>23</v>
      </c>
      <c r="B1177" s="1">
        <v>45930</v>
      </c>
      <c r="C1177">
        <v>320002</v>
      </c>
      <c r="D1177">
        <v>7772.3119999999999</v>
      </c>
      <c r="E1177" t="s">
        <v>4</v>
      </c>
      <c r="F1177" t="s">
        <v>46</v>
      </c>
      <c r="G1177" t="s">
        <v>5</v>
      </c>
    </row>
    <row r="1178" spans="1:7" x14ac:dyDescent="0.3">
      <c r="A1178" t="s">
        <v>23</v>
      </c>
      <c r="B1178" s="1">
        <v>45930</v>
      </c>
      <c r="C1178">
        <v>321002</v>
      </c>
      <c r="D1178">
        <v>25461.565999999999</v>
      </c>
      <c r="E1178" t="s">
        <v>4</v>
      </c>
      <c r="F1178" t="s">
        <v>46</v>
      </c>
      <c r="G1178" t="s">
        <v>5</v>
      </c>
    </row>
    <row r="1179" spans="1:7" x14ac:dyDescent="0.3">
      <c r="A1179" t="s">
        <v>23</v>
      </c>
      <c r="B1179" s="1">
        <v>45930</v>
      </c>
      <c r="C1179">
        <v>340314</v>
      </c>
      <c r="D1179">
        <v>20461.935000000001</v>
      </c>
      <c r="E1179" t="s">
        <v>4</v>
      </c>
      <c r="F1179" t="s">
        <v>47</v>
      </c>
      <c r="G1179" t="s">
        <v>5</v>
      </c>
    </row>
    <row r="1180" spans="1:7" x14ac:dyDescent="0.3">
      <c r="A1180" t="s">
        <v>23</v>
      </c>
      <c r="B1180" s="1">
        <v>45930</v>
      </c>
      <c r="C1180">
        <v>355017</v>
      </c>
      <c r="D1180">
        <v>2443.2570000000001</v>
      </c>
      <c r="E1180" t="s">
        <v>4</v>
      </c>
      <c r="F1180" t="s">
        <v>49</v>
      </c>
      <c r="G1180" t="s">
        <v>5</v>
      </c>
    </row>
    <row r="1181" spans="1:7" x14ac:dyDescent="0.3">
      <c r="A1181" t="s">
        <v>23</v>
      </c>
      <c r="B1181" s="1">
        <v>45930</v>
      </c>
      <c r="C1181">
        <v>372004</v>
      </c>
      <c r="D1181">
        <v>1183.2860000000001</v>
      </c>
      <c r="E1181" t="s">
        <v>4</v>
      </c>
      <c r="F1181" t="s">
        <v>45</v>
      </c>
      <c r="G1181" t="s">
        <v>5</v>
      </c>
    </row>
    <row r="1182" spans="1:7" x14ac:dyDescent="0.3">
      <c r="A1182" t="s">
        <v>23</v>
      </c>
      <c r="B1182" s="1">
        <v>45930</v>
      </c>
      <c r="C1182">
        <v>400002</v>
      </c>
      <c r="D1182">
        <v>-1164.7670000000001</v>
      </c>
      <c r="E1182" t="s">
        <v>6</v>
      </c>
      <c r="F1182" t="s">
        <v>50</v>
      </c>
      <c r="G1182" t="s">
        <v>5</v>
      </c>
    </row>
    <row r="1183" spans="1:7" x14ac:dyDescent="0.3">
      <c r="A1183" t="s">
        <v>23</v>
      </c>
      <c r="B1183" s="1">
        <v>45930</v>
      </c>
      <c r="C1183">
        <v>400004</v>
      </c>
      <c r="D1183">
        <v>123.461</v>
      </c>
      <c r="E1183" t="s">
        <v>6</v>
      </c>
      <c r="F1183" t="s">
        <v>50</v>
      </c>
      <c r="G1183" t="s">
        <v>5</v>
      </c>
    </row>
    <row r="1184" spans="1:7" x14ac:dyDescent="0.3">
      <c r="A1184" t="s">
        <v>23</v>
      </c>
      <c r="B1184" s="1">
        <v>45930</v>
      </c>
      <c r="C1184">
        <v>410002</v>
      </c>
      <c r="D1184">
        <v>-41432.915000000001</v>
      </c>
      <c r="E1184" t="s">
        <v>6</v>
      </c>
      <c r="F1184" t="s">
        <v>51</v>
      </c>
      <c r="G1184" t="s">
        <v>5</v>
      </c>
    </row>
    <row r="1185" spans="1:7" x14ac:dyDescent="0.3">
      <c r="A1185" t="s">
        <v>23</v>
      </c>
      <c r="B1185" s="1">
        <v>45930</v>
      </c>
      <c r="C1185">
        <v>421003</v>
      </c>
      <c r="D1185">
        <v>3.8719999999999999</v>
      </c>
      <c r="E1185" t="s">
        <v>6</v>
      </c>
      <c r="F1185" t="s">
        <v>52</v>
      </c>
      <c r="G1185" t="s">
        <v>5</v>
      </c>
    </row>
    <row r="1186" spans="1:7" x14ac:dyDescent="0.3">
      <c r="A1186" t="s">
        <v>23</v>
      </c>
      <c r="B1186" s="1">
        <v>45930</v>
      </c>
      <c r="C1186">
        <v>546002</v>
      </c>
      <c r="D1186">
        <v>-104.93600000000001</v>
      </c>
      <c r="E1186" t="s">
        <v>6</v>
      </c>
      <c r="F1186" t="s">
        <v>51</v>
      </c>
      <c r="G1186" t="s">
        <v>5</v>
      </c>
    </row>
    <row r="1187" spans="1:7" x14ac:dyDescent="0.3">
      <c r="A1187" t="s">
        <v>23</v>
      </c>
      <c r="B1187" s="1">
        <v>45930</v>
      </c>
      <c r="C1187">
        <v>546018</v>
      </c>
      <c r="D1187">
        <v>781.92499999999995</v>
      </c>
      <c r="E1187" t="s">
        <v>6</v>
      </c>
      <c r="F1187" t="s">
        <v>51</v>
      </c>
      <c r="G1187" t="s">
        <v>5</v>
      </c>
    </row>
    <row r="1188" spans="1:7" x14ac:dyDescent="0.3">
      <c r="A1188" t="s">
        <v>23</v>
      </c>
      <c r="B1188" s="1">
        <v>45930</v>
      </c>
      <c r="C1188">
        <v>547002</v>
      </c>
      <c r="D1188">
        <v>38141.165000000001</v>
      </c>
      <c r="E1188" t="s">
        <v>6</v>
      </c>
      <c r="F1188" t="s">
        <v>54</v>
      </c>
      <c r="G1188" t="s">
        <v>5</v>
      </c>
    </row>
    <row r="1189" spans="1:7" x14ac:dyDescent="0.3">
      <c r="A1189" t="s">
        <v>23</v>
      </c>
      <c r="B1189" s="1">
        <v>45930</v>
      </c>
      <c r="C1189">
        <v>547011</v>
      </c>
      <c r="D1189">
        <v>284.42899999999997</v>
      </c>
      <c r="E1189" t="s">
        <v>6</v>
      </c>
      <c r="F1189" t="s">
        <v>54</v>
      </c>
      <c r="G1189" t="s">
        <v>5</v>
      </c>
    </row>
    <row r="1190" spans="1:7" x14ac:dyDescent="0.3">
      <c r="A1190" t="s">
        <v>23</v>
      </c>
      <c r="B1190" s="1">
        <v>45930</v>
      </c>
      <c r="C1190">
        <v>555508</v>
      </c>
      <c r="D1190">
        <v>302.27800000000002</v>
      </c>
      <c r="E1190" t="s">
        <v>6</v>
      </c>
      <c r="F1190" t="s">
        <v>55</v>
      </c>
      <c r="G1190" t="s">
        <v>5</v>
      </c>
    </row>
    <row r="1191" spans="1:7" x14ac:dyDescent="0.3">
      <c r="A1191" t="s">
        <v>23</v>
      </c>
      <c r="B1191" s="1">
        <v>45930</v>
      </c>
      <c r="C1191">
        <v>557002</v>
      </c>
      <c r="D1191">
        <v>590.18299999999999</v>
      </c>
      <c r="E1191" t="s">
        <v>6</v>
      </c>
      <c r="F1191" t="s">
        <v>56</v>
      </c>
      <c r="G1191" t="s">
        <v>5</v>
      </c>
    </row>
    <row r="1192" spans="1:7" x14ac:dyDescent="0.3">
      <c r="A1192" t="s">
        <v>23</v>
      </c>
      <c r="B1192" s="1">
        <v>45930</v>
      </c>
      <c r="C1192">
        <v>564019</v>
      </c>
      <c r="D1192">
        <v>5788.634</v>
      </c>
      <c r="E1192" t="s">
        <v>6</v>
      </c>
      <c r="F1192" t="s">
        <v>51</v>
      </c>
      <c r="G1192" t="s">
        <v>5</v>
      </c>
    </row>
    <row r="1193" spans="1:7" x14ac:dyDescent="0.3">
      <c r="A1193" t="s">
        <v>23</v>
      </c>
      <c r="B1193" s="1">
        <v>45930</v>
      </c>
      <c r="C1193">
        <v>564021</v>
      </c>
      <c r="D1193">
        <v>128.06700000000001</v>
      </c>
      <c r="E1193" t="s">
        <v>6</v>
      </c>
      <c r="F1193" t="s">
        <v>57</v>
      </c>
      <c r="G1193" t="s">
        <v>5</v>
      </c>
    </row>
    <row r="1194" spans="1:7" x14ac:dyDescent="0.3">
      <c r="A1194" t="s">
        <v>24</v>
      </c>
      <c r="B1194" s="1">
        <v>45930</v>
      </c>
      <c r="C1194">
        <v>220006</v>
      </c>
      <c r="D1194">
        <v>9168.4189999999999</v>
      </c>
      <c r="E1194" t="s">
        <v>4</v>
      </c>
      <c r="F1194" t="s">
        <v>42</v>
      </c>
      <c r="G1194" t="s">
        <v>8</v>
      </c>
    </row>
    <row r="1195" spans="1:7" x14ac:dyDescent="0.3">
      <c r="A1195" t="s">
        <v>24</v>
      </c>
      <c r="B1195" s="1">
        <v>45930</v>
      </c>
      <c r="C1195">
        <v>240002</v>
      </c>
      <c r="D1195">
        <v>-79.724000000000004</v>
      </c>
      <c r="E1195" t="s">
        <v>4</v>
      </c>
      <c r="F1195" t="s">
        <v>43</v>
      </c>
      <c r="G1195" t="s">
        <v>8</v>
      </c>
    </row>
    <row r="1196" spans="1:7" x14ac:dyDescent="0.3">
      <c r="A1196" t="s">
        <v>24</v>
      </c>
      <c r="B1196" s="1">
        <v>45930</v>
      </c>
      <c r="C1196">
        <v>243002</v>
      </c>
      <c r="D1196">
        <v>-302.30399999999997</v>
      </c>
      <c r="E1196" t="s">
        <v>4</v>
      </c>
      <c r="F1196" t="s">
        <v>43</v>
      </c>
      <c r="G1196" t="s">
        <v>8</v>
      </c>
    </row>
    <row r="1197" spans="1:7" x14ac:dyDescent="0.3">
      <c r="A1197" t="s">
        <v>24</v>
      </c>
      <c r="B1197" s="1">
        <v>45930</v>
      </c>
      <c r="C1197">
        <v>330132</v>
      </c>
      <c r="D1197">
        <v>-8250.5360000000001</v>
      </c>
      <c r="E1197" t="s">
        <v>4</v>
      </c>
      <c r="F1197" t="s">
        <v>43</v>
      </c>
      <c r="G1197" t="s">
        <v>8</v>
      </c>
    </row>
    <row r="1198" spans="1:7" x14ac:dyDescent="0.3">
      <c r="A1198" t="s">
        <v>24</v>
      </c>
      <c r="B1198" s="1">
        <v>45930</v>
      </c>
      <c r="C1198">
        <v>330147</v>
      </c>
      <c r="D1198">
        <v>-1932.47</v>
      </c>
      <c r="E1198" t="s">
        <v>4</v>
      </c>
      <c r="F1198" t="s">
        <v>43</v>
      </c>
      <c r="G1198" t="s">
        <v>8</v>
      </c>
    </row>
    <row r="1199" spans="1:7" x14ac:dyDescent="0.3">
      <c r="A1199" t="s">
        <v>24</v>
      </c>
      <c r="B1199" s="1">
        <v>45930</v>
      </c>
      <c r="C1199">
        <v>340237</v>
      </c>
      <c r="D1199">
        <v>773.68</v>
      </c>
      <c r="E1199" t="s">
        <v>4</v>
      </c>
      <c r="F1199" t="s">
        <v>47</v>
      </c>
      <c r="G1199" t="s">
        <v>8</v>
      </c>
    </row>
    <row r="1200" spans="1:7" x14ac:dyDescent="0.3">
      <c r="A1200" t="s">
        <v>24</v>
      </c>
      <c r="B1200" s="1">
        <v>45930</v>
      </c>
      <c r="C1200">
        <v>340240</v>
      </c>
      <c r="D1200">
        <v>15.974</v>
      </c>
      <c r="E1200" t="s">
        <v>4</v>
      </c>
      <c r="F1200" t="s">
        <v>47</v>
      </c>
      <c r="G1200" t="s">
        <v>8</v>
      </c>
    </row>
    <row r="1201" spans="1:7" x14ac:dyDescent="0.3">
      <c r="A1201" t="s">
        <v>24</v>
      </c>
      <c r="B1201" s="1">
        <v>45930</v>
      </c>
      <c r="C1201">
        <v>340313</v>
      </c>
      <c r="D1201">
        <v>8.7989999999999995</v>
      </c>
      <c r="E1201" t="s">
        <v>4</v>
      </c>
      <c r="F1201" t="s">
        <v>47</v>
      </c>
      <c r="G1201" t="s">
        <v>8</v>
      </c>
    </row>
    <row r="1202" spans="1:7" x14ac:dyDescent="0.3">
      <c r="A1202" t="s">
        <v>24</v>
      </c>
      <c r="B1202" s="1">
        <v>45930</v>
      </c>
      <c r="C1202">
        <v>372004</v>
      </c>
      <c r="D1202">
        <v>24.565000000000001</v>
      </c>
      <c r="E1202" t="s">
        <v>4</v>
      </c>
      <c r="F1202" t="s">
        <v>45</v>
      </c>
      <c r="G1202" t="s">
        <v>8</v>
      </c>
    </row>
    <row r="1203" spans="1:7" x14ac:dyDescent="0.3">
      <c r="A1203" t="s">
        <v>24</v>
      </c>
      <c r="B1203" s="1">
        <v>45930</v>
      </c>
      <c r="C1203">
        <v>421003</v>
      </c>
      <c r="D1203">
        <v>1.663</v>
      </c>
      <c r="E1203" t="s">
        <v>6</v>
      </c>
      <c r="F1203" t="s">
        <v>52</v>
      </c>
      <c r="G1203" t="s">
        <v>8</v>
      </c>
    </row>
    <row r="1204" spans="1:7" x14ac:dyDescent="0.3">
      <c r="A1204" t="s">
        <v>24</v>
      </c>
      <c r="B1204" s="1">
        <v>45930</v>
      </c>
      <c r="C1204">
        <v>421004</v>
      </c>
      <c r="D1204">
        <v>-146.58099999999999</v>
      </c>
      <c r="E1204" t="s">
        <v>6</v>
      </c>
      <c r="F1204" t="s">
        <v>52</v>
      </c>
      <c r="G1204" t="s">
        <v>8</v>
      </c>
    </row>
    <row r="1205" spans="1:7" x14ac:dyDescent="0.3">
      <c r="A1205" t="s">
        <v>24</v>
      </c>
      <c r="B1205" s="1">
        <v>45930</v>
      </c>
      <c r="C1205">
        <v>552502</v>
      </c>
      <c r="D1205">
        <v>76.284000000000006</v>
      </c>
      <c r="E1205" t="s">
        <v>6</v>
      </c>
      <c r="F1205" t="s">
        <v>55</v>
      </c>
      <c r="G1205" t="s">
        <v>8</v>
      </c>
    </row>
    <row r="1206" spans="1:7" x14ac:dyDescent="0.3">
      <c r="A1206" t="s">
        <v>24</v>
      </c>
      <c r="B1206" s="1">
        <v>45930</v>
      </c>
      <c r="C1206">
        <v>557002</v>
      </c>
      <c r="D1206">
        <v>608.78399999999999</v>
      </c>
      <c r="E1206" t="s">
        <v>6</v>
      </c>
      <c r="F1206" t="s">
        <v>56</v>
      </c>
      <c r="G1206" t="s">
        <v>8</v>
      </c>
    </row>
    <row r="1207" spans="1:7" x14ac:dyDescent="0.3">
      <c r="A1207" t="s">
        <v>24</v>
      </c>
      <c r="B1207" s="1">
        <v>45930</v>
      </c>
      <c r="C1207">
        <v>564020</v>
      </c>
      <c r="D1207">
        <v>61.896999999999998</v>
      </c>
      <c r="E1207" t="s">
        <v>6</v>
      </c>
      <c r="F1207" t="s">
        <v>57</v>
      </c>
      <c r="G1207" t="s">
        <v>8</v>
      </c>
    </row>
    <row r="1208" spans="1:7" x14ac:dyDescent="0.3">
      <c r="A1208" t="s">
        <v>25</v>
      </c>
      <c r="B1208" s="1">
        <v>45930</v>
      </c>
      <c r="C1208">
        <v>220006</v>
      </c>
      <c r="D1208">
        <v>-20467.992999999999</v>
      </c>
      <c r="E1208" t="s">
        <v>4</v>
      </c>
      <c r="F1208" t="s">
        <v>42</v>
      </c>
      <c r="G1208" t="s">
        <v>5</v>
      </c>
    </row>
    <row r="1209" spans="1:7" x14ac:dyDescent="0.3">
      <c r="A1209" t="s">
        <v>25</v>
      </c>
      <c r="B1209" s="1">
        <v>45930</v>
      </c>
      <c r="C1209">
        <v>240002</v>
      </c>
      <c r="D1209">
        <v>-57.097000000000001</v>
      </c>
      <c r="E1209" t="s">
        <v>4</v>
      </c>
      <c r="F1209" t="s">
        <v>43</v>
      </c>
      <c r="G1209" t="s">
        <v>5</v>
      </c>
    </row>
    <row r="1210" spans="1:7" x14ac:dyDescent="0.3">
      <c r="A1210" t="s">
        <v>25</v>
      </c>
      <c r="B1210" s="1">
        <v>45930</v>
      </c>
      <c r="C1210">
        <v>243002</v>
      </c>
      <c r="D1210">
        <v>-20.978999999999999</v>
      </c>
      <c r="E1210" t="s">
        <v>4</v>
      </c>
      <c r="F1210" t="s">
        <v>43</v>
      </c>
      <c r="G1210" t="s">
        <v>5</v>
      </c>
    </row>
    <row r="1211" spans="1:7" x14ac:dyDescent="0.3">
      <c r="A1211" t="s">
        <v>25</v>
      </c>
      <c r="B1211" s="1">
        <v>45930</v>
      </c>
      <c r="C1211">
        <v>330019</v>
      </c>
      <c r="D1211">
        <v>20430.062999999998</v>
      </c>
      <c r="E1211" t="s">
        <v>4</v>
      </c>
      <c r="F1211" t="s">
        <v>43</v>
      </c>
      <c r="G1211" t="s">
        <v>5</v>
      </c>
    </row>
    <row r="1212" spans="1:7" x14ac:dyDescent="0.3">
      <c r="A1212" t="s">
        <v>25</v>
      </c>
      <c r="B1212" s="1">
        <v>45930</v>
      </c>
      <c r="C1212">
        <v>340016</v>
      </c>
      <c r="D1212">
        <v>11.647</v>
      </c>
      <c r="E1212" t="s">
        <v>4</v>
      </c>
      <c r="F1212" t="s">
        <v>47</v>
      </c>
      <c r="G1212" t="s">
        <v>5</v>
      </c>
    </row>
    <row r="1213" spans="1:7" x14ac:dyDescent="0.3">
      <c r="A1213" t="s">
        <v>25</v>
      </c>
      <c r="B1213" s="1">
        <v>45930</v>
      </c>
      <c r="C1213">
        <v>557002</v>
      </c>
      <c r="D1213">
        <v>41.872</v>
      </c>
      <c r="E1213" t="s">
        <v>6</v>
      </c>
      <c r="F1213" t="s">
        <v>56</v>
      </c>
      <c r="G1213" t="s">
        <v>5</v>
      </c>
    </row>
    <row r="1214" spans="1:7" x14ac:dyDescent="0.3">
      <c r="A1214" t="s">
        <v>25</v>
      </c>
      <c r="B1214" s="1">
        <v>45930</v>
      </c>
      <c r="C1214">
        <v>564021</v>
      </c>
      <c r="D1214">
        <v>68.433000000000007</v>
      </c>
      <c r="E1214" t="s">
        <v>6</v>
      </c>
      <c r="F1214" t="s">
        <v>57</v>
      </c>
      <c r="G1214" t="s">
        <v>5</v>
      </c>
    </row>
    <row r="1215" spans="1:7" x14ac:dyDescent="0.3">
      <c r="A1215" t="s">
        <v>26</v>
      </c>
      <c r="B1215" s="1">
        <v>45930</v>
      </c>
      <c r="C1215">
        <v>220006</v>
      </c>
      <c r="D1215">
        <v>-533934.90500000003</v>
      </c>
      <c r="E1215" t="s">
        <v>4</v>
      </c>
      <c r="F1215" t="s">
        <v>42</v>
      </c>
      <c r="G1215" t="s">
        <v>5</v>
      </c>
    </row>
    <row r="1216" spans="1:7" x14ac:dyDescent="0.3">
      <c r="A1216" t="s">
        <v>26</v>
      </c>
      <c r="B1216" s="1">
        <v>45930</v>
      </c>
      <c r="C1216">
        <v>240002</v>
      </c>
      <c r="D1216">
        <v>489.15699999999998</v>
      </c>
      <c r="E1216" t="s">
        <v>4</v>
      </c>
      <c r="F1216" t="s">
        <v>43</v>
      </c>
      <c r="G1216" t="s">
        <v>5</v>
      </c>
    </row>
    <row r="1217" spans="1:7" x14ac:dyDescent="0.3">
      <c r="A1217" t="s">
        <v>26</v>
      </c>
      <c r="B1217" s="1">
        <v>45930</v>
      </c>
      <c r="C1217">
        <v>240009</v>
      </c>
      <c r="D1217">
        <v>-489.15699999999998</v>
      </c>
      <c r="E1217" t="s">
        <v>4</v>
      </c>
      <c r="F1217" t="s">
        <v>43</v>
      </c>
      <c r="G1217" t="s">
        <v>5</v>
      </c>
    </row>
    <row r="1218" spans="1:7" x14ac:dyDescent="0.3">
      <c r="A1218" t="s">
        <v>26</v>
      </c>
      <c r="B1218" s="1">
        <v>45930</v>
      </c>
      <c r="C1218">
        <v>242003</v>
      </c>
      <c r="D1218">
        <v>99693.937000000005</v>
      </c>
      <c r="E1218" t="s">
        <v>4</v>
      </c>
      <c r="F1218" t="s">
        <v>43</v>
      </c>
      <c r="G1218" t="s">
        <v>5</v>
      </c>
    </row>
    <row r="1219" spans="1:7" x14ac:dyDescent="0.3">
      <c r="A1219" t="s">
        <v>26</v>
      </c>
      <c r="B1219" s="1">
        <v>45930</v>
      </c>
      <c r="C1219">
        <v>242011</v>
      </c>
      <c r="D1219">
        <v>-3607.6660000000002</v>
      </c>
      <c r="E1219" t="s">
        <v>4</v>
      </c>
      <c r="F1219" t="s">
        <v>43</v>
      </c>
      <c r="G1219" t="s">
        <v>5</v>
      </c>
    </row>
    <row r="1220" spans="1:7" x14ac:dyDescent="0.3">
      <c r="A1220" t="s">
        <v>26</v>
      </c>
      <c r="B1220" s="1">
        <v>45930</v>
      </c>
      <c r="C1220">
        <v>242012</v>
      </c>
      <c r="D1220">
        <v>0.26100000000000001</v>
      </c>
      <c r="E1220" t="s">
        <v>4</v>
      </c>
      <c r="F1220" t="s">
        <v>43</v>
      </c>
      <c r="G1220" t="s">
        <v>5</v>
      </c>
    </row>
    <row r="1221" spans="1:7" x14ac:dyDescent="0.3">
      <c r="A1221" t="s">
        <v>26</v>
      </c>
      <c r="B1221" s="1">
        <v>45930</v>
      </c>
      <c r="C1221">
        <v>242014</v>
      </c>
      <c r="D1221">
        <v>-11.355</v>
      </c>
      <c r="E1221" t="s">
        <v>4</v>
      </c>
      <c r="F1221" t="s">
        <v>43</v>
      </c>
      <c r="G1221" t="s">
        <v>5</v>
      </c>
    </row>
    <row r="1222" spans="1:7" x14ac:dyDescent="0.3">
      <c r="A1222" t="s">
        <v>26</v>
      </c>
      <c r="B1222" s="1">
        <v>45930</v>
      </c>
      <c r="C1222">
        <v>242019</v>
      </c>
      <c r="D1222">
        <v>6416.4650000000001</v>
      </c>
      <c r="E1222" t="s">
        <v>4</v>
      </c>
      <c r="F1222" t="s">
        <v>43</v>
      </c>
      <c r="G1222" t="s">
        <v>5</v>
      </c>
    </row>
    <row r="1223" spans="1:7" x14ac:dyDescent="0.3">
      <c r="A1223" t="s">
        <v>26</v>
      </c>
      <c r="B1223" s="1">
        <v>45930</v>
      </c>
      <c r="C1223">
        <v>242038</v>
      </c>
      <c r="D1223">
        <v>-11.759</v>
      </c>
      <c r="E1223" t="s">
        <v>4</v>
      </c>
      <c r="F1223" t="s">
        <v>43</v>
      </c>
      <c r="G1223" t="s">
        <v>5</v>
      </c>
    </row>
    <row r="1224" spans="1:7" x14ac:dyDescent="0.3">
      <c r="A1224" t="s">
        <v>26</v>
      </c>
      <c r="B1224" s="1">
        <v>45930</v>
      </c>
      <c r="C1224">
        <v>242041</v>
      </c>
      <c r="D1224">
        <v>-953.99699999999996</v>
      </c>
      <c r="E1224" t="s">
        <v>4</v>
      </c>
      <c r="F1224" t="s">
        <v>43</v>
      </c>
      <c r="G1224" t="s">
        <v>5</v>
      </c>
    </row>
    <row r="1225" spans="1:7" x14ac:dyDescent="0.3">
      <c r="A1225" t="s">
        <v>26</v>
      </c>
      <c r="B1225" s="1">
        <v>45930</v>
      </c>
      <c r="C1225">
        <v>243002</v>
      </c>
      <c r="D1225">
        <v>-1799.269</v>
      </c>
      <c r="E1225" t="s">
        <v>4</v>
      </c>
      <c r="F1225" t="s">
        <v>43</v>
      </c>
      <c r="G1225" t="s">
        <v>5</v>
      </c>
    </row>
    <row r="1226" spans="1:7" x14ac:dyDescent="0.3">
      <c r="A1226" t="s">
        <v>26</v>
      </c>
      <c r="B1226" s="1">
        <v>45930</v>
      </c>
      <c r="C1226">
        <v>243003</v>
      </c>
      <c r="D1226">
        <v>-11041.453</v>
      </c>
      <c r="E1226" t="s">
        <v>4</v>
      </c>
      <c r="F1226" t="s">
        <v>43</v>
      </c>
      <c r="G1226" t="s">
        <v>5</v>
      </c>
    </row>
    <row r="1227" spans="1:7" x14ac:dyDescent="0.3">
      <c r="A1227" t="s">
        <v>26</v>
      </c>
      <c r="B1227" s="1">
        <v>45930</v>
      </c>
      <c r="C1227">
        <v>245010</v>
      </c>
      <c r="D1227">
        <v>-2313.5450000000001</v>
      </c>
      <c r="E1227" t="s">
        <v>4</v>
      </c>
      <c r="F1227" t="s">
        <v>44</v>
      </c>
      <c r="G1227" t="s">
        <v>5</v>
      </c>
    </row>
    <row r="1228" spans="1:7" x14ac:dyDescent="0.3">
      <c r="A1228" t="s">
        <v>26</v>
      </c>
      <c r="B1228" s="1">
        <v>45930</v>
      </c>
      <c r="C1228">
        <v>245056</v>
      </c>
      <c r="D1228">
        <v>-28.024999999999999</v>
      </c>
      <c r="E1228" t="s">
        <v>4</v>
      </c>
      <c r="F1228" t="s">
        <v>49</v>
      </c>
      <c r="G1228" t="s">
        <v>5</v>
      </c>
    </row>
    <row r="1229" spans="1:7" x14ac:dyDescent="0.3">
      <c r="A1229" t="s">
        <v>26</v>
      </c>
      <c r="B1229" s="1">
        <v>45930</v>
      </c>
      <c r="C1229">
        <v>245062</v>
      </c>
      <c r="D1229">
        <v>-4350.4520000000002</v>
      </c>
      <c r="E1229" t="s">
        <v>4</v>
      </c>
      <c r="F1229" t="s">
        <v>43</v>
      </c>
      <c r="G1229" t="s">
        <v>5</v>
      </c>
    </row>
    <row r="1230" spans="1:7" x14ac:dyDescent="0.3">
      <c r="A1230" t="s">
        <v>26</v>
      </c>
      <c r="B1230" s="1">
        <v>45930</v>
      </c>
      <c r="C1230">
        <v>250003</v>
      </c>
      <c r="D1230">
        <v>-2102.1709999999998</v>
      </c>
      <c r="E1230" t="s">
        <v>4</v>
      </c>
      <c r="F1230" t="s">
        <v>45</v>
      </c>
      <c r="G1230" t="s">
        <v>5</v>
      </c>
    </row>
    <row r="1231" spans="1:7" x14ac:dyDescent="0.3">
      <c r="A1231" t="s">
        <v>26</v>
      </c>
      <c r="B1231" s="1">
        <v>45930</v>
      </c>
      <c r="C1231">
        <v>251002</v>
      </c>
      <c r="D1231">
        <v>-5494.6589999999997</v>
      </c>
      <c r="E1231" t="s">
        <v>4</v>
      </c>
      <c r="F1231" t="s">
        <v>45</v>
      </c>
      <c r="G1231" t="s">
        <v>5</v>
      </c>
    </row>
    <row r="1232" spans="1:7" x14ac:dyDescent="0.3">
      <c r="A1232" t="s">
        <v>26</v>
      </c>
      <c r="B1232" s="1">
        <v>45930</v>
      </c>
      <c r="C1232">
        <v>251005</v>
      </c>
      <c r="D1232">
        <v>8.4779999999999998</v>
      </c>
      <c r="E1232" t="s">
        <v>4</v>
      </c>
      <c r="F1232" t="s">
        <v>46</v>
      </c>
      <c r="G1232" t="s">
        <v>5</v>
      </c>
    </row>
    <row r="1233" spans="1:7" x14ac:dyDescent="0.3">
      <c r="A1233" t="s">
        <v>26</v>
      </c>
      <c r="B1233" s="1">
        <v>45930</v>
      </c>
      <c r="C1233">
        <v>257005</v>
      </c>
      <c r="D1233">
        <v>-397.66</v>
      </c>
      <c r="E1233" t="s">
        <v>4</v>
      </c>
      <c r="F1233" t="s">
        <v>45</v>
      </c>
      <c r="G1233" t="s">
        <v>5</v>
      </c>
    </row>
    <row r="1234" spans="1:7" x14ac:dyDescent="0.3">
      <c r="A1234" t="s">
        <v>26</v>
      </c>
      <c r="B1234" s="1">
        <v>45930</v>
      </c>
      <c r="C1234">
        <v>257027</v>
      </c>
      <c r="D1234">
        <v>20.059000000000001</v>
      </c>
      <c r="E1234" t="s">
        <v>4</v>
      </c>
      <c r="F1234" t="s">
        <v>45</v>
      </c>
      <c r="G1234" t="s">
        <v>5</v>
      </c>
    </row>
    <row r="1235" spans="1:7" x14ac:dyDescent="0.3">
      <c r="A1235" t="s">
        <v>26</v>
      </c>
      <c r="B1235" s="1">
        <v>45930</v>
      </c>
      <c r="C1235">
        <v>257030</v>
      </c>
      <c r="D1235">
        <v>-13.472</v>
      </c>
      <c r="E1235" t="s">
        <v>4</v>
      </c>
      <c r="F1235" t="s">
        <v>45</v>
      </c>
      <c r="G1235" t="s">
        <v>5</v>
      </c>
    </row>
    <row r="1236" spans="1:7" x14ac:dyDescent="0.3">
      <c r="A1236" t="s">
        <v>26</v>
      </c>
      <c r="B1236" s="1">
        <v>45930</v>
      </c>
      <c r="C1236">
        <v>260004</v>
      </c>
      <c r="D1236">
        <v>-4060.0770000000002</v>
      </c>
      <c r="E1236" t="s">
        <v>4</v>
      </c>
      <c r="F1236" t="s">
        <v>45</v>
      </c>
      <c r="G1236" t="s">
        <v>5</v>
      </c>
    </row>
    <row r="1237" spans="1:7" x14ac:dyDescent="0.3">
      <c r="A1237" t="s">
        <v>26</v>
      </c>
      <c r="B1237" s="1">
        <v>45930</v>
      </c>
      <c r="C1237">
        <v>270025</v>
      </c>
      <c r="D1237">
        <v>2132.2800000000002</v>
      </c>
      <c r="E1237" t="s">
        <v>4</v>
      </c>
      <c r="F1237" t="s">
        <v>58</v>
      </c>
      <c r="G1237" t="s">
        <v>5</v>
      </c>
    </row>
    <row r="1238" spans="1:7" x14ac:dyDescent="0.3">
      <c r="A1238" t="s">
        <v>26</v>
      </c>
      <c r="B1238" s="1">
        <v>45930</v>
      </c>
      <c r="C1238">
        <v>270026</v>
      </c>
      <c r="D1238">
        <v>-692.67899999999997</v>
      </c>
      <c r="E1238" t="s">
        <v>4</v>
      </c>
      <c r="F1238" t="s">
        <v>58</v>
      </c>
      <c r="G1238" t="s">
        <v>5</v>
      </c>
    </row>
    <row r="1239" spans="1:7" x14ac:dyDescent="0.3">
      <c r="A1239" t="s">
        <v>26</v>
      </c>
      <c r="B1239" s="1">
        <v>45930</v>
      </c>
      <c r="C1239">
        <v>300008</v>
      </c>
      <c r="D1239">
        <v>1337.5319999999999</v>
      </c>
      <c r="E1239" t="s">
        <v>4</v>
      </c>
      <c r="F1239" t="s">
        <v>65</v>
      </c>
      <c r="G1239" t="s">
        <v>5</v>
      </c>
    </row>
    <row r="1240" spans="1:7" x14ac:dyDescent="0.3">
      <c r="A1240" t="s">
        <v>26</v>
      </c>
      <c r="B1240" s="1">
        <v>45930</v>
      </c>
      <c r="C1240">
        <v>300508</v>
      </c>
      <c r="D1240">
        <v>-542.61400000000003</v>
      </c>
      <c r="E1240" t="s">
        <v>4</v>
      </c>
      <c r="F1240" t="s">
        <v>65</v>
      </c>
      <c r="G1240" t="s">
        <v>5</v>
      </c>
    </row>
    <row r="1241" spans="1:7" x14ac:dyDescent="0.3">
      <c r="A1241" t="s">
        <v>26</v>
      </c>
      <c r="B1241" s="1">
        <v>45930</v>
      </c>
      <c r="C1241">
        <v>320002</v>
      </c>
      <c r="D1241">
        <v>69430.133000000002</v>
      </c>
      <c r="E1241" t="s">
        <v>4</v>
      </c>
      <c r="F1241" t="s">
        <v>46</v>
      </c>
      <c r="G1241" t="s">
        <v>5</v>
      </c>
    </row>
    <row r="1242" spans="1:7" x14ac:dyDescent="0.3">
      <c r="A1242" t="s">
        <v>26</v>
      </c>
      <c r="B1242" s="1">
        <v>45930</v>
      </c>
      <c r="C1242">
        <v>320003</v>
      </c>
      <c r="D1242">
        <v>1069.768</v>
      </c>
      <c r="E1242" t="s">
        <v>4</v>
      </c>
      <c r="F1242" t="s">
        <v>46</v>
      </c>
      <c r="G1242" t="s">
        <v>5</v>
      </c>
    </row>
    <row r="1243" spans="1:7" x14ac:dyDescent="0.3">
      <c r="A1243" t="s">
        <v>26</v>
      </c>
      <c r="B1243" s="1">
        <v>45930</v>
      </c>
      <c r="C1243">
        <v>320004</v>
      </c>
      <c r="D1243">
        <v>225.52099999999999</v>
      </c>
      <c r="E1243" t="s">
        <v>4</v>
      </c>
      <c r="F1243" t="s">
        <v>46</v>
      </c>
      <c r="G1243" t="s">
        <v>5</v>
      </c>
    </row>
    <row r="1244" spans="1:7" x14ac:dyDescent="0.3">
      <c r="A1244" t="s">
        <v>26</v>
      </c>
      <c r="B1244" s="1">
        <v>45930</v>
      </c>
      <c r="C1244">
        <v>320023</v>
      </c>
      <c r="D1244">
        <v>-8052.6949999999997</v>
      </c>
      <c r="E1244" t="s">
        <v>4</v>
      </c>
      <c r="F1244" t="s">
        <v>46</v>
      </c>
      <c r="G1244" t="s">
        <v>5</v>
      </c>
    </row>
    <row r="1245" spans="1:7" x14ac:dyDescent="0.3">
      <c r="A1245" t="s">
        <v>26</v>
      </c>
      <c r="B1245" s="1">
        <v>45930</v>
      </c>
      <c r="C1245">
        <v>321002</v>
      </c>
      <c r="D1245">
        <v>28253.264999999999</v>
      </c>
      <c r="E1245" t="s">
        <v>4</v>
      </c>
      <c r="F1245" t="s">
        <v>46</v>
      </c>
      <c r="G1245" t="s">
        <v>5</v>
      </c>
    </row>
    <row r="1246" spans="1:7" x14ac:dyDescent="0.3">
      <c r="A1246" t="s">
        <v>26</v>
      </c>
      <c r="B1246" s="1">
        <v>45930</v>
      </c>
      <c r="C1246">
        <v>321025</v>
      </c>
      <c r="D1246">
        <v>-2589.4189999999999</v>
      </c>
      <c r="E1246" t="s">
        <v>4</v>
      </c>
      <c r="F1246" t="s">
        <v>46</v>
      </c>
      <c r="G1246" t="s">
        <v>5</v>
      </c>
    </row>
    <row r="1247" spans="1:7" x14ac:dyDescent="0.3">
      <c r="A1247" t="s">
        <v>26</v>
      </c>
      <c r="B1247" s="1">
        <v>45930</v>
      </c>
      <c r="C1247">
        <v>321028</v>
      </c>
      <c r="D1247">
        <v>-32.048999999999999</v>
      </c>
      <c r="E1247" t="s">
        <v>4</v>
      </c>
      <c r="F1247" t="s">
        <v>46</v>
      </c>
      <c r="G1247" t="s">
        <v>5</v>
      </c>
    </row>
    <row r="1248" spans="1:7" x14ac:dyDescent="0.3">
      <c r="A1248" t="s">
        <v>26</v>
      </c>
      <c r="B1248" s="1">
        <v>45930</v>
      </c>
      <c r="C1248">
        <v>321029</v>
      </c>
      <c r="D1248">
        <v>3983.0039999999999</v>
      </c>
      <c r="E1248" t="s">
        <v>4</v>
      </c>
      <c r="F1248" t="s">
        <v>46</v>
      </c>
      <c r="G1248" t="s">
        <v>5</v>
      </c>
    </row>
    <row r="1249" spans="1:7" x14ac:dyDescent="0.3">
      <c r="A1249" t="s">
        <v>26</v>
      </c>
      <c r="B1249" s="1">
        <v>45930</v>
      </c>
      <c r="C1249">
        <v>321042</v>
      </c>
      <c r="D1249">
        <v>-2985.0320000000002</v>
      </c>
      <c r="E1249" t="s">
        <v>4</v>
      </c>
      <c r="F1249" t="s">
        <v>46</v>
      </c>
      <c r="G1249" t="s">
        <v>5</v>
      </c>
    </row>
    <row r="1250" spans="1:7" x14ac:dyDescent="0.3">
      <c r="A1250" t="s">
        <v>26</v>
      </c>
      <c r="B1250" s="1">
        <v>45930</v>
      </c>
      <c r="C1250">
        <v>330020</v>
      </c>
      <c r="D1250">
        <v>-1486.249</v>
      </c>
      <c r="E1250" t="s">
        <v>4</v>
      </c>
      <c r="F1250" t="s">
        <v>43</v>
      </c>
      <c r="G1250" t="s">
        <v>5</v>
      </c>
    </row>
    <row r="1251" spans="1:7" x14ac:dyDescent="0.3">
      <c r="A1251" t="s">
        <v>26</v>
      </c>
      <c r="B1251" s="1">
        <v>45930</v>
      </c>
      <c r="C1251">
        <v>330147</v>
      </c>
      <c r="D1251">
        <v>2399.1880000000001</v>
      </c>
      <c r="E1251" t="s">
        <v>4</v>
      </c>
      <c r="F1251" t="s">
        <v>43</v>
      </c>
      <c r="G1251" t="s">
        <v>5</v>
      </c>
    </row>
    <row r="1252" spans="1:7" x14ac:dyDescent="0.3">
      <c r="A1252" t="s">
        <v>26</v>
      </c>
      <c r="B1252" s="1">
        <v>45930</v>
      </c>
      <c r="C1252">
        <v>340031</v>
      </c>
      <c r="D1252">
        <v>309257.55900000001</v>
      </c>
      <c r="E1252" t="s">
        <v>4</v>
      </c>
      <c r="F1252" t="s">
        <v>47</v>
      </c>
      <c r="G1252" t="s">
        <v>5</v>
      </c>
    </row>
    <row r="1253" spans="1:7" x14ac:dyDescent="0.3">
      <c r="A1253" t="s">
        <v>26</v>
      </c>
      <c r="B1253" s="1">
        <v>45930</v>
      </c>
      <c r="C1253">
        <v>350002</v>
      </c>
      <c r="D1253">
        <v>1419.7860000000001</v>
      </c>
      <c r="E1253" t="s">
        <v>4</v>
      </c>
      <c r="F1253" t="s">
        <v>49</v>
      </c>
      <c r="G1253" t="s">
        <v>5</v>
      </c>
    </row>
    <row r="1254" spans="1:7" x14ac:dyDescent="0.3">
      <c r="A1254" t="s">
        <v>26</v>
      </c>
      <c r="B1254" s="1">
        <v>45930</v>
      </c>
      <c r="C1254">
        <v>350003</v>
      </c>
      <c r="D1254">
        <v>-843.78200000000004</v>
      </c>
      <c r="E1254" t="s">
        <v>4</v>
      </c>
      <c r="F1254" t="s">
        <v>49</v>
      </c>
      <c r="G1254" t="s">
        <v>5</v>
      </c>
    </row>
    <row r="1255" spans="1:7" x14ac:dyDescent="0.3">
      <c r="A1255" t="s">
        <v>26</v>
      </c>
      <c r="B1255" s="1">
        <v>45930</v>
      </c>
      <c r="C1255">
        <v>350007</v>
      </c>
      <c r="D1255">
        <v>4.68</v>
      </c>
      <c r="E1255" t="s">
        <v>4</v>
      </c>
      <c r="F1255" t="s">
        <v>49</v>
      </c>
      <c r="G1255" t="s">
        <v>5</v>
      </c>
    </row>
    <row r="1256" spans="1:7" x14ac:dyDescent="0.3">
      <c r="A1256" t="s">
        <v>26</v>
      </c>
      <c r="B1256" s="1">
        <v>45930</v>
      </c>
      <c r="C1256">
        <v>350031</v>
      </c>
      <c r="D1256">
        <v>489.15699999999998</v>
      </c>
      <c r="E1256" t="s">
        <v>4</v>
      </c>
      <c r="F1256" t="s">
        <v>43</v>
      </c>
      <c r="G1256" t="s">
        <v>5</v>
      </c>
    </row>
    <row r="1257" spans="1:7" x14ac:dyDescent="0.3">
      <c r="A1257" t="s">
        <v>26</v>
      </c>
      <c r="B1257" s="1">
        <v>45930</v>
      </c>
      <c r="C1257">
        <v>350034</v>
      </c>
      <c r="D1257">
        <v>28.024999999999999</v>
      </c>
      <c r="E1257" t="s">
        <v>4</v>
      </c>
      <c r="F1257" t="s">
        <v>49</v>
      </c>
      <c r="G1257" t="s">
        <v>5</v>
      </c>
    </row>
    <row r="1258" spans="1:7" x14ac:dyDescent="0.3">
      <c r="A1258" t="s">
        <v>26</v>
      </c>
      <c r="B1258" s="1">
        <v>45930</v>
      </c>
      <c r="C1258">
        <v>352002</v>
      </c>
      <c r="D1258">
        <v>1661.585</v>
      </c>
      <c r="E1258" t="s">
        <v>4</v>
      </c>
      <c r="F1258" t="s">
        <v>48</v>
      </c>
      <c r="G1258" t="s">
        <v>5</v>
      </c>
    </row>
    <row r="1259" spans="1:7" x14ac:dyDescent="0.3">
      <c r="A1259" t="s">
        <v>26</v>
      </c>
      <c r="B1259" s="1">
        <v>45930</v>
      </c>
      <c r="C1259">
        <v>354013</v>
      </c>
      <c r="D1259">
        <v>20737.526000000002</v>
      </c>
      <c r="E1259" t="s">
        <v>4</v>
      </c>
      <c r="F1259" t="s">
        <v>46</v>
      </c>
      <c r="G1259" t="s">
        <v>5</v>
      </c>
    </row>
    <row r="1260" spans="1:7" x14ac:dyDescent="0.3">
      <c r="A1260" t="s">
        <v>26</v>
      </c>
      <c r="B1260" s="1">
        <v>45930</v>
      </c>
      <c r="C1260">
        <v>354015</v>
      </c>
      <c r="D1260">
        <v>9696.9079999999994</v>
      </c>
      <c r="E1260" t="s">
        <v>4</v>
      </c>
      <c r="F1260" t="s">
        <v>46</v>
      </c>
      <c r="G1260" t="s">
        <v>5</v>
      </c>
    </row>
    <row r="1261" spans="1:7" x14ac:dyDescent="0.3">
      <c r="A1261" t="s">
        <v>26</v>
      </c>
      <c r="B1261" s="1">
        <v>45930</v>
      </c>
      <c r="C1261">
        <v>355016</v>
      </c>
      <c r="D1261">
        <v>549.90599999999995</v>
      </c>
      <c r="E1261" t="s">
        <v>4</v>
      </c>
      <c r="F1261" t="s">
        <v>49</v>
      </c>
      <c r="G1261" t="s">
        <v>5</v>
      </c>
    </row>
    <row r="1262" spans="1:7" x14ac:dyDescent="0.3">
      <c r="A1262" t="s">
        <v>26</v>
      </c>
      <c r="B1262" s="1">
        <v>45930</v>
      </c>
      <c r="C1262">
        <v>360030</v>
      </c>
      <c r="D1262">
        <v>727.22900000000004</v>
      </c>
      <c r="E1262" t="s">
        <v>4</v>
      </c>
      <c r="F1262" t="s">
        <v>58</v>
      </c>
      <c r="G1262" t="s">
        <v>5</v>
      </c>
    </row>
    <row r="1263" spans="1:7" x14ac:dyDescent="0.3">
      <c r="A1263" t="s">
        <v>26</v>
      </c>
      <c r="B1263" s="1">
        <v>45930</v>
      </c>
      <c r="C1263">
        <v>372004</v>
      </c>
      <c r="D1263">
        <v>1668.212</v>
      </c>
      <c r="E1263" t="s">
        <v>4</v>
      </c>
      <c r="F1263" t="s">
        <v>45</v>
      </c>
      <c r="G1263" t="s">
        <v>5</v>
      </c>
    </row>
    <row r="1264" spans="1:7" x14ac:dyDescent="0.3">
      <c r="A1264" t="s">
        <v>26</v>
      </c>
      <c r="B1264" s="1">
        <v>45930</v>
      </c>
      <c r="C1264">
        <v>400002</v>
      </c>
      <c r="D1264">
        <v>-34963.837</v>
      </c>
      <c r="E1264" t="s">
        <v>6</v>
      </c>
      <c r="F1264" t="s">
        <v>50</v>
      </c>
      <c r="G1264" t="s">
        <v>5</v>
      </c>
    </row>
    <row r="1265" spans="1:7" x14ac:dyDescent="0.3">
      <c r="A1265" t="s">
        <v>26</v>
      </c>
      <c r="B1265" s="1">
        <v>45930</v>
      </c>
      <c r="C1265">
        <v>400004</v>
      </c>
      <c r="D1265">
        <v>-85276.296000000002</v>
      </c>
      <c r="E1265" t="s">
        <v>6</v>
      </c>
      <c r="F1265" t="s">
        <v>50</v>
      </c>
      <c r="G1265" t="s">
        <v>5</v>
      </c>
    </row>
    <row r="1266" spans="1:7" x14ac:dyDescent="0.3">
      <c r="A1266" t="s">
        <v>26</v>
      </c>
      <c r="B1266" s="1">
        <v>45930</v>
      </c>
      <c r="C1266">
        <v>410002</v>
      </c>
      <c r="D1266">
        <v>-34705.131000000001</v>
      </c>
      <c r="E1266" t="s">
        <v>6</v>
      </c>
      <c r="F1266" t="s">
        <v>51</v>
      </c>
      <c r="G1266" t="s">
        <v>5</v>
      </c>
    </row>
    <row r="1267" spans="1:7" x14ac:dyDescent="0.3">
      <c r="A1267" t="s">
        <v>26</v>
      </c>
      <c r="B1267" s="1">
        <v>45930</v>
      </c>
      <c r="C1267">
        <v>410035</v>
      </c>
      <c r="D1267">
        <v>-261.27199999999999</v>
      </c>
      <c r="E1267" t="s">
        <v>6</v>
      </c>
      <c r="F1267" t="s">
        <v>51</v>
      </c>
      <c r="G1267" t="s">
        <v>5</v>
      </c>
    </row>
    <row r="1268" spans="1:7" x14ac:dyDescent="0.3">
      <c r="A1268" t="s">
        <v>26</v>
      </c>
      <c r="B1268" s="1">
        <v>45930</v>
      </c>
      <c r="C1268">
        <v>410036</v>
      </c>
      <c r="D1268">
        <v>3529.7689999999998</v>
      </c>
      <c r="E1268" t="s">
        <v>6</v>
      </c>
      <c r="F1268" t="s">
        <v>51</v>
      </c>
      <c r="G1268" t="s">
        <v>5</v>
      </c>
    </row>
    <row r="1269" spans="1:7" x14ac:dyDescent="0.3">
      <c r="A1269" t="s">
        <v>26</v>
      </c>
      <c r="B1269" s="1">
        <v>45930</v>
      </c>
      <c r="C1269">
        <v>410037</v>
      </c>
      <c r="D1269">
        <v>-8980.7420000000002</v>
      </c>
      <c r="E1269" t="s">
        <v>6</v>
      </c>
      <c r="F1269" t="s">
        <v>51</v>
      </c>
      <c r="G1269" t="s">
        <v>5</v>
      </c>
    </row>
    <row r="1270" spans="1:7" x14ac:dyDescent="0.3">
      <c r="A1270" t="s">
        <v>26</v>
      </c>
      <c r="B1270" s="1">
        <v>45930</v>
      </c>
      <c r="C1270">
        <v>421002</v>
      </c>
      <c r="D1270">
        <v>-199.40799999999999</v>
      </c>
      <c r="E1270" t="s">
        <v>6</v>
      </c>
      <c r="F1270" t="s">
        <v>52</v>
      </c>
      <c r="G1270" t="s">
        <v>5</v>
      </c>
    </row>
    <row r="1271" spans="1:7" x14ac:dyDescent="0.3">
      <c r="A1271" t="s">
        <v>26</v>
      </c>
      <c r="B1271" s="1">
        <v>45930</v>
      </c>
      <c r="C1271">
        <v>421003</v>
      </c>
      <c r="D1271">
        <v>640.71600000000001</v>
      </c>
      <c r="E1271" t="s">
        <v>6</v>
      </c>
      <c r="F1271" t="s">
        <v>52</v>
      </c>
      <c r="G1271" t="s">
        <v>5</v>
      </c>
    </row>
    <row r="1272" spans="1:7" x14ac:dyDescent="0.3">
      <c r="A1272" t="s">
        <v>26</v>
      </c>
      <c r="B1272" s="1">
        <v>45930</v>
      </c>
      <c r="C1272">
        <v>421007</v>
      </c>
      <c r="D1272">
        <v>1295.482</v>
      </c>
      <c r="E1272" t="s">
        <v>6</v>
      </c>
      <c r="F1272" t="s">
        <v>52</v>
      </c>
      <c r="G1272" t="s">
        <v>5</v>
      </c>
    </row>
    <row r="1273" spans="1:7" x14ac:dyDescent="0.3">
      <c r="A1273" t="s">
        <v>26</v>
      </c>
      <c r="B1273" s="1">
        <v>45930</v>
      </c>
      <c r="C1273">
        <v>510002</v>
      </c>
      <c r="D1273">
        <v>41792.968999999997</v>
      </c>
      <c r="E1273" t="s">
        <v>6</v>
      </c>
      <c r="F1273" t="s">
        <v>53</v>
      </c>
      <c r="G1273" t="s">
        <v>5</v>
      </c>
    </row>
    <row r="1274" spans="1:7" x14ac:dyDescent="0.3">
      <c r="A1274" t="s">
        <v>26</v>
      </c>
      <c r="B1274" s="1">
        <v>45930</v>
      </c>
      <c r="C1274">
        <v>510005</v>
      </c>
      <c r="D1274">
        <v>-37.103999999999999</v>
      </c>
      <c r="E1274" t="s">
        <v>6</v>
      </c>
      <c r="F1274" t="s">
        <v>53</v>
      </c>
      <c r="G1274" t="s">
        <v>5</v>
      </c>
    </row>
    <row r="1275" spans="1:7" x14ac:dyDescent="0.3">
      <c r="A1275" t="s">
        <v>26</v>
      </c>
      <c r="B1275" s="1">
        <v>45930</v>
      </c>
      <c r="C1275">
        <v>510007</v>
      </c>
      <c r="D1275">
        <v>3832.6750000000002</v>
      </c>
      <c r="E1275" t="s">
        <v>6</v>
      </c>
      <c r="F1275" t="s">
        <v>53</v>
      </c>
      <c r="G1275" t="s">
        <v>5</v>
      </c>
    </row>
    <row r="1276" spans="1:7" x14ac:dyDescent="0.3">
      <c r="A1276" t="s">
        <v>26</v>
      </c>
      <c r="B1276" s="1">
        <v>45930</v>
      </c>
      <c r="C1276">
        <v>510048</v>
      </c>
      <c r="D1276">
        <v>115.85</v>
      </c>
      <c r="E1276" t="s">
        <v>6</v>
      </c>
      <c r="F1276" t="s">
        <v>61</v>
      </c>
      <c r="G1276" t="s">
        <v>5</v>
      </c>
    </row>
    <row r="1277" spans="1:7" x14ac:dyDescent="0.3">
      <c r="A1277" t="s">
        <v>26</v>
      </c>
      <c r="B1277" s="1">
        <v>45930</v>
      </c>
      <c r="C1277">
        <v>510065</v>
      </c>
      <c r="D1277">
        <v>198.83500000000001</v>
      </c>
      <c r="E1277" t="s">
        <v>6</v>
      </c>
      <c r="F1277" t="s">
        <v>53</v>
      </c>
      <c r="G1277" t="s">
        <v>5</v>
      </c>
    </row>
    <row r="1278" spans="1:7" x14ac:dyDescent="0.3">
      <c r="A1278" t="s">
        <v>26</v>
      </c>
      <c r="B1278" s="1">
        <v>45930</v>
      </c>
      <c r="C1278">
        <v>520020</v>
      </c>
      <c r="D1278">
        <v>-25.343</v>
      </c>
      <c r="E1278" t="s">
        <v>6</v>
      </c>
      <c r="F1278" t="s">
        <v>53</v>
      </c>
      <c r="G1278" t="s">
        <v>5</v>
      </c>
    </row>
    <row r="1279" spans="1:7" x14ac:dyDescent="0.3">
      <c r="A1279" t="s">
        <v>26</v>
      </c>
      <c r="B1279" s="1">
        <v>45930</v>
      </c>
      <c r="C1279">
        <v>520021</v>
      </c>
      <c r="D1279">
        <v>121.005</v>
      </c>
      <c r="E1279" t="s">
        <v>6</v>
      </c>
      <c r="F1279" t="s">
        <v>60</v>
      </c>
      <c r="G1279" t="s">
        <v>5</v>
      </c>
    </row>
    <row r="1280" spans="1:7" x14ac:dyDescent="0.3">
      <c r="A1280" t="s">
        <v>26</v>
      </c>
      <c r="B1280" s="1">
        <v>45930</v>
      </c>
      <c r="C1280">
        <v>530012</v>
      </c>
      <c r="D1280">
        <v>776.38099999999997</v>
      </c>
      <c r="E1280" t="s">
        <v>6</v>
      </c>
      <c r="F1280" t="s">
        <v>53</v>
      </c>
      <c r="G1280" t="s">
        <v>5</v>
      </c>
    </row>
    <row r="1281" spans="1:7" x14ac:dyDescent="0.3">
      <c r="A1281" t="s">
        <v>26</v>
      </c>
      <c r="B1281" s="1">
        <v>45930</v>
      </c>
      <c r="C1281">
        <v>541004</v>
      </c>
      <c r="D1281">
        <v>32.130000000000003</v>
      </c>
      <c r="E1281" t="s">
        <v>6</v>
      </c>
      <c r="F1281" t="s">
        <v>61</v>
      </c>
      <c r="G1281" t="s">
        <v>5</v>
      </c>
    </row>
    <row r="1282" spans="1:7" x14ac:dyDescent="0.3">
      <c r="A1282" t="s">
        <v>26</v>
      </c>
      <c r="B1282" s="1">
        <v>45930</v>
      </c>
      <c r="C1282">
        <v>541010</v>
      </c>
      <c r="D1282">
        <v>367.56099999999998</v>
      </c>
      <c r="E1282" t="s">
        <v>6</v>
      </c>
      <c r="F1282" t="s">
        <v>61</v>
      </c>
      <c r="G1282" t="s">
        <v>5</v>
      </c>
    </row>
    <row r="1283" spans="1:7" x14ac:dyDescent="0.3">
      <c r="A1283" t="s">
        <v>26</v>
      </c>
      <c r="B1283" s="1">
        <v>45930</v>
      </c>
      <c r="C1283">
        <v>541013</v>
      </c>
      <c r="D1283">
        <v>52.198</v>
      </c>
      <c r="E1283" t="s">
        <v>6</v>
      </c>
      <c r="F1283" t="s">
        <v>61</v>
      </c>
      <c r="G1283" t="s">
        <v>5</v>
      </c>
    </row>
    <row r="1284" spans="1:7" x14ac:dyDescent="0.3">
      <c r="A1284" t="s">
        <v>26</v>
      </c>
      <c r="B1284" s="1">
        <v>45930</v>
      </c>
      <c r="C1284">
        <v>546002</v>
      </c>
      <c r="D1284">
        <v>72484.849000000002</v>
      </c>
      <c r="E1284" t="s">
        <v>6</v>
      </c>
      <c r="F1284" t="s">
        <v>51</v>
      </c>
      <c r="G1284" t="s">
        <v>5</v>
      </c>
    </row>
    <row r="1285" spans="1:7" x14ac:dyDescent="0.3">
      <c r="A1285" t="s">
        <v>26</v>
      </c>
      <c r="B1285" s="1">
        <v>45930</v>
      </c>
      <c r="C1285">
        <v>546008</v>
      </c>
      <c r="D1285">
        <v>11.335000000000001</v>
      </c>
      <c r="E1285" t="s">
        <v>6</v>
      </c>
      <c r="F1285" t="s">
        <v>51</v>
      </c>
      <c r="G1285" t="s">
        <v>5</v>
      </c>
    </row>
    <row r="1286" spans="1:7" x14ac:dyDescent="0.3">
      <c r="A1286" t="s">
        <v>26</v>
      </c>
      <c r="B1286" s="1">
        <v>45930</v>
      </c>
      <c r="C1286">
        <v>546013</v>
      </c>
      <c r="D1286">
        <v>3161.3510000000001</v>
      </c>
      <c r="E1286" t="s">
        <v>6</v>
      </c>
      <c r="F1286" t="s">
        <v>51</v>
      </c>
      <c r="G1286" t="s">
        <v>5</v>
      </c>
    </row>
    <row r="1287" spans="1:7" x14ac:dyDescent="0.3">
      <c r="A1287" t="s">
        <v>26</v>
      </c>
      <c r="B1287" s="1">
        <v>45930</v>
      </c>
      <c r="C1287">
        <v>546015</v>
      </c>
      <c r="D1287">
        <v>-74.578000000000003</v>
      </c>
      <c r="E1287" t="s">
        <v>6</v>
      </c>
      <c r="F1287" t="s">
        <v>51</v>
      </c>
      <c r="G1287" t="s">
        <v>5</v>
      </c>
    </row>
    <row r="1288" spans="1:7" x14ac:dyDescent="0.3">
      <c r="A1288" t="s">
        <v>26</v>
      </c>
      <c r="B1288" s="1">
        <v>45930</v>
      </c>
      <c r="C1288">
        <v>550002</v>
      </c>
      <c r="D1288">
        <v>27799.148000000001</v>
      </c>
      <c r="E1288" t="s">
        <v>6</v>
      </c>
      <c r="F1288" t="s">
        <v>62</v>
      </c>
      <c r="G1288" t="s">
        <v>5</v>
      </c>
    </row>
    <row r="1289" spans="1:7" x14ac:dyDescent="0.3">
      <c r="A1289" t="s">
        <v>26</v>
      </c>
      <c r="B1289" s="1">
        <v>45930</v>
      </c>
      <c r="C1289">
        <v>550003</v>
      </c>
      <c r="D1289">
        <v>11440.183999999999</v>
      </c>
      <c r="E1289" t="s">
        <v>6</v>
      </c>
      <c r="F1289" t="s">
        <v>62</v>
      </c>
      <c r="G1289" t="s">
        <v>5</v>
      </c>
    </row>
    <row r="1290" spans="1:7" x14ac:dyDescent="0.3">
      <c r="A1290" t="s">
        <v>26</v>
      </c>
      <c r="B1290" s="1">
        <v>45930</v>
      </c>
      <c r="C1290">
        <v>551003</v>
      </c>
      <c r="D1290">
        <v>579.19200000000001</v>
      </c>
      <c r="E1290" t="s">
        <v>6</v>
      </c>
      <c r="F1290" t="s">
        <v>63</v>
      </c>
      <c r="G1290" t="s">
        <v>5</v>
      </c>
    </row>
    <row r="1291" spans="1:7" x14ac:dyDescent="0.3">
      <c r="A1291" t="s">
        <v>26</v>
      </c>
      <c r="B1291" s="1">
        <v>45930</v>
      </c>
      <c r="C1291">
        <v>552502</v>
      </c>
      <c r="D1291">
        <v>3293.4969999999998</v>
      </c>
      <c r="E1291" t="s">
        <v>6</v>
      </c>
      <c r="F1291" t="s">
        <v>55</v>
      </c>
      <c r="G1291" t="s">
        <v>5</v>
      </c>
    </row>
    <row r="1292" spans="1:7" x14ac:dyDescent="0.3">
      <c r="A1292" t="s">
        <v>26</v>
      </c>
      <c r="B1292" s="1">
        <v>45930</v>
      </c>
      <c r="C1292">
        <v>555508</v>
      </c>
      <c r="D1292">
        <v>323.47300000000001</v>
      </c>
      <c r="E1292" t="s">
        <v>6</v>
      </c>
      <c r="F1292" t="s">
        <v>55</v>
      </c>
      <c r="G1292" t="s">
        <v>5</v>
      </c>
    </row>
    <row r="1293" spans="1:7" x14ac:dyDescent="0.3">
      <c r="A1293" t="s">
        <v>26</v>
      </c>
      <c r="B1293" s="1">
        <v>45930</v>
      </c>
      <c r="C1293">
        <v>556002</v>
      </c>
      <c r="D1293">
        <v>127.298</v>
      </c>
      <c r="E1293" t="s">
        <v>6</v>
      </c>
      <c r="F1293" t="s">
        <v>60</v>
      </c>
      <c r="G1293" t="s">
        <v>5</v>
      </c>
    </row>
    <row r="1294" spans="1:7" x14ac:dyDescent="0.3">
      <c r="A1294" t="s">
        <v>26</v>
      </c>
      <c r="B1294" s="1">
        <v>45930</v>
      </c>
      <c r="C1294">
        <v>557002</v>
      </c>
      <c r="D1294">
        <v>1537.075</v>
      </c>
      <c r="E1294" t="s">
        <v>6</v>
      </c>
      <c r="F1294" t="s">
        <v>56</v>
      </c>
      <c r="G1294" t="s">
        <v>5</v>
      </c>
    </row>
    <row r="1295" spans="1:7" x14ac:dyDescent="0.3">
      <c r="A1295" t="s">
        <v>26</v>
      </c>
      <c r="B1295" s="1">
        <v>45930</v>
      </c>
      <c r="C1295">
        <v>558006</v>
      </c>
      <c r="D1295">
        <v>-593.75900000000001</v>
      </c>
      <c r="E1295" t="s">
        <v>6</v>
      </c>
      <c r="F1295" t="s">
        <v>57</v>
      </c>
      <c r="G1295" t="s">
        <v>5</v>
      </c>
    </row>
    <row r="1296" spans="1:7" x14ac:dyDescent="0.3">
      <c r="A1296" t="s">
        <v>26</v>
      </c>
      <c r="B1296" s="1">
        <v>45930</v>
      </c>
      <c r="C1296">
        <v>558012</v>
      </c>
      <c r="D1296">
        <v>5.01</v>
      </c>
      <c r="E1296" t="s">
        <v>6</v>
      </c>
      <c r="F1296" t="s">
        <v>60</v>
      </c>
      <c r="G1296" t="s">
        <v>5</v>
      </c>
    </row>
    <row r="1297" spans="1:7" x14ac:dyDescent="0.3">
      <c r="A1297" t="s">
        <v>26</v>
      </c>
      <c r="B1297" s="1">
        <v>45930</v>
      </c>
      <c r="C1297">
        <v>559002</v>
      </c>
      <c r="D1297">
        <v>26.027000000000001</v>
      </c>
      <c r="E1297" t="s">
        <v>6</v>
      </c>
      <c r="F1297" t="s">
        <v>60</v>
      </c>
      <c r="G1297" t="s">
        <v>5</v>
      </c>
    </row>
    <row r="1298" spans="1:7" x14ac:dyDescent="0.3">
      <c r="A1298" t="s">
        <v>26</v>
      </c>
      <c r="B1298" s="1">
        <v>45930</v>
      </c>
      <c r="C1298">
        <v>560008</v>
      </c>
      <c r="D1298">
        <v>597.44500000000005</v>
      </c>
      <c r="E1298" t="s">
        <v>6</v>
      </c>
      <c r="F1298" t="s">
        <v>56</v>
      </c>
      <c r="G1298" t="s">
        <v>5</v>
      </c>
    </row>
    <row r="1299" spans="1:7" x14ac:dyDescent="0.3">
      <c r="A1299" t="s">
        <v>26</v>
      </c>
      <c r="B1299" s="1">
        <v>45930</v>
      </c>
      <c r="C1299">
        <v>563002</v>
      </c>
      <c r="D1299">
        <v>4797.0020000000004</v>
      </c>
      <c r="E1299" t="s">
        <v>6</v>
      </c>
      <c r="F1299" t="s">
        <v>57</v>
      </c>
      <c r="G1299" t="s">
        <v>5</v>
      </c>
    </row>
    <row r="1300" spans="1:7" x14ac:dyDescent="0.3">
      <c r="A1300" t="s">
        <v>26</v>
      </c>
      <c r="B1300" s="1">
        <v>45930</v>
      </c>
      <c r="C1300">
        <v>564006</v>
      </c>
      <c r="D1300">
        <v>-6.0000000000000001E-3</v>
      </c>
      <c r="E1300" t="s">
        <v>6</v>
      </c>
      <c r="F1300" t="s">
        <v>57</v>
      </c>
      <c r="G1300" t="s">
        <v>5</v>
      </c>
    </row>
    <row r="1301" spans="1:7" x14ac:dyDescent="0.3">
      <c r="A1301" t="s">
        <v>26</v>
      </c>
      <c r="B1301" s="1">
        <v>45930</v>
      </c>
      <c r="C1301">
        <v>564019</v>
      </c>
      <c r="D1301">
        <v>11960.331</v>
      </c>
      <c r="E1301" t="s">
        <v>6</v>
      </c>
      <c r="F1301" t="s">
        <v>51</v>
      </c>
      <c r="G1301" t="s">
        <v>5</v>
      </c>
    </row>
    <row r="1302" spans="1:7" x14ac:dyDescent="0.3">
      <c r="A1302" t="s">
        <v>26</v>
      </c>
      <c r="B1302" s="1">
        <v>45930</v>
      </c>
      <c r="C1302">
        <v>564020</v>
      </c>
      <c r="D1302">
        <v>176.14699999999999</v>
      </c>
      <c r="E1302" t="s">
        <v>6</v>
      </c>
      <c r="F1302" t="s">
        <v>57</v>
      </c>
      <c r="G1302" t="s">
        <v>5</v>
      </c>
    </row>
    <row r="1303" spans="1:7" x14ac:dyDescent="0.3">
      <c r="A1303" t="s">
        <v>26</v>
      </c>
      <c r="B1303" s="1">
        <v>45930</v>
      </c>
      <c r="C1303">
        <v>564021</v>
      </c>
      <c r="D1303">
        <v>0.878</v>
      </c>
      <c r="E1303" t="s">
        <v>6</v>
      </c>
      <c r="F1303" t="s">
        <v>57</v>
      </c>
      <c r="G1303" t="s">
        <v>5</v>
      </c>
    </row>
    <row r="1304" spans="1:7" x14ac:dyDescent="0.3">
      <c r="A1304" t="s">
        <v>26</v>
      </c>
      <c r="B1304" s="1">
        <v>45930</v>
      </c>
      <c r="C1304">
        <v>570002</v>
      </c>
      <c r="D1304">
        <v>129.16200000000001</v>
      </c>
      <c r="E1304" t="s">
        <v>6</v>
      </c>
      <c r="F1304" t="s">
        <v>66</v>
      </c>
      <c r="G1304" t="s">
        <v>5</v>
      </c>
    </row>
    <row r="1305" spans="1:7" x14ac:dyDescent="0.3">
      <c r="A1305" t="s">
        <v>27</v>
      </c>
      <c r="B1305" s="1">
        <v>45930</v>
      </c>
      <c r="C1305">
        <v>220006</v>
      </c>
      <c r="D1305">
        <v>4219.2939999999999</v>
      </c>
      <c r="E1305" t="s">
        <v>4</v>
      </c>
      <c r="F1305" t="s">
        <v>42</v>
      </c>
      <c r="G1305" t="s">
        <v>8</v>
      </c>
    </row>
    <row r="1306" spans="1:7" x14ac:dyDescent="0.3">
      <c r="A1306" t="s">
        <v>27</v>
      </c>
      <c r="B1306" s="1">
        <v>45930</v>
      </c>
      <c r="C1306">
        <v>240002</v>
      </c>
      <c r="D1306">
        <v>-89.194999999999993</v>
      </c>
      <c r="E1306" t="s">
        <v>4</v>
      </c>
      <c r="F1306" t="s">
        <v>43</v>
      </c>
      <c r="G1306" t="s">
        <v>8</v>
      </c>
    </row>
    <row r="1307" spans="1:7" x14ac:dyDescent="0.3">
      <c r="A1307" t="s">
        <v>27</v>
      </c>
      <c r="B1307" s="1">
        <v>45930</v>
      </c>
      <c r="C1307">
        <v>243002</v>
      </c>
      <c r="D1307">
        <v>-507.25599999999997</v>
      </c>
      <c r="E1307" t="s">
        <v>4</v>
      </c>
      <c r="F1307" t="s">
        <v>43</v>
      </c>
      <c r="G1307" t="s">
        <v>8</v>
      </c>
    </row>
    <row r="1308" spans="1:7" x14ac:dyDescent="0.3">
      <c r="A1308" t="s">
        <v>27</v>
      </c>
      <c r="B1308" s="1">
        <v>45930</v>
      </c>
      <c r="C1308">
        <v>330141</v>
      </c>
      <c r="D1308">
        <v>-4305.3599999999997</v>
      </c>
      <c r="E1308" t="s">
        <v>4</v>
      </c>
      <c r="F1308" t="s">
        <v>43</v>
      </c>
      <c r="G1308" t="s">
        <v>8</v>
      </c>
    </row>
    <row r="1309" spans="1:7" x14ac:dyDescent="0.3">
      <c r="A1309" t="s">
        <v>27</v>
      </c>
      <c r="B1309" s="1">
        <v>45930</v>
      </c>
      <c r="C1309">
        <v>355016</v>
      </c>
      <c r="D1309">
        <v>84.061000000000007</v>
      </c>
      <c r="E1309" t="s">
        <v>4</v>
      </c>
      <c r="F1309" t="s">
        <v>49</v>
      </c>
      <c r="G1309" t="s">
        <v>8</v>
      </c>
    </row>
    <row r="1310" spans="1:7" x14ac:dyDescent="0.3">
      <c r="A1310" t="s">
        <v>27</v>
      </c>
      <c r="B1310" s="1">
        <v>45930</v>
      </c>
      <c r="C1310">
        <v>552502</v>
      </c>
      <c r="D1310">
        <v>14.189</v>
      </c>
      <c r="E1310" t="s">
        <v>6</v>
      </c>
      <c r="F1310" t="s">
        <v>55</v>
      </c>
      <c r="G1310" t="s">
        <v>8</v>
      </c>
    </row>
    <row r="1311" spans="1:7" x14ac:dyDescent="0.3">
      <c r="A1311" t="s">
        <v>27</v>
      </c>
      <c r="B1311" s="1">
        <v>45930</v>
      </c>
      <c r="C1311">
        <v>556004</v>
      </c>
      <c r="D1311">
        <v>0.26100000000000001</v>
      </c>
      <c r="E1311" t="s">
        <v>6</v>
      </c>
      <c r="F1311" t="s">
        <v>55</v>
      </c>
      <c r="G1311" t="s">
        <v>8</v>
      </c>
    </row>
    <row r="1312" spans="1:7" x14ac:dyDescent="0.3">
      <c r="A1312" t="s">
        <v>27</v>
      </c>
      <c r="B1312" s="1">
        <v>45930</v>
      </c>
      <c r="C1312">
        <v>557002</v>
      </c>
      <c r="D1312">
        <v>403.88799999999998</v>
      </c>
      <c r="E1312" t="s">
        <v>6</v>
      </c>
      <c r="F1312" t="s">
        <v>56</v>
      </c>
      <c r="G1312" t="s">
        <v>8</v>
      </c>
    </row>
    <row r="1313" spans="1:7" x14ac:dyDescent="0.3">
      <c r="A1313" t="s">
        <v>27</v>
      </c>
      <c r="B1313" s="1">
        <v>45930</v>
      </c>
      <c r="C1313">
        <v>557003</v>
      </c>
      <c r="D1313">
        <v>190.40100000000001</v>
      </c>
      <c r="E1313" t="s">
        <v>6</v>
      </c>
      <c r="F1313" t="s">
        <v>56</v>
      </c>
      <c r="G1313" t="s">
        <v>8</v>
      </c>
    </row>
    <row r="1314" spans="1:7" x14ac:dyDescent="0.3">
      <c r="A1314" t="s">
        <v>28</v>
      </c>
      <c r="B1314" s="1">
        <v>45930</v>
      </c>
      <c r="C1314">
        <v>220006</v>
      </c>
      <c r="D1314">
        <v>34049.118000000002</v>
      </c>
      <c r="E1314" t="s">
        <v>4</v>
      </c>
      <c r="F1314" t="s">
        <v>42</v>
      </c>
      <c r="G1314" t="s">
        <v>8</v>
      </c>
    </row>
    <row r="1315" spans="1:7" x14ac:dyDescent="0.3">
      <c r="A1315" t="s">
        <v>28</v>
      </c>
      <c r="B1315" s="1">
        <v>45930</v>
      </c>
      <c r="C1315">
        <v>240002</v>
      </c>
      <c r="D1315">
        <v>13.773999999999999</v>
      </c>
      <c r="E1315" t="s">
        <v>4</v>
      </c>
      <c r="F1315" t="s">
        <v>43</v>
      </c>
      <c r="G1315" t="s">
        <v>8</v>
      </c>
    </row>
    <row r="1316" spans="1:7" x14ac:dyDescent="0.3">
      <c r="A1316" t="s">
        <v>28</v>
      </c>
      <c r="B1316" s="1">
        <v>45930</v>
      </c>
      <c r="C1316">
        <v>240003</v>
      </c>
      <c r="D1316">
        <v>-28.497</v>
      </c>
      <c r="E1316" t="s">
        <v>4</v>
      </c>
      <c r="F1316" t="s">
        <v>43</v>
      </c>
      <c r="G1316" t="s">
        <v>8</v>
      </c>
    </row>
    <row r="1317" spans="1:7" x14ac:dyDescent="0.3">
      <c r="A1317" t="s">
        <v>28</v>
      </c>
      <c r="B1317" s="1">
        <v>45930</v>
      </c>
      <c r="C1317">
        <v>240009</v>
      </c>
      <c r="D1317">
        <v>-13.773999999999999</v>
      </c>
      <c r="E1317" t="s">
        <v>4</v>
      </c>
      <c r="F1317" t="s">
        <v>43</v>
      </c>
      <c r="G1317" t="s">
        <v>8</v>
      </c>
    </row>
    <row r="1318" spans="1:7" x14ac:dyDescent="0.3">
      <c r="A1318" t="s">
        <v>28</v>
      </c>
      <c r="B1318" s="1">
        <v>45930</v>
      </c>
      <c r="C1318">
        <v>242003</v>
      </c>
      <c r="D1318">
        <v>-738.36099999999999</v>
      </c>
      <c r="E1318" t="s">
        <v>4</v>
      </c>
      <c r="F1318" t="s">
        <v>43</v>
      </c>
      <c r="G1318" t="s">
        <v>8</v>
      </c>
    </row>
    <row r="1319" spans="1:7" x14ac:dyDescent="0.3">
      <c r="A1319" t="s">
        <v>28</v>
      </c>
      <c r="B1319" s="1">
        <v>45930</v>
      </c>
      <c r="C1319">
        <v>257005</v>
      </c>
      <c r="D1319">
        <v>-95.063999999999993</v>
      </c>
      <c r="E1319" t="s">
        <v>4</v>
      </c>
      <c r="F1319" t="s">
        <v>45</v>
      </c>
      <c r="G1319" t="s">
        <v>8</v>
      </c>
    </row>
    <row r="1320" spans="1:7" x14ac:dyDescent="0.3">
      <c r="A1320" t="s">
        <v>28</v>
      </c>
      <c r="B1320" s="1">
        <v>45930</v>
      </c>
      <c r="C1320">
        <v>257008</v>
      </c>
      <c r="D1320">
        <v>170.541</v>
      </c>
      <c r="E1320" t="s">
        <v>4</v>
      </c>
      <c r="F1320" t="s">
        <v>45</v>
      </c>
      <c r="G1320" t="s">
        <v>8</v>
      </c>
    </row>
    <row r="1321" spans="1:7" x14ac:dyDescent="0.3">
      <c r="A1321" t="s">
        <v>28</v>
      </c>
      <c r="B1321" s="1">
        <v>45930</v>
      </c>
      <c r="C1321">
        <v>257030</v>
      </c>
      <c r="D1321">
        <v>-271.56099999999998</v>
      </c>
      <c r="E1321" t="s">
        <v>4</v>
      </c>
      <c r="F1321" t="s">
        <v>45</v>
      </c>
      <c r="G1321" t="s">
        <v>8</v>
      </c>
    </row>
    <row r="1322" spans="1:7" x14ac:dyDescent="0.3">
      <c r="A1322" t="s">
        <v>28</v>
      </c>
      <c r="B1322" s="1">
        <v>45930</v>
      </c>
      <c r="C1322">
        <v>260004</v>
      </c>
      <c r="D1322">
        <v>4.0000000000000001E-3</v>
      </c>
      <c r="E1322" t="s">
        <v>4</v>
      </c>
      <c r="F1322" t="s">
        <v>45</v>
      </c>
      <c r="G1322" t="s">
        <v>8</v>
      </c>
    </row>
    <row r="1323" spans="1:7" x14ac:dyDescent="0.3">
      <c r="A1323" t="s">
        <v>28</v>
      </c>
      <c r="B1323" s="1">
        <v>45930</v>
      </c>
      <c r="C1323">
        <v>321004</v>
      </c>
      <c r="D1323">
        <v>1417.788</v>
      </c>
      <c r="E1323" t="s">
        <v>4</v>
      </c>
      <c r="F1323" t="s">
        <v>46</v>
      </c>
      <c r="G1323" t="s">
        <v>8</v>
      </c>
    </row>
    <row r="1324" spans="1:7" x14ac:dyDescent="0.3">
      <c r="A1324" t="s">
        <v>28</v>
      </c>
      <c r="B1324" s="1">
        <v>45930</v>
      </c>
      <c r="C1324">
        <v>330124</v>
      </c>
      <c r="D1324">
        <v>-1941.6690000000001</v>
      </c>
      <c r="E1324" t="s">
        <v>4</v>
      </c>
      <c r="F1324" t="s">
        <v>43</v>
      </c>
      <c r="G1324" t="s">
        <v>8</v>
      </c>
    </row>
    <row r="1325" spans="1:7" x14ac:dyDescent="0.3">
      <c r="A1325" t="s">
        <v>28</v>
      </c>
      <c r="B1325" s="1">
        <v>45930</v>
      </c>
      <c r="C1325">
        <v>330130</v>
      </c>
      <c r="D1325">
        <v>-36519.642999999996</v>
      </c>
      <c r="E1325" t="s">
        <v>4</v>
      </c>
      <c r="F1325" t="s">
        <v>43</v>
      </c>
      <c r="G1325" t="s">
        <v>8</v>
      </c>
    </row>
    <row r="1326" spans="1:7" x14ac:dyDescent="0.3">
      <c r="A1326" t="s">
        <v>28</v>
      </c>
      <c r="B1326" s="1">
        <v>45930</v>
      </c>
      <c r="C1326">
        <v>340234</v>
      </c>
      <c r="D1326">
        <v>4.6630000000000003</v>
      </c>
      <c r="E1326" t="s">
        <v>4</v>
      </c>
      <c r="F1326" t="s">
        <v>47</v>
      </c>
      <c r="G1326" t="s">
        <v>8</v>
      </c>
    </row>
    <row r="1327" spans="1:7" x14ac:dyDescent="0.3">
      <c r="A1327" t="s">
        <v>28</v>
      </c>
      <c r="B1327" s="1">
        <v>45930</v>
      </c>
      <c r="C1327">
        <v>340267</v>
      </c>
      <c r="D1327">
        <v>3443.665</v>
      </c>
      <c r="E1327" t="s">
        <v>4</v>
      </c>
      <c r="F1327" t="s">
        <v>47</v>
      </c>
      <c r="G1327" t="s">
        <v>8</v>
      </c>
    </row>
    <row r="1328" spans="1:7" x14ac:dyDescent="0.3">
      <c r="A1328" t="s">
        <v>28</v>
      </c>
      <c r="B1328" s="1">
        <v>45930</v>
      </c>
      <c r="C1328">
        <v>350031</v>
      </c>
      <c r="D1328">
        <v>13.773999999999999</v>
      </c>
      <c r="E1328" t="s">
        <v>4</v>
      </c>
      <c r="F1328" t="s">
        <v>43</v>
      </c>
      <c r="G1328" t="s">
        <v>8</v>
      </c>
    </row>
    <row r="1329" spans="1:7" x14ac:dyDescent="0.3">
      <c r="A1329" t="s">
        <v>28</v>
      </c>
      <c r="B1329" s="1">
        <v>45930</v>
      </c>
      <c r="C1329">
        <v>360019</v>
      </c>
      <c r="D1329">
        <v>25.152999999999999</v>
      </c>
      <c r="E1329" t="s">
        <v>4</v>
      </c>
      <c r="F1329" t="s">
        <v>58</v>
      </c>
      <c r="G1329" t="s">
        <v>8</v>
      </c>
    </row>
    <row r="1330" spans="1:7" x14ac:dyDescent="0.3">
      <c r="A1330" t="s">
        <v>28</v>
      </c>
      <c r="B1330" s="1">
        <v>45930</v>
      </c>
      <c r="C1330">
        <v>360022</v>
      </c>
      <c r="D1330">
        <v>61.030999999999999</v>
      </c>
      <c r="E1330" t="s">
        <v>4</v>
      </c>
      <c r="F1330" t="s">
        <v>58</v>
      </c>
      <c r="G1330" t="s">
        <v>8</v>
      </c>
    </row>
    <row r="1331" spans="1:7" x14ac:dyDescent="0.3">
      <c r="A1331" t="s">
        <v>28</v>
      </c>
      <c r="B1331" s="1">
        <v>45930</v>
      </c>
      <c r="C1331">
        <v>372002</v>
      </c>
      <c r="D1331">
        <v>31.965</v>
      </c>
      <c r="E1331" t="s">
        <v>4</v>
      </c>
      <c r="F1331" t="s">
        <v>45</v>
      </c>
      <c r="G1331" t="s">
        <v>8</v>
      </c>
    </row>
    <row r="1332" spans="1:7" x14ac:dyDescent="0.3">
      <c r="A1332" t="s">
        <v>28</v>
      </c>
      <c r="B1332" s="1">
        <v>45930</v>
      </c>
      <c r="C1332">
        <v>372004</v>
      </c>
      <c r="D1332">
        <v>42.05</v>
      </c>
      <c r="E1332" t="s">
        <v>4</v>
      </c>
      <c r="F1332" t="s">
        <v>45</v>
      </c>
      <c r="G1332" t="s">
        <v>8</v>
      </c>
    </row>
    <row r="1333" spans="1:7" x14ac:dyDescent="0.3">
      <c r="A1333" t="s">
        <v>28</v>
      </c>
      <c r="B1333" s="1">
        <v>45930</v>
      </c>
      <c r="C1333">
        <v>410005</v>
      </c>
      <c r="D1333">
        <v>-1478.306</v>
      </c>
      <c r="E1333" t="s">
        <v>6</v>
      </c>
      <c r="F1333" t="s">
        <v>51</v>
      </c>
      <c r="G1333" t="s">
        <v>8</v>
      </c>
    </row>
    <row r="1334" spans="1:7" x14ac:dyDescent="0.3">
      <c r="A1334" t="s">
        <v>28</v>
      </c>
      <c r="B1334" s="1">
        <v>45930</v>
      </c>
      <c r="C1334">
        <v>421002</v>
      </c>
      <c r="D1334">
        <v>-48.238999999999997</v>
      </c>
      <c r="E1334" t="s">
        <v>6</v>
      </c>
      <c r="F1334" t="s">
        <v>52</v>
      </c>
      <c r="G1334" t="s">
        <v>8</v>
      </c>
    </row>
    <row r="1335" spans="1:7" x14ac:dyDescent="0.3">
      <c r="A1335" t="s">
        <v>28</v>
      </c>
      <c r="B1335" s="1">
        <v>45930</v>
      </c>
      <c r="C1335">
        <v>421003</v>
      </c>
      <c r="D1335">
        <v>25.905999999999999</v>
      </c>
      <c r="E1335" t="s">
        <v>6</v>
      </c>
      <c r="F1335" t="s">
        <v>52</v>
      </c>
      <c r="G1335" t="s">
        <v>8</v>
      </c>
    </row>
    <row r="1336" spans="1:7" x14ac:dyDescent="0.3">
      <c r="A1336" t="s">
        <v>28</v>
      </c>
      <c r="B1336" s="1">
        <v>45930</v>
      </c>
      <c r="C1336">
        <v>510002</v>
      </c>
      <c r="D1336">
        <v>1071.306</v>
      </c>
      <c r="E1336" t="s">
        <v>6</v>
      </c>
      <c r="F1336" t="s">
        <v>53</v>
      </c>
      <c r="G1336" t="s">
        <v>8</v>
      </c>
    </row>
    <row r="1337" spans="1:7" x14ac:dyDescent="0.3">
      <c r="A1337" t="s">
        <v>28</v>
      </c>
      <c r="B1337" s="1">
        <v>45930</v>
      </c>
      <c r="C1337">
        <v>510015</v>
      </c>
      <c r="D1337">
        <v>336.60399999999998</v>
      </c>
      <c r="E1337" t="s">
        <v>6</v>
      </c>
      <c r="F1337" t="s">
        <v>53</v>
      </c>
      <c r="G1337" t="s">
        <v>8</v>
      </c>
    </row>
    <row r="1338" spans="1:7" x14ac:dyDescent="0.3">
      <c r="A1338" t="s">
        <v>28</v>
      </c>
      <c r="B1338" s="1">
        <v>45930</v>
      </c>
      <c r="C1338">
        <v>555508</v>
      </c>
      <c r="D1338">
        <v>7.4480000000000004</v>
      </c>
      <c r="E1338" t="s">
        <v>6</v>
      </c>
      <c r="F1338" t="s">
        <v>55</v>
      </c>
      <c r="G1338" t="s">
        <v>8</v>
      </c>
    </row>
    <row r="1339" spans="1:7" x14ac:dyDescent="0.3">
      <c r="A1339" t="s">
        <v>28</v>
      </c>
      <c r="B1339" s="1">
        <v>45930</v>
      </c>
      <c r="C1339">
        <v>557002</v>
      </c>
      <c r="D1339">
        <v>26.187000000000001</v>
      </c>
      <c r="E1339" t="s">
        <v>6</v>
      </c>
      <c r="F1339" t="s">
        <v>56</v>
      </c>
      <c r="G1339" t="s">
        <v>8</v>
      </c>
    </row>
    <row r="1340" spans="1:7" x14ac:dyDescent="0.3">
      <c r="A1340" t="s">
        <v>28</v>
      </c>
      <c r="B1340" s="1">
        <v>45930</v>
      </c>
      <c r="C1340">
        <v>564006</v>
      </c>
      <c r="D1340">
        <v>0</v>
      </c>
      <c r="E1340" t="s">
        <v>6</v>
      </c>
      <c r="F1340" t="s">
        <v>57</v>
      </c>
      <c r="G1340" t="s">
        <v>8</v>
      </c>
    </row>
    <row r="1341" spans="1:7" x14ac:dyDescent="0.3">
      <c r="A1341" t="s">
        <v>28</v>
      </c>
      <c r="B1341" s="1">
        <v>45930</v>
      </c>
      <c r="C1341">
        <v>564019</v>
      </c>
      <c r="D1341">
        <v>304.83600000000001</v>
      </c>
      <c r="E1341" t="s">
        <v>6</v>
      </c>
      <c r="F1341" t="s">
        <v>51</v>
      </c>
      <c r="G1341" t="s">
        <v>8</v>
      </c>
    </row>
    <row r="1342" spans="1:7" x14ac:dyDescent="0.3">
      <c r="A1342" t="s">
        <v>28</v>
      </c>
      <c r="B1342" s="1">
        <v>45930</v>
      </c>
      <c r="C1342">
        <v>564020</v>
      </c>
      <c r="D1342">
        <v>103.601</v>
      </c>
      <c r="E1342" t="s">
        <v>6</v>
      </c>
      <c r="F1342" t="s">
        <v>57</v>
      </c>
      <c r="G1342" t="s">
        <v>8</v>
      </c>
    </row>
    <row r="1343" spans="1:7" x14ac:dyDescent="0.3">
      <c r="A1343" t="s">
        <v>29</v>
      </c>
      <c r="B1343" s="1">
        <v>45930</v>
      </c>
      <c r="C1343">
        <v>220006</v>
      </c>
      <c r="D1343">
        <v>-613514.03300000005</v>
      </c>
      <c r="E1343" t="s">
        <v>4</v>
      </c>
      <c r="F1343" t="s">
        <v>42</v>
      </c>
      <c r="G1343" t="s">
        <v>8</v>
      </c>
    </row>
    <row r="1344" spans="1:7" x14ac:dyDescent="0.3">
      <c r="A1344" t="s">
        <v>29</v>
      </c>
      <c r="B1344" s="1">
        <v>45930</v>
      </c>
      <c r="C1344">
        <v>240002</v>
      </c>
      <c r="D1344">
        <v>-1157.6500000000001</v>
      </c>
      <c r="E1344" t="s">
        <v>4</v>
      </c>
      <c r="F1344" t="s">
        <v>43</v>
      </c>
      <c r="G1344" t="s">
        <v>8</v>
      </c>
    </row>
    <row r="1345" spans="1:7" x14ac:dyDescent="0.3">
      <c r="A1345" t="s">
        <v>29</v>
      </c>
      <c r="B1345" s="1">
        <v>45930</v>
      </c>
      <c r="C1345">
        <v>242003</v>
      </c>
      <c r="D1345">
        <v>-168356.30900000001</v>
      </c>
      <c r="E1345" t="s">
        <v>4</v>
      </c>
      <c r="F1345" t="s">
        <v>43</v>
      </c>
      <c r="G1345" t="s">
        <v>8</v>
      </c>
    </row>
    <row r="1346" spans="1:7" x14ac:dyDescent="0.3">
      <c r="A1346" t="s">
        <v>29</v>
      </c>
      <c r="B1346" s="1">
        <v>45930</v>
      </c>
      <c r="C1346">
        <v>242007</v>
      </c>
      <c r="D1346">
        <v>32.274999999999999</v>
      </c>
      <c r="E1346" t="s">
        <v>4</v>
      </c>
      <c r="F1346" t="s">
        <v>43</v>
      </c>
      <c r="G1346" t="s">
        <v>8</v>
      </c>
    </row>
    <row r="1347" spans="1:7" x14ac:dyDescent="0.3">
      <c r="A1347" t="s">
        <v>29</v>
      </c>
      <c r="B1347" s="1">
        <v>45930</v>
      </c>
      <c r="C1347">
        <v>242013</v>
      </c>
      <c r="D1347">
        <v>2227.6889999999999</v>
      </c>
      <c r="E1347" t="s">
        <v>4</v>
      </c>
      <c r="F1347" t="s">
        <v>43</v>
      </c>
      <c r="G1347" t="s">
        <v>8</v>
      </c>
    </row>
    <row r="1348" spans="1:7" x14ac:dyDescent="0.3">
      <c r="A1348" t="s">
        <v>29</v>
      </c>
      <c r="B1348" s="1">
        <v>45930</v>
      </c>
      <c r="C1348">
        <v>242023</v>
      </c>
      <c r="D1348">
        <v>-2429.3609999999999</v>
      </c>
      <c r="E1348" t="s">
        <v>4</v>
      </c>
      <c r="F1348" t="s">
        <v>43</v>
      </c>
      <c r="G1348" t="s">
        <v>8</v>
      </c>
    </row>
    <row r="1349" spans="1:7" x14ac:dyDescent="0.3">
      <c r="A1349" t="s">
        <v>29</v>
      </c>
      <c r="B1349" s="1">
        <v>45930</v>
      </c>
      <c r="C1349">
        <v>242027</v>
      </c>
      <c r="D1349">
        <v>-338.90300000000002</v>
      </c>
      <c r="E1349" t="s">
        <v>4</v>
      </c>
      <c r="F1349" t="s">
        <v>43</v>
      </c>
      <c r="G1349" t="s">
        <v>8</v>
      </c>
    </row>
    <row r="1350" spans="1:7" x14ac:dyDescent="0.3">
      <c r="A1350" t="s">
        <v>29</v>
      </c>
      <c r="B1350" s="1">
        <v>45930</v>
      </c>
      <c r="C1350">
        <v>242030</v>
      </c>
      <c r="D1350">
        <v>-745.47199999999998</v>
      </c>
      <c r="E1350" t="s">
        <v>4</v>
      </c>
      <c r="F1350" t="s">
        <v>43</v>
      </c>
      <c r="G1350" t="s">
        <v>8</v>
      </c>
    </row>
    <row r="1351" spans="1:7" x14ac:dyDescent="0.3">
      <c r="A1351" t="s">
        <v>29</v>
      </c>
      <c r="B1351" s="1">
        <v>45930</v>
      </c>
      <c r="C1351">
        <v>242039</v>
      </c>
      <c r="D1351">
        <v>-32536.557000000001</v>
      </c>
      <c r="E1351" t="s">
        <v>4</v>
      </c>
      <c r="F1351" t="s">
        <v>43</v>
      </c>
      <c r="G1351" t="s">
        <v>8</v>
      </c>
    </row>
    <row r="1352" spans="1:7" x14ac:dyDescent="0.3">
      <c r="A1352" t="s">
        <v>29</v>
      </c>
      <c r="B1352" s="1">
        <v>45930</v>
      </c>
      <c r="C1352">
        <v>242041</v>
      </c>
      <c r="D1352">
        <v>1029.9010000000001</v>
      </c>
      <c r="E1352" t="s">
        <v>4</v>
      </c>
      <c r="F1352" t="s">
        <v>43</v>
      </c>
      <c r="G1352" t="s">
        <v>8</v>
      </c>
    </row>
    <row r="1353" spans="1:7" x14ac:dyDescent="0.3">
      <c r="A1353" t="s">
        <v>29</v>
      </c>
      <c r="B1353" s="1">
        <v>45930</v>
      </c>
      <c r="C1353">
        <v>243002</v>
      </c>
      <c r="D1353">
        <v>-7203.3789999999999</v>
      </c>
      <c r="E1353" t="s">
        <v>4</v>
      </c>
      <c r="F1353" t="s">
        <v>43</v>
      </c>
      <c r="G1353" t="s">
        <v>8</v>
      </c>
    </row>
    <row r="1354" spans="1:7" x14ac:dyDescent="0.3">
      <c r="A1354" t="s">
        <v>29</v>
      </c>
      <c r="B1354" s="1">
        <v>45930</v>
      </c>
      <c r="C1354">
        <v>243003</v>
      </c>
      <c r="D1354">
        <v>-4633.9650000000001</v>
      </c>
      <c r="E1354" t="s">
        <v>4</v>
      </c>
      <c r="F1354" t="s">
        <v>43</v>
      </c>
      <c r="G1354" t="s">
        <v>8</v>
      </c>
    </row>
    <row r="1355" spans="1:7" x14ac:dyDescent="0.3">
      <c r="A1355" t="s">
        <v>29</v>
      </c>
      <c r="B1355" s="1">
        <v>45930</v>
      </c>
      <c r="C1355">
        <v>243010</v>
      </c>
      <c r="D1355">
        <v>-231.62899999999999</v>
      </c>
      <c r="E1355" t="s">
        <v>4</v>
      </c>
      <c r="F1355" t="s">
        <v>43</v>
      </c>
      <c r="G1355" t="s">
        <v>8</v>
      </c>
    </row>
    <row r="1356" spans="1:7" x14ac:dyDescent="0.3">
      <c r="A1356" t="s">
        <v>29</v>
      </c>
      <c r="B1356" s="1">
        <v>45930</v>
      </c>
      <c r="C1356">
        <v>245002</v>
      </c>
      <c r="D1356">
        <v>-10.217000000000001</v>
      </c>
      <c r="E1356" t="s">
        <v>4</v>
      </c>
      <c r="F1356" t="s">
        <v>43</v>
      </c>
      <c r="G1356" t="s">
        <v>8</v>
      </c>
    </row>
    <row r="1357" spans="1:7" x14ac:dyDescent="0.3">
      <c r="A1357" t="s">
        <v>29</v>
      </c>
      <c r="B1357" s="1">
        <v>45930</v>
      </c>
      <c r="C1357">
        <v>245056</v>
      </c>
      <c r="D1357">
        <v>-913.41</v>
      </c>
      <c r="E1357" t="s">
        <v>4</v>
      </c>
      <c r="F1357" t="s">
        <v>49</v>
      </c>
      <c r="G1357" t="s">
        <v>8</v>
      </c>
    </row>
    <row r="1358" spans="1:7" x14ac:dyDescent="0.3">
      <c r="A1358" t="s">
        <v>29</v>
      </c>
      <c r="B1358" s="1">
        <v>45930</v>
      </c>
      <c r="C1358">
        <v>245057</v>
      </c>
      <c r="D1358">
        <v>-1538.402</v>
      </c>
      <c r="E1358" t="s">
        <v>4</v>
      </c>
      <c r="F1358" t="s">
        <v>43</v>
      </c>
      <c r="G1358" t="s">
        <v>8</v>
      </c>
    </row>
    <row r="1359" spans="1:7" x14ac:dyDescent="0.3">
      <c r="A1359" t="s">
        <v>29</v>
      </c>
      <c r="B1359" s="1">
        <v>45930</v>
      </c>
      <c r="C1359">
        <v>245062</v>
      </c>
      <c r="D1359">
        <v>-6842.77</v>
      </c>
      <c r="E1359" t="s">
        <v>4</v>
      </c>
      <c r="F1359" t="s">
        <v>43</v>
      </c>
      <c r="G1359" t="s">
        <v>8</v>
      </c>
    </row>
    <row r="1360" spans="1:7" x14ac:dyDescent="0.3">
      <c r="A1360" t="s">
        <v>29</v>
      </c>
      <c r="B1360" s="1">
        <v>45930</v>
      </c>
      <c r="C1360">
        <v>250007</v>
      </c>
      <c r="D1360">
        <v>304.149</v>
      </c>
      <c r="E1360" t="s">
        <v>4</v>
      </c>
      <c r="F1360" t="s">
        <v>43</v>
      </c>
      <c r="G1360" t="s">
        <v>8</v>
      </c>
    </row>
    <row r="1361" spans="1:7" x14ac:dyDescent="0.3">
      <c r="A1361" t="s">
        <v>29</v>
      </c>
      <c r="B1361" s="1">
        <v>45930</v>
      </c>
      <c r="C1361">
        <v>251002</v>
      </c>
      <c r="D1361">
        <v>-27213.266</v>
      </c>
      <c r="E1361" t="s">
        <v>4</v>
      </c>
      <c r="F1361" t="s">
        <v>45</v>
      </c>
      <c r="G1361" t="s">
        <v>8</v>
      </c>
    </row>
    <row r="1362" spans="1:7" x14ac:dyDescent="0.3">
      <c r="A1362" t="s">
        <v>29</v>
      </c>
      <c r="B1362" s="1">
        <v>45930</v>
      </c>
      <c r="C1362">
        <v>257005</v>
      </c>
      <c r="D1362">
        <v>-5543.1530000000002</v>
      </c>
      <c r="E1362" t="s">
        <v>4</v>
      </c>
      <c r="F1362" t="s">
        <v>45</v>
      </c>
      <c r="G1362" t="s">
        <v>8</v>
      </c>
    </row>
    <row r="1363" spans="1:7" x14ac:dyDescent="0.3">
      <c r="A1363" t="s">
        <v>29</v>
      </c>
      <c r="B1363" s="1">
        <v>45930</v>
      </c>
      <c r="C1363">
        <v>257014</v>
      </c>
      <c r="D1363">
        <v>-16464.091</v>
      </c>
      <c r="E1363" t="s">
        <v>4</v>
      </c>
      <c r="F1363" t="s">
        <v>45</v>
      </c>
      <c r="G1363" t="s">
        <v>8</v>
      </c>
    </row>
    <row r="1364" spans="1:7" x14ac:dyDescent="0.3">
      <c r="A1364" t="s">
        <v>29</v>
      </c>
      <c r="B1364" s="1">
        <v>45930</v>
      </c>
      <c r="C1364">
        <v>257030</v>
      </c>
      <c r="D1364">
        <v>-21716.557000000001</v>
      </c>
      <c r="E1364" t="s">
        <v>4</v>
      </c>
      <c r="F1364" t="s">
        <v>45</v>
      </c>
      <c r="G1364" t="s">
        <v>8</v>
      </c>
    </row>
    <row r="1365" spans="1:7" x14ac:dyDescent="0.3">
      <c r="A1365" t="s">
        <v>29</v>
      </c>
      <c r="B1365" s="1">
        <v>45930</v>
      </c>
      <c r="C1365">
        <v>260004</v>
      </c>
      <c r="D1365">
        <v>-26715.001</v>
      </c>
      <c r="E1365" t="s">
        <v>4</v>
      </c>
      <c r="F1365" t="s">
        <v>45</v>
      </c>
      <c r="G1365" t="s">
        <v>8</v>
      </c>
    </row>
    <row r="1366" spans="1:7" x14ac:dyDescent="0.3">
      <c r="A1366" t="s">
        <v>29</v>
      </c>
      <c r="B1366" s="1">
        <v>45930</v>
      </c>
      <c r="C1366">
        <v>270025</v>
      </c>
      <c r="D1366">
        <v>-52917.985000000001</v>
      </c>
      <c r="E1366" t="s">
        <v>4</v>
      </c>
      <c r="F1366" t="s">
        <v>58</v>
      </c>
      <c r="G1366" t="s">
        <v>8</v>
      </c>
    </row>
    <row r="1367" spans="1:7" x14ac:dyDescent="0.3">
      <c r="A1367" t="s">
        <v>29</v>
      </c>
      <c r="B1367" s="1">
        <v>45930</v>
      </c>
      <c r="C1367">
        <v>270027</v>
      </c>
      <c r="D1367">
        <v>-3372.5390000000002</v>
      </c>
      <c r="E1367" t="s">
        <v>4</v>
      </c>
      <c r="F1367" t="s">
        <v>58</v>
      </c>
      <c r="G1367" t="s">
        <v>8</v>
      </c>
    </row>
    <row r="1368" spans="1:7" x14ac:dyDescent="0.3">
      <c r="A1368" t="s">
        <v>29</v>
      </c>
      <c r="B1368" s="1">
        <v>45930</v>
      </c>
      <c r="C1368">
        <v>320002</v>
      </c>
      <c r="D1368">
        <v>212875.40900000001</v>
      </c>
      <c r="E1368" t="s">
        <v>4</v>
      </c>
      <c r="F1368" t="s">
        <v>46</v>
      </c>
      <c r="G1368" t="s">
        <v>8</v>
      </c>
    </row>
    <row r="1369" spans="1:7" x14ac:dyDescent="0.3">
      <c r="A1369" t="s">
        <v>29</v>
      </c>
      <c r="B1369" s="1">
        <v>45930</v>
      </c>
      <c r="C1369">
        <v>320003</v>
      </c>
      <c r="D1369">
        <v>-2424.9749999999999</v>
      </c>
      <c r="E1369" t="s">
        <v>4</v>
      </c>
      <c r="F1369" t="s">
        <v>46</v>
      </c>
      <c r="G1369" t="s">
        <v>8</v>
      </c>
    </row>
    <row r="1370" spans="1:7" x14ac:dyDescent="0.3">
      <c r="A1370" t="s">
        <v>29</v>
      </c>
      <c r="B1370" s="1">
        <v>45930</v>
      </c>
      <c r="C1370">
        <v>320004</v>
      </c>
      <c r="D1370">
        <v>2534.61</v>
      </c>
      <c r="E1370" t="s">
        <v>4</v>
      </c>
      <c r="F1370" t="s">
        <v>46</v>
      </c>
      <c r="G1370" t="s">
        <v>8</v>
      </c>
    </row>
    <row r="1371" spans="1:7" x14ac:dyDescent="0.3">
      <c r="A1371" t="s">
        <v>29</v>
      </c>
      <c r="B1371" s="1">
        <v>45930</v>
      </c>
      <c r="C1371">
        <v>321002</v>
      </c>
      <c r="D1371">
        <v>23971.293000000001</v>
      </c>
      <c r="E1371" t="s">
        <v>4</v>
      </c>
      <c r="F1371" t="s">
        <v>46</v>
      </c>
      <c r="G1371" t="s">
        <v>8</v>
      </c>
    </row>
    <row r="1372" spans="1:7" x14ac:dyDescent="0.3">
      <c r="A1372" t="s">
        <v>29</v>
      </c>
      <c r="B1372" s="1">
        <v>45930</v>
      </c>
      <c r="C1372">
        <v>321004</v>
      </c>
      <c r="D1372">
        <v>3679.098</v>
      </c>
      <c r="E1372" t="s">
        <v>4</v>
      </c>
      <c r="F1372" t="s">
        <v>46</v>
      </c>
      <c r="G1372" t="s">
        <v>8</v>
      </c>
    </row>
    <row r="1373" spans="1:7" x14ac:dyDescent="0.3">
      <c r="A1373" t="s">
        <v>29</v>
      </c>
      <c r="B1373" s="1">
        <v>45930</v>
      </c>
      <c r="C1373">
        <v>321025</v>
      </c>
      <c r="D1373">
        <v>9645.1419999999998</v>
      </c>
      <c r="E1373" t="s">
        <v>4</v>
      </c>
      <c r="F1373" t="s">
        <v>46</v>
      </c>
      <c r="G1373" t="s">
        <v>8</v>
      </c>
    </row>
    <row r="1374" spans="1:7" x14ac:dyDescent="0.3">
      <c r="A1374" t="s">
        <v>29</v>
      </c>
      <c r="B1374" s="1">
        <v>45930</v>
      </c>
      <c r="C1374">
        <v>321042</v>
      </c>
      <c r="D1374">
        <v>-15.282999999999999</v>
      </c>
      <c r="E1374" t="s">
        <v>4</v>
      </c>
      <c r="F1374" t="s">
        <v>46</v>
      </c>
      <c r="G1374" t="s">
        <v>8</v>
      </c>
    </row>
    <row r="1375" spans="1:7" x14ac:dyDescent="0.3">
      <c r="A1375" t="s">
        <v>29</v>
      </c>
      <c r="B1375" s="1">
        <v>45930</v>
      </c>
      <c r="C1375">
        <v>330131</v>
      </c>
      <c r="D1375">
        <v>46084.62</v>
      </c>
      <c r="E1375" t="s">
        <v>4</v>
      </c>
      <c r="F1375" t="s">
        <v>43</v>
      </c>
      <c r="G1375" t="s">
        <v>8</v>
      </c>
    </row>
    <row r="1376" spans="1:7" x14ac:dyDescent="0.3">
      <c r="A1376" t="s">
        <v>29</v>
      </c>
      <c r="B1376" s="1">
        <v>45930</v>
      </c>
      <c r="C1376">
        <v>330150</v>
      </c>
      <c r="D1376">
        <v>13420.880999999999</v>
      </c>
      <c r="E1376" t="s">
        <v>4</v>
      </c>
      <c r="F1376" t="s">
        <v>43</v>
      </c>
      <c r="G1376" t="s">
        <v>8</v>
      </c>
    </row>
    <row r="1377" spans="1:7" x14ac:dyDescent="0.3">
      <c r="A1377" t="s">
        <v>29</v>
      </c>
      <c r="B1377" s="1">
        <v>45930</v>
      </c>
      <c r="C1377">
        <v>340243</v>
      </c>
      <c r="D1377">
        <v>165641.59599999999</v>
      </c>
      <c r="E1377" t="s">
        <v>4</v>
      </c>
      <c r="F1377" t="s">
        <v>47</v>
      </c>
      <c r="G1377" t="s">
        <v>8</v>
      </c>
    </row>
    <row r="1378" spans="1:7" x14ac:dyDescent="0.3">
      <c r="A1378" t="s">
        <v>29</v>
      </c>
      <c r="B1378" s="1">
        <v>45930</v>
      </c>
      <c r="C1378">
        <v>340244</v>
      </c>
      <c r="D1378">
        <v>1486051.317</v>
      </c>
      <c r="E1378" t="s">
        <v>4</v>
      </c>
      <c r="F1378" t="s">
        <v>47</v>
      </c>
      <c r="G1378" t="s">
        <v>8</v>
      </c>
    </row>
    <row r="1379" spans="1:7" x14ac:dyDescent="0.3">
      <c r="A1379" t="s">
        <v>29</v>
      </c>
      <c r="B1379" s="1">
        <v>45930</v>
      </c>
      <c r="C1379">
        <v>340245</v>
      </c>
      <c r="D1379">
        <v>-1625367.936</v>
      </c>
      <c r="E1379" t="s">
        <v>4</v>
      </c>
      <c r="F1379" t="s">
        <v>47</v>
      </c>
      <c r="G1379" t="s">
        <v>8</v>
      </c>
    </row>
    <row r="1380" spans="1:7" x14ac:dyDescent="0.3">
      <c r="A1380" t="s">
        <v>29</v>
      </c>
      <c r="B1380" s="1">
        <v>45930</v>
      </c>
      <c r="C1380">
        <v>340246</v>
      </c>
      <c r="D1380">
        <v>262534.12</v>
      </c>
      <c r="E1380" t="s">
        <v>4</v>
      </c>
      <c r="F1380" t="s">
        <v>47</v>
      </c>
      <c r="G1380" t="s">
        <v>8</v>
      </c>
    </row>
    <row r="1381" spans="1:7" x14ac:dyDescent="0.3">
      <c r="A1381" t="s">
        <v>29</v>
      </c>
      <c r="B1381" s="1">
        <v>45930</v>
      </c>
      <c r="C1381">
        <v>340247</v>
      </c>
      <c r="D1381">
        <v>3083192.4810000001</v>
      </c>
      <c r="E1381" t="s">
        <v>4</v>
      </c>
      <c r="F1381" t="s">
        <v>47</v>
      </c>
      <c r="G1381" t="s">
        <v>8</v>
      </c>
    </row>
    <row r="1382" spans="1:7" x14ac:dyDescent="0.3">
      <c r="A1382" t="s">
        <v>29</v>
      </c>
      <c r="B1382" s="1">
        <v>45930</v>
      </c>
      <c r="C1382">
        <v>340248</v>
      </c>
      <c r="D1382">
        <v>-3025455.7949999999</v>
      </c>
      <c r="E1382" t="s">
        <v>4</v>
      </c>
      <c r="F1382" t="s">
        <v>47</v>
      </c>
      <c r="G1382" t="s">
        <v>8</v>
      </c>
    </row>
    <row r="1383" spans="1:7" x14ac:dyDescent="0.3">
      <c r="A1383" t="s">
        <v>29</v>
      </c>
      <c r="B1383" s="1">
        <v>45930</v>
      </c>
      <c r="C1383">
        <v>340249</v>
      </c>
      <c r="D1383">
        <v>2562.5100000000002</v>
      </c>
      <c r="E1383" t="s">
        <v>4</v>
      </c>
      <c r="F1383" t="s">
        <v>47</v>
      </c>
      <c r="G1383" t="s">
        <v>8</v>
      </c>
    </row>
    <row r="1384" spans="1:7" x14ac:dyDescent="0.3">
      <c r="A1384" t="s">
        <v>29</v>
      </c>
      <c r="B1384" s="1">
        <v>45930</v>
      </c>
      <c r="C1384">
        <v>340250</v>
      </c>
      <c r="D1384">
        <v>1259788.2960000001</v>
      </c>
      <c r="E1384" t="s">
        <v>4</v>
      </c>
      <c r="F1384" t="s">
        <v>47</v>
      </c>
      <c r="G1384" t="s">
        <v>8</v>
      </c>
    </row>
    <row r="1385" spans="1:7" x14ac:dyDescent="0.3">
      <c r="A1385" t="s">
        <v>29</v>
      </c>
      <c r="B1385" s="1">
        <v>45930</v>
      </c>
      <c r="C1385">
        <v>340251</v>
      </c>
      <c r="D1385">
        <v>-1022140.243</v>
      </c>
      <c r="E1385" t="s">
        <v>4</v>
      </c>
      <c r="F1385" t="s">
        <v>47</v>
      </c>
      <c r="G1385" t="s">
        <v>8</v>
      </c>
    </row>
    <row r="1386" spans="1:7" x14ac:dyDescent="0.3">
      <c r="A1386" t="s">
        <v>29</v>
      </c>
      <c r="B1386" s="1">
        <v>45930</v>
      </c>
      <c r="C1386">
        <v>350002</v>
      </c>
      <c r="D1386">
        <v>3752.4369999999999</v>
      </c>
      <c r="E1386" t="s">
        <v>4</v>
      </c>
      <c r="F1386" t="s">
        <v>49</v>
      </c>
      <c r="G1386" t="s">
        <v>8</v>
      </c>
    </row>
    <row r="1387" spans="1:7" x14ac:dyDescent="0.3">
      <c r="A1387" t="s">
        <v>29</v>
      </c>
      <c r="B1387" s="1">
        <v>45930</v>
      </c>
      <c r="C1387">
        <v>350003</v>
      </c>
      <c r="D1387">
        <v>-2573.3270000000002</v>
      </c>
      <c r="E1387" t="s">
        <v>4</v>
      </c>
      <c r="F1387" t="s">
        <v>49</v>
      </c>
      <c r="G1387" t="s">
        <v>8</v>
      </c>
    </row>
    <row r="1388" spans="1:7" x14ac:dyDescent="0.3">
      <c r="A1388" t="s">
        <v>29</v>
      </c>
      <c r="B1388" s="1">
        <v>45930</v>
      </c>
      <c r="C1388">
        <v>350034</v>
      </c>
      <c r="D1388">
        <v>913.41</v>
      </c>
      <c r="E1388" t="s">
        <v>4</v>
      </c>
      <c r="F1388" t="s">
        <v>49</v>
      </c>
      <c r="G1388" t="s">
        <v>8</v>
      </c>
    </row>
    <row r="1389" spans="1:7" x14ac:dyDescent="0.3">
      <c r="A1389" t="s">
        <v>29</v>
      </c>
      <c r="B1389" s="1">
        <v>45930</v>
      </c>
      <c r="C1389">
        <v>354013</v>
      </c>
      <c r="D1389">
        <v>2336.741</v>
      </c>
      <c r="E1389" t="s">
        <v>4</v>
      </c>
      <c r="F1389" t="s">
        <v>46</v>
      </c>
      <c r="G1389" t="s">
        <v>8</v>
      </c>
    </row>
    <row r="1390" spans="1:7" x14ac:dyDescent="0.3">
      <c r="A1390" t="s">
        <v>29</v>
      </c>
      <c r="B1390" s="1">
        <v>45930</v>
      </c>
      <c r="C1390">
        <v>354015</v>
      </c>
      <c r="D1390">
        <v>18771.722000000002</v>
      </c>
      <c r="E1390" t="s">
        <v>4</v>
      </c>
      <c r="F1390" t="s">
        <v>46</v>
      </c>
      <c r="G1390" t="s">
        <v>8</v>
      </c>
    </row>
    <row r="1391" spans="1:7" x14ac:dyDescent="0.3">
      <c r="A1391" t="s">
        <v>29</v>
      </c>
      <c r="B1391" s="1">
        <v>45930</v>
      </c>
      <c r="C1391">
        <v>355016</v>
      </c>
      <c r="D1391">
        <v>208.54900000000001</v>
      </c>
      <c r="E1391" t="s">
        <v>4</v>
      </c>
      <c r="F1391" t="s">
        <v>49</v>
      </c>
      <c r="G1391" t="s">
        <v>8</v>
      </c>
    </row>
    <row r="1392" spans="1:7" x14ac:dyDescent="0.3">
      <c r="A1392" t="s">
        <v>29</v>
      </c>
      <c r="B1392" s="1">
        <v>45930</v>
      </c>
      <c r="C1392">
        <v>355017</v>
      </c>
      <c r="D1392">
        <v>16415.471000000001</v>
      </c>
      <c r="E1392" t="s">
        <v>4</v>
      </c>
      <c r="F1392" t="s">
        <v>49</v>
      </c>
      <c r="G1392" t="s">
        <v>8</v>
      </c>
    </row>
    <row r="1393" spans="1:7" x14ac:dyDescent="0.3">
      <c r="A1393" t="s">
        <v>29</v>
      </c>
      <c r="B1393" s="1">
        <v>45930</v>
      </c>
      <c r="C1393">
        <v>360028</v>
      </c>
      <c r="D1393">
        <v>46113.402999999998</v>
      </c>
      <c r="E1393" t="s">
        <v>4</v>
      </c>
      <c r="F1393" t="s">
        <v>58</v>
      </c>
      <c r="G1393" t="s">
        <v>8</v>
      </c>
    </row>
    <row r="1394" spans="1:7" x14ac:dyDescent="0.3">
      <c r="A1394" t="s">
        <v>29</v>
      </c>
      <c r="B1394" s="1">
        <v>45930</v>
      </c>
      <c r="C1394">
        <v>360030</v>
      </c>
      <c r="D1394">
        <v>18668.843000000001</v>
      </c>
      <c r="E1394" t="s">
        <v>4</v>
      </c>
      <c r="F1394" t="s">
        <v>58</v>
      </c>
      <c r="G1394" t="s">
        <v>8</v>
      </c>
    </row>
    <row r="1395" spans="1:7" x14ac:dyDescent="0.3">
      <c r="A1395" t="s">
        <v>29</v>
      </c>
      <c r="B1395" s="1">
        <v>45930</v>
      </c>
      <c r="C1395">
        <v>372004</v>
      </c>
      <c r="D1395">
        <v>1020.458</v>
      </c>
      <c r="E1395" t="s">
        <v>4</v>
      </c>
      <c r="F1395" t="s">
        <v>45</v>
      </c>
      <c r="G1395" t="s">
        <v>8</v>
      </c>
    </row>
    <row r="1396" spans="1:7" x14ac:dyDescent="0.3">
      <c r="A1396" t="s">
        <v>29</v>
      </c>
      <c r="B1396" s="1">
        <v>45930</v>
      </c>
      <c r="C1396">
        <v>400002</v>
      </c>
      <c r="D1396">
        <v>-226669.99400000001</v>
      </c>
      <c r="E1396" t="s">
        <v>6</v>
      </c>
      <c r="F1396" t="s">
        <v>50</v>
      </c>
      <c r="G1396" t="s">
        <v>8</v>
      </c>
    </row>
    <row r="1397" spans="1:7" x14ac:dyDescent="0.3">
      <c r="A1397" t="s">
        <v>29</v>
      </c>
      <c r="B1397" s="1">
        <v>45930</v>
      </c>
      <c r="C1397">
        <v>400004</v>
      </c>
      <c r="D1397">
        <v>-532809.02399999998</v>
      </c>
      <c r="E1397" t="s">
        <v>6</v>
      </c>
      <c r="F1397" t="s">
        <v>50</v>
      </c>
      <c r="G1397" t="s">
        <v>8</v>
      </c>
    </row>
    <row r="1398" spans="1:7" x14ac:dyDescent="0.3">
      <c r="A1398" t="s">
        <v>29</v>
      </c>
      <c r="B1398" s="1">
        <v>45930</v>
      </c>
      <c r="C1398">
        <v>410002</v>
      </c>
      <c r="D1398">
        <v>-23702.201000000001</v>
      </c>
      <c r="E1398" t="s">
        <v>6</v>
      </c>
      <c r="F1398" t="s">
        <v>51</v>
      </c>
      <c r="G1398" t="s">
        <v>8</v>
      </c>
    </row>
    <row r="1399" spans="1:7" x14ac:dyDescent="0.3">
      <c r="A1399" t="s">
        <v>29</v>
      </c>
      <c r="B1399" s="1">
        <v>45930</v>
      </c>
      <c r="C1399">
        <v>410005</v>
      </c>
      <c r="D1399">
        <v>-15384.063</v>
      </c>
      <c r="E1399" t="s">
        <v>6</v>
      </c>
      <c r="F1399" t="s">
        <v>51</v>
      </c>
      <c r="G1399" t="s">
        <v>8</v>
      </c>
    </row>
    <row r="1400" spans="1:7" x14ac:dyDescent="0.3">
      <c r="A1400" t="s">
        <v>29</v>
      </c>
      <c r="B1400" s="1">
        <v>45930</v>
      </c>
      <c r="C1400">
        <v>410032</v>
      </c>
      <c r="D1400">
        <v>-3275.9940000000001</v>
      </c>
      <c r="E1400" t="s">
        <v>6</v>
      </c>
      <c r="F1400" t="s">
        <v>51</v>
      </c>
      <c r="G1400" t="s">
        <v>8</v>
      </c>
    </row>
    <row r="1401" spans="1:7" x14ac:dyDescent="0.3">
      <c r="A1401" t="s">
        <v>29</v>
      </c>
      <c r="B1401" s="1">
        <v>45930</v>
      </c>
      <c r="C1401">
        <v>421002</v>
      </c>
      <c r="D1401">
        <v>-11131.499</v>
      </c>
      <c r="E1401" t="s">
        <v>6</v>
      </c>
      <c r="F1401" t="s">
        <v>52</v>
      </c>
      <c r="G1401" t="s">
        <v>8</v>
      </c>
    </row>
    <row r="1402" spans="1:7" x14ac:dyDescent="0.3">
      <c r="A1402" t="s">
        <v>29</v>
      </c>
      <c r="B1402" s="1">
        <v>45930</v>
      </c>
      <c r="C1402">
        <v>421003</v>
      </c>
      <c r="D1402">
        <v>-1211.069</v>
      </c>
      <c r="E1402" t="s">
        <v>6</v>
      </c>
      <c r="F1402" t="s">
        <v>52</v>
      </c>
      <c r="G1402" t="s">
        <v>8</v>
      </c>
    </row>
    <row r="1403" spans="1:7" x14ac:dyDescent="0.3">
      <c r="A1403" t="s">
        <v>29</v>
      </c>
      <c r="B1403" s="1">
        <v>45930</v>
      </c>
      <c r="C1403">
        <v>421004</v>
      </c>
      <c r="D1403">
        <v>-7192.201</v>
      </c>
      <c r="E1403" t="s">
        <v>6</v>
      </c>
      <c r="F1403" t="s">
        <v>52</v>
      </c>
      <c r="G1403" t="s">
        <v>8</v>
      </c>
    </row>
    <row r="1404" spans="1:7" x14ac:dyDescent="0.3">
      <c r="A1404" t="s">
        <v>29</v>
      </c>
      <c r="B1404" s="1">
        <v>45930</v>
      </c>
      <c r="C1404">
        <v>421007</v>
      </c>
      <c r="D1404">
        <v>-4648.1030000000001</v>
      </c>
      <c r="E1404" t="s">
        <v>6</v>
      </c>
      <c r="F1404" t="s">
        <v>52</v>
      </c>
      <c r="G1404" t="s">
        <v>8</v>
      </c>
    </row>
    <row r="1405" spans="1:7" x14ac:dyDescent="0.3">
      <c r="A1405" t="s">
        <v>29</v>
      </c>
      <c r="B1405" s="1">
        <v>45930</v>
      </c>
      <c r="C1405">
        <v>510002</v>
      </c>
      <c r="D1405">
        <v>192620.47200000001</v>
      </c>
      <c r="E1405" t="s">
        <v>6</v>
      </c>
      <c r="F1405" t="s">
        <v>53</v>
      </c>
      <c r="G1405" t="s">
        <v>8</v>
      </c>
    </row>
    <row r="1406" spans="1:7" x14ac:dyDescent="0.3">
      <c r="A1406" t="s">
        <v>29</v>
      </c>
      <c r="B1406" s="1">
        <v>45930</v>
      </c>
      <c r="C1406">
        <v>510005</v>
      </c>
      <c r="D1406">
        <v>2775.1619999999998</v>
      </c>
      <c r="E1406" t="s">
        <v>6</v>
      </c>
      <c r="F1406" t="s">
        <v>53</v>
      </c>
      <c r="G1406" t="s">
        <v>8</v>
      </c>
    </row>
    <row r="1407" spans="1:7" x14ac:dyDescent="0.3">
      <c r="A1407" t="s">
        <v>29</v>
      </c>
      <c r="B1407" s="1">
        <v>45930</v>
      </c>
      <c r="C1407">
        <v>510007</v>
      </c>
      <c r="D1407">
        <v>6027.2669999999998</v>
      </c>
      <c r="E1407" t="s">
        <v>6</v>
      </c>
      <c r="F1407" t="s">
        <v>53</v>
      </c>
      <c r="G1407" t="s">
        <v>8</v>
      </c>
    </row>
    <row r="1408" spans="1:7" x14ac:dyDescent="0.3">
      <c r="A1408" t="s">
        <v>29</v>
      </c>
      <c r="B1408" s="1">
        <v>45930</v>
      </c>
      <c r="C1408">
        <v>510015</v>
      </c>
      <c r="D1408">
        <v>6293.9040000000005</v>
      </c>
      <c r="E1408" t="s">
        <v>6</v>
      </c>
      <c r="F1408" t="s">
        <v>53</v>
      </c>
      <c r="G1408" t="s">
        <v>8</v>
      </c>
    </row>
    <row r="1409" spans="1:7" x14ac:dyDescent="0.3">
      <c r="A1409" t="s">
        <v>29</v>
      </c>
      <c r="B1409" s="1">
        <v>45930</v>
      </c>
      <c r="C1409">
        <v>510018</v>
      </c>
      <c r="D1409">
        <v>6264.4579999999996</v>
      </c>
      <c r="E1409" t="s">
        <v>6</v>
      </c>
      <c r="F1409" t="s">
        <v>53</v>
      </c>
      <c r="G1409" t="s">
        <v>8</v>
      </c>
    </row>
    <row r="1410" spans="1:7" x14ac:dyDescent="0.3">
      <c r="A1410" t="s">
        <v>29</v>
      </c>
      <c r="B1410" s="1">
        <v>45930</v>
      </c>
      <c r="C1410">
        <v>510062</v>
      </c>
      <c r="D1410">
        <v>-2003.2380000000001</v>
      </c>
      <c r="E1410" t="s">
        <v>6</v>
      </c>
      <c r="F1410" t="s">
        <v>53</v>
      </c>
      <c r="G1410" t="s">
        <v>8</v>
      </c>
    </row>
    <row r="1411" spans="1:7" x14ac:dyDescent="0.3">
      <c r="A1411" t="s">
        <v>29</v>
      </c>
      <c r="B1411" s="1">
        <v>45930</v>
      </c>
      <c r="C1411">
        <v>510065</v>
      </c>
      <c r="D1411">
        <v>1992.68</v>
      </c>
      <c r="E1411" t="s">
        <v>6</v>
      </c>
      <c r="F1411" t="s">
        <v>53</v>
      </c>
      <c r="G1411" t="s">
        <v>8</v>
      </c>
    </row>
    <row r="1412" spans="1:7" x14ac:dyDescent="0.3">
      <c r="A1412" t="s">
        <v>29</v>
      </c>
      <c r="B1412" s="1">
        <v>45930</v>
      </c>
      <c r="C1412">
        <v>520021</v>
      </c>
      <c r="D1412">
        <v>141.191</v>
      </c>
      <c r="E1412" t="s">
        <v>6</v>
      </c>
      <c r="F1412" t="s">
        <v>60</v>
      </c>
      <c r="G1412" t="s">
        <v>8</v>
      </c>
    </row>
    <row r="1413" spans="1:7" x14ac:dyDescent="0.3">
      <c r="A1413" t="s">
        <v>29</v>
      </c>
      <c r="B1413" s="1">
        <v>45930</v>
      </c>
      <c r="C1413">
        <v>541004</v>
      </c>
      <c r="D1413">
        <v>2059.58</v>
      </c>
      <c r="E1413" t="s">
        <v>6</v>
      </c>
      <c r="F1413" t="s">
        <v>61</v>
      </c>
      <c r="G1413" t="s">
        <v>8</v>
      </c>
    </row>
    <row r="1414" spans="1:7" x14ac:dyDescent="0.3">
      <c r="A1414" t="s">
        <v>29</v>
      </c>
      <c r="B1414" s="1">
        <v>45930</v>
      </c>
      <c r="C1414">
        <v>541009</v>
      </c>
      <c r="D1414">
        <v>31.952000000000002</v>
      </c>
      <c r="E1414" t="s">
        <v>6</v>
      </c>
      <c r="F1414" t="s">
        <v>61</v>
      </c>
      <c r="G1414" t="s">
        <v>8</v>
      </c>
    </row>
    <row r="1415" spans="1:7" x14ac:dyDescent="0.3">
      <c r="A1415" t="s">
        <v>29</v>
      </c>
      <c r="B1415" s="1">
        <v>45930</v>
      </c>
      <c r="C1415">
        <v>541010</v>
      </c>
      <c r="D1415">
        <v>1274.8920000000001</v>
      </c>
      <c r="E1415" t="s">
        <v>6</v>
      </c>
      <c r="F1415" t="s">
        <v>61</v>
      </c>
      <c r="G1415" t="s">
        <v>8</v>
      </c>
    </row>
    <row r="1416" spans="1:7" x14ac:dyDescent="0.3">
      <c r="A1416" t="s">
        <v>29</v>
      </c>
      <c r="B1416" s="1">
        <v>45930</v>
      </c>
      <c r="C1416">
        <v>541013</v>
      </c>
      <c r="D1416">
        <v>304.98599999999999</v>
      </c>
      <c r="E1416" t="s">
        <v>6</v>
      </c>
      <c r="F1416" t="s">
        <v>61</v>
      </c>
      <c r="G1416" t="s">
        <v>8</v>
      </c>
    </row>
    <row r="1417" spans="1:7" x14ac:dyDescent="0.3">
      <c r="A1417" t="s">
        <v>29</v>
      </c>
      <c r="B1417" s="1">
        <v>45930</v>
      </c>
      <c r="C1417">
        <v>546002</v>
      </c>
      <c r="D1417">
        <v>468871.94900000002</v>
      </c>
      <c r="E1417" t="s">
        <v>6</v>
      </c>
      <c r="F1417" t="s">
        <v>51</v>
      </c>
      <c r="G1417" t="s">
        <v>8</v>
      </c>
    </row>
    <row r="1418" spans="1:7" x14ac:dyDescent="0.3">
      <c r="A1418" t="s">
        <v>29</v>
      </c>
      <c r="B1418" s="1">
        <v>45930</v>
      </c>
      <c r="C1418">
        <v>546005</v>
      </c>
      <c r="D1418">
        <v>-3472.8530000000001</v>
      </c>
      <c r="E1418" t="s">
        <v>6</v>
      </c>
      <c r="F1418" t="s">
        <v>51</v>
      </c>
      <c r="G1418" t="s">
        <v>8</v>
      </c>
    </row>
    <row r="1419" spans="1:7" x14ac:dyDescent="0.3">
      <c r="A1419" t="s">
        <v>29</v>
      </c>
      <c r="B1419" s="1">
        <v>45930</v>
      </c>
      <c r="C1419">
        <v>546015</v>
      </c>
      <c r="D1419">
        <v>286.73399999999998</v>
      </c>
      <c r="E1419" t="s">
        <v>6</v>
      </c>
      <c r="F1419" t="s">
        <v>51</v>
      </c>
      <c r="G1419" t="s">
        <v>8</v>
      </c>
    </row>
    <row r="1420" spans="1:7" x14ac:dyDescent="0.3">
      <c r="A1420" t="s">
        <v>29</v>
      </c>
      <c r="B1420" s="1">
        <v>45930</v>
      </c>
      <c r="C1420">
        <v>546016</v>
      </c>
      <c r="D1420">
        <v>90.837000000000003</v>
      </c>
      <c r="E1420" t="s">
        <v>6</v>
      </c>
      <c r="F1420" t="s">
        <v>51</v>
      </c>
      <c r="G1420" t="s">
        <v>8</v>
      </c>
    </row>
    <row r="1421" spans="1:7" x14ac:dyDescent="0.3">
      <c r="A1421" t="s">
        <v>29</v>
      </c>
      <c r="B1421" s="1">
        <v>45930</v>
      </c>
      <c r="C1421">
        <v>546024</v>
      </c>
      <c r="D1421">
        <v>5654.7240000000002</v>
      </c>
      <c r="E1421" t="s">
        <v>6</v>
      </c>
      <c r="F1421" t="s">
        <v>51</v>
      </c>
      <c r="G1421" t="s">
        <v>8</v>
      </c>
    </row>
    <row r="1422" spans="1:7" x14ac:dyDescent="0.3">
      <c r="A1422" t="s">
        <v>29</v>
      </c>
      <c r="B1422" s="1">
        <v>45930</v>
      </c>
      <c r="C1422">
        <v>546035</v>
      </c>
      <c r="D1422">
        <v>1242.902</v>
      </c>
      <c r="E1422" t="s">
        <v>6</v>
      </c>
      <c r="F1422" t="s">
        <v>51</v>
      </c>
      <c r="G1422" t="s">
        <v>8</v>
      </c>
    </row>
    <row r="1423" spans="1:7" x14ac:dyDescent="0.3">
      <c r="A1423" t="s">
        <v>29</v>
      </c>
      <c r="B1423" s="1">
        <v>45930</v>
      </c>
      <c r="C1423">
        <v>546040</v>
      </c>
      <c r="D1423">
        <v>1031.54</v>
      </c>
      <c r="E1423" t="s">
        <v>6</v>
      </c>
      <c r="F1423" t="s">
        <v>51</v>
      </c>
      <c r="G1423" t="s">
        <v>8</v>
      </c>
    </row>
    <row r="1424" spans="1:7" x14ac:dyDescent="0.3">
      <c r="A1424" t="s">
        <v>29</v>
      </c>
      <c r="B1424" s="1">
        <v>45930</v>
      </c>
      <c r="C1424">
        <v>546045</v>
      </c>
      <c r="D1424">
        <v>746.649</v>
      </c>
      <c r="E1424" t="s">
        <v>6</v>
      </c>
      <c r="F1424" t="s">
        <v>51</v>
      </c>
      <c r="G1424" t="s">
        <v>8</v>
      </c>
    </row>
    <row r="1425" spans="1:7" x14ac:dyDescent="0.3">
      <c r="A1425" t="s">
        <v>29</v>
      </c>
      <c r="B1425" s="1">
        <v>45930</v>
      </c>
      <c r="C1425">
        <v>547002</v>
      </c>
      <c r="D1425">
        <v>21770.812999999998</v>
      </c>
      <c r="E1425" t="s">
        <v>6</v>
      </c>
      <c r="F1425" t="s">
        <v>54</v>
      </c>
      <c r="G1425" t="s">
        <v>8</v>
      </c>
    </row>
    <row r="1426" spans="1:7" x14ac:dyDescent="0.3">
      <c r="A1426" t="s">
        <v>29</v>
      </c>
      <c r="B1426" s="1">
        <v>45930</v>
      </c>
      <c r="C1426">
        <v>550002</v>
      </c>
      <c r="D1426">
        <v>21180.12</v>
      </c>
      <c r="E1426" t="s">
        <v>6</v>
      </c>
      <c r="F1426" t="s">
        <v>62</v>
      </c>
      <c r="G1426" t="s">
        <v>8</v>
      </c>
    </row>
    <row r="1427" spans="1:7" x14ac:dyDescent="0.3">
      <c r="A1427" t="s">
        <v>29</v>
      </c>
      <c r="B1427" s="1">
        <v>45930</v>
      </c>
      <c r="C1427">
        <v>550003</v>
      </c>
      <c r="D1427">
        <v>13479.063</v>
      </c>
      <c r="E1427" t="s">
        <v>6</v>
      </c>
      <c r="F1427" t="s">
        <v>62</v>
      </c>
      <c r="G1427" t="s">
        <v>8</v>
      </c>
    </row>
    <row r="1428" spans="1:7" x14ac:dyDescent="0.3">
      <c r="A1428" t="s">
        <v>29</v>
      </c>
      <c r="B1428" s="1">
        <v>45930</v>
      </c>
      <c r="C1428">
        <v>555508</v>
      </c>
      <c r="D1428">
        <v>1651.056</v>
      </c>
      <c r="E1428" t="s">
        <v>6</v>
      </c>
      <c r="F1428" t="s">
        <v>55</v>
      </c>
      <c r="G1428" t="s">
        <v>8</v>
      </c>
    </row>
    <row r="1429" spans="1:7" x14ac:dyDescent="0.3">
      <c r="A1429" t="s">
        <v>29</v>
      </c>
      <c r="B1429" s="1">
        <v>45930</v>
      </c>
      <c r="C1429">
        <v>556002</v>
      </c>
      <c r="D1429">
        <v>256.84300000000002</v>
      </c>
      <c r="E1429" t="s">
        <v>6</v>
      </c>
      <c r="F1429" t="s">
        <v>60</v>
      </c>
      <c r="G1429" t="s">
        <v>8</v>
      </c>
    </row>
    <row r="1430" spans="1:7" x14ac:dyDescent="0.3">
      <c r="A1430" t="s">
        <v>29</v>
      </c>
      <c r="B1430" s="1">
        <v>45930</v>
      </c>
      <c r="C1430">
        <v>557002</v>
      </c>
      <c r="D1430">
        <v>7661.7370000000001</v>
      </c>
      <c r="E1430" t="s">
        <v>6</v>
      </c>
      <c r="F1430" t="s">
        <v>56</v>
      </c>
      <c r="G1430" t="s">
        <v>8</v>
      </c>
    </row>
    <row r="1431" spans="1:7" x14ac:dyDescent="0.3">
      <c r="A1431" t="s">
        <v>29</v>
      </c>
      <c r="B1431" s="1">
        <v>45930</v>
      </c>
      <c r="C1431">
        <v>558012</v>
      </c>
      <c r="D1431">
        <v>118.971</v>
      </c>
      <c r="E1431" t="s">
        <v>6</v>
      </c>
      <c r="F1431" t="s">
        <v>60</v>
      </c>
      <c r="G1431" t="s">
        <v>8</v>
      </c>
    </row>
    <row r="1432" spans="1:7" x14ac:dyDescent="0.3">
      <c r="A1432" t="s">
        <v>29</v>
      </c>
      <c r="B1432" s="1">
        <v>45930</v>
      </c>
      <c r="C1432">
        <v>564006</v>
      </c>
      <c r="D1432">
        <v>-0.111</v>
      </c>
      <c r="E1432" t="s">
        <v>6</v>
      </c>
      <c r="F1432" t="s">
        <v>57</v>
      </c>
      <c r="G1432" t="s">
        <v>8</v>
      </c>
    </row>
    <row r="1433" spans="1:7" x14ac:dyDescent="0.3">
      <c r="A1433" t="s">
        <v>29</v>
      </c>
      <c r="B1433" s="1">
        <v>45930</v>
      </c>
      <c r="C1433">
        <v>564019</v>
      </c>
      <c r="D1433">
        <v>51706.857000000004</v>
      </c>
      <c r="E1433" t="s">
        <v>6</v>
      </c>
      <c r="F1433" t="s">
        <v>51</v>
      </c>
      <c r="G1433" t="s">
        <v>8</v>
      </c>
    </row>
    <row r="1434" spans="1:7" x14ac:dyDescent="0.3">
      <c r="A1434" t="s">
        <v>29</v>
      </c>
      <c r="B1434" s="1">
        <v>45930</v>
      </c>
      <c r="C1434">
        <v>564020</v>
      </c>
      <c r="D1434">
        <v>309.30500000000001</v>
      </c>
      <c r="E1434" t="s">
        <v>6</v>
      </c>
      <c r="F1434" t="s">
        <v>57</v>
      </c>
      <c r="G1434" t="s">
        <v>8</v>
      </c>
    </row>
    <row r="1435" spans="1:7" x14ac:dyDescent="0.3">
      <c r="A1435" t="s">
        <v>29</v>
      </c>
      <c r="B1435" s="1">
        <v>45930</v>
      </c>
      <c r="C1435">
        <v>564021</v>
      </c>
      <c r="D1435">
        <v>1.5169999999999999</v>
      </c>
      <c r="E1435" t="s">
        <v>6</v>
      </c>
      <c r="F1435" t="s">
        <v>57</v>
      </c>
      <c r="G1435" t="s">
        <v>8</v>
      </c>
    </row>
    <row r="1436" spans="1:7" x14ac:dyDescent="0.3">
      <c r="A1436" t="s">
        <v>29</v>
      </c>
      <c r="B1436" s="1">
        <v>45930</v>
      </c>
      <c r="C1436">
        <v>580002</v>
      </c>
      <c r="D1436">
        <v>3334.68</v>
      </c>
      <c r="E1436" t="s">
        <v>6</v>
      </c>
      <c r="F1436" t="s">
        <v>64</v>
      </c>
      <c r="G1436" t="s">
        <v>8</v>
      </c>
    </row>
    <row r="1437" spans="1:7" x14ac:dyDescent="0.3">
      <c r="A1437" t="s">
        <v>29</v>
      </c>
      <c r="B1437" s="1">
        <v>45930</v>
      </c>
      <c r="C1437">
        <v>580005</v>
      </c>
      <c r="D1437">
        <v>1041.3150000000001</v>
      </c>
      <c r="E1437" t="s">
        <v>6</v>
      </c>
      <c r="F1437" t="s">
        <v>64</v>
      </c>
      <c r="G1437" t="s">
        <v>8</v>
      </c>
    </row>
    <row r="1438" spans="1:7" x14ac:dyDescent="0.3">
      <c r="A1438" t="s">
        <v>30</v>
      </c>
      <c r="B1438" s="1">
        <v>45930</v>
      </c>
      <c r="C1438">
        <v>210002</v>
      </c>
      <c r="D1438">
        <v>-70287.074999999997</v>
      </c>
      <c r="E1438" t="s">
        <v>4</v>
      </c>
      <c r="F1438" t="s">
        <v>42</v>
      </c>
      <c r="G1438" t="s">
        <v>8</v>
      </c>
    </row>
    <row r="1439" spans="1:7" x14ac:dyDescent="0.3">
      <c r="A1439" t="s">
        <v>30</v>
      </c>
      <c r="B1439" s="1">
        <v>45930</v>
      </c>
      <c r="C1439">
        <v>220006</v>
      </c>
      <c r="D1439">
        <v>-278162.33100000001</v>
      </c>
      <c r="E1439" t="s">
        <v>4</v>
      </c>
      <c r="F1439" t="s">
        <v>42</v>
      </c>
      <c r="G1439" t="s">
        <v>8</v>
      </c>
    </row>
    <row r="1440" spans="1:7" x14ac:dyDescent="0.3">
      <c r="A1440" t="s">
        <v>30</v>
      </c>
      <c r="B1440" s="1">
        <v>45930</v>
      </c>
      <c r="C1440">
        <v>240002</v>
      </c>
      <c r="D1440">
        <v>-1643.78</v>
      </c>
      <c r="E1440" t="s">
        <v>4</v>
      </c>
      <c r="F1440" t="s">
        <v>43</v>
      </c>
      <c r="G1440" t="s">
        <v>8</v>
      </c>
    </row>
    <row r="1441" spans="1:7" x14ac:dyDescent="0.3">
      <c r="A1441" t="s">
        <v>30</v>
      </c>
      <c r="B1441" s="1">
        <v>45930</v>
      </c>
      <c r="C1441">
        <v>240003</v>
      </c>
      <c r="D1441">
        <v>-249.535</v>
      </c>
      <c r="E1441" t="s">
        <v>4</v>
      </c>
      <c r="F1441" t="s">
        <v>43</v>
      </c>
      <c r="G1441" t="s">
        <v>8</v>
      </c>
    </row>
    <row r="1442" spans="1:7" x14ac:dyDescent="0.3">
      <c r="A1442" t="s">
        <v>30</v>
      </c>
      <c r="B1442" s="1">
        <v>45930</v>
      </c>
      <c r="C1442">
        <v>240009</v>
      </c>
      <c r="D1442">
        <v>-93.350999999999999</v>
      </c>
      <c r="E1442" t="s">
        <v>4</v>
      </c>
      <c r="F1442" t="s">
        <v>43</v>
      </c>
      <c r="G1442" t="s">
        <v>8</v>
      </c>
    </row>
    <row r="1443" spans="1:7" x14ac:dyDescent="0.3">
      <c r="A1443" t="s">
        <v>30</v>
      </c>
      <c r="B1443" s="1">
        <v>45930</v>
      </c>
      <c r="C1443">
        <v>242003</v>
      </c>
      <c r="D1443">
        <v>-600066.91200000001</v>
      </c>
      <c r="E1443" t="s">
        <v>4</v>
      </c>
      <c r="F1443" t="s">
        <v>43</v>
      </c>
      <c r="G1443" t="s">
        <v>8</v>
      </c>
    </row>
    <row r="1444" spans="1:7" x14ac:dyDescent="0.3">
      <c r="A1444" t="s">
        <v>30</v>
      </c>
      <c r="B1444" s="1">
        <v>45930</v>
      </c>
      <c r="C1444">
        <v>242007</v>
      </c>
      <c r="D1444">
        <v>2286.0729999999999</v>
      </c>
      <c r="E1444" t="s">
        <v>4</v>
      </c>
      <c r="F1444" t="s">
        <v>43</v>
      </c>
      <c r="G1444" t="s">
        <v>8</v>
      </c>
    </row>
    <row r="1445" spans="1:7" x14ac:dyDescent="0.3">
      <c r="A1445" t="s">
        <v>30</v>
      </c>
      <c r="B1445" s="1">
        <v>45930</v>
      </c>
      <c r="C1445">
        <v>242011</v>
      </c>
      <c r="D1445">
        <v>-174277.196</v>
      </c>
      <c r="E1445" t="s">
        <v>4</v>
      </c>
      <c r="F1445" t="s">
        <v>43</v>
      </c>
      <c r="G1445" t="s">
        <v>8</v>
      </c>
    </row>
    <row r="1446" spans="1:7" x14ac:dyDescent="0.3">
      <c r="A1446" t="s">
        <v>30</v>
      </c>
      <c r="B1446" s="1">
        <v>45930</v>
      </c>
      <c r="C1446">
        <v>242012</v>
      </c>
      <c r="D1446">
        <v>-76436.964000000007</v>
      </c>
      <c r="E1446" t="s">
        <v>4</v>
      </c>
      <c r="F1446" t="s">
        <v>43</v>
      </c>
      <c r="G1446" t="s">
        <v>8</v>
      </c>
    </row>
    <row r="1447" spans="1:7" x14ac:dyDescent="0.3">
      <c r="A1447" t="s">
        <v>30</v>
      </c>
      <c r="B1447" s="1">
        <v>45930</v>
      </c>
      <c r="C1447">
        <v>242014</v>
      </c>
      <c r="D1447">
        <v>-22348.875</v>
      </c>
      <c r="E1447" t="s">
        <v>4</v>
      </c>
      <c r="F1447" t="s">
        <v>43</v>
      </c>
      <c r="G1447" t="s">
        <v>8</v>
      </c>
    </row>
    <row r="1448" spans="1:7" x14ac:dyDescent="0.3">
      <c r="A1448" t="s">
        <v>30</v>
      </c>
      <c r="B1448" s="1">
        <v>45930</v>
      </c>
      <c r="C1448">
        <v>242019</v>
      </c>
      <c r="D1448">
        <v>6.4429999999999996</v>
      </c>
      <c r="E1448" t="s">
        <v>4</v>
      </c>
      <c r="F1448" t="s">
        <v>43</v>
      </c>
      <c r="G1448" t="s">
        <v>8</v>
      </c>
    </row>
    <row r="1449" spans="1:7" x14ac:dyDescent="0.3">
      <c r="A1449" t="s">
        <v>30</v>
      </c>
      <c r="B1449" s="1">
        <v>45930</v>
      </c>
      <c r="C1449">
        <v>242022</v>
      </c>
      <c r="D1449">
        <v>-12695.949000000001</v>
      </c>
      <c r="E1449" t="s">
        <v>4</v>
      </c>
      <c r="F1449" t="s">
        <v>43</v>
      </c>
      <c r="G1449" t="s">
        <v>8</v>
      </c>
    </row>
    <row r="1450" spans="1:7" x14ac:dyDescent="0.3">
      <c r="A1450" t="s">
        <v>30</v>
      </c>
      <c r="B1450" s="1">
        <v>45930</v>
      </c>
      <c r="C1450">
        <v>242023</v>
      </c>
      <c r="D1450">
        <v>-21359.32</v>
      </c>
      <c r="E1450" t="s">
        <v>4</v>
      </c>
      <c r="F1450" t="s">
        <v>43</v>
      </c>
      <c r="G1450" t="s">
        <v>8</v>
      </c>
    </row>
    <row r="1451" spans="1:7" x14ac:dyDescent="0.3">
      <c r="A1451" t="s">
        <v>30</v>
      </c>
      <c r="B1451" s="1">
        <v>45930</v>
      </c>
      <c r="C1451">
        <v>242030</v>
      </c>
      <c r="D1451">
        <v>-95511.785999999993</v>
      </c>
      <c r="E1451" t="s">
        <v>4</v>
      </c>
      <c r="F1451" t="s">
        <v>43</v>
      </c>
      <c r="G1451" t="s">
        <v>8</v>
      </c>
    </row>
    <row r="1452" spans="1:7" x14ac:dyDescent="0.3">
      <c r="A1452" t="s">
        <v>30</v>
      </c>
      <c r="B1452" s="1">
        <v>45930</v>
      </c>
      <c r="C1452">
        <v>242036</v>
      </c>
      <c r="D1452">
        <v>-8683.6530000000002</v>
      </c>
      <c r="E1452" t="s">
        <v>4</v>
      </c>
      <c r="F1452" t="s">
        <v>43</v>
      </c>
      <c r="G1452" t="s">
        <v>8</v>
      </c>
    </row>
    <row r="1453" spans="1:7" x14ac:dyDescent="0.3">
      <c r="A1453" t="s">
        <v>30</v>
      </c>
      <c r="B1453" s="1">
        <v>45930</v>
      </c>
      <c r="C1453">
        <v>242039</v>
      </c>
      <c r="D1453">
        <v>-39375.087</v>
      </c>
      <c r="E1453" t="s">
        <v>4</v>
      </c>
      <c r="F1453" t="s">
        <v>43</v>
      </c>
      <c r="G1453" t="s">
        <v>8</v>
      </c>
    </row>
    <row r="1454" spans="1:7" x14ac:dyDescent="0.3">
      <c r="A1454" t="s">
        <v>30</v>
      </c>
      <c r="B1454" s="1">
        <v>45930</v>
      </c>
      <c r="C1454">
        <v>242041</v>
      </c>
      <c r="D1454">
        <v>-57610.981</v>
      </c>
      <c r="E1454" t="s">
        <v>4</v>
      </c>
      <c r="F1454" t="s">
        <v>43</v>
      </c>
      <c r="G1454" t="s">
        <v>8</v>
      </c>
    </row>
    <row r="1455" spans="1:7" x14ac:dyDescent="0.3">
      <c r="A1455" t="s">
        <v>30</v>
      </c>
      <c r="B1455" s="1">
        <v>45930</v>
      </c>
      <c r="C1455">
        <v>243002</v>
      </c>
      <c r="D1455">
        <v>-2324.6610000000001</v>
      </c>
      <c r="E1455" t="s">
        <v>4</v>
      </c>
      <c r="F1455" t="s">
        <v>43</v>
      </c>
      <c r="G1455" t="s">
        <v>8</v>
      </c>
    </row>
    <row r="1456" spans="1:7" x14ac:dyDescent="0.3">
      <c r="A1456" t="s">
        <v>30</v>
      </c>
      <c r="B1456" s="1">
        <v>45930</v>
      </c>
      <c r="C1456">
        <v>243003</v>
      </c>
      <c r="D1456">
        <v>-39832.716</v>
      </c>
      <c r="E1456" t="s">
        <v>4</v>
      </c>
      <c r="F1456" t="s">
        <v>43</v>
      </c>
      <c r="G1456" t="s">
        <v>8</v>
      </c>
    </row>
    <row r="1457" spans="1:7" x14ac:dyDescent="0.3">
      <c r="A1457" t="s">
        <v>30</v>
      </c>
      <c r="B1457" s="1">
        <v>45930</v>
      </c>
      <c r="C1457">
        <v>245010</v>
      </c>
      <c r="D1457">
        <v>-2710.4720000000002</v>
      </c>
      <c r="E1457" t="s">
        <v>4</v>
      </c>
      <c r="F1457" t="s">
        <v>44</v>
      </c>
      <c r="G1457" t="s">
        <v>8</v>
      </c>
    </row>
    <row r="1458" spans="1:7" x14ac:dyDescent="0.3">
      <c r="A1458" t="s">
        <v>30</v>
      </c>
      <c r="B1458" s="1">
        <v>45930</v>
      </c>
      <c r="C1458">
        <v>245049</v>
      </c>
      <c r="D1458">
        <v>-3.5000000000000003E-2</v>
      </c>
      <c r="E1458" t="s">
        <v>4</v>
      </c>
      <c r="F1458" t="s">
        <v>43</v>
      </c>
      <c r="G1458" t="s">
        <v>8</v>
      </c>
    </row>
    <row r="1459" spans="1:7" x14ac:dyDescent="0.3">
      <c r="A1459" t="s">
        <v>30</v>
      </c>
      <c r="B1459" s="1">
        <v>45930</v>
      </c>
      <c r="C1459">
        <v>245056</v>
      </c>
      <c r="D1459">
        <v>-14.103999999999999</v>
      </c>
      <c r="E1459" t="s">
        <v>4</v>
      </c>
      <c r="F1459" t="s">
        <v>49</v>
      </c>
      <c r="G1459" t="s">
        <v>8</v>
      </c>
    </row>
    <row r="1460" spans="1:7" x14ac:dyDescent="0.3">
      <c r="A1460" t="s">
        <v>30</v>
      </c>
      <c r="B1460" s="1">
        <v>45930</v>
      </c>
      <c r="C1460">
        <v>245057</v>
      </c>
      <c r="D1460">
        <v>-725.05100000000004</v>
      </c>
      <c r="E1460" t="s">
        <v>4</v>
      </c>
      <c r="F1460" t="s">
        <v>43</v>
      </c>
      <c r="G1460" t="s">
        <v>8</v>
      </c>
    </row>
    <row r="1461" spans="1:7" x14ac:dyDescent="0.3">
      <c r="A1461" t="s">
        <v>30</v>
      </c>
      <c r="B1461" s="1">
        <v>45930</v>
      </c>
      <c r="C1461">
        <v>245062</v>
      </c>
      <c r="D1461">
        <v>-1472.5139999999999</v>
      </c>
      <c r="E1461" t="s">
        <v>4</v>
      </c>
      <c r="F1461" t="s">
        <v>43</v>
      </c>
      <c r="G1461" t="s">
        <v>8</v>
      </c>
    </row>
    <row r="1462" spans="1:7" x14ac:dyDescent="0.3">
      <c r="A1462" t="s">
        <v>30</v>
      </c>
      <c r="B1462" s="1">
        <v>45930</v>
      </c>
      <c r="C1462">
        <v>250003</v>
      </c>
      <c r="D1462">
        <v>-2901.3249999999998</v>
      </c>
      <c r="E1462" t="s">
        <v>4</v>
      </c>
      <c r="F1462" t="s">
        <v>45</v>
      </c>
      <c r="G1462" t="s">
        <v>8</v>
      </c>
    </row>
    <row r="1463" spans="1:7" x14ac:dyDescent="0.3">
      <c r="A1463" t="s">
        <v>30</v>
      </c>
      <c r="B1463" s="1">
        <v>45930</v>
      </c>
      <c r="C1463">
        <v>251002</v>
      </c>
      <c r="D1463">
        <v>-11375.368</v>
      </c>
      <c r="E1463" t="s">
        <v>4</v>
      </c>
      <c r="F1463" t="s">
        <v>45</v>
      </c>
      <c r="G1463" t="s">
        <v>8</v>
      </c>
    </row>
    <row r="1464" spans="1:7" x14ac:dyDescent="0.3">
      <c r="A1464" t="s">
        <v>30</v>
      </c>
      <c r="B1464" s="1">
        <v>45930</v>
      </c>
      <c r="C1464">
        <v>256040</v>
      </c>
      <c r="D1464">
        <v>-984019.05</v>
      </c>
      <c r="E1464" t="s">
        <v>4</v>
      </c>
      <c r="F1464" t="s">
        <v>43</v>
      </c>
      <c r="G1464" t="s">
        <v>8</v>
      </c>
    </row>
    <row r="1465" spans="1:7" x14ac:dyDescent="0.3">
      <c r="A1465" t="s">
        <v>30</v>
      </c>
      <c r="B1465" s="1">
        <v>45930</v>
      </c>
      <c r="C1465">
        <v>256041</v>
      </c>
      <c r="D1465">
        <v>-13530.259</v>
      </c>
      <c r="E1465" t="s">
        <v>4</v>
      </c>
      <c r="F1465" t="s">
        <v>43</v>
      </c>
      <c r="G1465" t="s">
        <v>8</v>
      </c>
    </row>
    <row r="1466" spans="1:7" x14ac:dyDescent="0.3">
      <c r="A1466" t="s">
        <v>30</v>
      </c>
      <c r="B1466" s="1">
        <v>45930</v>
      </c>
      <c r="C1466">
        <v>257005</v>
      </c>
      <c r="D1466">
        <v>476.23700000000002</v>
      </c>
      <c r="E1466" t="s">
        <v>4</v>
      </c>
      <c r="F1466" t="s">
        <v>45</v>
      </c>
      <c r="G1466" t="s">
        <v>8</v>
      </c>
    </row>
    <row r="1467" spans="1:7" x14ac:dyDescent="0.3">
      <c r="A1467" t="s">
        <v>30</v>
      </c>
      <c r="B1467" s="1">
        <v>45930</v>
      </c>
      <c r="C1467">
        <v>257027</v>
      </c>
      <c r="D1467">
        <v>-2332.5360000000001</v>
      </c>
      <c r="E1467" t="s">
        <v>4</v>
      </c>
      <c r="F1467" t="s">
        <v>45</v>
      </c>
      <c r="G1467" t="s">
        <v>8</v>
      </c>
    </row>
    <row r="1468" spans="1:7" x14ac:dyDescent="0.3">
      <c r="A1468" t="s">
        <v>30</v>
      </c>
      <c r="B1468" s="1">
        <v>45930</v>
      </c>
      <c r="C1468">
        <v>260004</v>
      </c>
      <c r="D1468">
        <v>-58499.839999999997</v>
      </c>
      <c r="E1468" t="s">
        <v>4</v>
      </c>
      <c r="F1468" t="s">
        <v>45</v>
      </c>
      <c r="G1468" t="s">
        <v>8</v>
      </c>
    </row>
    <row r="1469" spans="1:7" x14ac:dyDescent="0.3">
      <c r="A1469" t="s">
        <v>30</v>
      </c>
      <c r="B1469" s="1">
        <v>45930</v>
      </c>
      <c r="C1469">
        <v>270025</v>
      </c>
      <c r="D1469">
        <v>-27659.791000000001</v>
      </c>
      <c r="E1469" t="s">
        <v>4</v>
      </c>
      <c r="F1469" t="s">
        <v>58</v>
      </c>
      <c r="G1469" t="s">
        <v>8</v>
      </c>
    </row>
    <row r="1470" spans="1:7" x14ac:dyDescent="0.3">
      <c r="A1470" t="s">
        <v>30</v>
      </c>
      <c r="B1470" s="1">
        <v>45930</v>
      </c>
      <c r="C1470">
        <v>270026</v>
      </c>
      <c r="D1470">
        <v>-9352.1170000000002</v>
      </c>
      <c r="E1470" t="s">
        <v>4</v>
      </c>
      <c r="F1470" t="s">
        <v>58</v>
      </c>
      <c r="G1470" t="s">
        <v>8</v>
      </c>
    </row>
    <row r="1471" spans="1:7" x14ac:dyDescent="0.3">
      <c r="A1471" t="s">
        <v>30</v>
      </c>
      <c r="B1471" s="1">
        <v>45930</v>
      </c>
      <c r="C1471">
        <v>275002</v>
      </c>
      <c r="D1471">
        <v>-83.926000000000002</v>
      </c>
      <c r="E1471" t="s">
        <v>4</v>
      </c>
      <c r="F1471" t="s">
        <v>58</v>
      </c>
      <c r="G1471" t="s">
        <v>8</v>
      </c>
    </row>
    <row r="1472" spans="1:7" x14ac:dyDescent="0.3">
      <c r="A1472" t="s">
        <v>30</v>
      </c>
      <c r="B1472" s="1">
        <v>45930</v>
      </c>
      <c r="C1472">
        <v>300008</v>
      </c>
      <c r="D1472">
        <v>2533.998</v>
      </c>
      <c r="E1472" t="s">
        <v>4</v>
      </c>
      <c r="F1472" t="s">
        <v>65</v>
      </c>
      <c r="G1472" t="s">
        <v>8</v>
      </c>
    </row>
    <row r="1473" spans="1:7" x14ac:dyDescent="0.3">
      <c r="A1473" t="s">
        <v>30</v>
      </c>
      <c r="B1473" s="1">
        <v>45930</v>
      </c>
      <c r="C1473">
        <v>300011</v>
      </c>
      <c r="D1473">
        <v>39.969000000000001</v>
      </c>
      <c r="E1473" t="s">
        <v>4</v>
      </c>
      <c r="F1473" t="s">
        <v>65</v>
      </c>
      <c r="G1473" t="s">
        <v>8</v>
      </c>
    </row>
    <row r="1474" spans="1:7" x14ac:dyDescent="0.3">
      <c r="A1474" t="s">
        <v>30</v>
      </c>
      <c r="B1474" s="1">
        <v>45930</v>
      </c>
      <c r="C1474">
        <v>300012</v>
      </c>
      <c r="D1474">
        <v>60.89</v>
      </c>
      <c r="E1474" t="s">
        <v>4</v>
      </c>
      <c r="F1474" t="s">
        <v>65</v>
      </c>
      <c r="G1474" t="s">
        <v>8</v>
      </c>
    </row>
    <row r="1475" spans="1:7" x14ac:dyDescent="0.3">
      <c r="A1475" t="s">
        <v>30</v>
      </c>
      <c r="B1475" s="1">
        <v>45930</v>
      </c>
      <c r="C1475">
        <v>300508</v>
      </c>
      <c r="D1475">
        <v>-2095.8339999999998</v>
      </c>
      <c r="E1475" t="s">
        <v>4</v>
      </c>
      <c r="F1475" t="s">
        <v>65</v>
      </c>
      <c r="G1475" t="s">
        <v>8</v>
      </c>
    </row>
    <row r="1476" spans="1:7" x14ac:dyDescent="0.3">
      <c r="A1476" t="s">
        <v>30</v>
      </c>
      <c r="B1476" s="1">
        <v>45930</v>
      </c>
      <c r="C1476">
        <v>300511</v>
      </c>
      <c r="D1476">
        <v>-35.177</v>
      </c>
      <c r="E1476" t="s">
        <v>4</v>
      </c>
      <c r="F1476" t="s">
        <v>65</v>
      </c>
      <c r="G1476" t="s">
        <v>8</v>
      </c>
    </row>
    <row r="1477" spans="1:7" x14ac:dyDescent="0.3">
      <c r="A1477" t="s">
        <v>30</v>
      </c>
      <c r="B1477" s="1">
        <v>45930</v>
      </c>
      <c r="C1477">
        <v>300512</v>
      </c>
      <c r="D1477">
        <v>-47.478000000000002</v>
      </c>
      <c r="E1477" t="s">
        <v>4</v>
      </c>
      <c r="F1477" t="s">
        <v>65</v>
      </c>
      <c r="G1477" t="s">
        <v>8</v>
      </c>
    </row>
    <row r="1478" spans="1:7" x14ac:dyDescent="0.3">
      <c r="A1478" t="s">
        <v>30</v>
      </c>
      <c r="B1478" s="1">
        <v>45930</v>
      </c>
      <c r="C1478">
        <v>310022</v>
      </c>
      <c r="D1478">
        <v>1128434.8929999999</v>
      </c>
      <c r="E1478" t="s">
        <v>4</v>
      </c>
      <c r="F1478" t="s">
        <v>42</v>
      </c>
      <c r="G1478" t="s">
        <v>8</v>
      </c>
    </row>
    <row r="1479" spans="1:7" x14ac:dyDescent="0.3">
      <c r="A1479" t="s">
        <v>30</v>
      </c>
      <c r="B1479" s="1">
        <v>45930</v>
      </c>
      <c r="C1479">
        <v>320002</v>
      </c>
      <c r="D1479">
        <v>26849.543000000001</v>
      </c>
      <c r="E1479" t="s">
        <v>4</v>
      </c>
      <c r="F1479" t="s">
        <v>46</v>
      </c>
      <c r="G1479" t="s">
        <v>8</v>
      </c>
    </row>
    <row r="1480" spans="1:7" x14ac:dyDescent="0.3">
      <c r="A1480" t="s">
        <v>30</v>
      </c>
      <c r="B1480" s="1">
        <v>45930</v>
      </c>
      <c r="C1480">
        <v>320003</v>
      </c>
      <c r="D1480">
        <v>374194.52100000001</v>
      </c>
      <c r="E1480" t="s">
        <v>4</v>
      </c>
      <c r="F1480" t="s">
        <v>46</v>
      </c>
      <c r="G1480" t="s">
        <v>8</v>
      </c>
    </row>
    <row r="1481" spans="1:7" x14ac:dyDescent="0.3">
      <c r="A1481" t="s">
        <v>30</v>
      </c>
      <c r="B1481" s="1">
        <v>45930</v>
      </c>
      <c r="C1481">
        <v>320004</v>
      </c>
      <c r="D1481">
        <v>2711.2370000000001</v>
      </c>
      <c r="E1481" t="s">
        <v>4</v>
      </c>
      <c r="F1481" t="s">
        <v>46</v>
      </c>
      <c r="G1481" t="s">
        <v>8</v>
      </c>
    </row>
    <row r="1482" spans="1:7" x14ac:dyDescent="0.3">
      <c r="A1482" t="s">
        <v>30</v>
      </c>
      <c r="B1482" s="1">
        <v>45930</v>
      </c>
      <c r="C1482">
        <v>320018</v>
      </c>
      <c r="D1482">
        <v>1142.165</v>
      </c>
      <c r="E1482" t="s">
        <v>4</v>
      </c>
      <c r="F1482" t="s">
        <v>46</v>
      </c>
      <c r="G1482" t="s">
        <v>8</v>
      </c>
    </row>
    <row r="1483" spans="1:7" x14ac:dyDescent="0.3">
      <c r="A1483" t="s">
        <v>30</v>
      </c>
      <c r="B1483" s="1">
        <v>45930</v>
      </c>
      <c r="C1483">
        <v>320023</v>
      </c>
      <c r="D1483">
        <v>-4736.4560000000001</v>
      </c>
      <c r="E1483" t="s">
        <v>4</v>
      </c>
      <c r="F1483" t="s">
        <v>46</v>
      </c>
      <c r="G1483" t="s">
        <v>8</v>
      </c>
    </row>
    <row r="1484" spans="1:7" x14ac:dyDescent="0.3">
      <c r="A1484" t="s">
        <v>30</v>
      </c>
      <c r="B1484" s="1">
        <v>45930</v>
      </c>
      <c r="C1484">
        <v>321002</v>
      </c>
      <c r="D1484">
        <v>97805.407000000007</v>
      </c>
      <c r="E1484" t="s">
        <v>4</v>
      </c>
      <c r="F1484" t="s">
        <v>46</v>
      </c>
      <c r="G1484" t="s">
        <v>8</v>
      </c>
    </row>
    <row r="1485" spans="1:7" x14ac:dyDescent="0.3">
      <c r="A1485" t="s">
        <v>30</v>
      </c>
      <c r="B1485" s="1">
        <v>45930</v>
      </c>
      <c r="C1485">
        <v>321004</v>
      </c>
      <c r="D1485">
        <v>2119.7559999999999</v>
      </c>
      <c r="E1485" t="s">
        <v>4</v>
      </c>
      <c r="F1485" t="s">
        <v>46</v>
      </c>
      <c r="G1485" t="s">
        <v>8</v>
      </c>
    </row>
    <row r="1486" spans="1:7" x14ac:dyDescent="0.3">
      <c r="A1486" t="s">
        <v>30</v>
      </c>
      <c r="B1486" s="1">
        <v>45930</v>
      </c>
      <c r="C1486">
        <v>321012</v>
      </c>
      <c r="D1486">
        <v>138696.54999999999</v>
      </c>
      <c r="E1486" t="s">
        <v>4</v>
      </c>
      <c r="F1486" t="s">
        <v>46</v>
      </c>
      <c r="G1486" t="s">
        <v>8</v>
      </c>
    </row>
    <row r="1487" spans="1:7" x14ac:dyDescent="0.3">
      <c r="A1487" t="s">
        <v>30</v>
      </c>
      <c r="B1487" s="1">
        <v>45930</v>
      </c>
      <c r="C1487">
        <v>321013</v>
      </c>
      <c r="D1487">
        <v>6051.7169999999996</v>
      </c>
      <c r="E1487" t="s">
        <v>4</v>
      </c>
      <c r="F1487" t="s">
        <v>46</v>
      </c>
      <c r="G1487" t="s">
        <v>8</v>
      </c>
    </row>
    <row r="1488" spans="1:7" x14ac:dyDescent="0.3">
      <c r="A1488" t="s">
        <v>30</v>
      </c>
      <c r="B1488" s="1">
        <v>45930</v>
      </c>
      <c r="C1488">
        <v>321014</v>
      </c>
      <c r="D1488">
        <v>6405.2340000000004</v>
      </c>
      <c r="E1488" t="s">
        <v>4</v>
      </c>
      <c r="F1488" t="s">
        <v>46</v>
      </c>
      <c r="G1488" t="s">
        <v>8</v>
      </c>
    </row>
    <row r="1489" spans="1:7" x14ac:dyDescent="0.3">
      <c r="A1489" t="s">
        <v>30</v>
      </c>
      <c r="B1489" s="1">
        <v>45930</v>
      </c>
      <c r="C1489">
        <v>321021</v>
      </c>
      <c r="D1489">
        <v>30788.423999999999</v>
      </c>
      <c r="E1489" t="s">
        <v>4</v>
      </c>
      <c r="F1489" t="s">
        <v>46</v>
      </c>
      <c r="G1489" t="s">
        <v>8</v>
      </c>
    </row>
    <row r="1490" spans="1:7" x14ac:dyDescent="0.3">
      <c r="A1490" t="s">
        <v>30</v>
      </c>
      <c r="B1490" s="1">
        <v>45930</v>
      </c>
      <c r="C1490">
        <v>321028</v>
      </c>
      <c r="D1490">
        <v>302.47899999999998</v>
      </c>
      <c r="E1490" t="s">
        <v>4</v>
      </c>
      <c r="F1490" t="s">
        <v>46</v>
      </c>
      <c r="G1490" t="s">
        <v>8</v>
      </c>
    </row>
    <row r="1491" spans="1:7" x14ac:dyDescent="0.3">
      <c r="A1491" t="s">
        <v>30</v>
      </c>
      <c r="B1491" s="1">
        <v>45930</v>
      </c>
      <c r="C1491">
        <v>321029</v>
      </c>
      <c r="D1491">
        <v>64350.154000000002</v>
      </c>
      <c r="E1491" t="s">
        <v>4</v>
      </c>
      <c r="F1491" t="s">
        <v>46</v>
      </c>
      <c r="G1491" t="s">
        <v>8</v>
      </c>
    </row>
    <row r="1492" spans="1:7" x14ac:dyDescent="0.3">
      <c r="A1492" t="s">
        <v>30</v>
      </c>
      <c r="B1492" s="1">
        <v>45930</v>
      </c>
      <c r="C1492">
        <v>321031</v>
      </c>
      <c r="D1492">
        <v>8949.6929999999993</v>
      </c>
      <c r="E1492" t="s">
        <v>4</v>
      </c>
      <c r="F1492" t="s">
        <v>46</v>
      </c>
      <c r="G1492" t="s">
        <v>8</v>
      </c>
    </row>
    <row r="1493" spans="1:7" x14ac:dyDescent="0.3">
      <c r="A1493" t="s">
        <v>30</v>
      </c>
      <c r="B1493" s="1">
        <v>45930</v>
      </c>
      <c r="C1493">
        <v>321042</v>
      </c>
      <c r="D1493">
        <v>1287.528</v>
      </c>
      <c r="E1493" t="s">
        <v>4</v>
      </c>
      <c r="F1493" t="s">
        <v>46</v>
      </c>
      <c r="G1493" t="s">
        <v>8</v>
      </c>
    </row>
    <row r="1494" spans="1:7" x14ac:dyDescent="0.3">
      <c r="A1494" t="s">
        <v>30</v>
      </c>
      <c r="B1494" s="1">
        <v>45930</v>
      </c>
      <c r="C1494">
        <v>330044</v>
      </c>
      <c r="D1494">
        <v>1934.3</v>
      </c>
      <c r="E1494" t="s">
        <v>4</v>
      </c>
      <c r="F1494" t="s">
        <v>43</v>
      </c>
      <c r="G1494" t="s">
        <v>8</v>
      </c>
    </row>
    <row r="1495" spans="1:7" x14ac:dyDescent="0.3">
      <c r="A1495" t="s">
        <v>30</v>
      </c>
      <c r="B1495" s="1">
        <v>45930</v>
      </c>
      <c r="C1495">
        <v>330107</v>
      </c>
      <c r="D1495">
        <v>-2556.4810000000002</v>
      </c>
      <c r="E1495" t="s">
        <v>4</v>
      </c>
      <c r="F1495" t="s">
        <v>43</v>
      </c>
      <c r="G1495" t="s">
        <v>8</v>
      </c>
    </row>
    <row r="1496" spans="1:7" x14ac:dyDescent="0.3">
      <c r="A1496" t="s">
        <v>30</v>
      </c>
      <c r="B1496" s="1">
        <v>45930</v>
      </c>
      <c r="C1496">
        <v>330113</v>
      </c>
      <c r="D1496">
        <v>-582.38699999999994</v>
      </c>
      <c r="E1496" t="s">
        <v>4</v>
      </c>
      <c r="F1496" t="s">
        <v>43</v>
      </c>
      <c r="G1496" t="s">
        <v>8</v>
      </c>
    </row>
    <row r="1497" spans="1:7" x14ac:dyDescent="0.3">
      <c r="A1497" t="s">
        <v>30</v>
      </c>
      <c r="B1497" s="1">
        <v>45930</v>
      </c>
      <c r="C1497">
        <v>330141</v>
      </c>
      <c r="D1497">
        <v>4151.027</v>
      </c>
      <c r="E1497" t="s">
        <v>4</v>
      </c>
      <c r="F1497" t="s">
        <v>43</v>
      </c>
      <c r="G1497" t="s">
        <v>8</v>
      </c>
    </row>
    <row r="1498" spans="1:7" x14ac:dyDescent="0.3">
      <c r="A1498" t="s">
        <v>30</v>
      </c>
      <c r="B1498" s="1">
        <v>45930</v>
      </c>
      <c r="C1498">
        <v>330143</v>
      </c>
      <c r="D1498">
        <v>2109.2829999999999</v>
      </c>
      <c r="E1498" t="s">
        <v>4</v>
      </c>
      <c r="F1498" t="s">
        <v>43</v>
      </c>
      <c r="G1498" t="s">
        <v>8</v>
      </c>
    </row>
    <row r="1499" spans="1:7" x14ac:dyDescent="0.3">
      <c r="A1499" t="s">
        <v>30</v>
      </c>
      <c r="B1499" s="1">
        <v>45930</v>
      </c>
      <c r="C1499">
        <v>331017</v>
      </c>
      <c r="D1499">
        <v>21793.628000000001</v>
      </c>
      <c r="E1499" t="s">
        <v>4</v>
      </c>
      <c r="F1499" t="s">
        <v>43</v>
      </c>
      <c r="G1499" t="s">
        <v>8</v>
      </c>
    </row>
    <row r="1500" spans="1:7" x14ac:dyDescent="0.3">
      <c r="A1500" t="s">
        <v>30</v>
      </c>
      <c r="B1500" s="1">
        <v>45930</v>
      </c>
      <c r="C1500">
        <v>340165</v>
      </c>
      <c r="D1500">
        <v>198076.13800000001</v>
      </c>
      <c r="E1500" t="s">
        <v>4</v>
      </c>
      <c r="F1500" t="s">
        <v>47</v>
      </c>
      <c r="G1500" t="s">
        <v>8</v>
      </c>
    </row>
    <row r="1501" spans="1:7" x14ac:dyDescent="0.3">
      <c r="A1501" t="s">
        <v>30</v>
      </c>
      <c r="B1501" s="1">
        <v>45930</v>
      </c>
      <c r="C1501">
        <v>340323</v>
      </c>
      <c r="D1501">
        <v>20045.768</v>
      </c>
      <c r="E1501" t="s">
        <v>4</v>
      </c>
      <c r="F1501" t="s">
        <v>47</v>
      </c>
      <c r="G1501" t="s">
        <v>8</v>
      </c>
    </row>
    <row r="1502" spans="1:7" x14ac:dyDescent="0.3">
      <c r="A1502" t="s">
        <v>30</v>
      </c>
      <c r="B1502" s="1">
        <v>45930</v>
      </c>
      <c r="C1502">
        <v>350002</v>
      </c>
      <c r="D1502">
        <v>2094.2739999999999</v>
      </c>
      <c r="E1502" t="s">
        <v>4</v>
      </c>
      <c r="F1502" t="s">
        <v>49</v>
      </c>
      <c r="G1502" t="s">
        <v>8</v>
      </c>
    </row>
    <row r="1503" spans="1:7" x14ac:dyDescent="0.3">
      <c r="A1503" t="s">
        <v>30</v>
      </c>
      <c r="B1503" s="1">
        <v>45930</v>
      </c>
      <c r="C1503">
        <v>350003</v>
      </c>
      <c r="D1503">
        <v>-32.837000000000003</v>
      </c>
      <c r="E1503" t="s">
        <v>4</v>
      </c>
      <c r="F1503" t="s">
        <v>49</v>
      </c>
      <c r="G1503" t="s">
        <v>8</v>
      </c>
    </row>
    <row r="1504" spans="1:7" x14ac:dyDescent="0.3">
      <c r="A1504" t="s">
        <v>30</v>
      </c>
      <c r="B1504" s="1">
        <v>45930</v>
      </c>
      <c r="C1504">
        <v>350007</v>
      </c>
      <c r="D1504">
        <v>4.1820000000000004</v>
      </c>
      <c r="E1504" t="s">
        <v>4</v>
      </c>
      <c r="F1504" t="s">
        <v>49</v>
      </c>
      <c r="G1504" t="s">
        <v>8</v>
      </c>
    </row>
    <row r="1505" spans="1:7" x14ac:dyDescent="0.3">
      <c r="A1505" t="s">
        <v>30</v>
      </c>
      <c r="B1505" s="1">
        <v>45930</v>
      </c>
      <c r="C1505">
        <v>350031</v>
      </c>
      <c r="D1505">
        <v>93.350999999999999</v>
      </c>
      <c r="E1505" t="s">
        <v>4</v>
      </c>
      <c r="F1505" t="s">
        <v>43</v>
      </c>
      <c r="G1505" t="s">
        <v>8</v>
      </c>
    </row>
    <row r="1506" spans="1:7" x14ac:dyDescent="0.3">
      <c r="A1506" t="s">
        <v>30</v>
      </c>
      <c r="B1506" s="1">
        <v>45930</v>
      </c>
      <c r="C1506">
        <v>350034</v>
      </c>
      <c r="D1506">
        <v>14.103999999999999</v>
      </c>
      <c r="E1506" t="s">
        <v>4</v>
      </c>
      <c r="F1506" t="s">
        <v>49</v>
      </c>
      <c r="G1506" t="s">
        <v>8</v>
      </c>
    </row>
    <row r="1507" spans="1:7" x14ac:dyDescent="0.3">
      <c r="A1507" t="s">
        <v>30</v>
      </c>
      <c r="B1507" s="1">
        <v>45930</v>
      </c>
      <c r="C1507">
        <v>354012</v>
      </c>
      <c r="D1507">
        <v>335426.87</v>
      </c>
      <c r="E1507" t="s">
        <v>4</v>
      </c>
      <c r="F1507" t="s">
        <v>46</v>
      </c>
      <c r="G1507" t="s">
        <v>8</v>
      </c>
    </row>
    <row r="1508" spans="1:7" x14ac:dyDescent="0.3">
      <c r="A1508" t="s">
        <v>30</v>
      </c>
      <c r="B1508" s="1">
        <v>45930</v>
      </c>
      <c r="C1508">
        <v>354014</v>
      </c>
      <c r="D1508">
        <v>41216.661</v>
      </c>
      <c r="E1508" t="s">
        <v>4</v>
      </c>
      <c r="F1508" t="s">
        <v>46</v>
      </c>
      <c r="G1508" t="s">
        <v>8</v>
      </c>
    </row>
    <row r="1509" spans="1:7" x14ac:dyDescent="0.3">
      <c r="A1509" t="s">
        <v>30</v>
      </c>
      <c r="B1509" s="1">
        <v>45930</v>
      </c>
      <c r="C1509">
        <v>354015</v>
      </c>
      <c r="D1509">
        <v>2572.732</v>
      </c>
      <c r="E1509" t="s">
        <v>4</v>
      </c>
      <c r="F1509" t="s">
        <v>46</v>
      </c>
      <c r="G1509" t="s">
        <v>8</v>
      </c>
    </row>
    <row r="1510" spans="1:7" x14ac:dyDescent="0.3">
      <c r="A1510" t="s">
        <v>30</v>
      </c>
      <c r="B1510" s="1">
        <v>45930</v>
      </c>
      <c r="C1510">
        <v>355016</v>
      </c>
      <c r="D1510">
        <v>484.37900000000002</v>
      </c>
      <c r="E1510" t="s">
        <v>4</v>
      </c>
      <c r="F1510" t="s">
        <v>49</v>
      </c>
      <c r="G1510" t="s">
        <v>8</v>
      </c>
    </row>
    <row r="1511" spans="1:7" x14ac:dyDescent="0.3">
      <c r="A1511" t="s">
        <v>30</v>
      </c>
      <c r="B1511" s="1">
        <v>45930</v>
      </c>
      <c r="C1511">
        <v>360028</v>
      </c>
      <c r="D1511">
        <v>27833.682000000001</v>
      </c>
      <c r="E1511" t="s">
        <v>4</v>
      </c>
      <c r="F1511" t="s">
        <v>58</v>
      </c>
      <c r="G1511" t="s">
        <v>8</v>
      </c>
    </row>
    <row r="1512" spans="1:7" x14ac:dyDescent="0.3">
      <c r="A1512" t="s">
        <v>30</v>
      </c>
      <c r="B1512" s="1">
        <v>45930</v>
      </c>
      <c r="C1512">
        <v>360030</v>
      </c>
      <c r="D1512">
        <v>8681.7189999999991</v>
      </c>
      <c r="E1512" t="s">
        <v>4</v>
      </c>
      <c r="F1512" t="s">
        <v>58</v>
      </c>
      <c r="G1512" t="s">
        <v>8</v>
      </c>
    </row>
    <row r="1513" spans="1:7" x14ac:dyDescent="0.3">
      <c r="A1513" t="s">
        <v>30</v>
      </c>
      <c r="B1513" s="1">
        <v>45930</v>
      </c>
      <c r="C1513">
        <v>360032</v>
      </c>
      <c r="D1513">
        <v>7513.6880000000001</v>
      </c>
      <c r="E1513" t="s">
        <v>4</v>
      </c>
      <c r="F1513" t="s">
        <v>58</v>
      </c>
      <c r="G1513" t="s">
        <v>8</v>
      </c>
    </row>
    <row r="1514" spans="1:7" x14ac:dyDescent="0.3">
      <c r="A1514" t="s">
        <v>30</v>
      </c>
      <c r="B1514" s="1">
        <v>45930</v>
      </c>
      <c r="C1514">
        <v>372004</v>
      </c>
      <c r="D1514">
        <v>26902.245999999999</v>
      </c>
      <c r="E1514" t="s">
        <v>4</v>
      </c>
      <c r="F1514" t="s">
        <v>45</v>
      </c>
      <c r="G1514" t="s">
        <v>8</v>
      </c>
    </row>
    <row r="1515" spans="1:7" x14ac:dyDescent="0.3">
      <c r="A1515" t="s">
        <v>30</v>
      </c>
      <c r="B1515" s="1">
        <v>45930</v>
      </c>
      <c r="C1515">
        <v>400002</v>
      </c>
      <c r="D1515">
        <v>-20641.752</v>
      </c>
      <c r="E1515" t="s">
        <v>6</v>
      </c>
      <c r="F1515" t="s">
        <v>50</v>
      </c>
      <c r="G1515" t="s">
        <v>8</v>
      </c>
    </row>
    <row r="1516" spans="1:7" x14ac:dyDescent="0.3">
      <c r="A1516" t="s">
        <v>30</v>
      </c>
      <c r="B1516" s="1">
        <v>45930</v>
      </c>
      <c r="C1516">
        <v>400004</v>
      </c>
      <c r="D1516">
        <v>-81859.476999999999</v>
      </c>
      <c r="E1516" t="s">
        <v>6</v>
      </c>
      <c r="F1516" t="s">
        <v>50</v>
      </c>
      <c r="G1516" t="s">
        <v>8</v>
      </c>
    </row>
    <row r="1517" spans="1:7" x14ac:dyDescent="0.3">
      <c r="A1517" t="s">
        <v>30</v>
      </c>
      <c r="B1517" s="1">
        <v>45930</v>
      </c>
      <c r="C1517">
        <v>410002</v>
      </c>
      <c r="D1517">
        <v>-28644.448</v>
      </c>
      <c r="E1517" t="s">
        <v>6</v>
      </c>
      <c r="F1517" t="s">
        <v>51</v>
      </c>
      <c r="G1517" t="s">
        <v>8</v>
      </c>
    </row>
    <row r="1518" spans="1:7" x14ac:dyDescent="0.3">
      <c r="A1518" t="s">
        <v>30</v>
      </c>
      <c r="B1518" s="1">
        <v>45930</v>
      </c>
      <c r="C1518">
        <v>410005</v>
      </c>
      <c r="D1518">
        <v>-10115.297</v>
      </c>
      <c r="E1518" t="s">
        <v>6</v>
      </c>
      <c r="F1518" t="s">
        <v>51</v>
      </c>
      <c r="G1518" t="s">
        <v>8</v>
      </c>
    </row>
    <row r="1519" spans="1:7" x14ac:dyDescent="0.3">
      <c r="A1519" t="s">
        <v>30</v>
      </c>
      <c r="B1519" s="1">
        <v>45930</v>
      </c>
      <c r="C1519">
        <v>410006</v>
      </c>
      <c r="D1519">
        <v>-58078.141000000003</v>
      </c>
      <c r="E1519" t="s">
        <v>6</v>
      </c>
      <c r="F1519" t="s">
        <v>51</v>
      </c>
      <c r="G1519" t="s">
        <v>8</v>
      </c>
    </row>
    <row r="1520" spans="1:7" x14ac:dyDescent="0.3">
      <c r="A1520" t="s">
        <v>30</v>
      </c>
      <c r="B1520" s="1">
        <v>45930</v>
      </c>
      <c r="C1520">
        <v>410009</v>
      </c>
      <c r="D1520">
        <v>-28694.54</v>
      </c>
      <c r="E1520" t="s">
        <v>6</v>
      </c>
      <c r="F1520" t="s">
        <v>51</v>
      </c>
      <c r="G1520" t="s">
        <v>8</v>
      </c>
    </row>
    <row r="1521" spans="1:7" x14ac:dyDescent="0.3">
      <c r="A1521" t="s">
        <v>30</v>
      </c>
      <c r="B1521" s="1">
        <v>45930</v>
      </c>
      <c r="C1521">
        <v>410015</v>
      </c>
      <c r="D1521">
        <v>-5152.9610000000002</v>
      </c>
      <c r="E1521" t="s">
        <v>6</v>
      </c>
      <c r="F1521" t="s">
        <v>51</v>
      </c>
      <c r="G1521" t="s">
        <v>8</v>
      </c>
    </row>
    <row r="1522" spans="1:7" x14ac:dyDescent="0.3">
      <c r="A1522" t="s">
        <v>30</v>
      </c>
      <c r="B1522" s="1">
        <v>45930</v>
      </c>
      <c r="C1522">
        <v>410018</v>
      </c>
      <c r="D1522">
        <v>-1582.3019999999999</v>
      </c>
      <c r="E1522" t="s">
        <v>6</v>
      </c>
      <c r="F1522" t="s">
        <v>51</v>
      </c>
      <c r="G1522" t="s">
        <v>8</v>
      </c>
    </row>
    <row r="1523" spans="1:7" x14ac:dyDescent="0.3">
      <c r="A1523" t="s">
        <v>30</v>
      </c>
      <c r="B1523" s="1">
        <v>45930</v>
      </c>
      <c r="C1523">
        <v>410036</v>
      </c>
      <c r="D1523">
        <v>-1185.912</v>
      </c>
      <c r="E1523" t="s">
        <v>6</v>
      </c>
      <c r="F1523" t="s">
        <v>51</v>
      </c>
      <c r="G1523" t="s">
        <v>8</v>
      </c>
    </row>
    <row r="1524" spans="1:7" x14ac:dyDescent="0.3">
      <c r="A1524" t="s">
        <v>30</v>
      </c>
      <c r="B1524" s="1">
        <v>45930</v>
      </c>
      <c r="C1524">
        <v>410037</v>
      </c>
      <c r="D1524">
        <v>-116120.09699999999</v>
      </c>
      <c r="E1524" t="s">
        <v>6</v>
      </c>
      <c r="F1524" t="s">
        <v>51</v>
      </c>
      <c r="G1524" t="s">
        <v>8</v>
      </c>
    </row>
    <row r="1525" spans="1:7" x14ac:dyDescent="0.3">
      <c r="A1525" t="s">
        <v>30</v>
      </c>
      <c r="B1525" s="1">
        <v>45930</v>
      </c>
      <c r="C1525">
        <v>410039</v>
      </c>
      <c r="D1525">
        <v>-30457.005000000001</v>
      </c>
      <c r="E1525" t="s">
        <v>6</v>
      </c>
      <c r="F1525" t="s">
        <v>51</v>
      </c>
      <c r="G1525" t="s">
        <v>8</v>
      </c>
    </row>
    <row r="1526" spans="1:7" x14ac:dyDescent="0.3">
      <c r="A1526" t="s">
        <v>30</v>
      </c>
      <c r="B1526" s="1">
        <v>45930</v>
      </c>
      <c r="C1526">
        <v>410040</v>
      </c>
      <c r="D1526">
        <v>-502.36099999999999</v>
      </c>
      <c r="E1526" t="s">
        <v>6</v>
      </c>
      <c r="F1526" t="s">
        <v>51</v>
      </c>
      <c r="G1526" t="s">
        <v>8</v>
      </c>
    </row>
    <row r="1527" spans="1:7" x14ac:dyDescent="0.3">
      <c r="A1527" t="s">
        <v>30</v>
      </c>
      <c r="B1527" s="1">
        <v>45930</v>
      </c>
      <c r="C1527">
        <v>415002</v>
      </c>
      <c r="D1527">
        <v>-209945.538</v>
      </c>
      <c r="E1527" t="s">
        <v>6</v>
      </c>
      <c r="F1527" t="s">
        <v>50</v>
      </c>
      <c r="G1527" t="s">
        <v>8</v>
      </c>
    </row>
    <row r="1528" spans="1:7" x14ac:dyDescent="0.3">
      <c r="A1528" t="s">
        <v>30</v>
      </c>
      <c r="B1528" s="1">
        <v>45930</v>
      </c>
      <c r="C1528">
        <v>415004</v>
      </c>
      <c r="D1528">
        <v>-555164.47499999998</v>
      </c>
      <c r="E1528" t="s">
        <v>6</v>
      </c>
      <c r="F1528" t="s">
        <v>50</v>
      </c>
      <c r="G1528" t="s">
        <v>8</v>
      </c>
    </row>
    <row r="1529" spans="1:7" x14ac:dyDescent="0.3">
      <c r="A1529" t="s">
        <v>30</v>
      </c>
      <c r="B1529" s="1">
        <v>45930</v>
      </c>
      <c r="C1529">
        <v>418003</v>
      </c>
      <c r="D1529">
        <v>1E-3</v>
      </c>
      <c r="E1529" t="s">
        <v>6</v>
      </c>
      <c r="F1529" t="s">
        <v>51</v>
      </c>
      <c r="G1529" t="s">
        <v>8</v>
      </c>
    </row>
    <row r="1530" spans="1:7" x14ac:dyDescent="0.3">
      <c r="A1530" t="s">
        <v>30</v>
      </c>
      <c r="B1530" s="1">
        <v>45930</v>
      </c>
      <c r="C1530">
        <v>421002</v>
      </c>
      <c r="D1530">
        <v>-29397.420999999998</v>
      </c>
      <c r="E1530" t="s">
        <v>6</v>
      </c>
      <c r="F1530" t="s">
        <v>52</v>
      </c>
      <c r="G1530" t="s">
        <v>8</v>
      </c>
    </row>
    <row r="1531" spans="1:7" x14ac:dyDescent="0.3">
      <c r="A1531" t="s">
        <v>30</v>
      </c>
      <c r="B1531" s="1">
        <v>45930</v>
      </c>
      <c r="C1531">
        <v>421003</v>
      </c>
      <c r="D1531">
        <v>57547.741999999998</v>
      </c>
      <c r="E1531" t="s">
        <v>6</v>
      </c>
      <c r="F1531" t="s">
        <v>52</v>
      </c>
      <c r="G1531" t="s">
        <v>8</v>
      </c>
    </row>
    <row r="1532" spans="1:7" x14ac:dyDescent="0.3">
      <c r="A1532" t="s">
        <v>30</v>
      </c>
      <c r="B1532" s="1">
        <v>45930</v>
      </c>
      <c r="C1532">
        <v>421004</v>
      </c>
      <c r="D1532">
        <v>1532.827</v>
      </c>
      <c r="E1532" t="s">
        <v>6</v>
      </c>
      <c r="F1532" t="s">
        <v>52</v>
      </c>
      <c r="G1532" t="s">
        <v>8</v>
      </c>
    </row>
    <row r="1533" spans="1:7" x14ac:dyDescent="0.3">
      <c r="A1533" t="s">
        <v>30</v>
      </c>
      <c r="B1533" s="1">
        <v>45930</v>
      </c>
      <c r="C1533">
        <v>421007</v>
      </c>
      <c r="D1533">
        <v>-10611.591</v>
      </c>
      <c r="E1533" t="s">
        <v>6</v>
      </c>
      <c r="F1533" t="s">
        <v>52</v>
      </c>
      <c r="G1533" t="s">
        <v>8</v>
      </c>
    </row>
    <row r="1534" spans="1:7" x14ac:dyDescent="0.3">
      <c r="A1534" t="s">
        <v>30</v>
      </c>
      <c r="B1534" s="1">
        <v>45930</v>
      </c>
      <c r="C1534">
        <v>423002</v>
      </c>
      <c r="D1534">
        <v>-5153.0110000000004</v>
      </c>
      <c r="E1534" t="s">
        <v>6</v>
      </c>
      <c r="F1534" t="s">
        <v>52</v>
      </c>
      <c r="G1534" t="s">
        <v>8</v>
      </c>
    </row>
    <row r="1535" spans="1:7" x14ac:dyDescent="0.3">
      <c r="A1535" t="s">
        <v>30</v>
      </c>
      <c r="B1535" s="1">
        <v>45930</v>
      </c>
      <c r="C1535">
        <v>510002</v>
      </c>
      <c r="D1535">
        <v>75336.845000000001</v>
      </c>
      <c r="E1535" t="s">
        <v>6</v>
      </c>
      <c r="F1535" t="s">
        <v>53</v>
      </c>
      <c r="G1535" t="s">
        <v>8</v>
      </c>
    </row>
    <row r="1536" spans="1:7" x14ac:dyDescent="0.3">
      <c r="A1536" t="s">
        <v>30</v>
      </c>
      <c r="B1536" s="1">
        <v>45930</v>
      </c>
      <c r="C1536">
        <v>510005</v>
      </c>
      <c r="D1536">
        <v>-12.287000000000001</v>
      </c>
      <c r="E1536" t="s">
        <v>6</v>
      </c>
      <c r="F1536" t="s">
        <v>53</v>
      </c>
      <c r="G1536" t="s">
        <v>8</v>
      </c>
    </row>
    <row r="1537" spans="1:7" x14ac:dyDescent="0.3">
      <c r="A1537" t="s">
        <v>30</v>
      </c>
      <c r="B1537" s="1">
        <v>45930</v>
      </c>
      <c r="C1537">
        <v>510007</v>
      </c>
      <c r="D1537">
        <v>584.79300000000001</v>
      </c>
      <c r="E1537" t="s">
        <v>6</v>
      </c>
      <c r="F1537" t="s">
        <v>53</v>
      </c>
      <c r="G1537" t="s">
        <v>8</v>
      </c>
    </row>
    <row r="1538" spans="1:7" x14ac:dyDescent="0.3">
      <c r="A1538" t="s">
        <v>30</v>
      </c>
      <c r="B1538" s="1">
        <v>45930</v>
      </c>
      <c r="C1538">
        <v>510062</v>
      </c>
      <c r="D1538">
        <v>84.394999999999996</v>
      </c>
      <c r="E1538" t="s">
        <v>6</v>
      </c>
      <c r="F1538" t="s">
        <v>53</v>
      </c>
      <c r="G1538" t="s">
        <v>8</v>
      </c>
    </row>
    <row r="1539" spans="1:7" x14ac:dyDescent="0.3">
      <c r="A1539" t="s">
        <v>30</v>
      </c>
      <c r="B1539" s="1">
        <v>45930</v>
      </c>
      <c r="C1539">
        <v>510065</v>
      </c>
      <c r="D1539">
        <v>177.40799999999999</v>
      </c>
      <c r="E1539" t="s">
        <v>6</v>
      </c>
      <c r="F1539" t="s">
        <v>53</v>
      </c>
      <c r="G1539" t="s">
        <v>8</v>
      </c>
    </row>
    <row r="1540" spans="1:7" x14ac:dyDescent="0.3">
      <c r="A1540" t="s">
        <v>30</v>
      </c>
      <c r="B1540" s="1">
        <v>45930</v>
      </c>
      <c r="C1540">
        <v>520011</v>
      </c>
      <c r="D1540">
        <v>5316.9489999999996</v>
      </c>
      <c r="E1540" t="s">
        <v>6</v>
      </c>
      <c r="F1540" t="s">
        <v>53</v>
      </c>
      <c r="G1540" t="s">
        <v>8</v>
      </c>
    </row>
    <row r="1541" spans="1:7" x14ac:dyDescent="0.3">
      <c r="A1541" t="s">
        <v>30</v>
      </c>
      <c r="B1541" s="1">
        <v>45930</v>
      </c>
      <c r="C1541">
        <v>520021</v>
      </c>
      <c r="D1541">
        <v>3.15</v>
      </c>
      <c r="E1541" t="s">
        <v>6</v>
      </c>
      <c r="F1541" t="s">
        <v>60</v>
      </c>
      <c r="G1541" t="s">
        <v>8</v>
      </c>
    </row>
    <row r="1542" spans="1:7" x14ac:dyDescent="0.3">
      <c r="A1542" t="s">
        <v>30</v>
      </c>
      <c r="B1542" s="1">
        <v>45930</v>
      </c>
      <c r="C1542">
        <v>540004</v>
      </c>
      <c r="D1542">
        <v>293.73599999999999</v>
      </c>
      <c r="E1542" t="s">
        <v>6</v>
      </c>
      <c r="F1542" t="s">
        <v>67</v>
      </c>
      <c r="G1542" t="s">
        <v>8</v>
      </c>
    </row>
    <row r="1543" spans="1:7" x14ac:dyDescent="0.3">
      <c r="A1543" t="s">
        <v>30</v>
      </c>
      <c r="B1543" s="1">
        <v>45930</v>
      </c>
      <c r="C1543">
        <v>540009</v>
      </c>
      <c r="D1543">
        <v>14176.311</v>
      </c>
      <c r="E1543" t="s">
        <v>6</v>
      </c>
      <c r="F1543" t="s">
        <v>59</v>
      </c>
      <c r="G1543" t="s">
        <v>8</v>
      </c>
    </row>
    <row r="1544" spans="1:7" x14ac:dyDescent="0.3">
      <c r="A1544" t="s">
        <v>30</v>
      </c>
      <c r="B1544" s="1">
        <v>45930</v>
      </c>
      <c r="C1544">
        <v>541003</v>
      </c>
      <c r="D1544">
        <v>454.35199999999998</v>
      </c>
      <c r="E1544" t="s">
        <v>6</v>
      </c>
      <c r="F1544" t="s">
        <v>61</v>
      </c>
      <c r="G1544" t="s">
        <v>8</v>
      </c>
    </row>
    <row r="1545" spans="1:7" x14ac:dyDescent="0.3">
      <c r="A1545" t="s">
        <v>30</v>
      </c>
      <c r="B1545" s="1">
        <v>45930</v>
      </c>
      <c r="C1545">
        <v>541004</v>
      </c>
      <c r="D1545">
        <v>442.00599999999997</v>
      </c>
      <c r="E1545" t="s">
        <v>6</v>
      </c>
      <c r="F1545" t="s">
        <v>61</v>
      </c>
      <c r="G1545" t="s">
        <v>8</v>
      </c>
    </row>
    <row r="1546" spans="1:7" x14ac:dyDescent="0.3">
      <c r="A1546" t="s">
        <v>30</v>
      </c>
      <c r="B1546" s="1">
        <v>45930</v>
      </c>
      <c r="C1546">
        <v>541009</v>
      </c>
      <c r="D1546">
        <v>4782.7560000000003</v>
      </c>
      <c r="E1546" t="s">
        <v>6</v>
      </c>
      <c r="F1546" t="s">
        <v>61</v>
      </c>
      <c r="G1546" t="s">
        <v>8</v>
      </c>
    </row>
    <row r="1547" spans="1:7" x14ac:dyDescent="0.3">
      <c r="A1547" t="s">
        <v>30</v>
      </c>
      <c r="B1547" s="1">
        <v>45930</v>
      </c>
      <c r="C1547">
        <v>541010</v>
      </c>
      <c r="D1547">
        <v>1791.076</v>
      </c>
      <c r="E1547" t="s">
        <v>6</v>
      </c>
      <c r="F1547" t="s">
        <v>61</v>
      </c>
      <c r="G1547" t="s">
        <v>8</v>
      </c>
    </row>
    <row r="1548" spans="1:7" x14ac:dyDescent="0.3">
      <c r="A1548" t="s">
        <v>30</v>
      </c>
      <c r="B1548" s="1">
        <v>45930</v>
      </c>
      <c r="C1548">
        <v>546002</v>
      </c>
      <c r="D1548">
        <v>560581.06299999997</v>
      </c>
      <c r="E1548" t="s">
        <v>6</v>
      </c>
      <c r="F1548" t="s">
        <v>51</v>
      </c>
      <c r="G1548" t="s">
        <v>8</v>
      </c>
    </row>
    <row r="1549" spans="1:7" x14ac:dyDescent="0.3">
      <c r="A1549" t="s">
        <v>30</v>
      </c>
      <c r="B1549" s="1">
        <v>45930</v>
      </c>
      <c r="C1549">
        <v>546008</v>
      </c>
      <c r="D1549">
        <v>10218.887000000001</v>
      </c>
      <c r="E1549" t="s">
        <v>6</v>
      </c>
      <c r="F1549" t="s">
        <v>51</v>
      </c>
      <c r="G1549" t="s">
        <v>8</v>
      </c>
    </row>
    <row r="1550" spans="1:7" x14ac:dyDescent="0.3">
      <c r="A1550" t="s">
        <v>30</v>
      </c>
      <c r="B1550" s="1">
        <v>45930</v>
      </c>
      <c r="C1550">
        <v>546013</v>
      </c>
      <c r="D1550">
        <v>97669.805999999997</v>
      </c>
      <c r="E1550" t="s">
        <v>6</v>
      </c>
      <c r="F1550" t="s">
        <v>51</v>
      </c>
      <c r="G1550" t="s">
        <v>8</v>
      </c>
    </row>
    <row r="1551" spans="1:7" x14ac:dyDescent="0.3">
      <c r="A1551" t="s">
        <v>30</v>
      </c>
      <c r="B1551" s="1">
        <v>45930</v>
      </c>
      <c r="C1551">
        <v>546015</v>
      </c>
      <c r="D1551">
        <v>43242.252999999997</v>
      </c>
      <c r="E1551" t="s">
        <v>6</v>
      </c>
      <c r="F1551" t="s">
        <v>51</v>
      </c>
      <c r="G1551" t="s">
        <v>8</v>
      </c>
    </row>
    <row r="1552" spans="1:7" x14ac:dyDescent="0.3">
      <c r="A1552" t="s">
        <v>30</v>
      </c>
      <c r="B1552" s="1">
        <v>45930</v>
      </c>
      <c r="C1552">
        <v>546022</v>
      </c>
      <c r="D1552">
        <v>21035.662</v>
      </c>
      <c r="E1552" t="s">
        <v>6</v>
      </c>
      <c r="F1552" t="s">
        <v>51</v>
      </c>
      <c r="G1552" t="s">
        <v>8</v>
      </c>
    </row>
    <row r="1553" spans="1:7" x14ac:dyDescent="0.3">
      <c r="A1553" t="s">
        <v>30</v>
      </c>
      <c r="B1553" s="1">
        <v>45930</v>
      </c>
      <c r="C1553">
        <v>546024</v>
      </c>
      <c r="D1553">
        <v>1996.894</v>
      </c>
      <c r="E1553" t="s">
        <v>6</v>
      </c>
      <c r="F1553" t="s">
        <v>51</v>
      </c>
      <c r="G1553" t="s">
        <v>8</v>
      </c>
    </row>
    <row r="1554" spans="1:7" x14ac:dyDescent="0.3">
      <c r="A1554" t="s">
        <v>30</v>
      </c>
      <c r="B1554" s="1">
        <v>45930</v>
      </c>
      <c r="C1554">
        <v>546040</v>
      </c>
      <c r="D1554">
        <v>33792.044999999998</v>
      </c>
      <c r="E1554" t="s">
        <v>6</v>
      </c>
      <c r="F1554" t="s">
        <v>51</v>
      </c>
      <c r="G1554" t="s">
        <v>8</v>
      </c>
    </row>
    <row r="1555" spans="1:7" x14ac:dyDescent="0.3">
      <c r="A1555" t="s">
        <v>30</v>
      </c>
      <c r="B1555" s="1">
        <v>45930</v>
      </c>
      <c r="C1555">
        <v>546045</v>
      </c>
      <c r="D1555">
        <v>34529.584000000003</v>
      </c>
      <c r="E1555" t="s">
        <v>6</v>
      </c>
      <c r="F1555" t="s">
        <v>51</v>
      </c>
      <c r="G1555" t="s">
        <v>8</v>
      </c>
    </row>
    <row r="1556" spans="1:7" x14ac:dyDescent="0.3">
      <c r="A1556" t="s">
        <v>30</v>
      </c>
      <c r="B1556" s="1">
        <v>45930</v>
      </c>
      <c r="C1556">
        <v>546046</v>
      </c>
      <c r="D1556">
        <v>3225.806</v>
      </c>
      <c r="E1556" t="s">
        <v>6</v>
      </c>
      <c r="F1556" t="s">
        <v>51</v>
      </c>
      <c r="G1556" t="s">
        <v>8</v>
      </c>
    </row>
    <row r="1557" spans="1:7" x14ac:dyDescent="0.3">
      <c r="A1557" t="s">
        <v>30</v>
      </c>
      <c r="B1557" s="1">
        <v>45930</v>
      </c>
      <c r="C1557">
        <v>546047</v>
      </c>
      <c r="D1557">
        <v>336.73599999999999</v>
      </c>
      <c r="E1557" t="s">
        <v>6</v>
      </c>
      <c r="F1557" t="s">
        <v>51</v>
      </c>
      <c r="G1557" t="s">
        <v>8</v>
      </c>
    </row>
    <row r="1558" spans="1:7" x14ac:dyDescent="0.3">
      <c r="A1558" t="s">
        <v>30</v>
      </c>
      <c r="B1558" s="1">
        <v>45930</v>
      </c>
      <c r="C1558">
        <v>550002</v>
      </c>
      <c r="D1558">
        <v>132145.992</v>
      </c>
      <c r="E1558" t="s">
        <v>6</v>
      </c>
      <c r="F1558" t="s">
        <v>62</v>
      </c>
      <c r="G1558" t="s">
        <v>8</v>
      </c>
    </row>
    <row r="1559" spans="1:7" x14ac:dyDescent="0.3">
      <c r="A1559" t="s">
        <v>30</v>
      </c>
      <c r="B1559" s="1">
        <v>45930</v>
      </c>
      <c r="C1559">
        <v>550003</v>
      </c>
      <c r="D1559">
        <v>109769.406</v>
      </c>
      <c r="E1559" t="s">
        <v>6</v>
      </c>
      <c r="F1559" t="s">
        <v>62</v>
      </c>
      <c r="G1559" t="s">
        <v>8</v>
      </c>
    </row>
    <row r="1560" spans="1:7" x14ac:dyDescent="0.3">
      <c r="A1560" t="s">
        <v>30</v>
      </c>
      <c r="B1560" s="1">
        <v>45930</v>
      </c>
      <c r="C1560">
        <v>551011</v>
      </c>
      <c r="D1560">
        <v>393.91699999999997</v>
      </c>
      <c r="E1560" t="s">
        <v>6</v>
      </c>
      <c r="F1560" t="s">
        <v>61</v>
      </c>
      <c r="G1560" t="s">
        <v>8</v>
      </c>
    </row>
    <row r="1561" spans="1:7" x14ac:dyDescent="0.3">
      <c r="A1561" t="s">
        <v>30</v>
      </c>
      <c r="B1561" s="1">
        <v>45930</v>
      </c>
      <c r="C1561">
        <v>555007</v>
      </c>
      <c r="D1561">
        <v>392.59899999999999</v>
      </c>
      <c r="E1561" t="s">
        <v>6</v>
      </c>
      <c r="F1561" t="s">
        <v>55</v>
      </c>
      <c r="G1561" t="s">
        <v>8</v>
      </c>
    </row>
    <row r="1562" spans="1:7" x14ac:dyDescent="0.3">
      <c r="A1562" t="s">
        <v>30</v>
      </c>
      <c r="B1562" s="1">
        <v>45930</v>
      </c>
      <c r="C1562">
        <v>556002</v>
      </c>
      <c r="D1562">
        <v>13.592000000000001</v>
      </c>
      <c r="E1562" t="s">
        <v>6</v>
      </c>
      <c r="F1562" t="s">
        <v>60</v>
      </c>
      <c r="G1562" t="s">
        <v>8</v>
      </c>
    </row>
    <row r="1563" spans="1:7" x14ac:dyDescent="0.3">
      <c r="A1563" t="s">
        <v>30</v>
      </c>
      <c r="B1563" s="1">
        <v>45930</v>
      </c>
      <c r="C1563">
        <v>557002</v>
      </c>
      <c r="D1563">
        <v>1293.82</v>
      </c>
      <c r="E1563" t="s">
        <v>6</v>
      </c>
      <c r="F1563" t="s">
        <v>56</v>
      </c>
      <c r="G1563" t="s">
        <v>8</v>
      </c>
    </row>
    <row r="1564" spans="1:7" x14ac:dyDescent="0.3">
      <c r="A1564" t="s">
        <v>30</v>
      </c>
      <c r="B1564" s="1">
        <v>45930</v>
      </c>
      <c r="C1564">
        <v>557003</v>
      </c>
      <c r="D1564">
        <v>654.01800000000003</v>
      </c>
      <c r="E1564" t="s">
        <v>6</v>
      </c>
      <c r="F1564" t="s">
        <v>56</v>
      </c>
      <c r="G1564" t="s">
        <v>8</v>
      </c>
    </row>
    <row r="1565" spans="1:7" x14ac:dyDescent="0.3">
      <c r="A1565" t="s">
        <v>30</v>
      </c>
      <c r="B1565" s="1">
        <v>45930</v>
      </c>
      <c r="C1565">
        <v>558012</v>
      </c>
      <c r="D1565">
        <v>1.2150000000000001</v>
      </c>
      <c r="E1565" t="s">
        <v>6</v>
      </c>
      <c r="F1565" t="s">
        <v>60</v>
      </c>
      <c r="G1565" t="s">
        <v>8</v>
      </c>
    </row>
    <row r="1566" spans="1:7" x14ac:dyDescent="0.3">
      <c r="A1566" t="s">
        <v>30</v>
      </c>
      <c r="B1566" s="1">
        <v>45930</v>
      </c>
      <c r="C1566">
        <v>560008</v>
      </c>
      <c r="D1566">
        <v>1392.328</v>
      </c>
      <c r="E1566" t="s">
        <v>6</v>
      </c>
      <c r="F1566" t="s">
        <v>56</v>
      </c>
      <c r="G1566" t="s">
        <v>8</v>
      </c>
    </row>
    <row r="1567" spans="1:7" x14ac:dyDescent="0.3">
      <c r="A1567" t="s">
        <v>30</v>
      </c>
      <c r="B1567" s="1">
        <v>45930</v>
      </c>
      <c r="C1567">
        <v>563002</v>
      </c>
      <c r="D1567">
        <v>2708.096</v>
      </c>
      <c r="E1567" t="s">
        <v>6</v>
      </c>
      <c r="F1567" t="s">
        <v>57</v>
      </c>
      <c r="G1567" t="s">
        <v>8</v>
      </c>
    </row>
    <row r="1568" spans="1:7" x14ac:dyDescent="0.3">
      <c r="A1568" t="s">
        <v>30</v>
      </c>
      <c r="B1568" s="1">
        <v>45930</v>
      </c>
      <c r="C1568">
        <v>564004</v>
      </c>
      <c r="D1568">
        <v>9102.2980000000007</v>
      </c>
      <c r="E1568" t="s">
        <v>6</v>
      </c>
      <c r="F1568" t="s">
        <v>51</v>
      </c>
      <c r="G1568" t="s">
        <v>8</v>
      </c>
    </row>
    <row r="1569" spans="1:7" x14ac:dyDescent="0.3">
      <c r="A1569" t="s">
        <v>30</v>
      </c>
      <c r="B1569" s="1">
        <v>45930</v>
      </c>
      <c r="C1569">
        <v>564006</v>
      </c>
      <c r="D1569">
        <v>-1E-3</v>
      </c>
      <c r="E1569" t="s">
        <v>6</v>
      </c>
      <c r="F1569" t="s">
        <v>57</v>
      </c>
      <c r="G1569" t="s">
        <v>8</v>
      </c>
    </row>
    <row r="1570" spans="1:7" x14ac:dyDescent="0.3">
      <c r="A1570" t="s">
        <v>30</v>
      </c>
      <c r="B1570" s="1">
        <v>45930</v>
      </c>
      <c r="C1570">
        <v>564008</v>
      </c>
      <c r="D1570">
        <v>-3262.183</v>
      </c>
      <c r="E1570" t="s">
        <v>6</v>
      </c>
      <c r="F1570" t="s">
        <v>55</v>
      </c>
      <c r="G1570" t="s">
        <v>8</v>
      </c>
    </row>
    <row r="1571" spans="1:7" x14ac:dyDescent="0.3">
      <c r="A1571" t="s">
        <v>30</v>
      </c>
      <c r="B1571" s="1">
        <v>45930</v>
      </c>
      <c r="C1571">
        <v>564020</v>
      </c>
      <c r="D1571">
        <v>108.932</v>
      </c>
      <c r="E1571" t="s">
        <v>6</v>
      </c>
      <c r="F1571" t="s">
        <v>57</v>
      </c>
      <c r="G1571" t="s">
        <v>8</v>
      </c>
    </row>
    <row r="1572" spans="1:7" x14ac:dyDescent="0.3">
      <c r="A1572" t="s">
        <v>30</v>
      </c>
      <c r="B1572" s="1">
        <v>45930</v>
      </c>
      <c r="C1572">
        <v>570002</v>
      </c>
      <c r="D1572">
        <v>131.96</v>
      </c>
      <c r="E1572" t="s">
        <v>6</v>
      </c>
      <c r="F1572" t="s">
        <v>66</v>
      </c>
      <c r="G1572" t="s">
        <v>8</v>
      </c>
    </row>
    <row r="1573" spans="1:7" x14ac:dyDescent="0.3">
      <c r="A1573" t="s">
        <v>31</v>
      </c>
      <c r="B1573" s="1">
        <v>45930</v>
      </c>
      <c r="C1573">
        <v>210002</v>
      </c>
      <c r="D1573">
        <v>-21086.123</v>
      </c>
      <c r="E1573" t="s">
        <v>4</v>
      </c>
      <c r="F1573" t="s">
        <v>42</v>
      </c>
      <c r="G1573" t="s">
        <v>8</v>
      </c>
    </row>
    <row r="1574" spans="1:7" x14ac:dyDescent="0.3">
      <c r="A1574" t="s">
        <v>31</v>
      </c>
      <c r="B1574" s="1">
        <v>45930</v>
      </c>
      <c r="C1574">
        <v>220006</v>
      </c>
      <c r="D1574">
        <v>-149381.20800000001</v>
      </c>
      <c r="E1574" t="s">
        <v>4</v>
      </c>
      <c r="F1574" t="s">
        <v>42</v>
      </c>
      <c r="G1574" t="s">
        <v>8</v>
      </c>
    </row>
    <row r="1575" spans="1:7" x14ac:dyDescent="0.3">
      <c r="A1575" t="s">
        <v>31</v>
      </c>
      <c r="B1575" s="1">
        <v>45930</v>
      </c>
      <c r="C1575">
        <v>240002</v>
      </c>
      <c r="D1575">
        <v>382.13099999999997</v>
      </c>
      <c r="E1575" t="s">
        <v>4</v>
      </c>
      <c r="F1575" t="s">
        <v>43</v>
      </c>
      <c r="G1575" t="s">
        <v>8</v>
      </c>
    </row>
    <row r="1576" spans="1:7" x14ac:dyDescent="0.3">
      <c r="A1576" t="s">
        <v>31</v>
      </c>
      <c r="B1576" s="1">
        <v>45930</v>
      </c>
      <c r="C1576">
        <v>240003</v>
      </c>
      <c r="D1576">
        <v>-693.44200000000001</v>
      </c>
      <c r="E1576" t="s">
        <v>4</v>
      </c>
      <c r="F1576" t="s">
        <v>43</v>
      </c>
      <c r="G1576" t="s">
        <v>8</v>
      </c>
    </row>
    <row r="1577" spans="1:7" x14ac:dyDescent="0.3">
      <c r="A1577" t="s">
        <v>31</v>
      </c>
      <c r="B1577" s="1">
        <v>45930</v>
      </c>
      <c r="C1577">
        <v>240009</v>
      </c>
      <c r="D1577">
        <v>-4836.41</v>
      </c>
      <c r="E1577" t="s">
        <v>4</v>
      </c>
      <c r="F1577" t="s">
        <v>43</v>
      </c>
      <c r="G1577" t="s">
        <v>8</v>
      </c>
    </row>
    <row r="1578" spans="1:7" x14ac:dyDescent="0.3">
      <c r="A1578" t="s">
        <v>31</v>
      </c>
      <c r="B1578" s="1">
        <v>45930</v>
      </c>
      <c r="C1578">
        <v>242003</v>
      </c>
      <c r="D1578">
        <v>-283170.83199999999</v>
      </c>
      <c r="E1578" t="s">
        <v>4</v>
      </c>
      <c r="F1578" t="s">
        <v>43</v>
      </c>
      <c r="G1578" t="s">
        <v>8</v>
      </c>
    </row>
    <row r="1579" spans="1:7" x14ac:dyDescent="0.3">
      <c r="A1579" t="s">
        <v>31</v>
      </c>
      <c r="B1579" s="1">
        <v>45930</v>
      </c>
      <c r="C1579">
        <v>242011</v>
      </c>
      <c r="D1579">
        <v>-49614.207999999999</v>
      </c>
      <c r="E1579" t="s">
        <v>4</v>
      </c>
      <c r="F1579" t="s">
        <v>43</v>
      </c>
      <c r="G1579" t="s">
        <v>8</v>
      </c>
    </row>
    <row r="1580" spans="1:7" x14ac:dyDescent="0.3">
      <c r="A1580" t="s">
        <v>31</v>
      </c>
      <c r="B1580" s="1">
        <v>45930</v>
      </c>
      <c r="C1580">
        <v>242014</v>
      </c>
      <c r="D1580">
        <v>-10.484999999999999</v>
      </c>
      <c r="E1580" t="s">
        <v>4</v>
      </c>
      <c r="F1580" t="s">
        <v>43</v>
      </c>
      <c r="G1580" t="s">
        <v>8</v>
      </c>
    </row>
    <row r="1581" spans="1:7" x14ac:dyDescent="0.3">
      <c r="A1581" t="s">
        <v>31</v>
      </c>
      <c r="B1581" s="1">
        <v>45930</v>
      </c>
      <c r="C1581">
        <v>242018</v>
      </c>
      <c r="D1581">
        <v>-7636.7579999999998</v>
      </c>
      <c r="E1581" t="s">
        <v>4</v>
      </c>
      <c r="F1581" t="s">
        <v>43</v>
      </c>
      <c r="G1581" t="s">
        <v>8</v>
      </c>
    </row>
    <row r="1582" spans="1:7" x14ac:dyDescent="0.3">
      <c r="A1582" t="s">
        <v>31</v>
      </c>
      <c r="B1582" s="1">
        <v>45930</v>
      </c>
      <c r="C1582">
        <v>242027</v>
      </c>
      <c r="D1582">
        <v>-8949.6929999999993</v>
      </c>
      <c r="E1582" t="s">
        <v>4</v>
      </c>
      <c r="F1582" t="s">
        <v>43</v>
      </c>
      <c r="G1582" t="s">
        <v>8</v>
      </c>
    </row>
    <row r="1583" spans="1:7" x14ac:dyDescent="0.3">
      <c r="A1583" t="s">
        <v>31</v>
      </c>
      <c r="B1583" s="1">
        <v>45930</v>
      </c>
      <c r="C1583">
        <v>242030</v>
      </c>
      <c r="D1583">
        <v>-17610.810000000001</v>
      </c>
      <c r="E1583" t="s">
        <v>4</v>
      </c>
      <c r="F1583" t="s">
        <v>43</v>
      </c>
      <c r="G1583" t="s">
        <v>8</v>
      </c>
    </row>
    <row r="1584" spans="1:7" x14ac:dyDescent="0.3">
      <c r="A1584" t="s">
        <v>31</v>
      </c>
      <c r="B1584" s="1">
        <v>45930</v>
      </c>
      <c r="C1584">
        <v>242038</v>
      </c>
      <c r="D1584">
        <v>-310.25700000000001</v>
      </c>
      <c r="E1584" t="s">
        <v>4</v>
      </c>
      <c r="F1584" t="s">
        <v>43</v>
      </c>
      <c r="G1584" t="s">
        <v>8</v>
      </c>
    </row>
    <row r="1585" spans="1:7" x14ac:dyDescent="0.3">
      <c r="A1585" t="s">
        <v>31</v>
      </c>
      <c r="B1585" s="1">
        <v>45930</v>
      </c>
      <c r="C1585">
        <v>242041</v>
      </c>
      <c r="D1585">
        <v>-11593.287</v>
      </c>
      <c r="E1585" t="s">
        <v>4</v>
      </c>
      <c r="F1585" t="s">
        <v>43</v>
      </c>
      <c r="G1585" t="s">
        <v>8</v>
      </c>
    </row>
    <row r="1586" spans="1:7" x14ac:dyDescent="0.3">
      <c r="A1586" t="s">
        <v>31</v>
      </c>
      <c r="B1586" s="1">
        <v>45930</v>
      </c>
      <c r="C1586">
        <v>243002</v>
      </c>
      <c r="D1586">
        <v>-10846.147999999999</v>
      </c>
      <c r="E1586" t="s">
        <v>4</v>
      </c>
      <c r="F1586" t="s">
        <v>43</v>
      </c>
      <c r="G1586" t="s">
        <v>8</v>
      </c>
    </row>
    <row r="1587" spans="1:7" x14ac:dyDescent="0.3">
      <c r="A1587" t="s">
        <v>31</v>
      </c>
      <c r="B1587" s="1">
        <v>45930</v>
      </c>
      <c r="C1587">
        <v>243010</v>
      </c>
      <c r="D1587">
        <v>-766.70699999999999</v>
      </c>
      <c r="E1587" t="s">
        <v>4</v>
      </c>
      <c r="F1587" t="s">
        <v>43</v>
      </c>
      <c r="G1587" t="s">
        <v>8</v>
      </c>
    </row>
    <row r="1588" spans="1:7" x14ac:dyDescent="0.3">
      <c r="A1588" t="s">
        <v>31</v>
      </c>
      <c r="B1588" s="1">
        <v>45930</v>
      </c>
      <c r="C1588">
        <v>245010</v>
      </c>
      <c r="D1588">
        <v>-11798.019</v>
      </c>
      <c r="E1588" t="s">
        <v>4</v>
      </c>
      <c r="F1588" t="s">
        <v>44</v>
      </c>
      <c r="G1588" t="s">
        <v>8</v>
      </c>
    </row>
    <row r="1589" spans="1:7" x14ac:dyDescent="0.3">
      <c r="A1589" t="s">
        <v>31</v>
      </c>
      <c r="B1589" s="1">
        <v>45930</v>
      </c>
      <c r="C1589">
        <v>245018</v>
      </c>
      <c r="D1589">
        <v>-8149.3770000000004</v>
      </c>
      <c r="E1589" t="s">
        <v>4</v>
      </c>
      <c r="F1589" t="s">
        <v>43</v>
      </c>
      <c r="G1589" t="s">
        <v>8</v>
      </c>
    </row>
    <row r="1590" spans="1:7" x14ac:dyDescent="0.3">
      <c r="A1590" t="s">
        <v>31</v>
      </c>
      <c r="B1590" s="1">
        <v>45930</v>
      </c>
      <c r="C1590">
        <v>245049</v>
      </c>
      <c r="D1590">
        <v>-0.33500000000000002</v>
      </c>
      <c r="E1590" t="s">
        <v>4</v>
      </c>
      <c r="F1590" t="s">
        <v>43</v>
      </c>
      <c r="G1590" t="s">
        <v>8</v>
      </c>
    </row>
    <row r="1591" spans="1:7" x14ac:dyDescent="0.3">
      <c r="A1591" t="s">
        <v>31</v>
      </c>
      <c r="B1591" s="1">
        <v>45930</v>
      </c>
      <c r="C1591">
        <v>245055</v>
      </c>
      <c r="D1591">
        <v>-1376.4780000000001</v>
      </c>
      <c r="E1591" t="s">
        <v>4</v>
      </c>
      <c r="F1591" t="s">
        <v>43</v>
      </c>
      <c r="G1591" t="s">
        <v>8</v>
      </c>
    </row>
    <row r="1592" spans="1:7" x14ac:dyDescent="0.3">
      <c r="A1592" t="s">
        <v>31</v>
      </c>
      <c r="B1592" s="1">
        <v>45930</v>
      </c>
      <c r="C1592">
        <v>245062</v>
      </c>
      <c r="D1592">
        <v>-10326.576999999999</v>
      </c>
      <c r="E1592" t="s">
        <v>4</v>
      </c>
      <c r="F1592" t="s">
        <v>43</v>
      </c>
      <c r="G1592" t="s">
        <v>8</v>
      </c>
    </row>
    <row r="1593" spans="1:7" x14ac:dyDescent="0.3">
      <c r="A1593" t="s">
        <v>31</v>
      </c>
      <c r="B1593" s="1">
        <v>45930</v>
      </c>
      <c r="C1593">
        <v>250003</v>
      </c>
      <c r="D1593">
        <v>-873.74099999999999</v>
      </c>
      <c r="E1593" t="s">
        <v>4</v>
      </c>
      <c r="F1593" t="s">
        <v>45</v>
      </c>
      <c r="G1593" t="s">
        <v>8</v>
      </c>
    </row>
    <row r="1594" spans="1:7" x14ac:dyDescent="0.3">
      <c r="A1594" t="s">
        <v>31</v>
      </c>
      <c r="B1594" s="1">
        <v>45930</v>
      </c>
      <c r="C1594">
        <v>251002</v>
      </c>
      <c r="D1594">
        <v>-61754.442000000003</v>
      </c>
      <c r="E1594" t="s">
        <v>4</v>
      </c>
      <c r="F1594" t="s">
        <v>45</v>
      </c>
      <c r="G1594" t="s">
        <v>8</v>
      </c>
    </row>
    <row r="1595" spans="1:7" x14ac:dyDescent="0.3">
      <c r="A1595" t="s">
        <v>31</v>
      </c>
      <c r="B1595" s="1">
        <v>45930</v>
      </c>
      <c r="C1595">
        <v>257005</v>
      </c>
      <c r="D1595">
        <v>3862.3409999999999</v>
      </c>
      <c r="E1595" t="s">
        <v>4</v>
      </c>
      <c r="F1595" t="s">
        <v>45</v>
      </c>
      <c r="G1595" t="s">
        <v>8</v>
      </c>
    </row>
    <row r="1596" spans="1:7" x14ac:dyDescent="0.3">
      <c r="A1596" t="s">
        <v>31</v>
      </c>
      <c r="B1596" s="1">
        <v>45930</v>
      </c>
      <c r="C1596">
        <v>257027</v>
      </c>
      <c r="D1596">
        <v>-19475.131000000001</v>
      </c>
      <c r="E1596" t="s">
        <v>4</v>
      </c>
      <c r="F1596" t="s">
        <v>45</v>
      </c>
      <c r="G1596" t="s">
        <v>8</v>
      </c>
    </row>
    <row r="1597" spans="1:7" x14ac:dyDescent="0.3">
      <c r="A1597" t="s">
        <v>31</v>
      </c>
      <c r="B1597" s="1">
        <v>45930</v>
      </c>
      <c r="C1597">
        <v>260004</v>
      </c>
      <c r="D1597">
        <v>-20238.359</v>
      </c>
      <c r="E1597" t="s">
        <v>4</v>
      </c>
      <c r="F1597" t="s">
        <v>45</v>
      </c>
      <c r="G1597" t="s">
        <v>8</v>
      </c>
    </row>
    <row r="1598" spans="1:7" x14ac:dyDescent="0.3">
      <c r="A1598" t="s">
        <v>31</v>
      </c>
      <c r="B1598" s="1">
        <v>45930</v>
      </c>
      <c r="C1598">
        <v>270027</v>
      </c>
      <c r="D1598">
        <v>-2302.886</v>
      </c>
      <c r="E1598" t="s">
        <v>4</v>
      </c>
      <c r="F1598" t="s">
        <v>58</v>
      </c>
      <c r="G1598" t="s">
        <v>8</v>
      </c>
    </row>
    <row r="1599" spans="1:7" x14ac:dyDescent="0.3">
      <c r="A1599" t="s">
        <v>31</v>
      </c>
      <c r="B1599" s="1">
        <v>45930</v>
      </c>
      <c r="C1599">
        <v>300008</v>
      </c>
      <c r="D1599">
        <v>5245.6409999999996</v>
      </c>
      <c r="E1599" t="s">
        <v>4</v>
      </c>
      <c r="F1599" t="s">
        <v>65</v>
      </c>
      <c r="G1599" t="s">
        <v>8</v>
      </c>
    </row>
    <row r="1600" spans="1:7" x14ac:dyDescent="0.3">
      <c r="A1600" t="s">
        <v>31</v>
      </c>
      <c r="B1600" s="1">
        <v>45930</v>
      </c>
      <c r="C1600">
        <v>300011</v>
      </c>
      <c r="D1600">
        <v>33</v>
      </c>
      <c r="E1600" t="s">
        <v>4</v>
      </c>
      <c r="F1600" t="s">
        <v>65</v>
      </c>
      <c r="G1600" t="s">
        <v>8</v>
      </c>
    </row>
    <row r="1601" spans="1:7" x14ac:dyDescent="0.3">
      <c r="A1601" t="s">
        <v>31</v>
      </c>
      <c r="B1601" s="1">
        <v>45930</v>
      </c>
      <c r="C1601">
        <v>300012</v>
      </c>
      <c r="D1601">
        <v>1581.7950000000001</v>
      </c>
      <c r="E1601" t="s">
        <v>4</v>
      </c>
      <c r="F1601" t="s">
        <v>65</v>
      </c>
      <c r="G1601" t="s">
        <v>8</v>
      </c>
    </row>
    <row r="1602" spans="1:7" x14ac:dyDescent="0.3">
      <c r="A1602" t="s">
        <v>31</v>
      </c>
      <c r="B1602" s="1">
        <v>45930</v>
      </c>
      <c r="C1602">
        <v>300508</v>
      </c>
      <c r="D1602">
        <v>-3329.2649999999999</v>
      </c>
      <c r="E1602" t="s">
        <v>4</v>
      </c>
      <c r="F1602" t="s">
        <v>65</v>
      </c>
      <c r="G1602" t="s">
        <v>8</v>
      </c>
    </row>
    <row r="1603" spans="1:7" x14ac:dyDescent="0.3">
      <c r="A1603" t="s">
        <v>31</v>
      </c>
      <c r="B1603" s="1">
        <v>45930</v>
      </c>
      <c r="C1603">
        <v>300511</v>
      </c>
      <c r="D1603">
        <v>-33</v>
      </c>
      <c r="E1603" t="s">
        <v>4</v>
      </c>
      <c r="F1603" t="s">
        <v>65</v>
      </c>
      <c r="G1603" t="s">
        <v>8</v>
      </c>
    </row>
    <row r="1604" spans="1:7" x14ac:dyDescent="0.3">
      <c r="A1604" t="s">
        <v>31</v>
      </c>
      <c r="B1604" s="1">
        <v>45930</v>
      </c>
      <c r="C1604">
        <v>300512</v>
      </c>
      <c r="D1604">
        <v>-1581.7950000000001</v>
      </c>
      <c r="E1604" t="s">
        <v>4</v>
      </c>
      <c r="F1604" t="s">
        <v>65</v>
      </c>
      <c r="G1604" t="s">
        <v>8</v>
      </c>
    </row>
    <row r="1605" spans="1:7" x14ac:dyDescent="0.3">
      <c r="A1605" t="s">
        <v>31</v>
      </c>
      <c r="B1605" s="1">
        <v>45930</v>
      </c>
      <c r="C1605">
        <v>320002</v>
      </c>
      <c r="D1605">
        <v>17698.342000000001</v>
      </c>
      <c r="E1605" t="s">
        <v>4</v>
      </c>
      <c r="F1605" t="s">
        <v>46</v>
      </c>
      <c r="G1605" t="s">
        <v>8</v>
      </c>
    </row>
    <row r="1606" spans="1:7" x14ac:dyDescent="0.3">
      <c r="A1606" t="s">
        <v>31</v>
      </c>
      <c r="B1606" s="1">
        <v>45930</v>
      </c>
      <c r="C1606">
        <v>320003</v>
      </c>
      <c r="D1606">
        <v>234864.83</v>
      </c>
      <c r="E1606" t="s">
        <v>4</v>
      </c>
      <c r="F1606" t="s">
        <v>46</v>
      </c>
      <c r="G1606" t="s">
        <v>8</v>
      </c>
    </row>
    <row r="1607" spans="1:7" x14ac:dyDescent="0.3">
      <c r="A1607" t="s">
        <v>31</v>
      </c>
      <c r="B1607" s="1">
        <v>45930</v>
      </c>
      <c r="C1607">
        <v>320004</v>
      </c>
      <c r="D1607">
        <v>2064.0659999999998</v>
      </c>
      <c r="E1607" t="s">
        <v>4</v>
      </c>
      <c r="F1607" t="s">
        <v>46</v>
      </c>
      <c r="G1607" t="s">
        <v>8</v>
      </c>
    </row>
    <row r="1608" spans="1:7" x14ac:dyDescent="0.3">
      <c r="A1608" t="s">
        <v>31</v>
      </c>
      <c r="B1608" s="1">
        <v>45930</v>
      </c>
      <c r="C1608">
        <v>320023</v>
      </c>
      <c r="D1608">
        <v>-1292.1579999999999</v>
      </c>
      <c r="E1608" t="s">
        <v>4</v>
      </c>
      <c r="F1608" t="s">
        <v>46</v>
      </c>
      <c r="G1608" t="s">
        <v>8</v>
      </c>
    </row>
    <row r="1609" spans="1:7" x14ac:dyDescent="0.3">
      <c r="A1609" t="s">
        <v>31</v>
      </c>
      <c r="B1609" s="1">
        <v>45930</v>
      </c>
      <c r="C1609">
        <v>321002</v>
      </c>
      <c r="D1609">
        <v>28861.239000000001</v>
      </c>
      <c r="E1609" t="s">
        <v>4</v>
      </c>
      <c r="F1609" t="s">
        <v>46</v>
      </c>
      <c r="G1609" t="s">
        <v>8</v>
      </c>
    </row>
    <row r="1610" spans="1:7" x14ac:dyDescent="0.3">
      <c r="A1610" t="s">
        <v>31</v>
      </c>
      <c r="B1610" s="1">
        <v>45930</v>
      </c>
      <c r="C1610">
        <v>321004</v>
      </c>
      <c r="D1610">
        <v>9559.8619999999992</v>
      </c>
      <c r="E1610" t="s">
        <v>4</v>
      </c>
      <c r="F1610" t="s">
        <v>46</v>
      </c>
      <c r="G1610" t="s">
        <v>8</v>
      </c>
    </row>
    <row r="1611" spans="1:7" x14ac:dyDescent="0.3">
      <c r="A1611" t="s">
        <v>31</v>
      </c>
      <c r="B1611" s="1">
        <v>45930</v>
      </c>
      <c r="C1611">
        <v>321025</v>
      </c>
      <c r="D1611">
        <v>39375.087</v>
      </c>
      <c r="E1611" t="s">
        <v>4</v>
      </c>
      <c r="F1611" t="s">
        <v>46</v>
      </c>
      <c r="G1611" t="s">
        <v>8</v>
      </c>
    </row>
    <row r="1612" spans="1:7" x14ac:dyDescent="0.3">
      <c r="A1612" t="s">
        <v>31</v>
      </c>
      <c r="B1612" s="1">
        <v>45930</v>
      </c>
      <c r="C1612">
        <v>321028</v>
      </c>
      <c r="D1612">
        <v>31360.721000000001</v>
      </c>
      <c r="E1612" t="s">
        <v>4</v>
      </c>
      <c r="F1612" t="s">
        <v>46</v>
      </c>
      <c r="G1612" t="s">
        <v>8</v>
      </c>
    </row>
    <row r="1613" spans="1:7" x14ac:dyDescent="0.3">
      <c r="A1613" t="s">
        <v>31</v>
      </c>
      <c r="B1613" s="1">
        <v>45930</v>
      </c>
      <c r="C1613">
        <v>321029</v>
      </c>
      <c r="D1613">
        <v>16496.173999999999</v>
      </c>
      <c r="E1613" t="s">
        <v>4</v>
      </c>
      <c r="F1613" t="s">
        <v>46</v>
      </c>
      <c r="G1613" t="s">
        <v>8</v>
      </c>
    </row>
    <row r="1614" spans="1:7" x14ac:dyDescent="0.3">
      <c r="A1614" t="s">
        <v>31</v>
      </c>
      <c r="B1614" s="1">
        <v>45930</v>
      </c>
      <c r="C1614">
        <v>321030</v>
      </c>
      <c r="D1614">
        <v>4977.7529999999997</v>
      </c>
      <c r="E1614" t="s">
        <v>4</v>
      </c>
      <c r="F1614" t="s">
        <v>46</v>
      </c>
      <c r="G1614" t="s">
        <v>8</v>
      </c>
    </row>
    <row r="1615" spans="1:7" x14ac:dyDescent="0.3">
      <c r="A1615" t="s">
        <v>31</v>
      </c>
      <c r="B1615" s="1">
        <v>45930</v>
      </c>
      <c r="C1615">
        <v>321042</v>
      </c>
      <c r="D1615">
        <v>8.4090000000000007</v>
      </c>
      <c r="E1615" t="s">
        <v>4</v>
      </c>
      <c r="F1615" t="s">
        <v>46</v>
      </c>
      <c r="G1615" t="s">
        <v>8</v>
      </c>
    </row>
    <row r="1616" spans="1:7" x14ac:dyDescent="0.3">
      <c r="A1616" t="s">
        <v>31</v>
      </c>
      <c r="B1616" s="1">
        <v>45930</v>
      </c>
      <c r="C1616">
        <v>330113</v>
      </c>
      <c r="D1616">
        <v>582.38699999999994</v>
      </c>
      <c r="E1616" t="s">
        <v>4</v>
      </c>
      <c r="F1616" t="s">
        <v>43</v>
      </c>
      <c r="G1616" t="s">
        <v>8</v>
      </c>
    </row>
    <row r="1617" spans="1:7" x14ac:dyDescent="0.3">
      <c r="A1617" t="s">
        <v>31</v>
      </c>
      <c r="B1617" s="1">
        <v>45930</v>
      </c>
      <c r="C1617">
        <v>330116</v>
      </c>
      <c r="D1617">
        <v>-1881.29</v>
      </c>
      <c r="E1617" t="s">
        <v>4</v>
      </c>
      <c r="F1617" t="s">
        <v>43</v>
      </c>
      <c r="G1617" t="s">
        <v>8</v>
      </c>
    </row>
    <row r="1618" spans="1:7" x14ac:dyDescent="0.3">
      <c r="A1618" t="s">
        <v>31</v>
      </c>
      <c r="B1618" s="1">
        <v>45930</v>
      </c>
      <c r="C1618">
        <v>330124</v>
      </c>
      <c r="D1618">
        <v>1929.5039999999999</v>
      </c>
      <c r="E1618" t="s">
        <v>4</v>
      </c>
      <c r="F1618" t="s">
        <v>43</v>
      </c>
      <c r="G1618" t="s">
        <v>8</v>
      </c>
    </row>
    <row r="1619" spans="1:7" x14ac:dyDescent="0.3">
      <c r="A1619" t="s">
        <v>31</v>
      </c>
      <c r="B1619" s="1">
        <v>45930</v>
      </c>
      <c r="C1619">
        <v>330126</v>
      </c>
      <c r="D1619">
        <v>-5105.7489999999998</v>
      </c>
      <c r="E1619" t="s">
        <v>4</v>
      </c>
      <c r="F1619" t="s">
        <v>43</v>
      </c>
      <c r="G1619" t="s">
        <v>8</v>
      </c>
    </row>
    <row r="1620" spans="1:7" x14ac:dyDescent="0.3">
      <c r="A1620" t="s">
        <v>31</v>
      </c>
      <c r="B1620" s="1">
        <v>45930</v>
      </c>
      <c r="C1620">
        <v>340210</v>
      </c>
      <c r="D1620">
        <v>151565.402</v>
      </c>
      <c r="E1620" t="s">
        <v>4</v>
      </c>
      <c r="F1620" t="s">
        <v>47</v>
      </c>
      <c r="G1620" t="s">
        <v>8</v>
      </c>
    </row>
    <row r="1621" spans="1:7" x14ac:dyDescent="0.3">
      <c r="A1621" t="s">
        <v>31</v>
      </c>
      <c r="B1621" s="1">
        <v>45930</v>
      </c>
      <c r="C1621">
        <v>340211</v>
      </c>
      <c r="D1621">
        <v>581098.946</v>
      </c>
      <c r="E1621" t="s">
        <v>4</v>
      </c>
      <c r="F1621" t="s">
        <v>47</v>
      </c>
      <c r="G1621" t="s">
        <v>8</v>
      </c>
    </row>
    <row r="1622" spans="1:7" x14ac:dyDescent="0.3">
      <c r="A1622" t="s">
        <v>31</v>
      </c>
      <c r="B1622" s="1">
        <v>45930</v>
      </c>
      <c r="C1622">
        <v>340212</v>
      </c>
      <c r="D1622">
        <v>-732664.34900000005</v>
      </c>
      <c r="E1622" t="s">
        <v>4</v>
      </c>
      <c r="F1622" t="s">
        <v>47</v>
      </c>
      <c r="G1622" t="s">
        <v>8</v>
      </c>
    </row>
    <row r="1623" spans="1:7" x14ac:dyDescent="0.3">
      <c r="A1623" t="s">
        <v>31</v>
      </c>
      <c r="B1623" s="1">
        <v>45930</v>
      </c>
      <c r="C1623">
        <v>340213</v>
      </c>
      <c r="D1623">
        <v>-50.505000000000003</v>
      </c>
      <c r="E1623" t="s">
        <v>4</v>
      </c>
      <c r="F1623" t="s">
        <v>47</v>
      </c>
      <c r="G1623" t="s">
        <v>8</v>
      </c>
    </row>
    <row r="1624" spans="1:7" x14ac:dyDescent="0.3">
      <c r="A1624" t="s">
        <v>31</v>
      </c>
      <c r="B1624" s="1">
        <v>45930</v>
      </c>
      <c r="C1624">
        <v>340214</v>
      </c>
      <c r="D1624">
        <v>52.59</v>
      </c>
      <c r="E1624" t="s">
        <v>4</v>
      </c>
      <c r="F1624" t="s">
        <v>47</v>
      </c>
      <c r="G1624" t="s">
        <v>8</v>
      </c>
    </row>
    <row r="1625" spans="1:7" x14ac:dyDescent="0.3">
      <c r="A1625" t="s">
        <v>31</v>
      </c>
      <c r="B1625" s="1">
        <v>45930</v>
      </c>
      <c r="C1625">
        <v>340215</v>
      </c>
      <c r="D1625">
        <v>-2.085</v>
      </c>
      <c r="E1625" t="s">
        <v>4</v>
      </c>
      <c r="F1625" t="s">
        <v>47</v>
      </c>
      <c r="G1625" t="s">
        <v>8</v>
      </c>
    </row>
    <row r="1626" spans="1:7" x14ac:dyDescent="0.3">
      <c r="A1626" t="s">
        <v>31</v>
      </c>
      <c r="B1626" s="1">
        <v>45930</v>
      </c>
      <c r="C1626">
        <v>340216</v>
      </c>
      <c r="D1626">
        <v>16040.753000000001</v>
      </c>
      <c r="E1626" t="s">
        <v>4</v>
      </c>
      <c r="F1626" t="s">
        <v>47</v>
      </c>
      <c r="G1626" t="s">
        <v>8</v>
      </c>
    </row>
    <row r="1627" spans="1:7" x14ac:dyDescent="0.3">
      <c r="A1627" t="s">
        <v>31</v>
      </c>
      <c r="B1627" s="1">
        <v>45930</v>
      </c>
      <c r="C1627">
        <v>340218</v>
      </c>
      <c r="D1627">
        <v>-15672.083000000001</v>
      </c>
      <c r="E1627" t="s">
        <v>4</v>
      </c>
      <c r="F1627" t="s">
        <v>47</v>
      </c>
      <c r="G1627" t="s">
        <v>8</v>
      </c>
    </row>
    <row r="1628" spans="1:7" x14ac:dyDescent="0.3">
      <c r="A1628" t="s">
        <v>31</v>
      </c>
      <c r="B1628" s="1">
        <v>45930</v>
      </c>
      <c r="C1628">
        <v>340219</v>
      </c>
      <c r="D1628">
        <v>33800.472000000002</v>
      </c>
      <c r="E1628" t="s">
        <v>4</v>
      </c>
      <c r="F1628" t="s">
        <v>47</v>
      </c>
      <c r="G1628" t="s">
        <v>8</v>
      </c>
    </row>
    <row r="1629" spans="1:7" x14ac:dyDescent="0.3">
      <c r="A1629" t="s">
        <v>31</v>
      </c>
      <c r="B1629" s="1">
        <v>45930</v>
      </c>
      <c r="C1629">
        <v>340220</v>
      </c>
      <c r="D1629">
        <v>1952578.34</v>
      </c>
      <c r="E1629" t="s">
        <v>4</v>
      </c>
      <c r="F1629" t="s">
        <v>47</v>
      </c>
      <c r="G1629" t="s">
        <v>8</v>
      </c>
    </row>
    <row r="1630" spans="1:7" x14ac:dyDescent="0.3">
      <c r="A1630" t="s">
        <v>31</v>
      </c>
      <c r="B1630" s="1">
        <v>45930</v>
      </c>
      <c r="C1630">
        <v>340221</v>
      </c>
      <c r="D1630">
        <v>-1890026.567</v>
      </c>
      <c r="E1630" t="s">
        <v>4</v>
      </c>
      <c r="F1630" t="s">
        <v>47</v>
      </c>
      <c r="G1630" t="s">
        <v>8</v>
      </c>
    </row>
    <row r="1631" spans="1:7" x14ac:dyDescent="0.3">
      <c r="A1631" t="s">
        <v>31</v>
      </c>
      <c r="B1631" s="1">
        <v>45930</v>
      </c>
      <c r="C1631">
        <v>340222</v>
      </c>
      <c r="D1631">
        <v>630.26400000000001</v>
      </c>
      <c r="E1631" t="s">
        <v>4</v>
      </c>
      <c r="F1631" t="s">
        <v>47</v>
      </c>
      <c r="G1631" t="s">
        <v>8</v>
      </c>
    </row>
    <row r="1632" spans="1:7" x14ac:dyDescent="0.3">
      <c r="A1632" t="s">
        <v>31</v>
      </c>
      <c r="B1632" s="1">
        <v>45930</v>
      </c>
      <c r="C1632">
        <v>340223</v>
      </c>
      <c r="D1632">
        <v>1584074.754</v>
      </c>
      <c r="E1632" t="s">
        <v>4</v>
      </c>
      <c r="F1632" t="s">
        <v>47</v>
      </c>
      <c r="G1632" t="s">
        <v>8</v>
      </c>
    </row>
    <row r="1633" spans="1:7" x14ac:dyDescent="0.3">
      <c r="A1633" t="s">
        <v>31</v>
      </c>
      <c r="B1633" s="1">
        <v>45930</v>
      </c>
      <c r="C1633">
        <v>340224</v>
      </c>
      <c r="D1633">
        <v>-1584074.7509999999</v>
      </c>
      <c r="E1633" t="s">
        <v>4</v>
      </c>
      <c r="F1633" t="s">
        <v>47</v>
      </c>
      <c r="G1633" t="s">
        <v>8</v>
      </c>
    </row>
    <row r="1634" spans="1:7" x14ac:dyDescent="0.3">
      <c r="A1634" t="s">
        <v>31</v>
      </c>
      <c r="B1634" s="1">
        <v>45930</v>
      </c>
      <c r="C1634">
        <v>340225</v>
      </c>
      <c r="D1634">
        <v>598.83900000000006</v>
      </c>
      <c r="E1634" t="s">
        <v>4</v>
      </c>
      <c r="F1634" t="s">
        <v>47</v>
      </c>
      <c r="G1634" t="s">
        <v>8</v>
      </c>
    </row>
    <row r="1635" spans="1:7" x14ac:dyDescent="0.3">
      <c r="A1635" t="s">
        <v>31</v>
      </c>
      <c r="B1635" s="1">
        <v>45930</v>
      </c>
      <c r="C1635">
        <v>340226</v>
      </c>
      <c r="D1635">
        <v>492198.842</v>
      </c>
      <c r="E1635" t="s">
        <v>4</v>
      </c>
      <c r="F1635" t="s">
        <v>47</v>
      </c>
      <c r="G1635" t="s">
        <v>8</v>
      </c>
    </row>
    <row r="1636" spans="1:7" x14ac:dyDescent="0.3">
      <c r="A1636" t="s">
        <v>31</v>
      </c>
      <c r="B1636" s="1">
        <v>45930</v>
      </c>
      <c r="C1636">
        <v>340227</v>
      </c>
      <c r="D1636">
        <v>-492198.84299999999</v>
      </c>
      <c r="E1636" t="s">
        <v>4</v>
      </c>
      <c r="F1636" t="s">
        <v>47</v>
      </c>
      <c r="G1636" t="s">
        <v>8</v>
      </c>
    </row>
    <row r="1637" spans="1:7" x14ac:dyDescent="0.3">
      <c r="A1637" t="s">
        <v>31</v>
      </c>
      <c r="B1637" s="1">
        <v>45930</v>
      </c>
      <c r="C1637">
        <v>340228</v>
      </c>
      <c r="D1637">
        <v>108407.79399999999</v>
      </c>
      <c r="E1637" t="s">
        <v>4</v>
      </c>
      <c r="F1637" t="s">
        <v>47</v>
      </c>
      <c r="G1637" t="s">
        <v>8</v>
      </c>
    </row>
    <row r="1638" spans="1:7" x14ac:dyDescent="0.3">
      <c r="A1638" t="s">
        <v>31</v>
      </c>
      <c r="B1638" s="1">
        <v>45930</v>
      </c>
      <c r="C1638">
        <v>340229</v>
      </c>
      <c r="D1638">
        <v>1058527.9129999999</v>
      </c>
      <c r="E1638" t="s">
        <v>4</v>
      </c>
      <c r="F1638" t="s">
        <v>47</v>
      </c>
      <c r="G1638" t="s">
        <v>8</v>
      </c>
    </row>
    <row r="1639" spans="1:7" x14ac:dyDescent="0.3">
      <c r="A1639" t="s">
        <v>31</v>
      </c>
      <c r="B1639" s="1">
        <v>45930</v>
      </c>
      <c r="C1639">
        <v>340230</v>
      </c>
      <c r="D1639">
        <v>-1056282.1170000001</v>
      </c>
      <c r="E1639" t="s">
        <v>4</v>
      </c>
      <c r="F1639" t="s">
        <v>47</v>
      </c>
      <c r="G1639" t="s">
        <v>8</v>
      </c>
    </row>
    <row r="1640" spans="1:7" x14ac:dyDescent="0.3">
      <c r="A1640" t="s">
        <v>31</v>
      </c>
      <c r="B1640" s="1">
        <v>45930</v>
      </c>
      <c r="C1640">
        <v>340231</v>
      </c>
      <c r="D1640">
        <v>87437.474000000002</v>
      </c>
      <c r="E1640" t="s">
        <v>4</v>
      </c>
      <c r="F1640" t="s">
        <v>47</v>
      </c>
      <c r="G1640" t="s">
        <v>8</v>
      </c>
    </row>
    <row r="1641" spans="1:7" x14ac:dyDescent="0.3">
      <c r="A1641" t="s">
        <v>31</v>
      </c>
      <c r="B1641" s="1">
        <v>45930</v>
      </c>
      <c r="C1641">
        <v>340232</v>
      </c>
      <c r="D1641">
        <v>457582.59</v>
      </c>
      <c r="E1641" t="s">
        <v>4</v>
      </c>
      <c r="F1641" t="s">
        <v>47</v>
      </c>
      <c r="G1641" t="s">
        <v>8</v>
      </c>
    </row>
    <row r="1642" spans="1:7" x14ac:dyDescent="0.3">
      <c r="A1642" t="s">
        <v>31</v>
      </c>
      <c r="B1642" s="1">
        <v>45930</v>
      </c>
      <c r="C1642">
        <v>340233</v>
      </c>
      <c r="D1642">
        <v>-493975.712</v>
      </c>
      <c r="E1642" t="s">
        <v>4</v>
      </c>
      <c r="F1642" t="s">
        <v>47</v>
      </c>
      <c r="G1642" t="s">
        <v>8</v>
      </c>
    </row>
    <row r="1643" spans="1:7" x14ac:dyDescent="0.3">
      <c r="A1643" t="s">
        <v>31</v>
      </c>
      <c r="B1643" s="1">
        <v>45930</v>
      </c>
      <c r="C1643">
        <v>350002</v>
      </c>
      <c r="D1643">
        <v>1369.192</v>
      </c>
      <c r="E1643" t="s">
        <v>4</v>
      </c>
      <c r="F1643" t="s">
        <v>49</v>
      </c>
      <c r="G1643" t="s">
        <v>8</v>
      </c>
    </row>
    <row r="1644" spans="1:7" x14ac:dyDescent="0.3">
      <c r="A1644" t="s">
        <v>31</v>
      </c>
      <c r="B1644" s="1">
        <v>45930</v>
      </c>
      <c r="C1644">
        <v>350003</v>
      </c>
      <c r="D1644">
        <v>-482.346</v>
      </c>
      <c r="E1644" t="s">
        <v>4</v>
      </c>
      <c r="F1644" t="s">
        <v>49</v>
      </c>
      <c r="G1644" t="s">
        <v>8</v>
      </c>
    </row>
    <row r="1645" spans="1:7" x14ac:dyDescent="0.3">
      <c r="A1645" t="s">
        <v>31</v>
      </c>
      <c r="B1645" s="1">
        <v>45930</v>
      </c>
      <c r="C1645">
        <v>350031</v>
      </c>
      <c r="D1645">
        <v>4836.41</v>
      </c>
      <c r="E1645" t="s">
        <v>4</v>
      </c>
      <c r="F1645" t="s">
        <v>43</v>
      </c>
      <c r="G1645" t="s">
        <v>8</v>
      </c>
    </row>
    <row r="1646" spans="1:7" x14ac:dyDescent="0.3">
      <c r="A1646" t="s">
        <v>31</v>
      </c>
      <c r="B1646" s="1">
        <v>45930</v>
      </c>
      <c r="C1646">
        <v>354012</v>
      </c>
      <c r="D1646">
        <v>11766.39</v>
      </c>
      <c r="E1646" t="s">
        <v>4</v>
      </c>
      <c r="F1646" t="s">
        <v>46</v>
      </c>
      <c r="G1646" t="s">
        <v>8</v>
      </c>
    </row>
    <row r="1647" spans="1:7" x14ac:dyDescent="0.3">
      <c r="A1647" t="s">
        <v>31</v>
      </c>
      <c r="B1647" s="1">
        <v>45930</v>
      </c>
      <c r="C1647">
        <v>354014</v>
      </c>
      <c r="D1647">
        <v>66027.357999999993</v>
      </c>
      <c r="E1647" t="s">
        <v>4</v>
      </c>
      <c r="F1647" t="s">
        <v>46</v>
      </c>
      <c r="G1647" t="s">
        <v>8</v>
      </c>
    </row>
    <row r="1648" spans="1:7" x14ac:dyDescent="0.3">
      <c r="A1648" t="s">
        <v>31</v>
      </c>
      <c r="B1648" s="1">
        <v>45930</v>
      </c>
      <c r="C1648">
        <v>355016</v>
      </c>
      <c r="D1648">
        <v>973.45299999999997</v>
      </c>
      <c r="E1648" t="s">
        <v>4</v>
      </c>
      <c r="F1648" t="s">
        <v>49</v>
      </c>
      <c r="G1648" t="s">
        <v>8</v>
      </c>
    </row>
    <row r="1649" spans="1:7" x14ac:dyDescent="0.3">
      <c r="A1649" t="s">
        <v>31</v>
      </c>
      <c r="B1649" s="1">
        <v>45930</v>
      </c>
      <c r="C1649">
        <v>355017</v>
      </c>
      <c r="D1649">
        <v>812.88099999999997</v>
      </c>
      <c r="E1649" t="s">
        <v>4</v>
      </c>
      <c r="F1649" t="s">
        <v>49</v>
      </c>
      <c r="G1649" t="s">
        <v>8</v>
      </c>
    </row>
    <row r="1650" spans="1:7" x14ac:dyDescent="0.3">
      <c r="A1650" t="s">
        <v>31</v>
      </c>
      <c r="B1650" s="1">
        <v>45930</v>
      </c>
      <c r="C1650">
        <v>355018</v>
      </c>
      <c r="D1650">
        <v>82.004000000000005</v>
      </c>
      <c r="E1650" t="s">
        <v>4</v>
      </c>
      <c r="F1650" t="s">
        <v>49</v>
      </c>
      <c r="G1650" t="s">
        <v>8</v>
      </c>
    </row>
    <row r="1651" spans="1:7" x14ac:dyDescent="0.3">
      <c r="A1651" t="s">
        <v>31</v>
      </c>
      <c r="B1651" s="1">
        <v>45930</v>
      </c>
      <c r="C1651">
        <v>360022</v>
      </c>
      <c r="D1651">
        <v>3764.895</v>
      </c>
      <c r="E1651" t="s">
        <v>4</v>
      </c>
      <c r="F1651" t="s">
        <v>58</v>
      </c>
      <c r="G1651" t="s">
        <v>8</v>
      </c>
    </row>
    <row r="1652" spans="1:7" x14ac:dyDescent="0.3">
      <c r="A1652" t="s">
        <v>31</v>
      </c>
      <c r="B1652" s="1">
        <v>45930</v>
      </c>
      <c r="C1652">
        <v>360032</v>
      </c>
      <c r="D1652">
        <v>12904.707</v>
      </c>
      <c r="E1652" t="s">
        <v>4</v>
      </c>
      <c r="F1652" t="s">
        <v>58</v>
      </c>
      <c r="G1652" t="s">
        <v>8</v>
      </c>
    </row>
    <row r="1653" spans="1:7" x14ac:dyDescent="0.3">
      <c r="A1653" t="s">
        <v>31</v>
      </c>
      <c r="B1653" s="1">
        <v>45930</v>
      </c>
      <c r="C1653">
        <v>372004</v>
      </c>
      <c r="D1653">
        <v>1721.796</v>
      </c>
      <c r="E1653" t="s">
        <v>4</v>
      </c>
      <c r="F1653" t="s">
        <v>45</v>
      </c>
      <c r="G1653" t="s">
        <v>8</v>
      </c>
    </row>
    <row r="1654" spans="1:7" x14ac:dyDescent="0.3">
      <c r="A1654" t="s">
        <v>31</v>
      </c>
      <c r="B1654" s="1">
        <v>45930</v>
      </c>
      <c r="C1654">
        <v>400002</v>
      </c>
      <c r="D1654">
        <v>-13252.12</v>
      </c>
      <c r="E1654" t="s">
        <v>6</v>
      </c>
      <c r="F1654" t="s">
        <v>50</v>
      </c>
      <c r="G1654" t="s">
        <v>8</v>
      </c>
    </row>
    <row r="1655" spans="1:7" x14ac:dyDescent="0.3">
      <c r="A1655" t="s">
        <v>31</v>
      </c>
      <c r="B1655" s="1">
        <v>45930</v>
      </c>
      <c r="C1655">
        <v>400004</v>
      </c>
      <c r="D1655">
        <v>-66167.578999999998</v>
      </c>
      <c r="E1655" t="s">
        <v>6</v>
      </c>
      <c r="F1655" t="s">
        <v>50</v>
      </c>
      <c r="G1655" t="s">
        <v>8</v>
      </c>
    </row>
    <row r="1656" spans="1:7" x14ac:dyDescent="0.3">
      <c r="A1656" t="s">
        <v>31</v>
      </c>
      <c r="B1656" s="1">
        <v>45930</v>
      </c>
      <c r="C1656">
        <v>410002</v>
      </c>
      <c r="D1656">
        <v>-18965.057000000001</v>
      </c>
      <c r="E1656" t="s">
        <v>6</v>
      </c>
      <c r="F1656" t="s">
        <v>51</v>
      </c>
      <c r="G1656" t="s">
        <v>8</v>
      </c>
    </row>
    <row r="1657" spans="1:7" x14ac:dyDescent="0.3">
      <c r="A1657" t="s">
        <v>31</v>
      </c>
      <c r="B1657" s="1">
        <v>45930</v>
      </c>
      <c r="C1657">
        <v>410005</v>
      </c>
      <c r="D1657">
        <v>-1254.347</v>
      </c>
      <c r="E1657" t="s">
        <v>6</v>
      </c>
      <c r="F1657" t="s">
        <v>51</v>
      </c>
      <c r="G1657" t="s">
        <v>8</v>
      </c>
    </row>
    <row r="1658" spans="1:7" x14ac:dyDescent="0.3">
      <c r="A1658" t="s">
        <v>31</v>
      </c>
      <c r="B1658" s="1">
        <v>45930</v>
      </c>
      <c r="C1658">
        <v>410006</v>
      </c>
      <c r="D1658">
        <v>-1410.201</v>
      </c>
      <c r="E1658" t="s">
        <v>6</v>
      </c>
      <c r="F1658" t="s">
        <v>51</v>
      </c>
      <c r="G1658" t="s">
        <v>8</v>
      </c>
    </row>
    <row r="1659" spans="1:7" x14ac:dyDescent="0.3">
      <c r="A1659" t="s">
        <v>31</v>
      </c>
      <c r="B1659" s="1">
        <v>45930</v>
      </c>
      <c r="C1659">
        <v>410009</v>
      </c>
      <c r="D1659">
        <v>-260.78100000000001</v>
      </c>
      <c r="E1659" t="s">
        <v>6</v>
      </c>
      <c r="F1659" t="s">
        <v>51</v>
      </c>
      <c r="G1659" t="s">
        <v>8</v>
      </c>
    </row>
    <row r="1660" spans="1:7" x14ac:dyDescent="0.3">
      <c r="A1660" t="s">
        <v>31</v>
      </c>
      <c r="B1660" s="1">
        <v>45930</v>
      </c>
      <c r="C1660">
        <v>410032</v>
      </c>
      <c r="D1660">
        <v>-34529.584000000003</v>
      </c>
      <c r="E1660" t="s">
        <v>6</v>
      </c>
      <c r="F1660" t="s">
        <v>51</v>
      </c>
      <c r="G1660" t="s">
        <v>8</v>
      </c>
    </row>
    <row r="1661" spans="1:7" x14ac:dyDescent="0.3">
      <c r="A1661" t="s">
        <v>31</v>
      </c>
      <c r="B1661" s="1">
        <v>45930</v>
      </c>
      <c r="C1661">
        <v>410036</v>
      </c>
      <c r="D1661">
        <v>-750.851</v>
      </c>
      <c r="E1661" t="s">
        <v>6</v>
      </c>
      <c r="F1661" t="s">
        <v>51</v>
      </c>
      <c r="G1661" t="s">
        <v>8</v>
      </c>
    </row>
    <row r="1662" spans="1:7" x14ac:dyDescent="0.3">
      <c r="A1662" t="s">
        <v>31</v>
      </c>
      <c r="B1662" s="1">
        <v>45930</v>
      </c>
      <c r="C1662">
        <v>410037</v>
      </c>
      <c r="D1662">
        <v>-30456.035</v>
      </c>
      <c r="E1662" t="s">
        <v>6</v>
      </c>
      <c r="F1662" t="s">
        <v>51</v>
      </c>
      <c r="G1662" t="s">
        <v>8</v>
      </c>
    </row>
    <row r="1663" spans="1:7" x14ac:dyDescent="0.3">
      <c r="A1663" t="s">
        <v>31</v>
      </c>
      <c r="B1663" s="1">
        <v>45930</v>
      </c>
      <c r="C1663">
        <v>410040</v>
      </c>
      <c r="D1663">
        <v>-323.45100000000002</v>
      </c>
      <c r="E1663" t="s">
        <v>6</v>
      </c>
      <c r="F1663" t="s">
        <v>51</v>
      </c>
      <c r="G1663" t="s">
        <v>8</v>
      </c>
    </row>
    <row r="1664" spans="1:7" x14ac:dyDescent="0.3">
      <c r="A1664" t="s">
        <v>31</v>
      </c>
      <c r="B1664" s="1">
        <v>45930</v>
      </c>
      <c r="C1664">
        <v>415002</v>
      </c>
      <c r="D1664">
        <v>-146335.734</v>
      </c>
      <c r="E1664" t="s">
        <v>6</v>
      </c>
      <c r="F1664" t="s">
        <v>50</v>
      </c>
      <c r="G1664" t="s">
        <v>8</v>
      </c>
    </row>
    <row r="1665" spans="1:7" x14ac:dyDescent="0.3">
      <c r="A1665" t="s">
        <v>31</v>
      </c>
      <c r="B1665" s="1">
        <v>45930</v>
      </c>
      <c r="C1665">
        <v>415004</v>
      </c>
      <c r="D1665">
        <v>-481004.58899999998</v>
      </c>
      <c r="E1665" t="s">
        <v>6</v>
      </c>
      <c r="F1665" t="s">
        <v>50</v>
      </c>
      <c r="G1665" t="s">
        <v>8</v>
      </c>
    </row>
    <row r="1666" spans="1:7" x14ac:dyDescent="0.3">
      <c r="A1666" t="s">
        <v>31</v>
      </c>
      <c r="B1666" s="1">
        <v>45930</v>
      </c>
      <c r="C1666">
        <v>418003</v>
      </c>
      <c r="D1666">
        <v>48.198999999999998</v>
      </c>
      <c r="E1666" t="s">
        <v>6</v>
      </c>
      <c r="F1666" t="s">
        <v>51</v>
      </c>
      <c r="G1666" t="s">
        <v>8</v>
      </c>
    </row>
    <row r="1667" spans="1:7" x14ac:dyDescent="0.3">
      <c r="A1667" t="s">
        <v>31</v>
      </c>
      <c r="B1667" s="1">
        <v>45930</v>
      </c>
      <c r="C1667">
        <v>421002</v>
      </c>
      <c r="D1667">
        <v>-14481.249</v>
      </c>
      <c r="E1667" t="s">
        <v>6</v>
      </c>
      <c r="F1667" t="s">
        <v>52</v>
      </c>
      <c r="G1667" t="s">
        <v>8</v>
      </c>
    </row>
    <row r="1668" spans="1:7" x14ac:dyDescent="0.3">
      <c r="A1668" t="s">
        <v>31</v>
      </c>
      <c r="B1668" s="1">
        <v>45930</v>
      </c>
      <c r="C1668">
        <v>421003</v>
      </c>
      <c r="D1668">
        <v>16147.406999999999</v>
      </c>
      <c r="E1668" t="s">
        <v>6</v>
      </c>
      <c r="F1668" t="s">
        <v>52</v>
      </c>
      <c r="G1668" t="s">
        <v>8</v>
      </c>
    </row>
    <row r="1669" spans="1:7" x14ac:dyDescent="0.3">
      <c r="A1669" t="s">
        <v>31</v>
      </c>
      <c r="B1669" s="1">
        <v>45930</v>
      </c>
      <c r="C1669">
        <v>421004</v>
      </c>
      <c r="D1669">
        <v>-21411.394</v>
      </c>
      <c r="E1669" t="s">
        <v>6</v>
      </c>
      <c r="F1669" t="s">
        <v>52</v>
      </c>
      <c r="G1669" t="s">
        <v>8</v>
      </c>
    </row>
    <row r="1670" spans="1:7" x14ac:dyDescent="0.3">
      <c r="A1670" t="s">
        <v>31</v>
      </c>
      <c r="B1670" s="1">
        <v>45930</v>
      </c>
      <c r="C1670">
        <v>421007</v>
      </c>
      <c r="D1670">
        <v>-1314.87</v>
      </c>
      <c r="E1670" t="s">
        <v>6</v>
      </c>
      <c r="F1670" t="s">
        <v>52</v>
      </c>
      <c r="G1670" t="s">
        <v>8</v>
      </c>
    </row>
    <row r="1671" spans="1:7" x14ac:dyDescent="0.3">
      <c r="A1671" t="s">
        <v>31</v>
      </c>
      <c r="B1671" s="1">
        <v>45930</v>
      </c>
      <c r="C1671">
        <v>510002</v>
      </c>
      <c r="D1671">
        <v>63768.010999999999</v>
      </c>
      <c r="E1671" t="s">
        <v>6</v>
      </c>
      <c r="F1671" t="s">
        <v>53</v>
      </c>
      <c r="G1671" t="s">
        <v>8</v>
      </c>
    </row>
    <row r="1672" spans="1:7" x14ac:dyDescent="0.3">
      <c r="A1672" t="s">
        <v>31</v>
      </c>
      <c r="B1672" s="1">
        <v>45930</v>
      </c>
      <c r="C1672">
        <v>510005</v>
      </c>
      <c r="D1672">
        <v>2670.953</v>
      </c>
      <c r="E1672" t="s">
        <v>6</v>
      </c>
      <c r="F1672" t="s">
        <v>53</v>
      </c>
      <c r="G1672" t="s">
        <v>8</v>
      </c>
    </row>
    <row r="1673" spans="1:7" x14ac:dyDescent="0.3">
      <c r="A1673" t="s">
        <v>31</v>
      </c>
      <c r="B1673" s="1">
        <v>45930</v>
      </c>
      <c r="C1673">
        <v>510007</v>
      </c>
      <c r="D1673">
        <v>10391.727000000001</v>
      </c>
      <c r="E1673" t="s">
        <v>6</v>
      </c>
      <c r="F1673" t="s">
        <v>53</v>
      </c>
      <c r="G1673" t="s">
        <v>8</v>
      </c>
    </row>
    <row r="1674" spans="1:7" x14ac:dyDescent="0.3">
      <c r="A1674" t="s">
        <v>31</v>
      </c>
      <c r="B1674" s="1">
        <v>45930</v>
      </c>
      <c r="C1674">
        <v>510012</v>
      </c>
      <c r="D1674">
        <v>4861.0290000000005</v>
      </c>
      <c r="E1674" t="s">
        <v>6</v>
      </c>
      <c r="F1674" t="s">
        <v>53</v>
      </c>
      <c r="G1674" t="s">
        <v>8</v>
      </c>
    </row>
    <row r="1675" spans="1:7" x14ac:dyDescent="0.3">
      <c r="A1675" t="s">
        <v>31</v>
      </c>
      <c r="B1675" s="1">
        <v>45930</v>
      </c>
      <c r="C1675">
        <v>510018</v>
      </c>
      <c r="D1675">
        <v>1003.325</v>
      </c>
      <c r="E1675" t="s">
        <v>6</v>
      </c>
      <c r="F1675" t="s">
        <v>53</v>
      </c>
      <c r="G1675" t="s">
        <v>8</v>
      </c>
    </row>
    <row r="1676" spans="1:7" x14ac:dyDescent="0.3">
      <c r="A1676" t="s">
        <v>31</v>
      </c>
      <c r="B1676" s="1">
        <v>45930</v>
      </c>
      <c r="C1676">
        <v>510059</v>
      </c>
      <c r="D1676">
        <v>3052.6709999999998</v>
      </c>
      <c r="E1676" t="s">
        <v>6</v>
      </c>
      <c r="F1676" t="s">
        <v>53</v>
      </c>
      <c r="G1676" t="s">
        <v>8</v>
      </c>
    </row>
    <row r="1677" spans="1:7" x14ac:dyDescent="0.3">
      <c r="A1677" t="s">
        <v>31</v>
      </c>
      <c r="B1677" s="1">
        <v>45930</v>
      </c>
      <c r="C1677">
        <v>510060</v>
      </c>
      <c r="D1677">
        <v>1139.4069999999999</v>
      </c>
      <c r="E1677" t="s">
        <v>6</v>
      </c>
      <c r="F1677" t="s">
        <v>53</v>
      </c>
      <c r="G1677" t="s">
        <v>8</v>
      </c>
    </row>
    <row r="1678" spans="1:7" x14ac:dyDescent="0.3">
      <c r="A1678" t="s">
        <v>31</v>
      </c>
      <c r="B1678" s="1">
        <v>45930</v>
      </c>
      <c r="C1678">
        <v>510062</v>
      </c>
      <c r="D1678">
        <v>14321.412</v>
      </c>
      <c r="E1678" t="s">
        <v>6</v>
      </c>
      <c r="F1678" t="s">
        <v>53</v>
      </c>
      <c r="G1678" t="s">
        <v>8</v>
      </c>
    </row>
    <row r="1679" spans="1:7" x14ac:dyDescent="0.3">
      <c r="A1679" t="s">
        <v>31</v>
      </c>
      <c r="B1679" s="1">
        <v>45930</v>
      </c>
      <c r="C1679">
        <v>510064</v>
      </c>
      <c r="D1679">
        <v>2142.8020000000001</v>
      </c>
      <c r="E1679" t="s">
        <v>6</v>
      </c>
      <c r="F1679" t="s">
        <v>53</v>
      </c>
      <c r="G1679" t="s">
        <v>8</v>
      </c>
    </row>
    <row r="1680" spans="1:7" x14ac:dyDescent="0.3">
      <c r="A1680" t="s">
        <v>31</v>
      </c>
      <c r="B1680" s="1">
        <v>45930</v>
      </c>
      <c r="C1680">
        <v>510065</v>
      </c>
      <c r="D1680">
        <v>1216.759</v>
      </c>
      <c r="E1680" t="s">
        <v>6</v>
      </c>
      <c r="F1680" t="s">
        <v>53</v>
      </c>
      <c r="G1680" t="s">
        <v>8</v>
      </c>
    </row>
    <row r="1681" spans="1:7" x14ac:dyDescent="0.3">
      <c r="A1681" t="s">
        <v>31</v>
      </c>
      <c r="B1681" s="1">
        <v>45930</v>
      </c>
      <c r="C1681">
        <v>520011</v>
      </c>
      <c r="D1681">
        <v>33498.798000000003</v>
      </c>
      <c r="E1681" t="s">
        <v>6</v>
      </c>
      <c r="F1681" t="s">
        <v>53</v>
      </c>
      <c r="G1681" t="s">
        <v>8</v>
      </c>
    </row>
    <row r="1682" spans="1:7" x14ac:dyDescent="0.3">
      <c r="A1682" t="s">
        <v>31</v>
      </c>
      <c r="B1682" s="1">
        <v>45930</v>
      </c>
      <c r="C1682">
        <v>520020</v>
      </c>
      <c r="D1682">
        <v>-961.65599999999995</v>
      </c>
      <c r="E1682" t="s">
        <v>6</v>
      </c>
      <c r="F1682" t="s">
        <v>53</v>
      </c>
      <c r="G1682" t="s">
        <v>8</v>
      </c>
    </row>
    <row r="1683" spans="1:7" x14ac:dyDescent="0.3">
      <c r="A1683" t="s">
        <v>31</v>
      </c>
      <c r="B1683" s="1">
        <v>45930</v>
      </c>
      <c r="C1683">
        <v>520021</v>
      </c>
      <c r="D1683">
        <v>133.57499999999999</v>
      </c>
      <c r="E1683" t="s">
        <v>6</v>
      </c>
      <c r="F1683" t="s">
        <v>60</v>
      </c>
      <c r="G1683" t="s">
        <v>8</v>
      </c>
    </row>
    <row r="1684" spans="1:7" x14ac:dyDescent="0.3">
      <c r="A1684" t="s">
        <v>31</v>
      </c>
      <c r="B1684" s="1">
        <v>45930</v>
      </c>
      <c r="C1684">
        <v>530012</v>
      </c>
      <c r="D1684">
        <v>7638.0429999999997</v>
      </c>
      <c r="E1684" t="s">
        <v>6</v>
      </c>
      <c r="F1684" t="s">
        <v>53</v>
      </c>
      <c r="G1684" t="s">
        <v>8</v>
      </c>
    </row>
    <row r="1685" spans="1:7" x14ac:dyDescent="0.3">
      <c r="A1685" t="s">
        <v>31</v>
      </c>
      <c r="B1685" s="1">
        <v>45930</v>
      </c>
      <c r="C1685">
        <v>541004</v>
      </c>
      <c r="D1685">
        <v>825.55200000000002</v>
      </c>
      <c r="E1685" t="s">
        <v>6</v>
      </c>
      <c r="F1685" t="s">
        <v>61</v>
      </c>
      <c r="G1685" t="s">
        <v>8</v>
      </c>
    </row>
    <row r="1686" spans="1:7" x14ac:dyDescent="0.3">
      <c r="A1686" t="s">
        <v>31</v>
      </c>
      <c r="B1686" s="1">
        <v>45930</v>
      </c>
      <c r="C1686">
        <v>541008</v>
      </c>
      <c r="D1686">
        <v>2682.7269999999999</v>
      </c>
      <c r="E1686" t="s">
        <v>6</v>
      </c>
      <c r="F1686" t="s">
        <v>61</v>
      </c>
      <c r="G1686" t="s">
        <v>8</v>
      </c>
    </row>
    <row r="1687" spans="1:7" x14ac:dyDescent="0.3">
      <c r="A1687" t="s">
        <v>31</v>
      </c>
      <c r="B1687" s="1">
        <v>45930</v>
      </c>
      <c r="C1687">
        <v>541009</v>
      </c>
      <c r="D1687">
        <v>944.38599999999997</v>
      </c>
      <c r="E1687" t="s">
        <v>6</v>
      </c>
      <c r="F1687" t="s">
        <v>61</v>
      </c>
      <c r="G1687" t="s">
        <v>8</v>
      </c>
    </row>
    <row r="1688" spans="1:7" x14ac:dyDescent="0.3">
      <c r="A1688" t="s">
        <v>31</v>
      </c>
      <c r="B1688" s="1">
        <v>45930</v>
      </c>
      <c r="C1688">
        <v>541010</v>
      </c>
      <c r="D1688">
        <v>6620.25</v>
      </c>
      <c r="E1688" t="s">
        <v>6</v>
      </c>
      <c r="F1688" t="s">
        <v>61</v>
      </c>
      <c r="G1688" t="s">
        <v>8</v>
      </c>
    </row>
    <row r="1689" spans="1:7" x14ac:dyDescent="0.3">
      <c r="A1689" t="s">
        <v>31</v>
      </c>
      <c r="B1689" s="1">
        <v>45930</v>
      </c>
      <c r="C1689">
        <v>541012</v>
      </c>
      <c r="D1689">
        <v>275.42599999999999</v>
      </c>
      <c r="E1689" t="s">
        <v>6</v>
      </c>
      <c r="F1689" t="s">
        <v>61</v>
      </c>
      <c r="G1689" t="s">
        <v>8</v>
      </c>
    </row>
    <row r="1690" spans="1:7" x14ac:dyDescent="0.3">
      <c r="A1690" t="s">
        <v>31</v>
      </c>
      <c r="B1690" s="1">
        <v>45930</v>
      </c>
      <c r="C1690">
        <v>541013</v>
      </c>
      <c r="D1690">
        <v>56.628999999999998</v>
      </c>
      <c r="E1690" t="s">
        <v>6</v>
      </c>
      <c r="F1690" t="s">
        <v>61</v>
      </c>
      <c r="G1690" t="s">
        <v>8</v>
      </c>
    </row>
    <row r="1691" spans="1:7" x14ac:dyDescent="0.3">
      <c r="A1691" t="s">
        <v>31</v>
      </c>
      <c r="B1691" s="1">
        <v>45930</v>
      </c>
      <c r="C1691">
        <v>544003</v>
      </c>
      <c r="D1691">
        <v>51.581000000000003</v>
      </c>
      <c r="E1691" t="s">
        <v>6</v>
      </c>
      <c r="F1691" t="s">
        <v>61</v>
      </c>
      <c r="G1691" t="s">
        <v>8</v>
      </c>
    </row>
    <row r="1692" spans="1:7" x14ac:dyDescent="0.3">
      <c r="A1692" t="s">
        <v>31</v>
      </c>
      <c r="B1692" s="1">
        <v>45930</v>
      </c>
      <c r="C1692">
        <v>544006</v>
      </c>
      <c r="D1692">
        <v>466.91399999999999</v>
      </c>
      <c r="E1692" t="s">
        <v>6</v>
      </c>
      <c r="F1692" t="s">
        <v>61</v>
      </c>
      <c r="G1692" t="s">
        <v>8</v>
      </c>
    </row>
    <row r="1693" spans="1:7" x14ac:dyDescent="0.3">
      <c r="A1693" t="s">
        <v>31</v>
      </c>
      <c r="B1693" s="1">
        <v>45930</v>
      </c>
      <c r="C1693">
        <v>546002</v>
      </c>
      <c r="D1693">
        <v>481511.51199999999</v>
      </c>
      <c r="E1693" t="s">
        <v>6</v>
      </c>
      <c r="F1693" t="s">
        <v>51</v>
      </c>
      <c r="G1693" t="s">
        <v>8</v>
      </c>
    </row>
    <row r="1694" spans="1:7" x14ac:dyDescent="0.3">
      <c r="A1694" t="s">
        <v>31</v>
      </c>
      <c r="B1694" s="1">
        <v>45930</v>
      </c>
      <c r="C1694">
        <v>546008</v>
      </c>
      <c r="D1694">
        <v>10.986000000000001</v>
      </c>
      <c r="E1694" t="s">
        <v>6</v>
      </c>
      <c r="F1694" t="s">
        <v>51</v>
      </c>
      <c r="G1694" t="s">
        <v>8</v>
      </c>
    </row>
    <row r="1695" spans="1:7" x14ac:dyDescent="0.3">
      <c r="A1695" t="s">
        <v>31</v>
      </c>
      <c r="B1695" s="1">
        <v>45930</v>
      </c>
      <c r="C1695">
        <v>546013</v>
      </c>
      <c r="D1695">
        <v>29359.867999999999</v>
      </c>
      <c r="E1695" t="s">
        <v>6</v>
      </c>
      <c r="F1695" t="s">
        <v>51</v>
      </c>
      <c r="G1695" t="s">
        <v>8</v>
      </c>
    </row>
    <row r="1696" spans="1:7" x14ac:dyDescent="0.3">
      <c r="A1696" t="s">
        <v>31</v>
      </c>
      <c r="B1696" s="1">
        <v>45930</v>
      </c>
      <c r="C1696">
        <v>546019</v>
      </c>
      <c r="D1696">
        <v>4639.8919999999998</v>
      </c>
      <c r="E1696" t="s">
        <v>6</v>
      </c>
      <c r="F1696" t="s">
        <v>51</v>
      </c>
      <c r="G1696" t="s">
        <v>8</v>
      </c>
    </row>
    <row r="1697" spans="1:7" x14ac:dyDescent="0.3">
      <c r="A1697" t="s">
        <v>31</v>
      </c>
      <c r="B1697" s="1">
        <v>45930</v>
      </c>
      <c r="C1697">
        <v>546035</v>
      </c>
      <c r="D1697">
        <v>30457.005000000001</v>
      </c>
      <c r="E1697" t="s">
        <v>6</v>
      </c>
      <c r="F1697" t="s">
        <v>51</v>
      </c>
      <c r="G1697" t="s">
        <v>8</v>
      </c>
    </row>
    <row r="1698" spans="1:7" x14ac:dyDescent="0.3">
      <c r="A1698" t="s">
        <v>31</v>
      </c>
      <c r="B1698" s="1">
        <v>45930</v>
      </c>
      <c r="C1698">
        <v>546040</v>
      </c>
      <c r="D1698">
        <v>8770.7890000000007</v>
      </c>
      <c r="E1698" t="s">
        <v>6</v>
      </c>
      <c r="F1698" t="s">
        <v>51</v>
      </c>
      <c r="G1698" t="s">
        <v>8</v>
      </c>
    </row>
    <row r="1699" spans="1:7" x14ac:dyDescent="0.3">
      <c r="A1699" t="s">
        <v>31</v>
      </c>
      <c r="B1699" s="1">
        <v>45930</v>
      </c>
      <c r="C1699">
        <v>546047</v>
      </c>
      <c r="D1699">
        <v>1061.1669999999999</v>
      </c>
      <c r="E1699" t="s">
        <v>6</v>
      </c>
      <c r="F1699" t="s">
        <v>51</v>
      </c>
      <c r="G1699" t="s">
        <v>8</v>
      </c>
    </row>
    <row r="1700" spans="1:7" x14ac:dyDescent="0.3">
      <c r="A1700" t="s">
        <v>31</v>
      </c>
      <c r="B1700" s="1">
        <v>45930</v>
      </c>
      <c r="C1700">
        <v>547002</v>
      </c>
      <c r="D1700">
        <v>8779.7790000000005</v>
      </c>
      <c r="E1700" t="s">
        <v>6</v>
      </c>
      <c r="F1700" t="s">
        <v>54</v>
      </c>
      <c r="G1700" t="s">
        <v>8</v>
      </c>
    </row>
    <row r="1701" spans="1:7" x14ac:dyDescent="0.3">
      <c r="A1701" t="s">
        <v>31</v>
      </c>
      <c r="B1701" s="1">
        <v>45930</v>
      </c>
      <c r="C1701">
        <v>547006</v>
      </c>
      <c r="D1701">
        <v>271.00700000000001</v>
      </c>
      <c r="E1701" t="s">
        <v>6</v>
      </c>
      <c r="F1701" t="s">
        <v>54</v>
      </c>
      <c r="G1701" t="s">
        <v>8</v>
      </c>
    </row>
    <row r="1702" spans="1:7" x14ac:dyDescent="0.3">
      <c r="A1702" t="s">
        <v>31</v>
      </c>
      <c r="B1702" s="1">
        <v>45930</v>
      </c>
      <c r="C1702">
        <v>547011</v>
      </c>
      <c r="D1702">
        <v>78.775999999999996</v>
      </c>
      <c r="E1702" t="s">
        <v>6</v>
      </c>
      <c r="F1702" t="s">
        <v>54</v>
      </c>
      <c r="G1702" t="s">
        <v>8</v>
      </c>
    </row>
    <row r="1703" spans="1:7" x14ac:dyDescent="0.3">
      <c r="A1703" t="s">
        <v>31</v>
      </c>
      <c r="B1703" s="1">
        <v>45930</v>
      </c>
      <c r="C1703">
        <v>551003</v>
      </c>
      <c r="D1703">
        <v>22415.456999999999</v>
      </c>
      <c r="E1703" t="s">
        <v>6</v>
      </c>
      <c r="F1703" t="s">
        <v>63</v>
      </c>
      <c r="G1703" t="s">
        <v>8</v>
      </c>
    </row>
    <row r="1704" spans="1:7" x14ac:dyDescent="0.3">
      <c r="A1704" t="s">
        <v>31</v>
      </c>
      <c r="B1704" s="1">
        <v>45930</v>
      </c>
      <c r="C1704">
        <v>551008</v>
      </c>
      <c r="D1704">
        <v>28.263999999999999</v>
      </c>
      <c r="E1704" t="s">
        <v>6</v>
      </c>
      <c r="F1704" t="s">
        <v>63</v>
      </c>
      <c r="G1704" t="s">
        <v>8</v>
      </c>
    </row>
    <row r="1705" spans="1:7" x14ac:dyDescent="0.3">
      <c r="A1705" t="s">
        <v>31</v>
      </c>
      <c r="B1705" s="1">
        <v>45930</v>
      </c>
      <c r="C1705">
        <v>552502</v>
      </c>
      <c r="D1705">
        <v>3244.3449999999998</v>
      </c>
      <c r="E1705" t="s">
        <v>6</v>
      </c>
      <c r="F1705" t="s">
        <v>55</v>
      </c>
      <c r="G1705" t="s">
        <v>8</v>
      </c>
    </row>
    <row r="1706" spans="1:7" x14ac:dyDescent="0.3">
      <c r="A1706" t="s">
        <v>31</v>
      </c>
      <c r="B1706" s="1">
        <v>45930</v>
      </c>
      <c r="C1706">
        <v>555007</v>
      </c>
      <c r="D1706">
        <v>745.34900000000005</v>
      </c>
      <c r="E1706" t="s">
        <v>6</v>
      </c>
      <c r="F1706" t="s">
        <v>55</v>
      </c>
      <c r="G1706" t="s">
        <v>8</v>
      </c>
    </row>
    <row r="1707" spans="1:7" x14ac:dyDescent="0.3">
      <c r="A1707" t="s">
        <v>31</v>
      </c>
      <c r="B1707" s="1">
        <v>45930</v>
      </c>
      <c r="C1707">
        <v>556002</v>
      </c>
      <c r="D1707">
        <v>534.60799999999995</v>
      </c>
      <c r="E1707" t="s">
        <v>6</v>
      </c>
      <c r="F1707" t="s">
        <v>60</v>
      </c>
      <c r="G1707" t="s">
        <v>8</v>
      </c>
    </row>
    <row r="1708" spans="1:7" x14ac:dyDescent="0.3">
      <c r="A1708" t="s">
        <v>31</v>
      </c>
      <c r="B1708" s="1">
        <v>45930</v>
      </c>
      <c r="C1708">
        <v>556004</v>
      </c>
      <c r="D1708">
        <v>76.760000000000005</v>
      </c>
      <c r="E1708" t="s">
        <v>6</v>
      </c>
      <c r="F1708" t="s">
        <v>55</v>
      </c>
      <c r="G1708" t="s">
        <v>8</v>
      </c>
    </row>
    <row r="1709" spans="1:7" x14ac:dyDescent="0.3">
      <c r="A1709" t="s">
        <v>31</v>
      </c>
      <c r="B1709" s="1">
        <v>45930</v>
      </c>
      <c r="C1709">
        <v>557002</v>
      </c>
      <c r="D1709">
        <v>2612.5949999999998</v>
      </c>
      <c r="E1709" t="s">
        <v>6</v>
      </c>
      <c r="F1709" t="s">
        <v>56</v>
      </c>
      <c r="G1709" t="s">
        <v>8</v>
      </c>
    </row>
    <row r="1710" spans="1:7" x14ac:dyDescent="0.3">
      <c r="A1710" t="s">
        <v>31</v>
      </c>
      <c r="B1710" s="1">
        <v>45930</v>
      </c>
      <c r="C1710">
        <v>558003</v>
      </c>
      <c r="D1710">
        <v>2945.7280000000001</v>
      </c>
      <c r="E1710" t="s">
        <v>6</v>
      </c>
      <c r="F1710" t="s">
        <v>57</v>
      </c>
      <c r="G1710" t="s">
        <v>8</v>
      </c>
    </row>
    <row r="1711" spans="1:7" x14ac:dyDescent="0.3">
      <c r="A1711" t="s">
        <v>31</v>
      </c>
      <c r="B1711" s="1">
        <v>45930</v>
      </c>
      <c r="C1711">
        <v>558006</v>
      </c>
      <c r="D1711">
        <v>-524.82399999999996</v>
      </c>
      <c r="E1711" t="s">
        <v>6</v>
      </c>
      <c r="F1711" t="s">
        <v>57</v>
      </c>
      <c r="G1711" t="s">
        <v>8</v>
      </c>
    </row>
    <row r="1712" spans="1:7" x14ac:dyDescent="0.3">
      <c r="A1712" t="s">
        <v>31</v>
      </c>
      <c r="B1712" s="1">
        <v>45930</v>
      </c>
      <c r="C1712">
        <v>558012</v>
      </c>
      <c r="D1712">
        <v>517.91</v>
      </c>
      <c r="E1712" t="s">
        <v>6</v>
      </c>
      <c r="F1712" t="s">
        <v>60</v>
      </c>
      <c r="G1712" t="s">
        <v>8</v>
      </c>
    </row>
    <row r="1713" spans="1:7" x14ac:dyDescent="0.3">
      <c r="A1713" t="s">
        <v>31</v>
      </c>
      <c r="B1713" s="1">
        <v>45930</v>
      </c>
      <c r="C1713">
        <v>559002</v>
      </c>
      <c r="D1713">
        <v>271.02199999999999</v>
      </c>
      <c r="E1713" t="s">
        <v>6</v>
      </c>
      <c r="F1713" t="s">
        <v>60</v>
      </c>
      <c r="G1713" t="s">
        <v>8</v>
      </c>
    </row>
    <row r="1714" spans="1:7" x14ac:dyDescent="0.3">
      <c r="A1714" t="s">
        <v>31</v>
      </c>
      <c r="B1714" s="1">
        <v>45930</v>
      </c>
      <c r="C1714">
        <v>560008</v>
      </c>
      <c r="D1714">
        <v>1081.2149999999999</v>
      </c>
      <c r="E1714" t="s">
        <v>6</v>
      </c>
      <c r="F1714" t="s">
        <v>56</v>
      </c>
      <c r="G1714" t="s">
        <v>8</v>
      </c>
    </row>
    <row r="1715" spans="1:7" x14ac:dyDescent="0.3">
      <c r="A1715" t="s">
        <v>31</v>
      </c>
      <c r="B1715" s="1">
        <v>45930</v>
      </c>
      <c r="C1715">
        <v>564004</v>
      </c>
      <c r="D1715">
        <v>8587.0910000000003</v>
      </c>
      <c r="E1715" t="s">
        <v>6</v>
      </c>
      <c r="F1715" t="s">
        <v>51</v>
      </c>
      <c r="G1715" t="s">
        <v>8</v>
      </c>
    </row>
    <row r="1716" spans="1:7" x14ac:dyDescent="0.3">
      <c r="A1716" t="s">
        <v>31</v>
      </c>
      <c r="B1716" s="1">
        <v>45930</v>
      </c>
      <c r="C1716">
        <v>564006</v>
      </c>
      <c r="D1716">
        <v>-4.3999999999999997E-2</v>
      </c>
      <c r="E1716" t="s">
        <v>6</v>
      </c>
      <c r="F1716" t="s">
        <v>57</v>
      </c>
      <c r="G1716" t="s">
        <v>8</v>
      </c>
    </row>
    <row r="1717" spans="1:7" x14ac:dyDescent="0.3">
      <c r="A1717" t="s">
        <v>31</v>
      </c>
      <c r="B1717" s="1">
        <v>45930</v>
      </c>
      <c r="C1717">
        <v>564020</v>
      </c>
      <c r="D1717">
        <v>129.208</v>
      </c>
      <c r="E1717" t="s">
        <v>6</v>
      </c>
      <c r="F1717" t="s">
        <v>57</v>
      </c>
      <c r="G1717" t="s">
        <v>8</v>
      </c>
    </row>
    <row r="1718" spans="1:7" x14ac:dyDescent="0.3">
      <c r="A1718" t="s">
        <v>31</v>
      </c>
      <c r="B1718" s="1">
        <v>45930</v>
      </c>
      <c r="C1718">
        <v>564021</v>
      </c>
      <c r="D1718">
        <v>8.6059999999999999</v>
      </c>
      <c r="E1718" t="s">
        <v>6</v>
      </c>
      <c r="F1718" t="s">
        <v>57</v>
      </c>
      <c r="G1718" t="s">
        <v>8</v>
      </c>
    </row>
    <row r="1719" spans="1:7" x14ac:dyDescent="0.3">
      <c r="A1719" t="s">
        <v>31</v>
      </c>
      <c r="B1719" s="1">
        <v>45930</v>
      </c>
      <c r="C1719">
        <v>570002</v>
      </c>
      <c r="D1719">
        <v>402.02800000000002</v>
      </c>
      <c r="E1719" t="s">
        <v>6</v>
      </c>
      <c r="F1719" t="s">
        <v>66</v>
      </c>
      <c r="G1719" t="s">
        <v>8</v>
      </c>
    </row>
    <row r="1720" spans="1:7" x14ac:dyDescent="0.3">
      <c r="A1720" t="s">
        <v>31</v>
      </c>
      <c r="B1720" s="1">
        <v>45930</v>
      </c>
      <c r="C1720">
        <v>580002</v>
      </c>
      <c r="D1720">
        <v>2412.8449999999998</v>
      </c>
      <c r="E1720" t="s">
        <v>6</v>
      </c>
      <c r="F1720" t="s">
        <v>64</v>
      </c>
      <c r="G1720" t="s">
        <v>8</v>
      </c>
    </row>
    <row r="1721" spans="1:7" x14ac:dyDescent="0.3">
      <c r="A1721" t="s">
        <v>32</v>
      </c>
      <c r="B1721" s="1">
        <v>45930</v>
      </c>
      <c r="C1721">
        <v>210002</v>
      </c>
      <c r="D1721">
        <v>-7023731.2630000003</v>
      </c>
      <c r="E1721" t="s">
        <v>4</v>
      </c>
      <c r="F1721" t="s">
        <v>42</v>
      </c>
      <c r="G1721" t="s">
        <v>7</v>
      </c>
    </row>
    <row r="1722" spans="1:7" x14ac:dyDescent="0.3">
      <c r="A1722" t="s">
        <v>32</v>
      </c>
      <c r="B1722" s="1">
        <v>45930</v>
      </c>
      <c r="C1722">
        <v>220003</v>
      </c>
      <c r="D1722">
        <v>4282242.3540000003</v>
      </c>
      <c r="E1722" t="s">
        <v>4</v>
      </c>
      <c r="F1722" t="s">
        <v>42</v>
      </c>
      <c r="G1722" t="s">
        <v>7</v>
      </c>
    </row>
    <row r="1723" spans="1:7" x14ac:dyDescent="0.3">
      <c r="A1723" t="s">
        <v>32</v>
      </c>
      <c r="B1723" s="1">
        <v>45930</v>
      </c>
      <c r="C1723">
        <v>220004</v>
      </c>
      <c r="D1723">
        <v>-4006.7269999999999</v>
      </c>
      <c r="E1723" t="s">
        <v>4</v>
      </c>
      <c r="F1723" t="s">
        <v>42</v>
      </c>
      <c r="G1723" t="s">
        <v>7</v>
      </c>
    </row>
    <row r="1724" spans="1:7" x14ac:dyDescent="0.3">
      <c r="A1724" t="s">
        <v>32</v>
      </c>
      <c r="B1724" s="1">
        <v>45930</v>
      </c>
      <c r="C1724">
        <v>220006</v>
      </c>
      <c r="D1724">
        <v>-7212639.1289999997</v>
      </c>
      <c r="E1724" t="s">
        <v>4</v>
      </c>
      <c r="F1724" t="s">
        <v>42</v>
      </c>
      <c r="G1724" t="s">
        <v>7</v>
      </c>
    </row>
    <row r="1725" spans="1:7" x14ac:dyDescent="0.3">
      <c r="A1725" t="s">
        <v>32</v>
      </c>
      <c r="B1725" s="1">
        <v>45930</v>
      </c>
      <c r="C1725">
        <v>234003</v>
      </c>
      <c r="D1725">
        <v>-207767.948</v>
      </c>
      <c r="E1725" t="s">
        <v>4</v>
      </c>
      <c r="F1725" t="s">
        <v>43</v>
      </c>
      <c r="G1725" t="s">
        <v>7</v>
      </c>
    </row>
    <row r="1726" spans="1:7" x14ac:dyDescent="0.3">
      <c r="A1726" t="s">
        <v>32</v>
      </c>
      <c r="B1726" s="1">
        <v>45930</v>
      </c>
      <c r="C1726">
        <v>240002</v>
      </c>
      <c r="D1726">
        <v>-34170.023999999998</v>
      </c>
      <c r="E1726" t="s">
        <v>4</v>
      </c>
      <c r="F1726" t="s">
        <v>43</v>
      </c>
      <c r="G1726" t="s">
        <v>7</v>
      </c>
    </row>
    <row r="1727" spans="1:7" x14ac:dyDescent="0.3">
      <c r="A1727" t="s">
        <v>32</v>
      </c>
      <c r="B1727" s="1">
        <v>45930</v>
      </c>
      <c r="C1727">
        <v>240009</v>
      </c>
      <c r="D1727">
        <v>-16500.942999999999</v>
      </c>
      <c r="E1727" t="s">
        <v>4</v>
      </c>
      <c r="F1727" t="s">
        <v>43</v>
      </c>
      <c r="G1727" t="s">
        <v>7</v>
      </c>
    </row>
    <row r="1728" spans="1:7" x14ac:dyDescent="0.3">
      <c r="A1728" t="s">
        <v>32</v>
      </c>
      <c r="B1728" s="1">
        <v>45930</v>
      </c>
      <c r="C1728">
        <v>242003</v>
      </c>
      <c r="D1728">
        <v>-1343336.3119999999</v>
      </c>
      <c r="E1728" t="s">
        <v>4</v>
      </c>
      <c r="F1728" t="s">
        <v>43</v>
      </c>
      <c r="G1728" t="s">
        <v>7</v>
      </c>
    </row>
    <row r="1729" spans="1:7" x14ac:dyDescent="0.3">
      <c r="A1729" t="s">
        <v>32</v>
      </c>
      <c r="B1729" s="1">
        <v>45930</v>
      </c>
      <c r="C1729">
        <v>242007</v>
      </c>
      <c r="D1729">
        <v>-27722.184000000001</v>
      </c>
      <c r="E1729" t="s">
        <v>4</v>
      </c>
      <c r="F1729" t="s">
        <v>43</v>
      </c>
      <c r="G1729" t="s">
        <v>7</v>
      </c>
    </row>
    <row r="1730" spans="1:7" x14ac:dyDescent="0.3">
      <c r="A1730" t="s">
        <v>32</v>
      </c>
      <c r="B1730" s="1">
        <v>45930</v>
      </c>
      <c r="C1730">
        <v>242012</v>
      </c>
      <c r="D1730">
        <v>-1383821.8149999999</v>
      </c>
      <c r="E1730" t="s">
        <v>4</v>
      </c>
      <c r="F1730" t="s">
        <v>43</v>
      </c>
      <c r="G1730" t="s">
        <v>7</v>
      </c>
    </row>
    <row r="1731" spans="1:7" x14ac:dyDescent="0.3">
      <c r="A1731" t="s">
        <v>32</v>
      </c>
      <c r="B1731" s="1">
        <v>45930</v>
      </c>
      <c r="C1731">
        <v>242013</v>
      </c>
      <c r="D1731">
        <v>-311072.61599999998</v>
      </c>
      <c r="E1731" t="s">
        <v>4</v>
      </c>
      <c r="F1731" t="s">
        <v>43</v>
      </c>
      <c r="G1731" t="s">
        <v>7</v>
      </c>
    </row>
    <row r="1732" spans="1:7" x14ac:dyDescent="0.3">
      <c r="A1732" t="s">
        <v>32</v>
      </c>
      <c r="B1732" s="1">
        <v>45930</v>
      </c>
      <c r="C1732">
        <v>242014</v>
      </c>
      <c r="D1732">
        <v>-324780.315</v>
      </c>
      <c r="E1732" t="s">
        <v>4</v>
      </c>
      <c r="F1732" t="s">
        <v>43</v>
      </c>
      <c r="G1732" t="s">
        <v>7</v>
      </c>
    </row>
    <row r="1733" spans="1:7" x14ac:dyDescent="0.3">
      <c r="A1733" t="s">
        <v>32</v>
      </c>
      <c r="B1733" s="1">
        <v>45930</v>
      </c>
      <c r="C1733">
        <v>242017</v>
      </c>
      <c r="D1733">
        <v>129336.91800000001</v>
      </c>
      <c r="E1733" t="s">
        <v>4</v>
      </c>
      <c r="F1733" t="s">
        <v>43</v>
      </c>
      <c r="G1733" t="s">
        <v>7</v>
      </c>
    </row>
    <row r="1734" spans="1:7" x14ac:dyDescent="0.3">
      <c r="A1734" t="s">
        <v>32</v>
      </c>
      <c r="B1734" s="1">
        <v>45930</v>
      </c>
      <c r="C1734">
        <v>242019</v>
      </c>
      <c r="D1734">
        <v>-1867.5719999999999</v>
      </c>
      <c r="E1734" t="s">
        <v>4</v>
      </c>
      <c r="F1734" t="s">
        <v>43</v>
      </c>
      <c r="G1734" t="s">
        <v>7</v>
      </c>
    </row>
    <row r="1735" spans="1:7" x14ac:dyDescent="0.3">
      <c r="A1735" t="s">
        <v>32</v>
      </c>
      <c r="B1735" s="1">
        <v>45930</v>
      </c>
      <c r="C1735">
        <v>242022</v>
      </c>
      <c r="D1735">
        <v>-13743.558999999999</v>
      </c>
      <c r="E1735" t="s">
        <v>4</v>
      </c>
      <c r="F1735" t="s">
        <v>43</v>
      </c>
      <c r="G1735" t="s">
        <v>7</v>
      </c>
    </row>
    <row r="1736" spans="1:7" x14ac:dyDescent="0.3">
      <c r="A1736" t="s">
        <v>32</v>
      </c>
      <c r="B1736" s="1">
        <v>45930</v>
      </c>
      <c r="C1736">
        <v>242023</v>
      </c>
      <c r="D1736">
        <v>-5179.8860000000004</v>
      </c>
      <c r="E1736" t="s">
        <v>4</v>
      </c>
      <c r="F1736" t="s">
        <v>43</v>
      </c>
      <c r="G1736" t="s">
        <v>7</v>
      </c>
    </row>
    <row r="1737" spans="1:7" x14ac:dyDescent="0.3">
      <c r="A1737" t="s">
        <v>32</v>
      </c>
      <c r="B1737" s="1">
        <v>45930</v>
      </c>
      <c r="C1737">
        <v>242027</v>
      </c>
      <c r="D1737">
        <v>-109480.91099999999</v>
      </c>
      <c r="E1737" t="s">
        <v>4</v>
      </c>
      <c r="F1737" t="s">
        <v>43</v>
      </c>
      <c r="G1737" t="s">
        <v>7</v>
      </c>
    </row>
    <row r="1738" spans="1:7" x14ac:dyDescent="0.3">
      <c r="A1738" t="s">
        <v>32</v>
      </c>
      <c r="B1738" s="1">
        <v>45930</v>
      </c>
      <c r="C1738">
        <v>242030</v>
      </c>
      <c r="D1738">
        <v>-305962.05599999998</v>
      </c>
      <c r="E1738" t="s">
        <v>4</v>
      </c>
      <c r="F1738" t="s">
        <v>43</v>
      </c>
      <c r="G1738" t="s">
        <v>7</v>
      </c>
    </row>
    <row r="1739" spans="1:7" x14ac:dyDescent="0.3">
      <c r="A1739" t="s">
        <v>32</v>
      </c>
      <c r="B1739" s="1">
        <v>45930</v>
      </c>
      <c r="C1739">
        <v>242032</v>
      </c>
      <c r="D1739">
        <v>-394.35199999999998</v>
      </c>
      <c r="E1739" t="s">
        <v>4</v>
      </c>
      <c r="F1739" t="s">
        <v>43</v>
      </c>
      <c r="G1739" t="s">
        <v>7</v>
      </c>
    </row>
    <row r="1740" spans="1:7" x14ac:dyDescent="0.3">
      <c r="A1740" t="s">
        <v>32</v>
      </c>
      <c r="B1740" s="1">
        <v>45930</v>
      </c>
      <c r="C1740">
        <v>242036</v>
      </c>
      <c r="D1740">
        <v>-24499.925999999999</v>
      </c>
      <c r="E1740" t="s">
        <v>4</v>
      </c>
      <c r="F1740" t="s">
        <v>43</v>
      </c>
      <c r="G1740" t="s">
        <v>7</v>
      </c>
    </row>
    <row r="1741" spans="1:7" x14ac:dyDescent="0.3">
      <c r="A1741" t="s">
        <v>32</v>
      </c>
      <c r="B1741" s="1">
        <v>45930</v>
      </c>
      <c r="C1741">
        <v>242037</v>
      </c>
      <c r="D1741">
        <v>20.664000000000001</v>
      </c>
      <c r="E1741" t="s">
        <v>4</v>
      </c>
      <c r="F1741" t="s">
        <v>43</v>
      </c>
      <c r="G1741" t="s">
        <v>7</v>
      </c>
    </row>
    <row r="1742" spans="1:7" x14ac:dyDescent="0.3">
      <c r="A1742" t="s">
        <v>32</v>
      </c>
      <c r="B1742" s="1">
        <v>45930</v>
      </c>
      <c r="C1742">
        <v>242038</v>
      </c>
      <c r="D1742">
        <v>-13362.304</v>
      </c>
      <c r="E1742" t="s">
        <v>4</v>
      </c>
      <c r="F1742" t="s">
        <v>43</v>
      </c>
      <c r="G1742" t="s">
        <v>7</v>
      </c>
    </row>
    <row r="1743" spans="1:7" x14ac:dyDescent="0.3">
      <c r="A1743" t="s">
        <v>32</v>
      </c>
      <c r="B1743" s="1">
        <v>45930</v>
      </c>
      <c r="C1743">
        <v>242039</v>
      </c>
      <c r="D1743">
        <v>-33285.084000000003</v>
      </c>
      <c r="E1743" t="s">
        <v>4</v>
      </c>
      <c r="F1743" t="s">
        <v>43</v>
      </c>
      <c r="G1743" t="s">
        <v>7</v>
      </c>
    </row>
    <row r="1744" spans="1:7" x14ac:dyDescent="0.3">
      <c r="A1744" t="s">
        <v>32</v>
      </c>
      <c r="B1744" s="1">
        <v>45930</v>
      </c>
      <c r="C1744">
        <v>242041</v>
      </c>
      <c r="D1744">
        <v>76149.399000000005</v>
      </c>
      <c r="E1744" t="s">
        <v>4</v>
      </c>
      <c r="F1744" t="s">
        <v>43</v>
      </c>
      <c r="G1744" t="s">
        <v>7</v>
      </c>
    </row>
    <row r="1745" spans="1:7" x14ac:dyDescent="0.3">
      <c r="A1745" t="s">
        <v>32</v>
      </c>
      <c r="B1745" s="1">
        <v>45930</v>
      </c>
      <c r="C1745">
        <v>242044</v>
      </c>
      <c r="D1745">
        <v>-30417.84</v>
      </c>
      <c r="E1745" t="s">
        <v>4</v>
      </c>
      <c r="F1745" t="s">
        <v>43</v>
      </c>
      <c r="G1745" t="s">
        <v>7</v>
      </c>
    </row>
    <row r="1746" spans="1:7" x14ac:dyDescent="0.3">
      <c r="A1746" t="s">
        <v>32</v>
      </c>
      <c r="B1746" s="1">
        <v>45930</v>
      </c>
      <c r="C1746">
        <v>243002</v>
      </c>
      <c r="D1746">
        <v>-173630.364</v>
      </c>
      <c r="E1746" t="s">
        <v>4</v>
      </c>
      <c r="F1746" t="s">
        <v>43</v>
      </c>
      <c r="G1746" t="s">
        <v>7</v>
      </c>
    </row>
    <row r="1747" spans="1:7" x14ac:dyDescent="0.3">
      <c r="A1747" t="s">
        <v>32</v>
      </c>
      <c r="B1747" s="1">
        <v>45930</v>
      </c>
      <c r="C1747">
        <v>243003</v>
      </c>
      <c r="D1747">
        <v>-403469.25</v>
      </c>
      <c r="E1747" t="s">
        <v>4</v>
      </c>
      <c r="F1747" t="s">
        <v>43</v>
      </c>
      <c r="G1747" t="s">
        <v>7</v>
      </c>
    </row>
    <row r="1748" spans="1:7" x14ac:dyDescent="0.3">
      <c r="A1748" t="s">
        <v>32</v>
      </c>
      <c r="B1748" s="1">
        <v>45930</v>
      </c>
      <c r="C1748">
        <v>243009</v>
      </c>
      <c r="D1748">
        <v>-1547.973</v>
      </c>
      <c r="E1748" t="s">
        <v>4</v>
      </c>
      <c r="F1748" t="s">
        <v>43</v>
      </c>
      <c r="G1748" t="s">
        <v>7</v>
      </c>
    </row>
    <row r="1749" spans="1:7" x14ac:dyDescent="0.3">
      <c r="A1749" t="s">
        <v>32</v>
      </c>
      <c r="B1749" s="1">
        <v>45930</v>
      </c>
      <c r="C1749">
        <v>245010</v>
      </c>
      <c r="D1749">
        <v>-178460.981</v>
      </c>
      <c r="E1749" t="s">
        <v>4</v>
      </c>
      <c r="F1749" t="s">
        <v>44</v>
      </c>
      <c r="G1749" t="s">
        <v>7</v>
      </c>
    </row>
    <row r="1750" spans="1:7" x14ac:dyDescent="0.3">
      <c r="A1750" t="s">
        <v>32</v>
      </c>
      <c r="B1750" s="1">
        <v>45930</v>
      </c>
      <c r="C1750">
        <v>245018</v>
      </c>
      <c r="D1750">
        <v>-30076.659</v>
      </c>
      <c r="E1750" t="s">
        <v>4</v>
      </c>
      <c r="F1750" t="s">
        <v>43</v>
      </c>
      <c r="G1750" t="s">
        <v>7</v>
      </c>
    </row>
    <row r="1751" spans="1:7" x14ac:dyDescent="0.3">
      <c r="A1751" t="s">
        <v>32</v>
      </c>
      <c r="B1751" s="1">
        <v>45930</v>
      </c>
      <c r="C1751">
        <v>245056</v>
      </c>
      <c r="D1751">
        <v>-6492.5609999999997</v>
      </c>
      <c r="E1751" t="s">
        <v>4</v>
      </c>
      <c r="F1751" t="s">
        <v>49</v>
      </c>
      <c r="G1751" t="s">
        <v>7</v>
      </c>
    </row>
    <row r="1752" spans="1:7" x14ac:dyDescent="0.3">
      <c r="A1752" t="s">
        <v>32</v>
      </c>
      <c r="B1752" s="1">
        <v>45930</v>
      </c>
      <c r="C1752">
        <v>245062</v>
      </c>
      <c r="D1752">
        <v>-149120.67300000001</v>
      </c>
      <c r="E1752" t="s">
        <v>4</v>
      </c>
      <c r="F1752" t="s">
        <v>43</v>
      </c>
      <c r="G1752" t="s">
        <v>7</v>
      </c>
    </row>
    <row r="1753" spans="1:7" x14ac:dyDescent="0.3">
      <c r="A1753" t="s">
        <v>32</v>
      </c>
      <c r="B1753" s="1">
        <v>45930</v>
      </c>
      <c r="C1753">
        <v>250003</v>
      </c>
      <c r="D1753">
        <v>-62146.819000000003</v>
      </c>
      <c r="E1753" t="s">
        <v>4</v>
      </c>
      <c r="F1753" t="s">
        <v>45</v>
      </c>
      <c r="G1753" t="s">
        <v>7</v>
      </c>
    </row>
    <row r="1754" spans="1:7" x14ac:dyDescent="0.3">
      <c r="A1754" t="s">
        <v>32</v>
      </c>
      <c r="B1754" s="1">
        <v>45930</v>
      </c>
      <c r="C1754">
        <v>250007</v>
      </c>
      <c r="D1754">
        <v>-116154.872</v>
      </c>
      <c r="E1754" t="s">
        <v>4</v>
      </c>
      <c r="F1754" t="s">
        <v>43</v>
      </c>
      <c r="G1754" t="s">
        <v>7</v>
      </c>
    </row>
    <row r="1755" spans="1:7" x14ac:dyDescent="0.3">
      <c r="A1755" t="s">
        <v>32</v>
      </c>
      <c r="B1755" s="1">
        <v>45930</v>
      </c>
      <c r="C1755">
        <v>250009</v>
      </c>
      <c r="D1755">
        <v>-1127.885</v>
      </c>
      <c r="E1755" t="s">
        <v>4</v>
      </c>
      <c r="F1755" t="s">
        <v>43</v>
      </c>
      <c r="G1755" t="s">
        <v>7</v>
      </c>
    </row>
    <row r="1756" spans="1:7" x14ac:dyDescent="0.3">
      <c r="A1756" t="s">
        <v>32</v>
      </c>
      <c r="B1756" s="1">
        <v>45930</v>
      </c>
      <c r="C1756">
        <v>251002</v>
      </c>
      <c r="D1756">
        <v>-26450.261999999999</v>
      </c>
      <c r="E1756" t="s">
        <v>4</v>
      </c>
      <c r="F1756" t="s">
        <v>45</v>
      </c>
      <c r="G1756" t="s">
        <v>7</v>
      </c>
    </row>
    <row r="1757" spans="1:7" x14ac:dyDescent="0.3">
      <c r="A1757" t="s">
        <v>32</v>
      </c>
      <c r="B1757" s="1">
        <v>45930</v>
      </c>
      <c r="C1757">
        <v>251003</v>
      </c>
      <c r="D1757">
        <v>-519316.74099999998</v>
      </c>
      <c r="E1757" t="s">
        <v>4</v>
      </c>
      <c r="F1757" t="s">
        <v>45</v>
      </c>
      <c r="G1757" t="s">
        <v>7</v>
      </c>
    </row>
    <row r="1758" spans="1:7" x14ac:dyDescent="0.3">
      <c r="A1758" t="s">
        <v>32</v>
      </c>
      <c r="B1758" s="1">
        <v>45930</v>
      </c>
      <c r="C1758">
        <v>251005</v>
      </c>
      <c r="D1758">
        <v>411608.30499999999</v>
      </c>
      <c r="E1758" t="s">
        <v>4</v>
      </c>
      <c r="F1758" t="s">
        <v>46</v>
      </c>
      <c r="G1758" t="s">
        <v>7</v>
      </c>
    </row>
    <row r="1759" spans="1:7" x14ac:dyDescent="0.3">
      <c r="A1759" t="s">
        <v>32</v>
      </c>
      <c r="B1759" s="1">
        <v>45930</v>
      </c>
      <c r="C1759">
        <v>257008</v>
      </c>
      <c r="D1759">
        <v>-10325.239</v>
      </c>
      <c r="E1759" t="s">
        <v>4</v>
      </c>
      <c r="F1759" t="s">
        <v>45</v>
      </c>
      <c r="G1759" t="s">
        <v>7</v>
      </c>
    </row>
    <row r="1760" spans="1:7" x14ac:dyDescent="0.3">
      <c r="A1760" t="s">
        <v>32</v>
      </c>
      <c r="B1760" s="1">
        <v>45930</v>
      </c>
      <c r="C1760">
        <v>257009</v>
      </c>
      <c r="D1760">
        <v>-39701.985999999997</v>
      </c>
      <c r="E1760" t="s">
        <v>4</v>
      </c>
      <c r="F1760" t="s">
        <v>45</v>
      </c>
      <c r="G1760" t="s">
        <v>7</v>
      </c>
    </row>
    <row r="1761" spans="1:7" x14ac:dyDescent="0.3">
      <c r="A1761" t="s">
        <v>32</v>
      </c>
      <c r="B1761" s="1">
        <v>45930</v>
      </c>
      <c r="C1761">
        <v>257011</v>
      </c>
      <c r="D1761">
        <v>-11821.778</v>
      </c>
      <c r="E1761" t="s">
        <v>4</v>
      </c>
      <c r="F1761" t="s">
        <v>45</v>
      </c>
      <c r="G1761" t="s">
        <v>7</v>
      </c>
    </row>
    <row r="1762" spans="1:7" x14ac:dyDescent="0.3">
      <c r="A1762" t="s">
        <v>32</v>
      </c>
      <c r="B1762" s="1">
        <v>45930</v>
      </c>
      <c r="C1762">
        <v>257022</v>
      </c>
      <c r="D1762">
        <v>6170.9650000000001</v>
      </c>
      <c r="E1762" t="s">
        <v>4</v>
      </c>
      <c r="F1762" t="s">
        <v>45</v>
      </c>
      <c r="G1762" t="s">
        <v>7</v>
      </c>
    </row>
    <row r="1763" spans="1:7" x14ac:dyDescent="0.3">
      <c r="A1763" t="s">
        <v>32</v>
      </c>
      <c r="B1763" s="1">
        <v>45930</v>
      </c>
      <c r="C1763">
        <v>257028</v>
      </c>
      <c r="D1763">
        <v>-122225.658</v>
      </c>
      <c r="E1763" t="s">
        <v>4</v>
      </c>
      <c r="F1763" t="s">
        <v>45</v>
      </c>
      <c r="G1763" t="s">
        <v>7</v>
      </c>
    </row>
    <row r="1764" spans="1:7" x14ac:dyDescent="0.3">
      <c r="A1764" t="s">
        <v>32</v>
      </c>
      <c r="B1764" s="1">
        <v>45930</v>
      </c>
      <c r="C1764">
        <v>260004</v>
      </c>
      <c r="D1764">
        <v>-7399.5969999999998</v>
      </c>
      <c r="E1764" t="s">
        <v>4</v>
      </c>
      <c r="F1764" t="s">
        <v>45</v>
      </c>
      <c r="G1764" t="s">
        <v>7</v>
      </c>
    </row>
    <row r="1765" spans="1:7" x14ac:dyDescent="0.3">
      <c r="A1765" t="s">
        <v>32</v>
      </c>
      <c r="B1765" s="1">
        <v>45930</v>
      </c>
      <c r="C1765">
        <v>270024</v>
      </c>
      <c r="D1765">
        <v>-29271.044999999998</v>
      </c>
      <c r="E1765" t="s">
        <v>4</v>
      </c>
      <c r="F1765" t="s">
        <v>58</v>
      </c>
      <c r="G1765" t="s">
        <v>7</v>
      </c>
    </row>
    <row r="1766" spans="1:7" x14ac:dyDescent="0.3">
      <c r="A1766" t="s">
        <v>32</v>
      </c>
      <c r="B1766" s="1">
        <v>45930</v>
      </c>
      <c r="C1766">
        <v>270025</v>
      </c>
      <c r="D1766">
        <v>-217922.58199999999</v>
      </c>
      <c r="E1766" t="s">
        <v>4</v>
      </c>
      <c r="F1766" t="s">
        <v>58</v>
      </c>
      <c r="G1766" t="s">
        <v>7</v>
      </c>
    </row>
    <row r="1767" spans="1:7" x14ac:dyDescent="0.3">
      <c r="A1767" t="s">
        <v>32</v>
      </c>
      <c r="B1767" s="1">
        <v>45930</v>
      </c>
      <c r="C1767">
        <v>270026</v>
      </c>
      <c r="D1767">
        <v>-86860.748999999996</v>
      </c>
      <c r="E1767" t="s">
        <v>4</v>
      </c>
      <c r="F1767" t="s">
        <v>58</v>
      </c>
      <c r="G1767" t="s">
        <v>7</v>
      </c>
    </row>
    <row r="1768" spans="1:7" x14ac:dyDescent="0.3">
      <c r="A1768" t="s">
        <v>32</v>
      </c>
      <c r="B1768" s="1">
        <v>45930</v>
      </c>
      <c r="C1768">
        <v>270027</v>
      </c>
      <c r="D1768">
        <v>-125702.425</v>
      </c>
      <c r="E1768" t="s">
        <v>4</v>
      </c>
      <c r="F1768" t="s">
        <v>58</v>
      </c>
      <c r="G1768" t="s">
        <v>7</v>
      </c>
    </row>
    <row r="1769" spans="1:7" x14ac:dyDescent="0.3">
      <c r="A1769" t="s">
        <v>32</v>
      </c>
      <c r="B1769" s="1">
        <v>45930</v>
      </c>
      <c r="C1769">
        <v>300004</v>
      </c>
      <c r="D1769">
        <v>13971.32</v>
      </c>
      <c r="E1769" t="s">
        <v>4</v>
      </c>
      <c r="F1769" t="s">
        <v>65</v>
      </c>
      <c r="G1769" t="s">
        <v>7</v>
      </c>
    </row>
    <row r="1770" spans="1:7" x14ac:dyDescent="0.3">
      <c r="A1770" t="s">
        <v>32</v>
      </c>
      <c r="B1770" s="1">
        <v>45930</v>
      </c>
      <c r="C1770">
        <v>300005</v>
      </c>
      <c r="D1770">
        <v>60916.252</v>
      </c>
      <c r="E1770" t="s">
        <v>4</v>
      </c>
      <c r="F1770" t="s">
        <v>65</v>
      </c>
      <c r="G1770" t="s">
        <v>7</v>
      </c>
    </row>
    <row r="1771" spans="1:7" x14ac:dyDescent="0.3">
      <c r="A1771" t="s">
        <v>32</v>
      </c>
      <c r="B1771" s="1">
        <v>45930</v>
      </c>
      <c r="C1771">
        <v>300008</v>
      </c>
      <c r="D1771">
        <v>233935.639</v>
      </c>
      <c r="E1771" t="s">
        <v>4</v>
      </c>
      <c r="F1771" t="s">
        <v>65</v>
      </c>
      <c r="G1771" t="s">
        <v>7</v>
      </c>
    </row>
    <row r="1772" spans="1:7" x14ac:dyDescent="0.3">
      <c r="A1772" t="s">
        <v>32</v>
      </c>
      <c r="B1772" s="1">
        <v>45930</v>
      </c>
      <c r="C1772">
        <v>300009</v>
      </c>
      <c r="D1772">
        <v>5099.6729999999998</v>
      </c>
      <c r="E1772" t="s">
        <v>4</v>
      </c>
      <c r="F1772" t="s">
        <v>65</v>
      </c>
      <c r="G1772" t="s">
        <v>7</v>
      </c>
    </row>
    <row r="1773" spans="1:7" x14ac:dyDescent="0.3">
      <c r="A1773" t="s">
        <v>32</v>
      </c>
      <c r="B1773" s="1">
        <v>45930</v>
      </c>
      <c r="C1773">
        <v>300011</v>
      </c>
      <c r="D1773">
        <v>1085.96</v>
      </c>
      <c r="E1773" t="s">
        <v>4</v>
      </c>
      <c r="F1773" t="s">
        <v>65</v>
      </c>
      <c r="G1773" t="s">
        <v>7</v>
      </c>
    </row>
    <row r="1774" spans="1:7" x14ac:dyDescent="0.3">
      <c r="A1774" t="s">
        <v>32</v>
      </c>
      <c r="B1774" s="1">
        <v>45930</v>
      </c>
      <c r="C1774">
        <v>300012</v>
      </c>
      <c r="D1774">
        <v>62424.093999999997</v>
      </c>
      <c r="E1774" t="s">
        <v>4</v>
      </c>
      <c r="F1774" t="s">
        <v>65</v>
      </c>
      <c r="G1774" t="s">
        <v>7</v>
      </c>
    </row>
    <row r="1775" spans="1:7" x14ac:dyDescent="0.3">
      <c r="A1775" t="s">
        <v>32</v>
      </c>
      <c r="B1775" s="1">
        <v>45930</v>
      </c>
      <c r="C1775">
        <v>300014</v>
      </c>
      <c r="D1775">
        <v>23073.096000000001</v>
      </c>
      <c r="E1775" t="s">
        <v>4</v>
      </c>
      <c r="F1775" t="s">
        <v>65</v>
      </c>
      <c r="G1775" t="s">
        <v>7</v>
      </c>
    </row>
    <row r="1776" spans="1:7" x14ac:dyDescent="0.3">
      <c r="A1776" t="s">
        <v>32</v>
      </c>
      <c r="B1776" s="1">
        <v>45930</v>
      </c>
      <c r="C1776">
        <v>300504</v>
      </c>
      <c r="D1776">
        <v>-13056.950999999999</v>
      </c>
      <c r="E1776" t="s">
        <v>4</v>
      </c>
      <c r="F1776" t="s">
        <v>65</v>
      </c>
      <c r="G1776" t="s">
        <v>7</v>
      </c>
    </row>
    <row r="1777" spans="1:7" x14ac:dyDescent="0.3">
      <c r="A1777" t="s">
        <v>32</v>
      </c>
      <c r="B1777" s="1">
        <v>45930</v>
      </c>
      <c r="C1777">
        <v>300505</v>
      </c>
      <c r="D1777">
        <v>-52408.635000000002</v>
      </c>
      <c r="E1777" t="s">
        <v>4</v>
      </c>
      <c r="F1777" t="s">
        <v>65</v>
      </c>
      <c r="G1777" t="s">
        <v>7</v>
      </c>
    </row>
    <row r="1778" spans="1:7" x14ac:dyDescent="0.3">
      <c r="A1778" t="s">
        <v>32</v>
      </c>
      <c r="B1778" s="1">
        <v>45930</v>
      </c>
      <c r="C1778">
        <v>300508</v>
      </c>
      <c r="D1778">
        <v>-171042.54</v>
      </c>
      <c r="E1778" t="s">
        <v>4</v>
      </c>
      <c r="F1778" t="s">
        <v>65</v>
      </c>
      <c r="G1778" t="s">
        <v>7</v>
      </c>
    </row>
    <row r="1779" spans="1:7" x14ac:dyDescent="0.3">
      <c r="A1779" t="s">
        <v>32</v>
      </c>
      <c r="B1779" s="1">
        <v>45930</v>
      </c>
      <c r="C1779">
        <v>300509</v>
      </c>
      <c r="D1779">
        <v>-5090.8900000000003</v>
      </c>
      <c r="E1779" t="s">
        <v>4</v>
      </c>
      <c r="F1779" t="s">
        <v>65</v>
      </c>
      <c r="G1779" t="s">
        <v>7</v>
      </c>
    </row>
    <row r="1780" spans="1:7" x14ac:dyDescent="0.3">
      <c r="A1780" t="s">
        <v>32</v>
      </c>
      <c r="B1780" s="1">
        <v>45930</v>
      </c>
      <c r="C1780">
        <v>300511</v>
      </c>
      <c r="D1780">
        <v>-1077.3710000000001</v>
      </c>
      <c r="E1780" t="s">
        <v>4</v>
      </c>
      <c r="F1780" t="s">
        <v>65</v>
      </c>
      <c r="G1780" t="s">
        <v>7</v>
      </c>
    </row>
    <row r="1781" spans="1:7" x14ac:dyDescent="0.3">
      <c r="A1781" t="s">
        <v>32</v>
      </c>
      <c r="B1781" s="1">
        <v>45930</v>
      </c>
      <c r="C1781">
        <v>300512</v>
      </c>
      <c r="D1781">
        <v>-56131.097000000002</v>
      </c>
      <c r="E1781" t="s">
        <v>4</v>
      </c>
      <c r="F1781" t="s">
        <v>65</v>
      </c>
      <c r="G1781" t="s">
        <v>7</v>
      </c>
    </row>
    <row r="1782" spans="1:7" x14ac:dyDescent="0.3">
      <c r="A1782" t="s">
        <v>32</v>
      </c>
      <c r="B1782" s="1">
        <v>45930</v>
      </c>
      <c r="C1782">
        <v>300514</v>
      </c>
      <c r="D1782">
        <v>-22727.807000000001</v>
      </c>
      <c r="E1782" t="s">
        <v>4</v>
      </c>
      <c r="F1782" t="s">
        <v>65</v>
      </c>
      <c r="G1782" t="s">
        <v>7</v>
      </c>
    </row>
    <row r="1783" spans="1:7" x14ac:dyDescent="0.3">
      <c r="A1783" t="s">
        <v>32</v>
      </c>
      <c r="B1783" s="1">
        <v>45930</v>
      </c>
      <c r="C1783">
        <v>301002</v>
      </c>
      <c r="D1783">
        <v>38833.694000000003</v>
      </c>
      <c r="E1783" t="s">
        <v>4</v>
      </c>
      <c r="F1783" t="s">
        <v>68</v>
      </c>
      <c r="G1783" t="s">
        <v>7</v>
      </c>
    </row>
    <row r="1784" spans="1:7" x14ac:dyDescent="0.3">
      <c r="A1784" t="s">
        <v>32</v>
      </c>
      <c r="B1784" s="1">
        <v>45930</v>
      </c>
      <c r="C1784">
        <v>301004</v>
      </c>
      <c r="D1784">
        <v>81440.025999999998</v>
      </c>
      <c r="E1784" t="s">
        <v>4</v>
      </c>
      <c r="F1784" t="s">
        <v>65</v>
      </c>
      <c r="G1784" t="s">
        <v>7</v>
      </c>
    </row>
    <row r="1785" spans="1:7" x14ac:dyDescent="0.3">
      <c r="A1785" t="s">
        <v>32</v>
      </c>
      <c r="B1785" s="1">
        <v>45930</v>
      </c>
      <c r="C1785">
        <v>301502</v>
      </c>
      <c r="D1785">
        <v>-38833.694000000003</v>
      </c>
      <c r="E1785" t="s">
        <v>4</v>
      </c>
      <c r="F1785" t="s">
        <v>68</v>
      </c>
      <c r="G1785" t="s">
        <v>7</v>
      </c>
    </row>
    <row r="1786" spans="1:7" x14ac:dyDescent="0.3">
      <c r="A1786" t="s">
        <v>32</v>
      </c>
      <c r="B1786" s="1">
        <v>45930</v>
      </c>
      <c r="C1786">
        <v>301504</v>
      </c>
      <c r="D1786">
        <v>-81440.025999999998</v>
      </c>
      <c r="E1786" t="s">
        <v>4</v>
      </c>
      <c r="F1786" t="s">
        <v>65</v>
      </c>
      <c r="G1786" t="s">
        <v>7</v>
      </c>
    </row>
    <row r="1787" spans="1:7" x14ac:dyDescent="0.3">
      <c r="A1787" t="s">
        <v>32</v>
      </c>
      <c r="B1787" s="1">
        <v>45930</v>
      </c>
      <c r="C1787">
        <v>304002</v>
      </c>
      <c r="D1787">
        <v>307235.217</v>
      </c>
      <c r="E1787" t="s">
        <v>4</v>
      </c>
      <c r="F1787" t="s">
        <v>65</v>
      </c>
      <c r="G1787" t="s">
        <v>7</v>
      </c>
    </row>
    <row r="1788" spans="1:7" x14ac:dyDescent="0.3">
      <c r="A1788" t="s">
        <v>32</v>
      </c>
      <c r="B1788" s="1">
        <v>45930</v>
      </c>
      <c r="C1788">
        <v>304502</v>
      </c>
      <c r="D1788">
        <v>-124613.84</v>
      </c>
      <c r="E1788" t="s">
        <v>4</v>
      </c>
      <c r="F1788" t="s">
        <v>65</v>
      </c>
      <c r="G1788" t="s">
        <v>7</v>
      </c>
    </row>
    <row r="1789" spans="1:7" x14ac:dyDescent="0.3">
      <c r="A1789" t="s">
        <v>32</v>
      </c>
      <c r="B1789" s="1">
        <v>45930</v>
      </c>
      <c r="C1789">
        <v>310010</v>
      </c>
      <c r="D1789">
        <v>4803386.3990000002</v>
      </c>
      <c r="E1789" t="s">
        <v>4</v>
      </c>
      <c r="F1789" t="s">
        <v>42</v>
      </c>
      <c r="G1789" t="s">
        <v>7</v>
      </c>
    </row>
    <row r="1790" spans="1:7" x14ac:dyDescent="0.3">
      <c r="A1790" t="s">
        <v>32</v>
      </c>
      <c r="B1790" s="1">
        <v>45930</v>
      </c>
      <c r="C1790">
        <v>310021</v>
      </c>
      <c r="D1790">
        <v>185333.19</v>
      </c>
      <c r="E1790" t="s">
        <v>4</v>
      </c>
      <c r="F1790" t="s">
        <v>42</v>
      </c>
      <c r="G1790" t="s">
        <v>7</v>
      </c>
    </row>
    <row r="1791" spans="1:7" x14ac:dyDescent="0.3">
      <c r="A1791" t="s">
        <v>32</v>
      </c>
      <c r="B1791" s="1">
        <v>45930</v>
      </c>
      <c r="C1791">
        <v>310032</v>
      </c>
      <c r="D1791">
        <v>312.16300000000001</v>
      </c>
      <c r="E1791" t="s">
        <v>4</v>
      </c>
      <c r="F1791" t="s">
        <v>42</v>
      </c>
      <c r="G1791" t="s">
        <v>7</v>
      </c>
    </row>
    <row r="1792" spans="1:7" x14ac:dyDescent="0.3">
      <c r="A1792" t="s">
        <v>32</v>
      </c>
      <c r="B1792" s="1">
        <v>45930</v>
      </c>
      <c r="C1792">
        <v>320002</v>
      </c>
      <c r="D1792">
        <v>164176.16200000001</v>
      </c>
      <c r="E1792" t="s">
        <v>4</v>
      </c>
      <c r="F1792" t="s">
        <v>46</v>
      </c>
      <c r="G1792" t="s">
        <v>7</v>
      </c>
    </row>
    <row r="1793" spans="1:7" x14ac:dyDescent="0.3">
      <c r="A1793" t="s">
        <v>32</v>
      </c>
      <c r="B1793" s="1">
        <v>45930</v>
      </c>
      <c r="C1793">
        <v>320003</v>
      </c>
      <c r="D1793">
        <v>4705893.7920000004</v>
      </c>
      <c r="E1793" t="s">
        <v>4</v>
      </c>
      <c r="F1793" t="s">
        <v>46</v>
      </c>
      <c r="G1793" t="s">
        <v>7</v>
      </c>
    </row>
    <row r="1794" spans="1:7" x14ac:dyDescent="0.3">
      <c r="A1794" t="s">
        <v>32</v>
      </c>
      <c r="B1794" s="1">
        <v>45930</v>
      </c>
      <c r="C1794">
        <v>320013</v>
      </c>
      <c r="D1794">
        <v>36625.735000000001</v>
      </c>
      <c r="E1794" t="s">
        <v>4</v>
      </c>
      <c r="F1794" t="s">
        <v>46</v>
      </c>
      <c r="G1794" t="s">
        <v>7</v>
      </c>
    </row>
    <row r="1795" spans="1:7" x14ac:dyDescent="0.3">
      <c r="A1795" t="s">
        <v>32</v>
      </c>
      <c r="B1795" s="1">
        <v>45930</v>
      </c>
      <c r="C1795">
        <v>320023</v>
      </c>
      <c r="D1795">
        <v>-77760.581000000006</v>
      </c>
      <c r="E1795" t="s">
        <v>4</v>
      </c>
      <c r="F1795" t="s">
        <v>46</v>
      </c>
      <c r="G1795" t="s">
        <v>7</v>
      </c>
    </row>
    <row r="1796" spans="1:7" x14ac:dyDescent="0.3">
      <c r="A1796" t="s">
        <v>32</v>
      </c>
      <c r="B1796" s="1">
        <v>45930</v>
      </c>
      <c r="C1796">
        <v>321004</v>
      </c>
      <c r="D1796">
        <v>1150.17</v>
      </c>
      <c r="E1796" t="s">
        <v>4</v>
      </c>
      <c r="F1796" t="s">
        <v>46</v>
      </c>
      <c r="G1796" t="s">
        <v>7</v>
      </c>
    </row>
    <row r="1797" spans="1:7" x14ac:dyDescent="0.3">
      <c r="A1797" t="s">
        <v>32</v>
      </c>
      <c r="B1797" s="1">
        <v>45930</v>
      </c>
      <c r="C1797">
        <v>321010</v>
      </c>
      <c r="D1797">
        <v>3721.4650000000001</v>
      </c>
      <c r="E1797" t="s">
        <v>4</v>
      </c>
      <c r="F1797" t="s">
        <v>46</v>
      </c>
      <c r="G1797" t="s">
        <v>7</v>
      </c>
    </row>
    <row r="1798" spans="1:7" x14ac:dyDescent="0.3">
      <c r="A1798" t="s">
        <v>32</v>
      </c>
      <c r="B1798" s="1">
        <v>45930</v>
      </c>
      <c r="C1798">
        <v>321012</v>
      </c>
      <c r="D1798">
        <v>565224.68599999999</v>
      </c>
      <c r="E1798" t="s">
        <v>4</v>
      </c>
      <c r="F1798" t="s">
        <v>46</v>
      </c>
      <c r="G1798" t="s">
        <v>7</v>
      </c>
    </row>
    <row r="1799" spans="1:7" x14ac:dyDescent="0.3">
      <c r="A1799" t="s">
        <v>32</v>
      </c>
      <c r="B1799" s="1">
        <v>45930</v>
      </c>
      <c r="C1799">
        <v>321013</v>
      </c>
      <c r="D1799">
        <v>106072.359</v>
      </c>
      <c r="E1799" t="s">
        <v>4</v>
      </c>
      <c r="F1799" t="s">
        <v>46</v>
      </c>
      <c r="G1799" t="s">
        <v>7</v>
      </c>
    </row>
    <row r="1800" spans="1:7" x14ac:dyDescent="0.3">
      <c r="A1800" t="s">
        <v>32</v>
      </c>
      <c r="B1800" s="1">
        <v>45930</v>
      </c>
      <c r="C1800">
        <v>321014</v>
      </c>
      <c r="D1800">
        <v>54820.648999999998</v>
      </c>
      <c r="E1800" t="s">
        <v>4</v>
      </c>
      <c r="F1800" t="s">
        <v>46</v>
      </c>
      <c r="G1800" t="s">
        <v>7</v>
      </c>
    </row>
    <row r="1801" spans="1:7" x14ac:dyDescent="0.3">
      <c r="A1801" t="s">
        <v>32</v>
      </c>
      <c r="B1801" s="1">
        <v>45930</v>
      </c>
      <c r="C1801">
        <v>321021</v>
      </c>
      <c r="D1801">
        <v>7385.2839999999997</v>
      </c>
      <c r="E1801" t="s">
        <v>4</v>
      </c>
      <c r="F1801" t="s">
        <v>46</v>
      </c>
      <c r="G1801" t="s">
        <v>7</v>
      </c>
    </row>
    <row r="1802" spans="1:7" x14ac:dyDescent="0.3">
      <c r="A1802" t="s">
        <v>32</v>
      </c>
      <c r="B1802" s="1">
        <v>45930</v>
      </c>
      <c r="C1802">
        <v>321025</v>
      </c>
      <c r="D1802">
        <v>196029.492</v>
      </c>
      <c r="E1802" t="s">
        <v>4</v>
      </c>
      <c r="F1802" t="s">
        <v>46</v>
      </c>
      <c r="G1802" t="s">
        <v>7</v>
      </c>
    </row>
    <row r="1803" spans="1:7" x14ac:dyDescent="0.3">
      <c r="A1803" t="s">
        <v>32</v>
      </c>
      <c r="B1803" s="1">
        <v>45930</v>
      </c>
      <c r="C1803">
        <v>321029</v>
      </c>
      <c r="D1803">
        <v>459469.77399999998</v>
      </c>
      <c r="E1803" t="s">
        <v>4</v>
      </c>
      <c r="F1803" t="s">
        <v>46</v>
      </c>
      <c r="G1803" t="s">
        <v>7</v>
      </c>
    </row>
    <row r="1804" spans="1:7" x14ac:dyDescent="0.3">
      <c r="A1804" t="s">
        <v>32</v>
      </c>
      <c r="B1804" s="1">
        <v>45930</v>
      </c>
      <c r="C1804">
        <v>321030</v>
      </c>
      <c r="D1804">
        <v>-0.61699999999999999</v>
      </c>
      <c r="E1804" t="s">
        <v>4</v>
      </c>
      <c r="F1804" t="s">
        <v>46</v>
      </c>
      <c r="G1804" t="s">
        <v>7</v>
      </c>
    </row>
    <row r="1805" spans="1:7" x14ac:dyDescent="0.3">
      <c r="A1805" t="s">
        <v>32</v>
      </c>
      <c r="B1805" s="1">
        <v>45930</v>
      </c>
      <c r="C1805">
        <v>321031</v>
      </c>
      <c r="D1805">
        <v>57063.678</v>
      </c>
      <c r="E1805" t="s">
        <v>4</v>
      </c>
      <c r="F1805" t="s">
        <v>46</v>
      </c>
      <c r="G1805" t="s">
        <v>7</v>
      </c>
    </row>
    <row r="1806" spans="1:7" x14ac:dyDescent="0.3">
      <c r="A1806" t="s">
        <v>32</v>
      </c>
      <c r="B1806" s="1">
        <v>45930</v>
      </c>
      <c r="C1806">
        <v>321041</v>
      </c>
      <c r="D1806">
        <v>18516.667000000001</v>
      </c>
      <c r="E1806" t="s">
        <v>4</v>
      </c>
      <c r="F1806" t="s">
        <v>46</v>
      </c>
      <c r="G1806" t="s">
        <v>7</v>
      </c>
    </row>
    <row r="1807" spans="1:7" x14ac:dyDescent="0.3">
      <c r="A1807" t="s">
        <v>32</v>
      </c>
      <c r="B1807" s="1">
        <v>45930</v>
      </c>
      <c r="C1807">
        <v>321042</v>
      </c>
      <c r="D1807">
        <v>-114.807</v>
      </c>
      <c r="E1807" t="s">
        <v>4</v>
      </c>
      <c r="F1807" t="s">
        <v>46</v>
      </c>
      <c r="G1807" t="s">
        <v>7</v>
      </c>
    </row>
    <row r="1808" spans="1:7" x14ac:dyDescent="0.3">
      <c r="A1808" t="s">
        <v>32</v>
      </c>
      <c r="B1808" s="1">
        <v>45930</v>
      </c>
      <c r="C1808">
        <v>330002</v>
      </c>
      <c r="D1808">
        <v>-29029.981</v>
      </c>
      <c r="E1808" t="s">
        <v>4</v>
      </c>
      <c r="F1808" t="s">
        <v>43</v>
      </c>
      <c r="G1808" t="s">
        <v>7</v>
      </c>
    </row>
    <row r="1809" spans="1:7" x14ac:dyDescent="0.3">
      <c r="A1809" t="s">
        <v>32</v>
      </c>
      <c r="B1809" s="1">
        <v>45930</v>
      </c>
      <c r="C1809">
        <v>330034</v>
      </c>
      <c r="D1809">
        <v>-2673.8710000000001</v>
      </c>
      <c r="E1809" t="s">
        <v>4</v>
      </c>
      <c r="F1809" t="s">
        <v>43</v>
      </c>
      <c r="G1809" t="s">
        <v>7</v>
      </c>
    </row>
    <row r="1810" spans="1:7" x14ac:dyDescent="0.3">
      <c r="A1810" t="s">
        <v>32</v>
      </c>
      <c r="B1810" s="1">
        <v>45930</v>
      </c>
      <c r="C1810">
        <v>330040</v>
      </c>
      <c r="D1810">
        <v>-12462.838</v>
      </c>
      <c r="E1810" t="s">
        <v>4</v>
      </c>
      <c r="F1810" t="s">
        <v>43</v>
      </c>
      <c r="G1810" t="s">
        <v>7</v>
      </c>
    </row>
    <row r="1811" spans="1:7" x14ac:dyDescent="0.3">
      <c r="A1811" t="s">
        <v>32</v>
      </c>
      <c r="B1811" s="1">
        <v>45930</v>
      </c>
      <c r="C1811">
        <v>330061</v>
      </c>
      <c r="D1811">
        <v>-498.25599999999997</v>
      </c>
      <c r="E1811" t="s">
        <v>4</v>
      </c>
      <c r="F1811" t="s">
        <v>43</v>
      </c>
      <c r="G1811" t="s">
        <v>7</v>
      </c>
    </row>
    <row r="1812" spans="1:7" x14ac:dyDescent="0.3">
      <c r="A1812" t="s">
        <v>32</v>
      </c>
      <c r="B1812" s="1">
        <v>45930</v>
      </c>
      <c r="C1812">
        <v>330100</v>
      </c>
      <c r="D1812">
        <v>340.40800000000002</v>
      </c>
      <c r="E1812" t="s">
        <v>4</v>
      </c>
      <c r="F1812" t="s">
        <v>43</v>
      </c>
      <c r="G1812" t="s">
        <v>7</v>
      </c>
    </row>
    <row r="1813" spans="1:7" x14ac:dyDescent="0.3">
      <c r="A1813" t="s">
        <v>32</v>
      </c>
      <c r="B1813" s="1">
        <v>45930</v>
      </c>
      <c r="C1813">
        <v>330115</v>
      </c>
      <c r="D1813">
        <v>-46034.199000000001</v>
      </c>
      <c r="E1813" t="s">
        <v>4</v>
      </c>
      <c r="F1813" t="s">
        <v>43</v>
      </c>
      <c r="G1813" t="s">
        <v>7</v>
      </c>
    </row>
    <row r="1814" spans="1:7" x14ac:dyDescent="0.3">
      <c r="A1814" t="s">
        <v>32</v>
      </c>
      <c r="B1814" s="1">
        <v>45930</v>
      </c>
      <c r="C1814">
        <v>340053</v>
      </c>
      <c r="D1814">
        <v>2923917.844</v>
      </c>
      <c r="E1814" t="s">
        <v>4</v>
      </c>
      <c r="F1814" t="s">
        <v>47</v>
      </c>
      <c r="G1814" t="s">
        <v>7</v>
      </c>
    </row>
    <row r="1815" spans="1:7" x14ac:dyDescent="0.3">
      <c r="A1815" t="s">
        <v>32</v>
      </c>
      <c r="B1815" s="1">
        <v>45930</v>
      </c>
      <c r="C1815">
        <v>340054</v>
      </c>
      <c r="D1815">
        <v>-2911310.1439999999</v>
      </c>
      <c r="E1815" t="s">
        <v>4</v>
      </c>
      <c r="F1815" t="s">
        <v>47</v>
      </c>
      <c r="G1815" t="s">
        <v>7</v>
      </c>
    </row>
    <row r="1816" spans="1:7" x14ac:dyDescent="0.3">
      <c r="A1816" t="s">
        <v>32</v>
      </c>
      <c r="B1816" s="1">
        <v>45930</v>
      </c>
      <c r="C1816">
        <v>340102</v>
      </c>
      <c r="D1816">
        <v>510912.35200000001</v>
      </c>
      <c r="E1816" t="s">
        <v>4</v>
      </c>
      <c r="F1816" t="s">
        <v>47</v>
      </c>
      <c r="G1816" t="s">
        <v>7</v>
      </c>
    </row>
    <row r="1817" spans="1:7" x14ac:dyDescent="0.3">
      <c r="A1817" t="s">
        <v>32</v>
      </c>
      <c r="B1817" s="1">
        <v>45930</v>
      </c>
      <c r="C1817">
        <v>340103</v>
      </c>
      <c r="D1817">
        <v>100845090.68099999</v>
      </c>
      <c r="E1817" t="s">
        <v>4</v>
      </c>
      <c r="F1817" t="s">
        <v>47</v>
      </c>
      <c r="G1817" t="s">
        <v>7</v>
      </c>
    </row>
    <row r="1818" spans="1:7" x14ac:dyDescent="0.3">
      <c r="A1818" t="s">
        <v>32</v>
      </c>
      <c r="B1818" s="1">
        <v>45930</v>
      </c>
      <c r="C1818">
        <v>340104</v>
      </c>
      <c r="D1818">
        <v>-100503875.59299999</v>
      </c>
      <c r="E1818" t="s">
        <v>4</v>
      </c>
      <c r="F1818" t="s">
        <v>47</v>
      </c>
      <c r="G1818" t="s">
        <v>7</v>
      </c>
    </row>
    <row r="1819" spans="1:7" x14ac:dyDescent="0.3">
      <c r="A1819" t="s">
        <v>32</v>
      </c>
      <c r="B1819" s="1">
        <v>45930</v>
      </c>
      <c r="C1819">
        <v>345019</v>
      </c>
      <c r="D1819">
        <v>51696.478000000003</v>
      </c>
      <c r="E1819" t="s">
        <v>4</v>
      </c>
      <c r="F1819" t="s">
        <v>47</v>
      </c>
      <c r="G1819" t="s">
        <v>7</v>
      </c>
    </row>
    <row r="1820" spans="1:7" x14ac:dyDescent="0.3">
      <c r="A1820" t="s">
        <v>32</v>
      </c>
      <c r="B1820" s="1">
        <v>45930</v>
      </c>
      <c r="C1820">
        <v>345020</v>
      </c>
      <c r="D1820">
        <v>5982869.3969999999</v>
      </c>
      <c r="E1820" t="s">
        <v>4</v>
      </c>
      <c r="F1820" t="s">
        <v>47</v>
      </c>
      <c r="G1820" t="s">
        <v>7</v>
      </c>
    </row>
    <row r="1821" spans="1:7" x14ac:dyDescent="0.3">
      <c r="A1821" t="s">
        <v>32</v>
      </c>
      <c r="B1821" s="1">
        <v>45930</v>
      </c>
      <c r="C1821">
        <v>345021</v>
      </c>
      <c r="D1821">
        <v>-5808929.71</v>
      </c>
      <c r="E1821" t="s">
        <v>4</v>
      </c>
      <c r="F1821" t="s">
        <v>47</v>
      </c>
      <c r="G1821" t="s">
        <v>7</v>
      </c>
    </row>
    <row r="1822" spans="1:7" x14ac:dyDescent="0.3">
      <c r="A1822" t="s">
        <v>32</v>
      </c>
      <c r="B1822" s="1">
        <v>45930</v>
      </c>
      <c r="C1822">
        <v>345022</v>
      </c>
      <c r="D1822">
        <v>12433.449000000001</v>
      </c>
      <c r="E1822" t="s">
        <v>4</v>
      </c>
      <c r="F1822" t="s">
        <v>47</v>
      </c>
      <c r="G1822" t="s">
        <v>7</v>
      </c>
    </row>
    <row r="1823" spans="1:7" x14ac:dyDescent="0.3">
      <c r="A1823" t="s">
        <v>32</v>
      </c>
      <c r="B1823" s="1">
        <v>45930</v>
      </c>
      <c r="C1823">
        <v>350002</v>
      </c>
      <c r="D1823">
        <v>10907.047</v>
      </c>
      <c r="E1823" t="s">
        <v>4</v>
      </c>
      <c r="F1823" t="s">
        <v>49</v>
      </c>
      <c r="G1823" t="s">
        <v>7</v>
      </c>
    </row>
    <row r="1824" spans="1:7" x14ac:dyDescent="0.3">
      <c r="A1824" t="s">
        <v>32</v>
      </c>
      <c r="B1824" s="1">
        <v>45930</v>
      </c>
      <c r="C1824">
        <v>350003</v>
      </c>
      <c r="D1824">
        <v>1277.21</v>
      </c>
      <c r="E1824" t="s">
        <v>4</v>
      </c>
      <c r="F1824" t="s">
        <v>49</v>
      </c>
      <c r="G1824" t="s">
        <v>7</v>
      </c>
    </row>
    <row r="1825" spans="1:7" x14ac:dyDescent="0.3">
      <c r="A1825" t="s">
        <v>32</v>
      </c>
      <c r="B1825" s="1">
        <v>45930</v>
      </c>
      <c r="C1825">
        <v>350007</v>
      </c>
      <c r="D1825">
        <v>-9.2360000000000007</v>
      </c>
      <c r="E1825" t="s">
        <v>4</v>
      </c>
      <c r="F1825" t="s">
        <v>49</v>
      </c>
      <c r="G1825" t="s">
        <v>7</v>
      </c>
    </row>
    <row r="1826" spans="1:7" x14ac:dyDescent="0.3">
      <c r="A1826" t="s">
        <v>32</v>
      </c>
      <c r="B1826" s="1">
        <v>45930</v>
      </c>
      <c r="C1826">
        <v>350031</v>
      </c>
      <c r="D1826">
        <v>16500.942999999999</v>
      </c>
      <c r="E1826" t="s">
        <v>4</v>
      </c>
      <c r="F1826" t="s">
        <v>43</v>
      </c>
      <c r="G1826" t="s">
        <v>7</v>
      </c>
    </row>
    <row r="1827" spans="1:7" x14ac:dyDescent="0.3">
      <c r="A1827" t="s">
        <v>32</v>
      </c>
      <c r="B1827" s="1">
        <v>45930</v>
      </c>
      <c r="C1827">
        <v>350034</v>
      </c>
      <c r="D1827">
        <v>6492.5609999999997</v>
      </c>
      <c r="E1827" t="s">
        <v>4</v>
      </c>
      <c r="F1827" t="s">
        <v>49</v>
      </c>
      <c r="G1827" t="s">
        <v>7</v>
      </c>
    </row>
    <row r="1828" spans="1:7" x14ac:dyDescent="0.3">
      <c r="A1828" t="s">
        <v>32</v>
      </c>
      <c r="B1828" s="1">
        <v>45930</v>
      </c>
      <c r="C1828">
        <v>351004</v>
      </c>
      <c r="D1828">
        <v>8613.5689999999995</v>
      </c>
      <c r="E1828" t="s">
        <v>4</v>
      </c>
      <c r="F1828" t="s">
        <v>45</v>
      </c>
      <c r="G1828" t="s">
        <v>7</v>
      </c>
    </row>
    <row r="1829" spans="1:7" x14ac:dyDescent="0.3">
      <c r="A1829" t="s">
        <v>32</v>
      </c>
      <c r="B1829" s="1">
        <v>45930</v>
      </c>
      <c r="C1829">
        <v>352002</v>
      </c>
      <c r="D1829">
        <v>1661.317</v>
      </c>
      <c r="E1829" t="s">
        <v>4</v>
      </c>
      <c r="F1829" t="s">
        <v>48</v>
      </c>
      <c r="G1829" t="s">
        <v>7</v>
      </c>
    </row>
    <row r="1830" spans="1:7" x14ac:dyDescent="0.3">
      <c r="A1830" t="s">
        <v>32</v>
      </c>
      <c r="B1830" s="1">
        <v>45930</v>
      </c>
      <c r="C1830">
        <v>354012</v>
      </c>
      <c r="D1830">
        <v>2400306.6060000001</v>
      </c>
      <c r="E1830" t="s">
        <v>4</v>
      </c>
      <c r="F1830" t="s">
        <v>46</v>
      </c>
      <c r="G1830" t="s">
        <v>7</v>
      </c>
    </row>
    <row r="1831" spans="1:7" x14ac:dyDescent="0.3">
      <c r="A1831" t="s">
        <v>32</v>
      </c>
      <c r="B1831" s="1">
        <v>45930</v>
      </c>
      <c r="C1831">
        <v>354013</v>
      </c>
      <c r="D1831">
        <v>113396.963</v>
      </c>
      <c r="E1831" t="s">
        <v>4</v>
      </c>
      <c r="F1831" t="s">
        <v>46</v>
      </c>
      <c r="G1831" t="s">
        <v>7</v>
      </c>
    </row>
    <row r="1832" spans="1:7" x14ac:dyDescent="0.3">
      <c r="A1832" t="s">
        <v>32</v>
      </c>
      <c r="B1832" s="1">
        <v>45930</v>
      </c>
      <c r="C1832">
        <v>354014</v>
      </c>
      <c r="D1832">
        <v>349700.01299999998</v>
      </c>
      <c r="E1832" t="s">
        <v>4</v>
      </c>
      <c r="F1832" t="s">
        <v>46</v>
      </c>
      <c r="G1832" t="s">
        <v>7</v>
      </c>
    </row>
    <row r="1833" spans="1:7" x14ac:dyDescent="0.3">
      <c r="A1833" t="s">
        <v>32</v>
      </c>
      <c r="B1833" s="1">
        <v>45930</v>
      </c>
      <c r="C1833">
        <v>354015</v>
      </c>
      <c r="D1833">
        <v>90774.179000000004</v>
      </c>
      <c r="E1833" t="s">
        <v>4</v>
      </c>
      <c r="F1833" t="s">
        <v>46</v>
      </c>
      <c r="G1833" t="s">
        <v>7</v>
      </c>
    </row>
    <row r="1834" spans="1:7" x14ac:dyDescent="0.3">
      <c r="A1834" t="s">
        <v>32</v>
      </c>
      <c r="B1834" s="1">
        <v>45930</v>
      </c>
      <c r="C1834">
        <v>355016</v>
      </c>
      <c r="D1834">
        <v>9142.19</v>
      </c>
      <c r="E1834" t="s">
        <v>4</v>
      </c>
      <c r="F1834" t="s">
        <v>49</v>
      </c>
      <c r="G1834" t="s">
        <v>7</v>
      </c>
    </row>
    <row r="1835" spans="1:7" x14ac:dyDescent="0.3">
      <c r="A1835" t="s">
        <v>32</v>
      </c>
      <c r="B1835" s="1">
        <v>45930</v>
      </c>
      <c r="C1835">
        <v>355017</v>
      </c>
      <c r="D1835">
        <v>167248.47200000001</v>
      </c>
      <c r="E1835" t="s">
        <v>4</v>
      </c>
      <c r="F1835" t="s">
        <v>49</v>
      </c>
      <c r="G1835" t="s">
        <v>7</v>
      </c>
    </row>
    <row r="1836" spans="1:7" x14ac:dyDescent="0.3">
      <c r="A1836" t="s">
        <v>32</v>
      </c>
      <c r="B1836" s="1">
        <v>45930</v>
      </c>
      <c r="C1836">
        <v>355018</v>
      </c>
      <c r="D1836">
        <v>105147.398</v>
      </c>
      <c r="E1836" t="s">
        <v>4</v>
      </c>
      <c r="F1836" t="s">
        <v>49</v>
      </c>
      <c r="G1836" t="s">
        <v>7</v>
      </c>
    </row>
    <row r="1837" spans="1:7" x14ac:dyDescent="0.3">
      <c r="A1837" t="s">
        <v>32</v>
      </c>
      <c r="B1837" s="1">
        <v>45930</v>
      </c>
      <c r="C1837">
        <v>356002</v>
      </c>
      <c r="D1837">
        <v>-417.23500000000001</v>
      </c>
      <c r="E1837" t="s">
        <v>4</v>
      </c>
      <c r="F1837" t="s">
        <v>48</v>
      </c>
      <c r="G1837" t="s">
        <v>7</v>
      </c>
    </row>
    <row r="1838" spans="1:7" x14ac:dyDescent="0.3">
      <c r="A1838" t="s">
        <v>32</v>
      </c>
      <c r="B1838" s="1">
        <v>45930</v>
      </c>
      <c r="C1838">
        <v>360021</v>
      </c>
      <c r="D1838">
        <v>-55.6</v>
      </c>
      <c r="E1838" t="s">
        <v>4</v>
      </c>
      <c r="F1838" t="s">
        <v>45</v>
      </c>
      <c r="G1838" t="s">
        <v>7</v>
      </c>
    </row>
    <row r="1839" spans="1:7" x14ac:dyDescent="0.3">
      <c r="A1839" t="s">
        <v>32</v>
      </c>
      <c r="B1839" s="1">
        <v>45930</v>
      </c>
      <c r="C1839">
        <v>360026</v>
      </c>
      <c r="D1839">
        <v>323533.49699999997</v>
      </c>
      <c r="E1839" t="s">
        <v>4</v>
      </c>
      <c r="F1839" t="s">
        <v>58</v>
      </c>
      <c r="G1839" t="s">
        <v>7</v>
      </c>
    </row>
    <row r="1840" spans="1:7" x14ac:dyDescent="0.3">
      <c r="A1840" t="s">
        <v>32</v>
      </c>
      <c r="B1840" s="1">
        <v>45930</v>
      </c>
      <c r="C1840">
        <v>360028</v>
      </c>
      <c r="D1840">
        <v>118852.137</v>
      </c>
      <c r="E1840" t="s">
        <v>4</v>
      </c>
      <c r="F1840" t="s">
        <v>58</v>
      </c>
      <c r="G1840" t="s">
        <v>7</v>
      </c>
    </row>
    <row r="1841" spans="1:7" x14ac:dyDescent="0.3">
      <c r="A1841" t="s">
        <v>32</v>
      </c>
      <c r="B1841" s="1">
        <v>45930</v>
      </c>
      <c r="C1841">
        <v>360030</v>
      </c>
      <c r="D1841">
        <v>74776.269</v>
      </c>
      <c r="E1841" t="s">
        <v>4</v>
      </c>
      <c r="F1841" t="s">
        <v>58</v>
      </c>
      <c r="G1841" t="s">
        <v>7</v>
      </c>
    </row>
    <row r="1842" spans="1:7" x14ac:dyDescent="0.3">
      <c r="A1842" t="s">
        <v>32</v>
      </c>
      <c r="B1842" s="1">
        <v>45930</v>
      </c>
      <c r="C1842">
        <v>360032</v>
      </c>
      <c r="D1842">
        <v>49365.67</v>
      </c>
      <c r="E1842" t="s">
        <v>4</v>
      </c>
      <c r="F1842" t="s">
        <v>58</v>
      </c>
      <c r="G1842" t="s">
        <v>7</v>
      </c>
    </row>
    <row r="1843" spans="1:7" x14ac:dyDescent="0.3">
      <c r="A1843" t="s">
        <v>32</v>
      </c>
      <c r="B1843" s="1">
        <v>45930</v>
      </c>
      <c r="C1843">
        <v>364502</v>
      </c>
      <c r="D1843">
        <v>145937.21799999999</v>
      </c>
      <c r="E1843" t="s">
        <v>4</v>
      </c>
      <c r="F1843" t="s">
        <v>58</v>
      </c>
      <c r="G1843" t="s">
        <v>7</v>
      </c>
    </row>
    <row r="1844" spans="1:7" x14ac:dyDescent="0.3">
      <c r="A1844" t="s">
        <v>32</v>
      </c>
      <c r="B1844" s="1">
        <v>45930</v>
      </c>
      <c r="C1844">
        <v>400002</v>
      </c>
      <c r="D1844">
        <v>-137358.15</v>
      </c>
      <c r="E1844" t="s">
        <v>6</v>
      </c>
      <c r="F1844" t="s">
        <v>50</v>
      </c>
      <c r="G1844" t="s">
        <v>7</v>
      </c>
    </row>
    <row r="1845" spans="1:7" x14ac:dyDescent="0.3">
      <c r="A1845" t="s">
        <v>32</v>
      </c>
      <c r="B1845" s="1">
        <v>45930</v>
      </c>
      <c r="C1845">
        <v>400004</v>
      </c>
      <c r="D1845">
        <v>-138740.10999999999</v>
      </c>
      <c r="E1845" t="s">
        <v>6</v>
      </c>
      <c r="F1845" t="s">
        <v>50</v>
      </c>
      <c r="G1845" t="s">
        <v>7</v>
      </c>
    </row>
    <row r="1846" spans="1:7" x14ac:dyDescent="0.3">
      <c r="A1846" t="s">
        <v>32</v>
      </c>
      <c r="B1846" s="1">
        <v>45930</v>
      </c>
      <c r="C1846">
        <v>410005</v>
      </c>
      <c r="D1846">
        <v>-1115.326</v>
      </c>
      <c r="E1846" t="s">
        <v>6</v>
      </c>
      <c r="F1846" t="s">
        <v>51</v>
      </c>
      <c r="G1846" t="s">
        <v>7</v>
      </c>
    </row>
    <row r="1847" spans="1:7" x14ac:dyDescent="0.3">
      <c r="A1847" t="s">
        <v>32</v>
      </c>
      <c r="B1847" s="1">
        <v>45930</v>
      </c>
      <c r="C1847">
        <v>410006</v>
      </c>
      <c r="D1847">
        <v>-190364.13500000001</v>
      </c>
      <c r="E1847" t="s">
        <v>6</v>
      </c>
      <c r="F1847" t="s">
        <v>51</v>
      </c>
      <c r="G1847" t="s">
        <v>7</v>
      </c>
    </row>
    <row r="1848" spans="1:7" x14ac:dyDescent="0.3">
      <c r="A1848" t="s">
        <v>32</v>
      </c>
      <c r="B1848" s="1">
        <v>45930</v>
      </c>
      <c r="C1848">
        <v>410009</v>
      </c>
      <c r="D1848">
        <v>-28238.920999999998</v>
      </c>
      <c r="E1848" t="s">
        <v>6</v>
      </c>
      <c r="F1848" t="s">
        <v>51</v>
      </c>
      <c r="G1848" t="s">
        <v>7</v>
      </c>
    </row>
    <row r="1849" spans="1:7" x14ac:dyDescent="0.3">
      <c r="A1849" t="s">
        <v>32</v>
      </c>
      <c r="B1849" s="1">
        <v>45930</v>
      </c>
      <c r="C1849">
        <v>410015</v>
      </c>
      <c r="D1849">
        <v>-153618.177</v>
      </c>
      <c r="E1849" t="s">
        <v>6</v>
      </c>
      <c r="F1849" t="s">
        <v>51</v>
      </c>
      <c r="G1849" t="s">
        <v>7</v>
      </c>
    </row>
    <row r="1850" spans="1:7" x14ac:dyDescent="0.3">
      <c r="A1850" t="s">
        <v>32</v>
      </c>
      <c r="B1850" s="1">
        <v>45930</v>
      </c>
      <c r="C1850">
        <v>410018</v>
      </c>
      <c r="D1850">
        <v>-7384.8919999999998</v>
      </c>
      <c r="E1850" t="s">
        <v>6</v>
      </c>
      <c r="F1850" t="s">
        <v>51</v>
      </c>
      <c r="G1850" t="s">
        <v>7</v>
      </c>
    </row>
    <row r="1851" spans="1:7" x14ac:dyDescent="0.3">
      <c r="A1851" t="s">
        <v>32</v>
      </c>
      <c r="B1851" s="1">
        <v>45930</v>
      </c>
      <c r="C1851">
        <v>410019</v>
      </c>
      <c r="D1851">
        <v>-3158.0630000000001</v>
      </c>
      <c r="E1851" t="s">
        <v>6</v>
      </c>
      <c r="F1851" t="s">
        <v>51</v>
      </c>
      <c r="G1851" t="s">
        <v>7</v>
      </c>
    </row>
    <row r="1852" spans="1:7" x14ac:dyDescent="0.3">
      <c r="A1852" t="s">
        <v>32</v>
      </c>
      <c r="B1852" s="1">
        <v>45930</v>
      </c>
      <c r="C1852">
        <v>410032</v>
      </c>
      <c r="D1852">
        <v>-99276.126999999993</v>
      </c>
      <c r="E1852" t="s">
        <v>6</v>
      </c>
      <c r="F1852" t="s">
        <v>51</v>
      </c>
      <c r="G1852" t="s">
        <v>7</v>
      </c>
    </row>
    <row r="1853" spans="1:7" x14ac:dyDescent="0.3">
      <c r="A1853" t="s">
        <v>32</v>
      </c>
      <c r="B1853" s="1">
        <v>45930</v>
      </c>
      <c r="C1853">
        <v>410037</v>
      </c>
      <c r="D1853">
        <v>-852670.71100000001</v>
      </c>
      <c r="E1853" t="s">
        <v>6</v>
      </c>
      <c r="F1853" t="s">
        <v>51</v>
      </c>
      <c r="G1853" t="s">
        <v>7</v>
      </c>
    </row>
    <row r="1854" spans="1:7" x14ac:dyDescent="0.3">
      <c r="A1854" t="s">
        <v>32</v>
      </c>
      <c r="B1854" s="1">
        <v>45930</v>
      </c>
      <c r="C1854">
        <v>410039</v>
      </c>
      <c r="D1854">
        <v>-30079.865000000002</v>
      </c>
      <c r="E1854" t="s">
        <v>6</v>
      </c>
      <c r="F1854" t="s">
        <v>51</v>
      </c>
      <c r="G1854" t="s">
        <v>7</v>
      </c>
    </row>
    <row r="1855" spans="1:7" x14ac:dyDescent="0.3">
      <c r="A1855" t="s">
        <v>32</v>
      </c>
      <c r="B1855" s="1">
        <v>45930</v>
      </c>
      <c r="C1855">
        <v>410040</v>
      </c>
      <c r="D1855">
        <v>-95.68</v>
      </c>
      <c r="E1855" t="s">
        <v>6</v>
      </c>
      <c r="F1855" t="s">
        <v>51</v>
      </c>
      <c r="G1855" t="s">
        <v>7</v>
      </c>
    </row>
    <row r="1856" spans="1:7" x14ac:dyDescent="0.3">
      <c r="A1856" t="s">
        <v>32</v>
      </c>
      <c r="B1856" s="1">
        <v>45930</v>
      </c>
      <c r="C1856">
        <v>410046</v>
      </c>
      <c r="D1856">
        <v>-667.28099999999995</v>
      </c>
      <c r="E1856" t="s">
        <v>6</v>
      </c>
      <c r="F1856" t="s">
        <v>51</v>
      </c>
      <c r="G1856" t="s">
        <v>7</v>
      </c>
    </row>
    <row r="1857" spans="1:7" x14ac:dyDescent="0.3">
      <c r="A1857" t="s">
        <v>32</v>
      </c>
      <c r="B1857" s="1">
        <v>45930</v>
      </c>
      <c r="C1857">
        <v>415002</v>
      </c>
      <c r="D1857">
        <v>-5738417.0659999996</v>
      </c>
      <c r="E1857" t="s">
        <v>6</v>
      </c>
      <c r="F1857" t="s">
        <v>50</v>
      </c>
      <c r="G1857" t="s">
        <v>7</v>
      </c>
    </row>
    <row r="1858" spans="1:7" x14ac:dyDescent="0.3">
      <c r="A1858" t="s">
        <v>32</v>
      </c>
      <c r="B1858" s="1">
        <v>45930</v>
      </c>
      <c r="C1858">
        <v>415003</v>
      </c>
      <c r="D1858">
        <v>-17185.987000000001</v>
      </c>
      <c r="E1858" t="s">
        <v>6</v>
      </c>
      <c r="F1858" t="s">
        <v>50</v>
      </c>
      <c r="G1858" t="s">
        <v>7</v>
      </c>
    </row>
    <row r="1859" spans="1:7" x14ac:dyDescent="0.3">
      <c r="A1859" t="s">
        <v>32</v>
      </c>
      <c r="B1859" s="1">
        <v>45930</v>
      </c>
      <c r="C1859">
        <v>415004</v>
      </c>
      <c r="D1859">
        <v>-5685648.7220000001</v>
      </c>
      <c r="E1859" t="s">
        <v>6</v>
      </c>
      <c r="F1859" t="s">
        <v>50</v>
      </c>
      <c r="G1859" t="s">
        <v>7</v>
      </c>
    </row>
    <row r="1860" spans="1:7" x14ac:dyDescent="0.3">
      <c r="A1860" t="s">
        <v>32</v>
      </c>
      <c r="B1860" s="1">
        <v>45930</v>
      </c>
      <c r="C1860">
        <v>415008</v>
      </c>
      <c r="D1860">
        <v>-2609.5859999999998</v>
      </c>
      <c r="E1860" t="s">
        <v>6</v>
      </c>
      <c r="F1860" t="s">
        <v>50</v>
      </c>
      <c r="G1860" t="s">
        <v>7</v>
      </c>
    </row>
    <row r="1861" spans="1:7" x14ac:dyDescent="0.3">
      <c r="A1861" t="s">
        <v>32</v>
      </c>
      <c r="B1861" s="1">
        <v>45930</v>
      </c>
      <c r="C1861">
        <v>420003</v>
      </c>
      <c r="D1861">
        <v>-412.05200000000002</v>
      </c>
      <c r="E1861" t="s">
        <v>6</v>
      </c>
      <c r="F1861" t="s">
        <v>52</v>
      </c>
      <c r="G1861" t="s">
        <v>7</v>
      </c>
    </row>
    <row r="1862" spans="1:7" x14ac:dyDescent="0.3">
      <c r="A1862" t="s">
        <v>32</v>
      </c>
      <c r="B1862" s="1">
        <v>45930</v>
      </c>
      <c r="C1862">
        <v>420004</v>
      </c>
      <c r="D1862">
        <v>-372.279</v>
      </c>
      <c r="E1862" t="s">
        <v>6</v>
      </c>
      <c r="F1862" t="s">
        <v>52</v>
      </c>
      <c r="G1862" t="s">
        <v>7</v>
      </c>
    </row>
    <row r="1863" spans="1:7" x14ac:dyDescent="0.3">
      <c r="A1863" t="s">
        <v>32</v>
      </c>
      <c r="B1863" s="1">
        <v>45930</v>
      </c>
      <c r="C1863">
        <v>421003</v>
      </c>
      <c r="D1863">
        <v>-74834.381999999998</v>
      </c>
      <c r="E1863" t="s">
        <v>6</v>
      </c>
      <c r="F1863" t="s">
        <v>52</v>
      </c>
      <c r="G1863" t="s">
        <v>7</v>
      </c>
    </row>
    <row r="1864" spans="1:7" x14ac:dyDescent="0.3">
      <c r="A1864" t="s">
        <v>32</v>
      </c>
      <c r="B1864" s="1">
        <v>45930</v>
      </c>
      <c r="C1864">
        <v>421007</v>
      </c>
      <c r="D1864">
        <v>111.81399999999999</v>
      </c>
      <c r="E1864" t="s">
        <v>6</v>
      </c>
      <c r="F1864" t="s">
        <v>52</v>
      </c>
      <c r="G1864" t="s">
        <v>7</v>
      </c>
    </row>
    <row r="1865" spans="1:7" x14ac:dyDescent="0.3">
      <c r="A1865" t="s">
        <v>32</v>
      </c>
      <c r="B1865" s="1">
        <v>45930</v>
      </c>
      <c r="C1865">
        <v>423002</v>
      </c>
      <c r="D1865">
        <v>-574.92899999999997</v>
      </c>
      <c r="E1865" t="s">
        <v>6</v>
      </c>
      <c r="F1865" t="s">
        <v>52</v>
      </c>
      <c r="G1865" t="s">
        <v>7</v>
      </c>
    </row>
    <row r="1866" spans="1:7" x14ac:dyDescent="0.3">
      <c r="A1866" t="s">
        <v>32</v>
      </c>
      <c r="B1866" s="1">
        <v>45930</v>
      </c>
      <c r="C1866">
        <v>510002</v>
      </c>
      <c r="D1866">
        <v>2035065.81</v>
      </c>
      <c r="E1866" t="s">
        <v>6</v>
      </c>
      <c r="F1866" t="s">
        <v>53</v>
      </c>
      <c r="G1866" t="s">
        <v>7</v>
      </c>
    </row>
    <row r="1867" spans="1:7" x14ac:dyDescent="0.3">
      <c r="A1867" t="s">
        <v>32</v>
      </c>
      <c r="B1867" s="1">
        <v>45930</v>
      </c>
      <c r="C1867">
        <v>510005</v>
      </c>
      <c r="D1867">
        <v>90726.061000000002</v>
      </c>
      <c r="E1867" t="s">
        <v>6</v>
      </c>
      <c r="F1867" t="s">
        <v>53</v>
      </c>
      <c r="G1867" t="s">
        <v>7</v>
      </c>
    </row>
    <row r="1868" spans="1:7" x14ac:dyDescent="0.3">
      <c r="A1868" t="s">
        <v>32</v>
      </c>
      <c r="B1868" s="1">
        <v>45930</v>
      </c>
      <c r="C1868">
        <v>510007</v>
      </c>
      <c r="D1868">
        <v>175.05699999999999</v>
      </c>
      <c r="E1868" t="s">
        <v>6</v>
      </c>
      <c r="F1868" t="s">
        <v>53</v>
      </c>
      <c r="G1868" t="s">
        <v>7</v>
      </c>
    </row>
    <row r="1869" spans="1:7" x14ac:dyDescent="0.3">
      <c r="A1869" t="s">
        <v>32</v>
      </c>
      <c r="B1869" s="1">
        <v>45930</v>
      </c>
      <c r="C1869">
        <v>510008</v>
      </c>
      <c r="D1869">
        <v>3604.366</v>
      </c>
      <c r="E1869" t="s">
        <v>6</v>
      </c>
      <c r="F1869" t="s">
        <v>53</v>
      </c>
      <c r="G1869" t="s">
        <v>7</v>
      </c>
    </row>
    <row r="1870" spans="1:7" x14ac:dyDescent="0.3">
      <c r="A1870" t="s">
        <v>32</v>
      </c>
      <c r="B1870" s="1">
        <v>45930</v>
      </c>
      <c r="C1870">
        <v>510010</v>
      </c>
      <c r="D1870">
        <v>16541.902999999998</v>
      </c>
      <c r="E1870" t="s">
        <v>6</v>
      </c>
      <c r="F1870" t="s">
        <v>53</v>
      </c>
      <c r="G1870" t="s">
        <v>7</v>
      </c>
    </row>
    <row r="1871" spans="1:7" x14ac:dyDescent="0.3">
      <c r="A1871" t="s">
        <v>32</v>
      </c>
      <c r="B1871" s="1">
        <v>45930</v>
      </c>
      <c r="C1871">
        <v>510012</v>
      </c>
      <c r="D1871">
        <v>24125.775000000001</v>
      </c>
      <c r="E1871" t="s">
        <v>6</v>
      </c>
      <c r="F1871" t="s">
        <v>53</v>
      </c>
      <c r="G1871" t="s">
        <v>7</v>
      </c>
    </row>
    <row r="1872" spans="1:7" x14ac:dyDescent="0.3">
      <c r="A1872" t="s">
        <v>32</v>
      </c>
      <c r="B1872" s="1">
        <v>45930</v>
      </c>
      <c r="C1872">
        <v>510015</v>
      </c>
      <c r="D1872">
        <v>171762.82399999999</v>
      </c>
      <c r="E1872" t="s">
        <v>6</v>
      </c>
      <c r="F1872" t="s">
        <v>53</v>
      </c>
      <c r="G1872" t="s">
        <v>7</v>
      </c>
    </row>
    <row r="1873" spans="1:7" x14ac:dyDescent="0.3">
      <c r="A1873" t="s">
        <v>32</v>
      </c>
      <c r="B1873" s="1">
        <v>45930</v>
      </c>
      <c r="C1873">
        <v>510018</v>
      </c>
      <c r="D1873">
        <v>172866.99400000001</v>
      </c>
      <c r="E1873" t="s">
        <v>6</v>
      </c>
      <c r="F1873" t="s">
        <v>53</v>
      </c>
      <c r="G1873" t="s">
        <v>7</v>
      </c>
    </row>
    <row r="1874" spans="1:7" x14ac:dyDescent="0.3">
      <c r="A1874" t="s">
        <v>32</v>
      </c>
      <c r="B1874" s="1">
        <v>45930</v>
      </c>
      <c r="C1874">
        <v>510048</v>
      </c>
      <c r="D1874">
        <v>88.245000000000005</v>
      </c>
      <c r="E1874" t="s">
        <v>6</v>
      </c>
      <c r="F1874" t="s">
        <v>61</v>
      </c>
      <c r="G1874" t="s">
        <v>7</v>
      </c>
    </row>
    <row r="1875" spans="1:7" x14ac:dyDescent="0.3">
      <c r="A1875" t="s">
        <v>32</v>
      </c>
      <c r="B1875" s="1">
        <v>45930</v>
      </c>
      <c r="C1875">
        <v>510059</v>
      </c>
      <c r="D1875">
        <v>10517.183000000001</v>
      </c>
      <c r="E1875" t="s">
        <v>6</v>
      </c>
      <c r="F1875" t="s">
        <v>53</v>
      </c>
      <c r="G1875" t="s">
        <v>7</v>
      </c>
    </row>
    <row r="1876" spans="1:7" x14ac:dyDescent="0.3">
      <c r="A1876" t="s">
        <v>32</v>
      </c>
      <c r="B1876" s="1">
        <v>45930</v>
      </c>
      <c r="C1876">
        <v>510062</v>
      </c>
      <c r="D1876">
        <v>27091.91</v>
      </c>
      <c r="E1876" t="s">
        <v>6</v>
      </c>
      <c r="F1876" t="s">
        <v>53</v>
      </c>
      <c r="G1876" t="s">
        <v>7</v>
      </c>
    </row>
    <row r="1877" spans="1:7" x14ac:dyDescent="0.3">
      <c r="A1877" t="s">
        <v>32</v>
      </c>
      <c r="B1877" s="1">
        <v>45930</v>
      </c>
      <c r="C1877">
        <v>510064</v>
      </c>
      <c r="D1877">
        <v>2260.9699999999998</v>
      </c>
      <c r="E1877" t="s">
        <v>6</v>
      </c>
      <c r="F1877" t="s">
        <v>53</v>
      </c>
      <c r="G1877" t="s">
        <v>7</v>
      </c>
    </row>
    <row r="1878" spans="1:7" x14ac:dyDescent="0.3">
      <c r="A1878" t="s">
        <v>32</v>
      </c>
      <c r="B1878" s="1">
        <v>45930</v>
      </c>
      <c r="C1878">
        <v>510065</v>
      </c>
      <c r="D1878">
        <v>36789.866999999998</v>
      </c>
      <c r="E1878" t="s">
        <v>6</v>
      </c>
      <c r="F1878" t="s">
        <v>53</v>
      </c>
      <c r="G1878" t="s">
        <v>7</v>
      </c>
    </row>
    <row r="1879" spans="1:7" x14ac:dyDescent="0.3">
      <c r="A1879" t="s">
        <v>32</v>
      </c>
      <c r="B1879" s="1">
        <v>45930</v>
      </c>
      <c r="C1879">
        <v>520020</v>
      </c>
      <c r="D1879">
        <v>3139.9450000000002</v>
      </c>
      <c r="E1879" t="s">
        <v>6</v>
      </c>
      <c r="F1879" t="s">
        <v>53</v>
      </c>
      <c r="G1879" t="s">
        <v>7</v>
      </c>
    </row>
    <row r="1880" spans="1:7" x14ac:dyDescent="0.3">
      <c r="A1880" t="s">
        <v>32</v>
      </c>
      <c r="B1880" s="1">
        <v>45930</v>
      </c>
      <c r="C1880">
        <v>520021</v>
      </c>
      <c r="D1880">
        <v>2563.3629999999998</v>
      </c>
      <c r="E1880" t="s">
        <v>6</v>
      </c>
      <c r="F1880" t="s">
        <v>60</v>
      </c>
      <c r="G1880" t="s">
        <v>7</v>
      </c>
    </row>
    <row r="1881" spans="1:7" x14ac:dyDescent="0.3">
      <c r="A1881" t="s">
        <v>32</v>
      </c>
      <c r="B1881" s="1">
        <v>45930</v>
      </c>
      <c r="C1881">
        <v>530012</v>
      </c>
      <c r="D1881">
        <v>14122.837</v>
      </c>
      <c r="E1881" t="s">
        <v>6</v>
      </c>
      <c r="F1881" t="s">
        <v>53</v>
      </c>
      <c r="G1881" t="s">
        <v>7</v>
      </c>
    </row>
    <row r="1882" spans="1:7" x14ac:dyDescent="0.3">
      <c r="A1882" t="s">
        <v>32</v>
      </c>
      <c r="B1882" s="1">
        <v>45930</v>
      </c>
      <c r="C1882">
        <v>540004</v>
      </c>
      <c r="D1882">
        <v>68.430000000000007</v>
      </c>
      <c r="E1882" t="s">
        <v>6</v>
      </c>
      <c r="F1882" t="s">
        <v>67</v>
      </c>
      <c r="G1882" t="s">
        <v>7</v>
      </c>
    </row>
    <row r="1883" spans="1:7" x14ac:dyDescent="0.3">
      <c r="A1883" t="s">
        <v>32</v>
      </c>
      <c r="B1883" s="1">
        <v>45930</v>
      </c>
      <c r="C1883">
        <v>540008</v>
      </c>
      <c r="D1883">
        <v>3616.3150000000001</v>
      </c>
      <c r="E1883" t="s">
        <v>6</v>
      </c>
      <c r="F1883" t="s">
        <v>67</v>
      </c>
      <c r="G1883" t="s">
        <v>7</v>
      </c>
    </row>
    <row r="1884" spans="1:7" x14ac:dyDescent="0.3">
      <c r="A1884" t="s">
        <v>32</v>
      </c>
      <c r="B1884" s="1">
        <v>45930</v>
      </c>
      <c r="C1884">
        <v>541002</v>
      </c>
      <c r="D1884">
        <v>4873.1400000000003</v>
      </c>
      <c r="E1884" t="s">
        <v>6</v>
      </c>
      <c r="F1884" t="s">
        <v>61</v>
      </c>
      <c r="G1884" t="s">
        <v>7</v>
      </c>
    </row>
    <row r="1885" spans="1:7" x14ac:dyDescent="0.3">
      <c r="A1885" t="s">
        <v>32</v>
      </c>
      <c r="B1885" s="1">
        <v>45930</v>
      </c>
      <c r="C1885">
        <v>541004</v>
      </c>
      <c r="D1885">
        <v>64846.476999999999</v>
      </c>
      <c r="E1885" t="s">
        <v>6</v>
      </c>
      <c r="F1885" t="s">
        <v>61</v>
      </c>
      <c r="G1885" t="s">
        <v>7</v>
      </c>
    </row>
    <row r="1886" spans="1:7" x14ac:dyDescent="0.3">
      <c r="A1886" t="s">
        <v>32</v>
      </c>
      <c r="B1886" s="1">
        <v>45930</v>
      </c>
      <c r="C1886">
        <v>541008</v>
      </c>
      <c r="D1886">
        <v>8658.7579999999998</v>
      </c>
      <c r="E1886" t="s">
        <v>6</v>
      </c>
      <c r="F1886" t="s">
        <v>61</v>
      </c>
      <c r="G1886" t="s">
        <v>7</v>
      </c>
    </row>
    <row r="1887" spans="1:7" x14ac:dyDescent="0.3">
      <c r="A1887" t="s">
        <v>32</v>
      </c>
      <c r="B1887" s="1">
        <v>45930</v>
      </c>
      <c r="C1887">
        <v>541009</v>
      </c>
      <c r="D1887">
        <v>26645.685000000001</v>
      </c>
      <c r="E1887" t="s">
        <v>6</v>
      </c>
      <c r="F1887" t="s">
        <v>61</v>
      </c>
      <c r="G1887" t="s">
        <v>7</v>
      </c>
    </row>
    <row r="1888" spans="1:7" x14ac:dyDescent="0.3">
      <c r="A1888" t="s">
        <v>32</v>
      </c>
      <c r="B1888" s="1">
        <v>45930</v>
      </c>
      <c r="C1888">
        <v>541010</v>
      </c>
      <c r="D1888">
        <v>17187.453000000001</v>
      </c>
      <c r="E1888" t="s">
        <v>6</v>
      </c>
      <c r="F1888" t="s">
        <v>61</v>
      </c>
      <c r="G1888" t="s">
        <v>7</v>
      </c>
    </row>
    <row r="1889" spans="1:7" x14ac:dyDescent="0.3">
      <c r="A1889" t="s">
        <v>32</v>
      </c>
      <c r="B1889" s="1">
        <v>45930</v>
      </c>
      <c r="C1889">
        <v>541013</v>
      </c>
      <c r="D1889">
        <v>7022.4639999999999</v>
      </c>
      <c r="E1889" t="s">
        <v>6</v>
      </c>
      <c r="F1889" t="s">
        <v>61</v>
      </c>
      <c r="G1889" t="s">
        <v>7</v>
      </c>
    </row>
    <row r="1890" spans="1:7" x14ac:dyDescent="0.3">
      <c r="A1890" t="s">
        <v>32</v>
      </c>
      <c r="B1890" s="1">
        <v>45930</v>
      </c>
      <c r="C1890">
        <v>541023</v>
      </c>
      <c r="D1890">
        <v>7608.0839999999998</v>
      </c>
      <c r="E1890" t="s">
        <v>6</v>
      </c>
      <c r="F1890" t="s">
        <v>61</v>
      </c>
      <c r="G1890" t="s">
        <v>7</v>
      </c>
    </row>
    <row r="1891" spans="1:7" x14ac:dyDescent="0.3">
      <c r="A1891" t="s">
        <v>32</v>
      </c>
      <c r="B1891" s="1">
        <v>45930</v>
      </c>
      <c r="C1891">
        <v>544003</v>
      </c>
      <c r="D1891">
        <v>185.3</v>
      </c>
      <c r="E1891" t="s">
        <v>6</v>
      </c>
      <c r="F1891" t="s">
        <v>61</v>
      </c>
      <c r="G1891" t="s">
        <v>7</v>
      </c>
    </row>
    <row r="1892" spans="1:7" x14ac:dyDescent="0.3">
      <c r="A1892" t="s">
        <v>32</v>
      </c>
      <c r="B1892" s="1">
        <v>45930</v>
      </c>
      <c r="C1892">
        <v>544006</v>
      </c>
      <c r="D1892">
        <v>38355.163999999997</v>
      </c>
      <c r="E1892" t="s">
        <v>6</v>
      </c>
      <c r="F1892" t="s">
        <v>61</v>
      </c>
      <c r="G1892" t="s">
        <v>7</v>
      </c>
    </row>
    <row r="1893" spans="1:7" x14ac:dyDescent="0.3">
      <c r="A1893" t="s">
        <v>32</v>
      </c>
      <c r="B1893" s="1">
        <v>45930</v>
      </c>
      <c r="C1893">
        <v>546002</v>
      </c>
      <c r="D1893">
        <v>5533169.5180000002</v>
      </c>
      <c r="E1893" t="s">
        <v>6</v>
      </c>
      <c r="F1893" t="s">
        <v>51</v>
      </c>
      <c r="G1893" t="s">
        <v>7</v>
      </c>
    </row>
    <row r="1894" spans="1:7" x14ac:dyDescent="0.3">
      <c r="A1894" t="s">
        <v>32</v>
      </c>
      <c r="B1894" s="1">
        <v>45930</v>
      </c>
      <c r="C1894">
        <v>546005</v>
      </c>
      <c r="D1894">
        <v>34883.796000000002</v>
      </c>
      <c r="E1894" t="s">
        <v>6</v>
      </c>
      <c r="F1894" t="s">
        <v>51</v>
      </c>
      <c r="G1894" t="s">
        <v>7</v>
      </c>
    </row>
    <row r="1895" spans="1:7" x14ac:dyDescent="0.3">
      <c r="A1895" t="s">
        <v>32</v>
      </c>
      <c r="B1895" s="1">
        <v>45930</v>
      </c>
      <c r="C1895">
        <v>546008</v>
      </c>
      <c r="D1895">
        <v>142218.26699999999</v>
      </c>
      <c r="E1895" t="s">
        <v>6</v>
      </c>
      <c r="F1895" t="s">
        <v>51</v>
      </c>
      <c r="G1895" t="s">
        <v>7</v>
      </c>
    </row>
    <row r="1896" spans="1:7" x14ac:dyDescent="0.3">
      <c r="A1896" t="s">
        <v>32</v>
      </c>
      <c r="B1896" s="1">
        <v>45930</v>
      </c>
      <c r="C1896">
        <v>546012</v>
      </c>
      <c r="D1896">
        <v>150688.54</v>
      </c>
      <c r="E1896" t="s">
        <v>6</v>
      </c>
      <c r="F1896" t="s">
        <v>51</v>
      </c>
      <c r="G1896" t="s">
        <v>7</v>
      </c>
    </row>
    <row r="1897" spans="1:7" x14ac:dyDescent="0.3">
      <c r="A1897" t="s">
        <v>32</v>
      </c>
      <c r="B1897" s="1">
        <v>45930</v>
      </c>
      <c r="C1897">
        <v>546015</v>
      </c>
      <c r="D1897">
        <v>486549.34899999999</v>
      </c>
      <c r="E1897" t="s">
        <v>6</v>
      </c>
      <c r="F1897" t="s">
        <v>51</v>
      </c>
      <c r="G1897" t="s">
        <v>7</v>
      </c>
    </row>
    <row r="1898" spans="1:7" x14ac:dyDescent="0.3">
      <c r="A1898" t="s">
        <v>32</v>
      </c>
      <c r="B1898" s="1">
        <v>45930</v>
      </c>
      <c r="C1898">
        <v>546016</v>
      </c>
      <c r="D1898">
        <v>244923.747</v>
      </c>
      <c r="E1898" t="s">
        <v>6</v>
      </c>
      <c r="F1898" t="s">
        <v>51</v>
      </c>
      <c r="G1898" t="s">
        <v>7</v>
      </c>
    </row>
    <row r="1899" spans="1:7" x14ac:dyDescent="0.3">
      <c r="A1899" t="s">
        <v>32</v>
      </c>
      <c r="B1899" s="1">
        <v>45930</v>
      </c>
      <c r="C1899">
        <v>546018</v>
      </c>
      <c r="D1899">
        <v>9046.7849999999999</v>
      </c>
      <c r="E1899" t="s">
        <v>6</v>
      </c>
      <c r="F1899" t="s">
        <v>51</v>
      </c>
      <c r="G1899" t="s">
        <v>7</v>
      </c>
    </row>
    <row r="1900" spans="1:7" x14ac:dyDescent="0.3">
      <c r="A1900" t="s">
        <v>32</v>
      </c>
      <c r="B1900" s="1">
        <v>45930</v>
      </c>
      <c r="C1900">
        <v>546022</v>
      </c>
      <c r="D1900">
        <v>73605.896999999997</v>
      </c>
      <c r="E1900" t="s">
        <v>6</v>
      </c>
      <c r="F1900" t="s">
        <v>51</v>
      </c>
      <c r="G1900" t="s">
        <v>7</v>
      </c>
    </row>
    <row r="1901" spans="1:7" x14ac:dyDescent="0.3">
      <c r="A1901" t="s">
        <v>32</v>
      </c>
      <c r="B1901" s="1">
        <v>45930</v>
      </c>
      <c r="C1901">
        <v>546024</v>
      </c>
      <c r="D1901">
        <v>5010.7209999999995</v>
      </c>
      <c r="E1901" t="s">
        <v>6</v>
      </c>
      <c r="F1901" t="s">
        <v>51</v>
      </c>
      <c r="G1901" t="s">
        <v>7</v>
      </c>
    </row>
    <row r="1902" spans="1:7" x14ac:dyDescent="0.3">
      <c r="A1902" t="s">
        <v>32</v>
      </c>
      <c r="B1902" s="1">
        <v>45930</v>
      </c>
      <c r="C1902">
        <v>546035</v>
      </c>
      <c r="D1902">
        <v>28969.482</v>
      </c>
      <c r="E1902" t="s">
        <v>6</v>
      </c>
      <c r="F1902" t="s">
        <v>51</v>
      </c>
      <c r="G1902" t="s">
        <v>7</v>
      </c>
    </row>
    <row r="1903" spans="1:7" x14ac:dyDescent="0.3">
      <c r="A1903" t="s">
        <v>32</v>
      </c>
      <c r="B1903" s="1">
        <v>45930</v>
      </c>
      <c r="C1903">
        <v>546038</v>
      </c>
      <c r="D1903">
        <v>5592.8609999999999</v>
      </c>
      <c r="E1903" t="s">
        <v>6</v>
      </c>
      <c r="F1903" t="s">
        <v>51</v>
      </c>
      <c r="G1903" t="s">
        <v>7</v>
      </c>
    </row>
    <row r="1904" spans="1:7" x14ac:dyDescent="0.3">
      <c r="A1904" t="s">
        <v>32</v>
      </c>
      <c r="B1904" s="1">
        <v>45930</v>
      </c>
      <c r="C1904">
        <v>546040</v>
      </c>
      <c r="D1904">
        <v>345291.196</v>
      </c>
      <c r="E1904" t="s">
        <v>6</v>
      </c>
      <c r="F1904" t="s">
        <v>51</v>
      </c>
      <c r="G1904" t="s">
        <v>7</v>
      </c>
    </row>
    <row r="1905" spans="1:7" x14ac:dyDescent="0.3">
      <c r="A1905" t="s">
        <v>32</v>
      </c>
      <c r="B1905" s="1">
        <v>45930</v>
      </c>
      <c r="C1905">
        <v>546042</v>
      </c>
      <c r="D1905">
        <v>2328.549</v>
      </c>
      <c r="E1905" t="s">
        <v>6</v>
      </c>
      <c r="F1905" t="s">
        <v>51</v>
      </c>
      <c r="G1905" t="s">
        <v>7</v>
      </c>
    </row>
    <row r="1906" spans="1:7" x14ac:dyDescent="0.3">
      <c r="A1906" t="s">
        <v>32</v>
      </c>
      <c r="B1906" s="1">
        <v>45930</v>
      </c>
      <c r="C1906">
        <v>546045</v>
      </c>
      <c r="D1906">
        <v>19632.758000000002</v>
      </c>
      <c r="E1906" t="s">
        <v>6</v>
      </c>
      <c r="F1906" t="s">
        <v>51</v>
      </c>
      <c r="G1906" t="s">
        <v>7</v>
      </c>
    </row>
    <row r="1907" spans="1:7" x14ac:dyDescent="0.3">
      <c r="A1907" t="s">
        <v>32</v>
      </c>
      <c r="B1907" s="1">
        <v>45930</v>
      </c>
      <c r="C1907">
        <v>546046</v>
      </c>
      <c r="D1907">
        <v>23757.699000000001</v>
      </c>
      <c r="E1907" t="s">
        <v>6</v>
      </c>
      <c r="F1907" t="s">
        <v>51</v>
      </c>
      <c r="G1907" t="s">
        <v>7</v>
      </c>
    </row>
    <row r="1908" spans="1:7" x14ac:dyDescent="0.3">
      <c r="A1908" t="s">
        <v>32</v>
      </c>
      <c r="B1908" s="1">
        <v>45930</v>
      </c>
      <c r="C1908">
        <v>546047</v>
      </c>
      <c r="D1908">
        <v>13554.727000000001</v>
      </c>
      <c r="E1908" t="s">
        <v>6</v>
      </c>
      <c r="F1908" t="s">
        <v>51</v>
      </c>
      <c r="G1908" t="s">
        <v>7</v>
      </c>
    </row>
    <row r="1909" spans="1:7" x14ac:dyDescent="0.3">
      <c r="A1909" t="s">
        <v>32</v>
      </c>
      <c r="B1909" s="1">
        <v>45930</v>
      </c>
      <c r="C1909">
        <v>546050</v>
      </c>
      <c r="D1909">
        <v>42252.131000000001</v>
      </c>
      <c r="E1909" t="s">
        <v>6</v>
      </c>
      <c r="F1909" t="s">
        <v>51</v>
      </c>
      <c r="G1909" t="s">
        <v>7</v>
      </c>
    </row>
    <row r="1910" spans="1:7" x14ac:dyDescent="0.3">
      <c r="A1910" t="s">
        <v>32</v>
      </c>
      <c r="B1910" s="1">
        <v>45930</v>
      </c>
      <c r="C1910">
        <v>547002</v>
      </c>
      <c r="D1910">
        <v>550578.77099999995</v>
      </c>
      <c r="E1910" t="s">
        <v>6</v>
      </c>
      <c r="F1910" t="s">
        <v>54</v>
      </c>
      <c r="G1910" t="s">
        <v>7</v>
      </c>
    </row>
    <row r="1911" spans="1:7" x14ac:dyDescent="0.3">
      <c r="A1911" t="s">
        <v>32</v>
      </c>
      <c r="B1911" s="1">
        <v>45930</v>
      </c>
      <c r="C1911">
        <v>547006</v>
      </c>
      <c r="D1911">
        <v>22765.538</v>
      </c>
      <c r="E1911" t="s">
        <v>6</v>
      </c>
      <c r="F1911" t="s">
        <v>54</v>
      </c>
      <c r="G1911" t="s">
        <v>7</v>
      </c>
    </row>
    <row r="1912" spans="1:7" x14ac:dyDescent="0.3">
      <c r="A1912" t="s">
        <v>32</v>
      </c>
      <c r="B1912" s="1">
        <v>45930</v>
      </c>
      <c r="C1912">
        <v>547011</v>
      </c>
      <c r="D1912">
        <v>1329.3420000000001</v>
      </c>
      <c r="E1912" t="s">
        <v>6</v>
      </c>
      <c r="F1912" t="s">
        <v>54</v>
      </c>
      <c r="G1912" t="s">
        <v>7</v>
      </c>
    </row>
    <row r="1913" spans="1:7" x14ac:dyDescent="0.3">
      <c r="A1913" t="s">
        <v>32</v>
      </c>
      <c r="B1913" s="1">
        <v>45930</v>
      </c>
      <c r="C1913">
        <v>550002</v>
      </c>
      <c r="D1913">
        <v>-4360.0079999999998</v>
      </c>
      <c r="E1913" t="s">
        <v>6</v>
      </c>
      <c r="F1913" t="s">
        <v>62</v>
      </c>
      <c r="G1913" t="s">
        <v>7</v>
      </c>
    </row>
    <row r="1914" spans="1:7" x14ac:dyDescent="0.3">
      <c r="A1914" t="s">
        <v>32</v>
      </c>
      <c r="B1914" s="1">
        <v>45930</v>
      </c>
      <c r="C1914">
        <v>550003</v>
      </c>
      <c r="D1914">
        <v>1425222.4480000001</v>
      </c>
      <c r="E1914" t="s">
        <v>6</v>
      </c>
      <c r="F1914" t="s">
        <v>62</v>
      </c>
      <c r="G1914" t="s">
        <v>7</v>
      </c>
    </row>
    <row r="1915" spans="1:7" x14ac:dyDescent="0.3">
      <c r="A1915" t="s">
        <v>32</v>
      </c>
      <c r="B1915" s="1">
        <v>45930</v>
      </c>
      <c r="C1915">
        <v>551002</v>
      </c>
      <c r="D1915">
        <v>12017.437</v>
      </c>
      <c r="E1915" t="s">
        <v>6</v>
      </c>
      <c r="F1915" t="s">
        <v>63</v>
      </c>
      <c r="G1915" t="s">
        <v>7</v>
      </c>
    </row>
    <row r="1916" spans="1:7" x14ac:dyDescent="0.3">
      <c r="A1916" t="s">
        <v>32</v>
      </c>
      <c r="B1916" s="1">
        <v>45930</v>
      </c>
      <c r="C1916">
        <v>551003</v>
      </c>
      <c r="D1916">
        <v>31664.436000000002</v>
      </c>
      <c r="E1916" t="s">
        <v>6</v>
      </c>
      <c r="F1916" t="s">
        <v>63</v>
      </c>
      <c r="G1916" t="s">
        <v>7</v>
      </c>
    </row>
    <row r="1917" spans="1:7" x14ac:dyDescent="0.3">
      <c r="A1917" t="s">
        <v>32</v>
      </c>
      <c r="B1917" s="1">
        <v>45930</v>
      </c>
      <c r="C1917">
        <v>551008</v>
      </c>
      <c r="D1917">
        <v>530.72</v>
      </c>
      <c r="E1917" t="s">
        <v>6</v>
      </c>
      <c r="F1917" t="s">
        <v>63</v>
      </c>
      <c r="G1917" t="s">
        <v>7</v>
      </c>
    </row>
    <row r="1918" spans="1:7" x14ac:dyDescent="0.3">
      <c r="A1918" t="s">
        <v>32</v>
      </c>
      <c r="B1918" s="1">
        <v>45930</v>
      </c>
      <c r="C1918">
        <v>551011</v>
      </c>
      <c r="D1918">
        <v>710.09799999999996</v>
      </c>
      <c r="E1918" t="s">
        <v>6</v>
      </c>
      <c r="F1918" t="s">
        <v>61</v>
      </c>
      <c r="G1918" t="s">
        <v>7</v>
      </c>
    </row>
    <row r="1919" spans="1:7" x14ac:dyDescent="0.3">
      <c r="A1919" t="s">
        <v>32</v>
      </c>
      <c r="B1919" s="1">
        <v>45930</v>
      </c>
      <c r="C1919">
        <v>552002</v>
      </c>
      <c r="D1919">
        <v>1888.635</v>
      </c>
      <c r="E1919" t="s">
        <v>6</v>
      </c>
      <c r="F1919" t="s">
        <v>55</v>
      </c>
      <c r="G1919" t="s">
        <v>7</v>
      </c>
    </row>
    <row r="1920" spans="1:7" x14ac:dyDescent="0.3">
      <c r="A1920" t="s">
        <v>32</v>
      </c>
      <c r="B1920" s="1">
        <v>45930</v>
      </c>
      <c r="C1920">
        <v>552502</v>
      </c>
      <c r="D1920">
        <v>1.901</v>
      </c>
      <c r="E1920" t="s">
        <v>6</v>
      </c>
      <c r="F1920" t="s">
        <v>55</v>
      </c>
      <c r="G1920" t="s">
        <v>7</v>
      </c>
    </row>
    <row r="1921" spans="1:7" x14ac:dyDescent="0.3">
      <c r="A1921" t="s">
        <v>32</v>
      </c>
      <c r="B1921" s="1">
        <v>45930</v>
      </c>
      <c r="C1921">
        <v>552504</v>
      </c>
      <c r="D1921">
        <v>3154.2930000000001</v>
      </c>
      <c r="E1921" t="s">
        <v>6</v>
      </c>
      <c r="F1921" t="s">
        <v>55</v>
      </c>
      <c r="G1921" t="s">
        <v>7</v>
      </c>
    </row>
    <row r="1922" spans="1:7" x14ac:dyDescent="0.3">
      <c r="A1922" t="s">
        <v>32</v>
      </c>
      <c r="B1922" s="1">
        <v>45930</v>
      </c>
      <c r="C1922">
        <v>554005</v>
      </c>
      <c r="D1922">
        <v>2066.9270000000001</v>
      </c>
      <c r="E1922" t="s">
        <v>6</v>
      </c>
      <c r="F1922" t="s">
        <v>55</v>
      </c>
      <c r="G1922" t="s">
        <v>7</v>
      </c>
    </row>
    <row r="1923" spans="1:7" x14ac:dyDescent="0.3">
      <c r="A1923" t="s">
        <v>32</v>
      </c>
      <c r="B1923" s="1">
        <v>45930</v>
      </c>
      <c r="C1923">
        <v>554007</v>
      </c>
      <c r="D1923">
        <v>1124.809</v>
      </c>
      <c r="E1923" t="s">
        <v>6</v>
      </c>
      <c r="F1923" t="s">
        <v>55</v>
      </c>
      <c r="G1923" t="s">
        <v>7</v>
      </c>
    </row>
    <row r="1924" spans="1:7" x14ac:dyDescent="0.3">
      <c r="A1924" t="s">
        <v>32</v>
      </c>
      <c r="B1924" s="1">
        <v>45930</v>
      </c>
      <c r="C1924">
        <v>555007</v>
      </c>
      <c r="D1924">
        <v>11464.911</v>
      </c>
      <c r="E1924" t="s">
        <v>6</v>
      </c>
      <c r="F1924" t="s">
        <v>55</v>
      </c>
      <c r="G1924" t="s">
        <v>7</v>
      </c>
    </row>
    <row r="1925" spans="1:7" x14ac:dyDescent="0.3">
      <c r="A1925" t="s">
        <v>32</v>
      </c>
      <c r="B1925" s="1">
        <v>45930</v>
      </c>
      <c r="C1925">
        <v>555502</v>
      </c>
      <c r="D1925">
        <v>12918.871999999999</v>
      </c>
      <c r="E1925" t="s">
        <v>6</v>
      </c>
      <c r="F1925" t="s">
        <v>55</v>
      </c>
      <c r="G1925" t="s">
        <v>7</v>
      </c>
    </row>
    <row r="1926" spans="1:7" x14ac:dyDescent="0.3">
      <c r="A1926" t="s">
        <v>32</v>
      </c>
      <c r="B1926" s="1">
        <v>45930</v>
      </c>
      <c r="C1926">
        <v>555508</v>
      </c>
      <c r="D1926">
        <v>1999.2909999999999</v>
      </c>
      <c r="E1926" t="s">
        <v>6</v>
      </c>
      <c r="F1926" t="s">
        <v>55</v>
      </c>
      <c r="G1926" t="s">
        <v>7</v>
      </c>
    </row>
    <row r="1927" spans="1:7" x14ac:dyDescent="0.3">
      <c r="A1927" t="s">
        <v>32</v>
      </c>
      <c r="B1927" s="1">
        <v>45930</v>
      </c>
      <c r="C1927">
        <v>556002</v>
      </c>
      <c r="D1927">
        <v>807.27800000000002</v>
      </c>
      <c r="E1927" t="s">
        <v>6</v>
      </c>
      <c r="F1927" t="s">
        <v>60</v>
      </c>
      <c r="G1927" t="s">
        <v>7</v>
      </c>
    </row>
    <row r="1928" spans="1:7" x14ac:dyDescent="0.3">
      <c r="A1928" t="s">
        <v>32</v>
      </c>
      <c r="B1928" s="1">
        <v>45930</v>
      </c>
      <c r="C1928">
        <v>556004</v>
      </c>
      <c r="D1928">
        <v>6684.9309999999996</v>
      </c>
      <c r="E1928" t="s">
        <v>6</v>
      </c>
      <c r="F1928" t="s">
        <v>55</v>
      </c>
      <c r="G1928" t="s">
        <v>7</v>
      </c>
    </row>
    <row r="1929" spans="1:7" x14ac:dyDescent="0.3">
      <c r="A1929" t="s">
        <v>32</v>
      </c>
      <c r="B1929" s="1">
        <v>45930</v>
      </c>
      <c r="C1929">
        <v>557002</v>
      </c>
      <c r="D1929">
        <v>82557.904999999999</v>
      </c>
      <c r="E1929" t="s">
        <v>6</v>
      </c>
      <c r="F1929" t="s">
        <v>56</v>
      </c>
      <c r="G1929" t="s">
        <v>7</v>
      </c>
    </row>
    <row r="1930" spans="1:7" x14ac:dyDescent="0.3">
      <c r="A1930" t="s">
        <v>32</v>
      </c>
      <c r="B1930" s="1">
        <v>45930</v>
      </c>
      <c r="C1930">
        <v>557003</v>
      </c>
      <c r="D1930">
        <v>12658.519</v>
      </c>
      <c r="E1930" t="s">
        <v>6</v>
      </c>
      <c r="F1930" t="s">
        <v>56</v>
      </c>
      <c r="G1930" t="s">
        <v>7</v>
      </c>
    </row>
    <row r="1931" spans="1:7" x14ac:dyDescent="0.3">
      <c r="A1931" t="s">
        <v>32</v>
      </c>
      <c r="B1931" s="1">
        <v>45930</v>
      </c>
      <c r="C1931">
        <v>558003</v>
      </c>
      <c r="D1931">
        <v>10514.144</v>
      </c>
      <c r="E1931" t="s">
        <v>6</v>
      </c>
      <c r="F1931" t="s">
        <v>57</v>
      </c>
      <c r="G1931" t="s">
        <v>7</v>
      </c>
    </row>
    <row r="1932" spans="1:7" x14ac:dyDescent="0.3">
      <c r="A1932" t="s">
        <v>32</v>
      </c>
      <c r="B1932" s="1">
        <v>45930</v>
      </c>
      <c r="C1932">
        <v>558006</v>
      </c>
      <c r="D1932">
        <v>11717.498</v>
      </c>
      <c r="E1932" t="s">
        <v>6</v>
      </c>
      <c r="F1932" t="s">
        <v>57</v>
      </c>
      <c r="G1932" t="s">
        <v>7</v>
      </c>
    </row>
    <row r="1933" spans="1:7" x14ac:dyDescent="0.3">
      <c r="A1933" t="s">
        <v>32</v>
      </c>
      <c r="B1933" s="1">
        <v>45930</v>
      </c>
      <c r="C1933">
        <v>558007</v>
      </c>
      <c r="D1933">
        <v>439.93700000000001</v>
      </c>
      <c r="E1933" t="s">
        <v>6</v>
      </c>
      <c r="F1933" t="s">
        <v>60</v>
      </c>
      <c r="G1933" t="s">
        <v>7</v>
      </c>
    </row>
    <row r="1934" spans="1:7" x14ac:dyDescent="0.3">
      <c r="A1934" t="s">
        <v>32</v>
      </c>
      <c r="B1934" s="1">
        <v>45930</v>
      </c>
      <c r="C1934">
        <v>558012</v>
      </c>
      <c r="D1934">
        <v>3548.723</v>
      </c>
      <c r="E1934" t="s">
        <v>6</v>
      </c>
      <c r="F1934" t="s">
        <v>60</v>
      </c>
      <c r="G1934" t="s">
        <v>7</v>
      </c>
    </row>
    <row r="1935" spans="1:7" x14ac:dyDescent="0.3">
      <c r="A1935" t="s">
        <v>32</v>
      </c>
      <c r="B1935" s="1">
        <v>45930</v>
      </c>
      <c r="C1935">
        <v>559002</v>
      </c>
      <c r="D1935">
        <v>260.49599999999998</v>
      </c>
      <c r="E1935" t="s">
        <v>6</v>
      </c>
      <c r="F1935" t="s">
        <v>60</v>
      </c>
      <c r="G1935" t="s">
        <v>7</v>
      </c>
    </row>
    <row r="1936" spans="1:7" x14ac:dyDescent="0.3">
      <c r="A1936" t="s">
        <v>32</v>
      </c>
      <c r="B1936" s="1">
        <v>45930</v>
      </c>
      <c r="C1936">
        <v>562002</v>
      </c>
      <c r="D1936">
        <v>5486.9160000000002</v>
      </c>
      <c r="E1936" t="s">
        <v>6</v>
      </c>
      <c r="F1936" t="s">
        <v>57</v>
      </c>
      <c r="G1936" t="s">
        <v>7</v>
      </c>
    </row>
    <row r="1937" spans="1:7" x14ac:dyDescent="0.3">
      <c r="A1937" t="s">
        <v>32</v>
      </c>
      <c r="B1937" s="1">
        <v>45930</v>
      </c>
      <c r="C1937">
        <v>563002</v>
      </c>
      <c r="D1937">
        <v>-4902.6220000000003</v>
      </c>
      <c r="E1937" t="s">
        <v>6</v>
      </c>
      <c r="F1937" t="s">
        <v>57</v>
      </c>
      <c r="G1937" t="s">
        <v>7</v>
      </c>
    </row>
    <row r="1938" spans="1:7" x14ac:dyDescent="0.3">
      <c r="A1938" t="s">
        <v>32</v>
      </c>
      <c r="B1938" s="1">
        <v>45930</v>
      </c>
      <c r="C1938">
        <v>564004</v>
      </c>
      <c r="D1938">
        <v>197036.89499999999</v>
      </c>
      <c r="E1938" t="s">
        <v>6</v>
      </c>
      <c r="F1938" t="s">
        <v>51</v>
      </c>
      <c r="G1938" t="s">
        <v>7</v>
      </c>
    </row>
    <row r="1939" spans="1:7" x14ac:dyDescent="0.3">
      <c r="A1939" t="s">
        <v>32</v>
      </c>
      <c r="B1939" s="1">
        <v>45930</v>
      </c>
      <c r="C1939">
        <v>564006</v>
      </c>
      <c r="D1939">
        <v>-3.0819999999999999</v>
      </c>
      <c r="E1939" t="s">
        <v>6</v>
      </c>
      <c r="F1939" t="s">
        <v>57</v>
      </c>
      <c r="G1939" t="s">
        <v>7</v>
      </c>
    </row>
    <row r="1940" spans="1:7" x14ac:dyDescent="0.3">
      <c r="A1940" t="s">
        <v>32</v>
      </c>
      <c r="B1940" s="1">
        <v>45930</v>
      </c>
      <c r="C1940">
        <v>564007</v>
      </c>
      <c r="D1940">
        <v>1E-3</v>
      </c>
      <c r="E1940" t="s">
        <v>6</v>
      </c>
      <c r="F1940" t="s">
        <v>57</v>
      </c>
      <c r="G1940" t="s">
        <v>7</v>
      </c>
    </row>
    <row r="1941" spans="1:7" x14ac:dyDescent="0.3">
      <c r="A1941" t="s">
        <v>32</v>
      </c>
      <c r="B1941" s="1">
        <v>45930</v>
      </c>
      <c r="C1941">
        <v>564008</v>
      </c>
      <c r="D1941">
        <v>378.11700000000002</v>
      </c>
      <c r="E1941" t="s">
        <v>6</v>
      </c>
      <c r="F1941" t="s">
        <v>55</v>
      </c>
      <c r="G1941" t="s">
        <v>7</v>
      </c>
    </row>
    <row r="1942" spans="1:7" x14ac:dyDescent="0.3">
      <c r="A1942" t="s">
        <v>32</v>
      </c>
      <c r="B1942" s="1">
        <v>45930</v>
      </c>
      <c r="C1942">
        <v>564013</v>
      </c>
      <c r="D1942">
        <v>3056.4369999999999</v>
      </c>
      <c r="E1942" t="s">
        <v>6</v>
      </c>
      <c r="F1942" t="s">
        <v>69</v>
      </c>
      <c r="G1942" t="s">
        <v>7</v>
      </c>
    </row>
    <row r="1943" spans="1:7" x14ac:dyDescent="0.3">
      <c r="A1943" t="s">
        <v>32</v>
      </c>
      <c r="B1943" s="1">
        <v>45930</v>
      </c>
      <c r="C1943">
        <v>564020</v>
      </c>
      <c r="D1943">
        <v>754.68799999999999</v>
      </c>
      <c r="E1943" t="s">
        <v>6</v>
      </c>
      <c r="F1943" t="s">
        <v>57</v>
      </c>
      <c r="G1943" t="s">
        <v>7</v>
      </c>
    </row>
    <row r="1944" spans="1:7" x14ac:dyDescent="0.3">
      <c r="A1944" t="s">
        <v>32</v>
      </c>
      <c r="B1944" s="1">
        <v>45930</v>
      </c>
      <c r="C1944">
        <v>564021</v>
      </c>
      <c r="D1944">
        <v>193.55699999999999</v>
      </c>
      <c r="E1944" t="s">
        <v>6</v>
      </c>
      <c r="F1944" t="s">
        <v>57</v>
      </c>
      <c r="G1944" t="s">
        <v>7</v>
      </c>
    </row>
    <row r="1945" spans="1:7" x14ac:dyDescent="0.3">
      <c r="A1945" t="s">
        <v>32</v>
      </c>
      <c r="B1945" s="1">
        <v>45930</v>
      </c>
      <c r="C1945">
        <v>564022</v>
      </c>
      <c r="D1945">
        <v>11761.316999999999</v>
      </c>
      <c r="E1945" t="s">
        <v>6</v>
      </c>
      <c r="F1945" t="s">
        <v>67</v>
      </c>
      <c r="G1945" t="s">
        <v>7</v>
      </c>
    </row>
    <row r="1946" spans="1:7" x14ac:dyDescent="0.3">
      <c r="A1946" t="s">
        <v>32</v>
      </c>
      <c r="B1946" s="1">
        <v>45930</v>
      </c>
      <c r="C1946">
        <v>570002</v>
      </c>
      <c r="D1946">
        <v>15531.718999999999</v>
      </c>
      <c r="E1946" t="s">
        <v>6</v>
      </c>
      <c r="F1946" t="s">
        <v>66</v>
      </c>
      <c r="G1946" t="s">
        <v>7</v>
      </c>
    </row>
    <row r="1947" spans="1:7" x14ac:dyDescent="0.3">
      <c r="A1947" t="s">
        <v>32</v>
      </c>
      <c r="B1947" s="1">
        <v>45930</v>
      </c>
      <c r="C1947">
        <v>570004</v>
      </c>
      <c r="D1947">
        <v>24647.866999999998</v>
      </c>
      <c r="E1947" t="s">
        <v>6</v>
      </c>
      <c r="F1947" t="s">
        <v>66</v>
      </c>
      <c r="G1947" t="s">
        <v>7</v>
      </c>
    </row>
    <row r="1948" spans="1:7" x14ac:dyDescent="0.3">
      <c r="A1948" t="s">
        <v>32</v>
      </c>
      <c r="B1948" s="1">
        <v>45930</v>
      </c>
      <c r="C1948">
        <v>580002</v>
      </c>
      <c r="D1948">
        <v>121894.26300000001</v>
      </c>
      <c r="E1948" t="s">
        <v>6</v>
      </c>
      <c r="F1948" t="s">
        <v>64</v>
      </c>
      <c r="G1948" t="s">
        <v>7</v>
      </c>
    </row>
    <row r="1949" spans="1:7" x14ac:dyDescent="0.3">
      <c r="A1949" t="s">
        <v>32</v>
      </c>
      <c r="B1949" s="1">
        <v>45930</v>
      </c>
      <c r="C1949">
        <v>580003</v>
      </c>
      <c r="D1949">
        <v>40244.353999999999</v>
      </c>
      <c r="E1949" t="s">
        <v>6</v>
      </c>
      <c r="F1949" t="s">
        <v>64</v>
      </c>
      <c r="G1949" t="s">
        <v>7</v>
      </c>
    </row>
    <row r="1950" spans="1:7" x14ac:dyDescent="0.3">
      <c r="A1950" t="s">
        <v>32</v>
      </c>
      <c r="B1950" s="1">
        <v>45930</v>
      </c>
      <c r="C1950">
        <v>580005</v>
      </c>
      <c r="D1950">
        <v>-101076.747</v>
      </c>
      <c r="E1950" t="s">
        <v>6</v>
      </c>
      <c r="F1950" t="s">
        <v>64</v>
      </c>
      <c r="G1950" t="s">
        <v>7</v>
      </c>
    </row>
    <row r="1951" spans="1:7" x14ac:dyDescent="0.3">
      <c r="A1951" t="s">
        <v>33</v>
      </c>
      <c r="B1951" s="1">
        <v>45930</v>
      </c>
      <c r="C1951">
        <v>210002</v>
      </c>
      <c r="D1951">
        <v>-643648.30000000005</v>
      </c>
      <c r="E1951" t="s">
        <v>4</v>
      </c>
      <c r="F1951" t="s">
        <v>42</v>
      </c>
      <c r="G1951" t="s">
        <v>7</v>
      </c>
    </row>
    <row r="1952" spans="1:7" x14ac:dyDescent="0.3">
      <c r="A1952" t="s">
        <v>33</v>
      </c>
      <c r="B1952" s="1">
        <v>45930</v>
      </c>
      <c r="C1952">
        <v>220006</v>
      </c>
      <c r="D1952">
        <v>-326813.26400000002</v>
      </c>
      <c r="E1952" t="s">
        <v>4</v>
      </c>
      <c r="F1952" t="s">
        <v>42</v>
      </c>
      <c r="G1952" t="s">
        <v>7</v>
      </c>
    </row>
    <row r="1953" spans="1:7" x14ac:dyDescent="0.3">
      <c r="A1953" t="s">
        <v>33</v>
      </c>
      <c r="B1953" s="1">
        <v>45930</v>
      </c>
      <c r="C1953">
        <v>220011</v>
      </c>
      <c r="D1953">
        <v>671649.48400000005</v>
      </c>
      <c r="E1953" t="s">
        <v>4</v>
      </c>
      <c r="F1953" t="s">
        <v>42</v>
      </c>
      <c r="G1953" t="s">
        <v>7</v>
      </c>
    </row>
    <row r="1954" spans="1:7" x14ac:dyDescent="0.3">
      <c r="A1954" t="s">
        <v>33</v>
      </c>
      <c r="B1954" s="1">
        <v>45930</v>
      </c>
      <c r="C1954">
        <v>240002</v>
      </c>
      <c r="D1954">
        <v>-676.17100000000005</v>
      </c>
      <c r="E1954" t="s">
        <v>4</v>
      </c>
      <c r="F1954" t="s">
        <v>43</v>
      </c>
      <c r="G1954" t="s">
        <v>7</v>
      </c>
    </row>
    <row r="1955" spans="1:7" x14ac:dyDescent="0.3">
      <c r="A1955" t="s">
        <v>33</v>
      </c>
      <c r="B1955" s="1">
        <v>45930</v>
      </c>
      <c r="C1955">
        <v>240009</v>
      </c>
      <c r="D1955">
        <v>-143.196</v>
      </c>
      <c r="E1955" t="s">
        <v>4</v>
      </c>
      <c r="F1955" t="s">
        <v>43</v>
      </c>
      <c r="G1955" t="s">
        <v>7</v>
      </c>
    </row>
    <row r="1956" spans="1:7" x14ac:dyDescent="0.3">
      <c r="A1956" t="s">
        <v>33</v>
      </c>
      <c r="B1956" s="1">
        <v>45930</v>
      </c>
      <c r="C1956">
        <v>242003</v>
      </c>
      <c r="D1956">
        <v>-748525.33700000006</v>
      </c>
      <c r="E1956" t="s">
        <v>4</v>
      </c>
      <c r="F1956" t="s">
        <v>43</v>
      </c>
      <c r="G1956" t="s">
        <v>7</v>
      </c>
    </row>
    <row r="1957" spans="1:7" x14ac:dyDescent="0.3">
      <c r="A1957" t="s">
        <v>33</v>
      </c>
      <c r="B1957" s="1">
        <v>45930</v>
      </c>
      <c r="C1957">
        <v>242011</v>
      </c>
      <c r="D1957">
        <v>-106072.359</v>
      </c>
      <c r="E1957" t="s">
        <v>4</v>
      </c>
      <c r="F1957" t="s">
        <v>43</v>
      </c>
      <c r="G1957" t="s">
        <v>7</v>
      </c>
    </row>
    <row r="1958" spans="1:7" x14ac:dyDescent="0.3">
      <c r="A1958" t="s">
        <v>33</v>
      </c>
      <c r="B1958" s="1">
        <v>45930</v>
      </c>
      <c r="C1958">
        <v>242012</v>
      </c>
      <c r="D1958">
        <v>-948.40300000000002</v>
      </c>
      <c r="E1958" t="s">
        <v>4</v>
      </c>
      <c r="F1958" t="s">
        <v>43</v>
      </c>
      <c r="G1958" t="s">
        <v>7</v>
      </c>
    </row>
    <row r="1959" spans="1:7" x14ac:dyDescent="0.3">
      <c r="A1959" t="s">
        <v>33</v>
      </c>
      <c r="B1959" s="1">
        <v>45930</v>
      </c>
      <c r="C1959">
        <v>242014</v>
      </c>
      <c r="D1959">
        <v>-30490.603999999999</v>
      </c>
      <c r="E1959" t="s">
        <v>4</v>
      </c>
      <c r="F1959" t="s">
        <v>43</v>
      </c>
      <c r="G1959" t="s">
        <v>7</v>
      </c>
    </row>
    <row r="1960" spans="1:7" x14ac:dyDescent="0.3">
      <c r="A1960" t="s">
        <v>33</v>
      </c>
      <c r="B1960" s="1">
        <v>45930</v>
      </c>
      <c r="C1960">
        <v>242027</v>
      </c>
      <c r="D1960">
        <v>-6729.8360000000002</v>
      </c>
      <c r="E1960" t="s">
        <v>4</v>
      </c>
      <c r="F1960" t="s">
        <v>43</v>
      </c>
      <c r="G1960" t="s">
        <v>7</v>
      </c>
    </row>
    <row r="1961" spans="1:7" x14ac:dyDescent="0.3">
      <c r="A1961" t="s">
        <v>33</v>
      </c>
      <c r="B1961" s="1">
        <v>45930</v>
      </c>
      <c r="C1961">
        <v>242030</v>
      </c>
      <c r="D1961">
        <v>-71480.277000000002</v>
      </c>
      <c r="E1961" t="s">
        <v>4</v>
      </c>
      <c r="F1961" t="s">
        <v>43</v>
      </c>
      <c r="G1961" t="s">
        <v>7</v>
      </c>
    </row>
    <row r="1962" spans="1:7" x14ac:dyDescent="0.3">
      <c r="A1962" t="s">
        <v>33</v>
      </c>
      <c r="B1962" s="1">
        <v>45930</v>
      </c>
      <c r="C1962">
        <v>242041</v>
      </c>
      <c r="D1962">
        <v>3189.2080000000001</v>
      </c>
      <c r="E1962" t="s">
        <v>4</v>
      </c>
      <c r="F1962" t="s">
        <v>43</v>
      </c>
      <c r="G1962" t="s">
        <v>7</v>
      </c>
    </row>
    <row r="1963" spans="1:7" x14ac:dyDescent="0.3">
      <c r="A1963" t="s">
        <v>33</v>
      </c>
      <c r="B1963" s="1">
        <v>45930</v>
      </c>
      <c r="C1963">
        <v>243002</v>
      </c>
      <c r="D1963">
        <v>-1229.251</v>
      </c>
      <c r="E1963" t="s">
        <v>4</v>
      </c>
      <c r="F1963" t="s">
        <v>43</v>
      </c>
      <c r="G1963" t="s">
        <v>7</v>
      </c>
    </row>
    <row r="1964" spans="1:7" x14ac:dyDescent="0.3">
      <c r="A1964" t="s">
        <v>33</v>
      </c>
      <c r="B1964" s="1">
        <v>45930</v>
      </c>
      <c r="C1964">
        <v>243003</v>
      </c>
      <c r="D1964">
        <v>-11339.365</v>
      </c>
      <c r="E1964" t="s">
        <v>4</v>
      </c>
      <c r="F1964" t="s">
        <v>43</v>
      </c>
      <c r="G1964" t="s">
        <v>7</v>
      </c>
    </row>
    <row r="1965" spans="1:7" x14ac:dyDescent="0.3">
      <c r="A1965" t="s">
        <v>33</v>
      </c>
      <c r="B1965" s="1">
        <v>45930</v>
      </c>
      <c r="C1965">
        <v>243009</v>
      </c>
      <c r="D1965">
        <v>-142.089</v>
      </c>
      <c r="E1965" t="s">
        <v>4</v>
      </c>
      <c r="F1965" t="s">
        <v>43</v>
      </c>
      <c r="G1965" t="s">
        <v>7</v>
      </c>
    </row>
    <row r="1966" spans="1:7" x14ac:dyDescent="0.3">
      <c r="A1966" t="s">
        <v>33</v>
      </c>
      <c r="B1966" s="1">
        <v>45930</v>
      </c>
      <c r="C1966">
        <v>245010</v>
      </c>
      <c r="D1966">
        <v>-39509.589</v>
      </c>
      <c r="E1966" t="s">
        <v>4</v>
      </c>
      <c r="F1966" t="s">
        <v>44</v>
      </c>
      <c r="G1966" t="s">
        <v>7</v>
      </c>
    </row>
    <row r="1967" spans="1:7" x14ac:dyDescent="0.3">
      <c r="A1967" t="s">
        <v>33</v>
      </c>
      <c r="B1967" s="1">
        <v>45930</v>
      </c>
      <c r="C1967">
        <v>245018</v>
      </c>
      <c r="D1967">
        <v>-9131.8580000000002</v>
      </c>
      <c r="E1967" t="s">
        <v>4</v>
      </c>
      <c r="F1967" t="s">
        <v>43</v>
      </c>
      <c r="G1967" t="s">
        <v>7</v>
      </c>
    </row>
    <row r="1968" spans="1:7" x14ac:dyDescent="0.3">
      <c r="A1968" t="s">
        <v>33</v>
      </c>
      <c r="B1968" s="1">
        <v>45930</v>
      </c>
      <c r="C1968">
        <v>245056</v>
      </c>
      <c r="D1968">
        <v>-36.527000000000001</v>
      </c>
      <c r="E1968" t="s">
        <v>4</v>
      </c>
      <c r="F1968" t="s">
        <v>49</v>
      </c>
      <c r="G1968" t="s">
        <v>7</v>
      </c>
    </row>
    <row r="1969" spans="1:7" x14ac:dyDescent="0.3">
      <c r="A1969" t="s">
        <v>33</v>
      </c>
      <c r="B1969" s="1">
        <v>45930</v>
      </c>
      <c r="C1969">
        <v>245062</v>
      </c>
      <c r="D1969">
        <v>-43561.620999999999</v>
      </c>
      <c r="E1969" t="s">
        <v>4</v>
      </c>
      <c r="F1969" t="s">
        <v>43</v>
      </c>
      <c r="G1969" t="s">
        <v>7</v>
      </c>
    </row>
    <row r="1970" spans="1:7" x14ac:dyDescent="0.3">
      <c r="A1970" t="s">
        <v>33</v>
      </c>
      <c r="B1970" s="1">
        <v>45930</v>
      </c>
      <c r="C1970">
        <v>250003</v>
      </c>
      <c r="D1970">
        <v>-10881.953</v>
      </c>
      <c r="E1970" t="s">
        <v>4</v>
      </c>
      <c r="F1970" t="s">
        <v>45</v>
      </c>
      <c r="G1970" t="s">
        <v>7</v>
      </c>
    </row>
    <row r="1971" spans="1:7" x14ac:dyDescent="0.3">
      <c r="A1971" t="s">
        <v>33</v>
      </c>
      <c r="B1971" s="1">
        <v>45930</v>
      </c>
      <c r="C1971">
        <v>250007</v>
      </c>
      <c r="D1971">
        <v>-48358.447</v>
      </c>
      <c r="E1971" t="s">
        <v>4</v>
      </c>
      <c r="F1971" t="s">
        <v>43</v>
      </c>
      <c r="G1971" t="s">
        <v>7</v>
      </c>
    </row>
    <row r="1972" spans="1:7" x14ac:dyDescent="0.3">
      <c r="A1972" t="s">
        <v>33</v>
      </c>
      <c r="B1972" s="1">
        <v>45930</v>
      </c>
      <c r="C1972">
        <v>251005</v>
      </c>
      <c r="D1972">
        <v>2472.1179999999999</v>
      </c>
      <c r="E1972" t="s">
        <v>4</v>
      </c>
      <c r="F1972" t="s">
        <v>46</v>
      </c>
      <c r="G1972" t="s">
        <v>7</v>
      </c>
    </row>
    <row r="1973" spans="1:7" x14ac:dyDescent="0.3">
      <c r="A1973" t="s">
        <v>33</v>
      </c>
      <c r="B1973" s="1">
        <v>45930</v>
      </c>
      <c r="C1973">
        <v>257008</v>
      </c>
      <c r="D1973">
        <v>-8741.9689999999991</v>
      </c>
      <c r="E1973" t="s">
        <v>4</v>
      </c>
      <c r="F1973" t="s">
        <v>45</v>
      </c>
      <c r="G1973" t="s">
        <v>7</v>
      </c>
    </row>
    <row r="1974" spans="1:7" x14ac:dyDescent="0.3">
      <c r="A1974" t="s">
        <v>33</v>
      </c>
      <c r="B1974" s="1">
        <v>45930</v>
      </c>
      <c r="C1974">
        <v>257009</v>
      </c>
      <c r="D1974">
        <v>-7799.3159999999998</v>
      </c>
      <c r="E1974" t="s">
        <v>4</v>
      </c>
      <c r="F1974" t="s">
        <v>45</v>
      </c>
      <c r="G1974" t="s">
        <v>7</v>
      </c>
    </row>
    <row r="1975" spans="1:7" x14ac:dyDescent="0.3">
      <c r="A1975" t="s">
        <v>33</v>
      </c>
      <c r="B1975" s="1">
        <v>45930</v>
      </c>
      <c r="C1975">
        <v>257011</v>
      </c>
      <c r="D1975">
        <v>-5333.38</v>
      </c>
      <c r="E1975" t="s">
        <v>4</v>
      </c>
      <c r="F1975" t="s">
        <v>45</v>
      </c>
      <c r="G1975" t="s">
        <v>7</v>
      </c>
    </row>
    <row r="1976" spans="1:7" x14ac:dyDescent="0.3">
      <c r="A1976" t="s">
        <v>33</v>
      </c>
      <c r="B1976" s="1">
        <v>45930</v>
      </c>
      <c r="C1976">
        <v>257028</v>
      </c>
      <c r="D1976">
        <v>-32392.343000000001</v>
      </c>
      <c r="E1976" t="s">
        <v>4</v>
      </c>
      <c r="F1976" t="s">
        <v>45</v>
      </c>
      <c r="G1976" t="s">
        <v>7</v>
      </c>
    </row>
    <row r="1977" spans="1:7" x14ac:dyDescent="0.3">
      <c r="A1977" t="s">
        <v>33</v>
      </c>
      <c r="B1977" s="1">
        <v>45930</v>
      </c>
      <c r="C1977">
        <v>260004</v>
      </c>
      <c r="D1977">
        <v>9374.1</v>
      </c>
      <c r="E1977" t="s">
        <v>4</v>
      </c>
      <c r="F1977" t="s">
        <v>45</v>
      </c>
      <c r="G1977" t="s">
        <v>7</v>
      </c>
    </row>
    <row r="1978" spans="1:7" x14ac:dyDescent="0.3">
      <c r="A1978" t="s">
        <v>33</v>
      </c>
      <c r="B1978" s="1">
        <v>45930</v>
      </c>
      <c r="C1978">
        <v>270024</v>
      </c>
      <c r="D1978">
        <v>-109.93899999999999</v>
      </c>
      <c r="E1978" t="s">
        <v>4</v>
      </c>
      <c r="F1978" t="s">
        <v>58</v>
      </c>
      <c r="G1978" t="s">
        <v>7</v>
      </c>
    </row>
    <row r="1979" spans="1:7" x14ac:dyDescent="0.3">
      <c r="A1979" t="s">
        <v>33</v>
      </c>
      <c r="B1979" s="1">
        <v>45930</v>
      </c>
      <c r="C1979">
        <v>270025</v>
      </c>
      <c r="D1979">
        <v>-70.680000000000007</v>
      </c>
      <c r="E1979" t="s">
        <v>4</v>
      </c>
      <c r="F1979" t="s">
        <v>58</v>
      </c>
      <c r="G1979" t="s">
        <v>7</v>
      </c>
    </row>
    <row r="1980" spans="1:7" x14ac:dyDescent="0.3">
      <c r="A1980" t="s">
        <v>33</v>
      </c>
      <c r="B1980" s="1">
        <v>45930</v>
      </c>
      <c r="C1980">
        <v>270026</v>
      </c>
      <c r="D1980">
        <v>-78.168000000000006</v>
      </c>
      <c r="E1980" t="s">
        <v>4</v>
      </c>
      <c r="F1980" t="s">
        <v>58</v>
      </c>
      <c r="G1980" t="s">
        <v>7</v>
      </c>
    </row>
    <row r="1981" spans="1:7" x14ac:dyDescent="0.3">
      <c r="A1981" t="s">
        <v>33</v>
      </c>
      <c r="B1981" s="1">
        <v>45930</v>
      </c>
      <c r="C1981">
        <v>270027</v>
      </c>
      <c r="D1981">
        <v>-34.796999999999997</v>
      </c>
      <c r="E1981" t="s">
        <v>4</v>
      </c>
      <c r="F1981" t="s">
        <v>58</v>
      </c>
      <c r="G1981" t="s">
        <v>7</v>
      </c>
    </row>
    <row r="1982" spans="1:7" x14ac:dyDescent="0.3">
      <c r="A1982" t="s">
        <v>33</v>
      </c>
      <c r="B1982" s="1">
        <v>45930</v>
      </c>
      <c r="C1982">
        <v>300004</v>
      </c>
      <c r="D1982">
        <v>94848.826000000001</v>
      </c>
      <c r="E1982" t="s">
        <v>4</v>
      </c>
      <c r="F1982" t="s">
        <v>65</v>
      </c>
      <c r="G1982" t="s">
        <v>7</v>
      </c>
    </row>
    <row r="1983" spans="1:7" x14ac:dyDescent="0.3">
      <c r="A1983" t="s">
        <v>33</v>
      </c>
      <c r="B1983" s="1">
        <v>45930</v>
      </c>
      <c r="C1983">
        <v>300005</v>
      </c>
      <c r="D1983">
        <v>15809.064</v>
      </c>
      <c r="E1983" t="s">
        <v>4</v>
      </c>
      <c r="F1983" t="s">
        <v>65</v>
      </c>
      <c r="G1983" t="s">
        <v>7</v>
      </c>
    </row>
    <row r="1984" spans="1:7" x14ac:dyDescent="0.3">
      <c r="A1984" t="s">
        <v>33</v>
      </c>
      <c r="B1984" s="1">
        <v>45930</v>
      </c>
      <c r="C1984">
        <v>300008</v>
      </c>
      <c r="D1984">
        <v>20132.905999999999</v>
      </c>
      <c r="E1984" t="s">
        <v>4</v>
      </c>
      <c r="F1984" t="s">
        <v>65</v>
      </c>
      <c r="G1984" t="s">
        <v>7</v>
      </c>
    </row>
    <row r="1985" spans="1:7" x14ac:dyDescent="0.3">
      <c r="A1985" t="s">
        <v>33</v>
      </c>
      <c r="B1985" s="1">
        <v>45930</v>
      </c>
      <c r="C1985">
        <v>300009</v>
      </c>
      <c r="D1985">
        <v>1388.934</v>
      </c>
      <c r="E1985" t="s">
        <v>4</v>
      </c>
      <c r="F1985" t="s">
        <v>65</v>
      </c>
      <c r="G1985" t="s">
        <v>7</v>
      </c>
    </row>
    <row r="1986" spans="1:7" x14ac:dyDescent="0.3">
      <c r="A1986" t="s">
        <v>33</v>
      </c>
      <c r="B1986" s="1">
        <v>45930</v>
      </c>
      <c r="C1986">
        <v>300011</v>
      </c>
      <c r="D1986">
        <v>2435.7080000000001</v>
      </c>
      <c r="E1986" t="s">
        <v>4</v>
      </c>
      <c r="F1986" t="s">
        <v>65</v>
      </c>
      <c r="G1986" t="s">
        <v>7</v>
      </c>
    </row>
    <row r="1987" spans="1:7" x14ac:dyDescent="0.3">
      <c r="A1987" t="s">
        <v>33</v>
      </c>
      <c r="B1987" s="1">
        <v>45930</v>
      </c>
      <c r="C1987">
        <v>300012</v>
      </c>
      <c r="D1987">
        <v>23648.300999999999</v>
      </c>
      <c r="E1987" t="s">
        <v>4</v>
      </c>
      <c r="F1987" t="s">
        <v>65</v>
      </c>
      <c r="G1987" t="s">
        <v>7</v>
      </c>
    </row>
    <row r="1988" spans="1:7" x14ac:dyDescent="0.3">
      <c r="A1988" t="s">
        <v>33</v>
      </c>
      <c r="B1988" s="1">
        <v>45930</v>
      </c>
      <c r="C1988">
        <v>300014</v>
      </c>
      <c r="D1988">
        <v>4115.5910000000003</v>
      </c>
      <c r="E1988" t="s">
        <v>4</v>
      </c>
      <c r="F1988" t="s">
        <v>65</v>
      </c>
      <c r="G1988" t="s">
        <v>7</v>
      </c>
    </row>
    <row r="1989" spans="1:7" x14ac:dyDescent="0.3">
      <c r="A1989" t="s">
        <v>33</v>
      </c>
      <c r="B1989" s="1">
        <v>45930</v>
      </c>
      <c r="C1989">
        <v>300504</v>
      </c>
      <c r="D1989">
        <v>-93053.846999999994</v>
      </c>
      <c r="E1989" t="s">
        <v>4</v>
      </c>
      <c r="F1989" t="s">
        <v>65</v>
      </c>
      <c r="G1989" t="s">
        <v>7</v>
      </c>
    </row>
    <row r="1990" spans="1:7" x14ac:dyDescent="0.3">
      <c r="A1990" t="s">
        <v>33</v>
      </c>
      <c r="B1990" s="1">
        <v>45930</v>
      </c>
      <c r="C1990">
        <v>300505</v>
      </c>
      <c r="D1990">
        <v>-15689.116</v>
      </c>
      <c r="E1990" t="s">
        <v>4</v>
      </c>
      <c r="F1990" t="s">
        <v>65</v>
      </c>
      <c r="G1990" t="s">
        <v>7</v>
      </c>
    </row>
    <row r="1991" spans="1:7" x14ac:dyDescent="0.3">
      <c r="A1991" t="s">
        <v>33</v>
      </c>
      <c r="B1991" s="1">
        <v>45930</v>
      </c>
      <c r="C1991">
        <v>300508</v>
      </c>
      <c r="D1991">
        <v>-20132.905999999999</v>
      </c>
      <c r="E1991" t="s">
        <v>4</v>
      </c>
      <c r="F1991" t="s">
        <v>65</v>
      </c>
      <c r="G1991" t="s">
        <v>7</v>
      </c>
    </row>
    <row r="1992" spans="1:7" x14ac:dyDescent="0.3">
      <c r="A1992" t="s">
        <v>33</v>
      </c>
      <c r="B1992" s="1">
        <v>45930</v>
      </c>
      <c r="C1992">
        <v>300509</v>
      </c>
      <c r="D1992">
        <v>-1388.934</v>
      </c>
      <c r="E1992" t="s">
        <v>4</v>
      </c>
      <c r="F1992" t="s">
        <v>65</v>
      </c>
      <c r="G1992" t="s">
        <v>7</v>
      </c>
    </row>
    <row r="1993" spans="1:7" x14ac:dyDescent="0.3">
      <c r="A1993" t="s">
        <v>33</v>
      </c>
      <c r="B1993" s="1">
        <v>45930</v>
      </c>
      <c r="C1993">
        <v>300511</v>
      </c>
      <c r="D1993">
        <v>-2435.7080000000001</v>
      </c>
      <c r="E1993" t="s">
        <v>4</v>
      </c>
      <c r="F1993" t="s">
        <v>65</v>
      </c>
      <c r="G1993" t="s">
        <v>7</v>
      </c>
    </row>
    <row r="1994" spans="1:7" x14ac:dyDescent="0.3">
      <c r="A1994" t="s">
        <v>33</v>
      </c>
      <c r="B1994" s="1">
        <v>45930</v>
      </c>
      <c r="C1994">
        <v>300512</v>
      </c>
      <c r="D1994">
        <v>-23620.152999999998</v>
      </c>
      <c r="E1994" t="s">
        <v>4</v>
      </c>
      <c r="F1994" t="s">
        <v>65</v>
      </c>
      <c r="G1994" t="s">
        <v>7</v>
      </c>
    </row>
    <row r="1995" spans="1:7" x14ac:dyDescent="0.3">
      <c r="A1995" t="s">
        <v>33</v>
      </c>
      <c r="B1995" s="1">
        <v>45930</v>
      </c>
      <c r="C1995">
        <v>300514</v>
      </c>
      <c r="D1995">
        <v>-4115.5910000000003</v>
      </c>
      <c r="E1995" t="s">
        <v>4</v>
      </c>
      <c r="F1995" t="s">
        <v>65</v>
      </c>
      <c r="G1995" t="s">
        <v>7</v>
      </c>
    </row>
    <row r="1996" spans="1:7" x14ac:dyDescent="0.3">
      <c r="A1996" t="s">
        <v>33</v>
      </c>
      <c r="B1996" s="1">
        <v>45930</v>
      </c>
      <c r="C1996">
        <v>301002</v>
      </c>
      <c r="D1996">
        <v>389540.402</v>
      </c>
      <c r="E1996" t="s">
        <v>4</v>
      </c>
      <c r="F1996" t="s">
        <v>68</v>
      </c>
      <c r="G1996" t="s">
        <v>7</v>
      </c>
    </row>
    <row r="1997" spans="1:7" x14ac:dyDescent="0.3">
      <c r="A1997" t="s">
        <v>33</v>
      </c>
      <c r="B1997" s="1">
        <v>45930</v>
      </c>
      <c r="C1997">
        <v>301004</v>
      </c>
      <c r="D1997">
        <v>27155.072</v>
      </c>
      <c r="E1997" t="s">
        <v>4</v>
      </c>
      <c r="F1997" t="s">
        <v>65</v>
      </c>
      <c r="G1997" t="s">
        <v>7</v>
      </c>
    </row>
    <row r="1998" spans="1:7" x14ac:dyDescent="0.3">
      <c r="A1998" t="s">
        <v>33</v>
      </c>
      <c r="B1998" s="1">
        <v>45930</v>
      </c>
      <c r="C1998">
        <v>301502</v>
      </c>
      <c r="D1998">
        <v>-389540.402</v>
      </c>
      <c r="E1998" t="s">
        <v>4</v>
      </c>
      <c r="F1998" t="s">
        <v>68</v>
      </c>
      <c r="G1998" t="s">
        <v>7</v>
      </c>
    </row>
    <row r="1999" spans="1:7" x14ac:dyDescent="0.3">
      <c r="A1999" t="s">
        <v>33</v>
      </c>
      <c r="B1999" s="1">
        <v>45930</v>
      </c>
      <c r="C1999">
        <v>301504</v>
      </c>
      <c r="D1999">
        <v>-27155.072</v>
      </c>
      <c r="E1999" t="s">
        <v>4</v>
      </c>
      <c r="F1999" t="s">
        <v>65</v>
      </c>
      <c r="G1999" t="s">
        <v>7</v>
      </c>
    </row>
    <row r="2000" spans="1:7" x14ac:dyDescent="0.3">
      <c r="A2000" t="s">
        <v>33</v>
      </c>
      <c r="B2000" s="1">
        <v>45930</v>
      </c>
      <c r="C2000">
        <v>310032</v>
      </c>
      <c r="D2000">
        <v>6.3710000000000004</v>
      </c>
      <c r="E2000" t="s">
        <v>4</v>
      </c>
      <c r="F2000" t="s">
        <v>42</v>
      </c>
      <c r="G2000" t="s">
        <v>7</v>
      </c>
    </row>
    <row r="2001" spans="1:7" x14ac:dyDescent="0.3">
      <c r="A2001" t="s">
        <v>33</v>
      </c>
      <c r="B2001" s="1">
        <v>45930</v>
      </c>
      <c r="C2001">
        <v>320003</v>
      </c>
      <c r="D2001">
        <v>683982.04700000002</v>
      </c>
      <c r="E2001" t="s">
        <v>4</v>
      </c>
      <c r="F2001" t="s">
        <v>46</v>
      </c>
      <c r="G2001" t="s">
        <v>7</v>
      </c>
    </row>
    <row r="2002" spans="1:7" x14ac:dyDescent="0.3">
      <c r="A2002" t="s">
        <v>33</v>
      </c>
      <c r="B2002" s="1">
        <v>45930</v>
      </c>
      <c r="C2002">
        <v>320010</v>
      </c>
      <c r="D2002">
        <v>85318.854000000007</v>
      </c>
      <c r="E2002" t="s">
        <v>4</v>
      </c>
      <c r="F2002" t="s">
        <v>46</v>
      </c>
      <c r="G2002" t="s">
        <v>7</v>
      </c>
    </row>
    <row r="2003" spans="1:7" x14ac:dyDescent="0.3">
      <c r="A2003" t="s">
        <v>33</v>
      </c>
      <c r="B2003" s="1">
        <v>45930</v>
      </c>
      <c r="C2003">
        <v>320023</v>
      </c>
      <c r="D2003">
        <v>-310255.57900000003</v>
      </c>
      <c r="E2003" t="s">
        <v>4</v>
      </c>
      <c r="F2003" t="s">
        <v>46</v>
      </c>
      <c r="G2003" t="s">
        <v>7</v>
      </c>
    </row>
    <row r="2004" spans="1:7" x14ac:dyDescent="0.3">
      <c r="A2004" t="s">
        <v>33</v>
      </c>
      <c r="B2004" s="1">
        <v>45930</v>
      </c>
      <c r="C2004">
        <v>321002</v>
      </c>
      <c r="D2004">
        <v>311072.56199999998</v>
      </c>
      <c r="E2004" t="s">
        <v>4</v>
      </c>
      <c r="F2004" t="s">
        <v>46</v>
      </c>
      <c r="G2004" t="s">
        <v>7</v>
      </c>
    </row>
    <row r="2005" spans="1:7" x14ac:dyDescent="0.3">
      <c r="A2005" t="s">
        <v>33</v>
      </c>
      <c r="B2005" s="1">
        <v>45930</v>
      </c>
      <c r="C2005">
        <v>321012</v>
      </c>
      <c r="D2005">
        <v>78742.129000000001</v>
      </c>
      <c r="E2005" t="s">
        <v>4</v>
      </c>
      <c r="F2005" t="s">
        <v>46</v>
      </c>
      <c r="G2005" t="s">
        <v>7</v>
      </c>
    </row>
    <row r="2006" spans="1:7" x14ac:dyDescent="0.3">
      <c r="A2006" t="s">
        <v>33</v>
      </c>
      <c r="B2006" s="1">
        <v>45930</v>
      </c>
      <c r="C2006">
        <v>321014</v>
      </c>
      <c r="D2006">
        <v>13817.201999999999</v>
      </c>
      <c r="E2006" t="s">
        <v>4</v>
      </c>
      <c r="F2006" t="s">
        <v>46</v>
      </c>
      <c r="G2006" t="s">
        <v>7</v>
      </c>
    </row>
    <row r="2007" spans="1:7" x14ac:dyDescent="0.3">
      <c r="A2007" t="s">
        <v>33</v>
      </c>
      <c r="B2007" s="1">
        <v>45930</v>
      </c>
      <c r="C2007">
        <v>321021</v>
      </c>
      <c r="D2007">
        <v>11718.194</v>
      </c>
      <c r="E2007" t="s">
        <v>4</v>
      </c>
      <c r="F2007" t="s">
        <v>46</v>
      </c>
      <c r="G2007" t="s">
        <v>7</v>
      </c>
    </row>
    <row r="2008" spans="1:7" x14ac:dyDescent="0.3">
      <c r="A2008" t="s">
        <v>33</v>
      </c>
      <c r="B2008" s="1">
        <v>45930</v>
      </c>
      <c r="C2008">
        <v>321028</v>
      </c>
      <c r="D2008">
        <v>-2289.85</v>
      </c>
      <c r="E2008" t="s">
        <v>4</v>
      </c>
      <c r="F2008" t="s">
        <v>46</v>
      </c>
      <c r="G2008" t="s">
        <v>7</v>
      </c>
    </row>
    <row r="2009" spans="1:7" x14ac:dyDescent="0.3">
      <c r="A2009" t="s">
        <v>33</v>
      </c>
      <c r="B2009" s="1">
        <v>45930</v>
      </c>
      <c r="C2009">
        <v>321029</v>
      </c>
      <c r="D2009">
        <v>27397.773000000001</v>
      </c>
      <c r="E2009" t="s">
        <v>4</v>
      </c>
      <c r="F2009" t="s">
        <v>46</v>
      </c>
      <c r="G2009" t="s">
        <v>7</v>
      </c>
    </row>
    <row r="2010" spans="1:7" x14ac:dyDescent="0.3">
      <c r="A2010" t="s">
        <v>33</v>
      </c>
      <c r="B2010" s="1">
        <v>45930</v>
      </c>
      <c r="C2010">
        <v>321041</v>
      </c>
      <c r="D2010">
        <v>351.70299999999997</v>
      </c>
      <c r="E2010" t="s">
        <v>4</v>
      </c>
      <c r="F2010" t="s">
        <v>46</v>
      </c>
      <c r="G2010" t="s">
        <v>7</v>
      </c>
    </row>
    <row r="2011" spans="1:7" x14ac:dyDescent="0.3">
      <c r="A2011" t="s">
        <v>33</v>
      </c>
      <c r="B2011" s="1">
        <v>45930</v>
      </c>
      <c r="C2011">
        <v>321042</v>
      </c>
      <c r="D2011">
        <v>137.51599999999999</v>
      </c>
      <c r="E2011" t="s">
        <v>4</v>
      </c>
      <c r="F2011" t="s">
        <v>46</v>
      </c>
      <c r="G2011" t="s">
        <v>7</v>
      </c>
    </row>
    <row r="2012" spans="1:7" x14ac:dyDescent="0.3">
      <c r="A2012" t="s">
        <v>33</v>
      </c>
      <c r="B2012" s="1">
        <v>45930</v>
      </c>
      <c r="C2012">
        <v>330034</v>
      </c>
      <c r="D2012">
        <v>2673.8710000000001</v>
      </c>
      <c r="E2012" t="s">
        <v>4</v>
      </c>
      <c r="F2012" t="s">
        <v>43</v>
      </c>
      <c r="G2012" t="s">
        <v>7</v>
      </c>
    </row>
    <row r="2013" spans="1:7" x14ac:dyDescent="0.3">
      <c r="A2013" t="s">
        <v>33</v>
      </c>
      <c r="B2013" s="1">
        <v>45930</v>
      </c>
      <c r="C2013">
        <v>330052</v>
      </c>
      <c r="D2013">
        <v>-1194.1659999999999</v>
      </c>
      <c r="E2013" t="s">
        <v>4</v>
      </c>
      <c r="F2013" t="s">
        <v>43</v>
      </c>
      <c r="G2013" t="s">
        <v>7</v>
      </c>
    </row>
    <row r="2014" spans="1:7" x14ac:dyDescent="0.3">
      <c r="A2014" t="s">
        <v>33</v>
      </c>
      <c r="B2014" s="1">
        <v>45930</v>
      </c>
      <c r="C2014">
        <v>330065</v>
      </c>
      <c r="D2014">
        <v>-291.77</v>
      </c>
      <c r="E2014" t="s">
        <v>4</v>
      </c>
      <c r="F2014" t="s">
        <v>43</v>
      </c>
      <c r="G2014" t="s">
        <v>7</v>
      </c>
    </row>
    <row r="2015" spans="1:7" x14ac:dyDescent="0.3">
      <c r="A2015" t="s">
        <v>33</v>
      </c>
      <c r="B2015" s="1">
        <v>45930</v>
      </c>
      <c r="C2015">
        <v>330136</v>
      </c>
      <c r="D2015">
        <v>-10366.050999999999</v>
      </c>
      <c r="E2015" t="s">
        <v>4</v>
      </c>
      <c r="F2015" t="s">
        <v>43</v>
      </c>
      <c r="G2015" t="s">
        <v>7</v>
      </c>
    </row>
    <row r="2016" spans="1:7" x14ac:dyDescent="0.3">
      <c r="A2016" t="s">
        <v>33</v>
      </c>
      <c r="B2016" s="1">
        <v>45930</v>
      </c>
      <c r="C2016">
        <v>340156</v>
      </c>
      <c r="D2016">
        <v>81732.763999999996</v>
      </c>
      <c r="E2016" t="s">
        <v>4</v>
      </c>
      <c r="F2016" t="s">
        <v>47</v>
      </c>
      <c r="G2016" t="s">
        <v>7</v>
      </c>
    </row>
    <row r="2017" spans="1:7" x14ac:dyDescent="0.3">
      <c r="A2017" t="s">
        <v>33</v>
      </c>
      <c r="B2017" s="1">
        <v>45930</v>
      </c>
      <c r="C2017">
        <v>340157</v>
      </c>
      <c r="D2017">
        <v>19211948.068999998</v>
      </c>
      <c r="E2017" t="s">
        <v>4</v>
      </c>
      <c r="F2017" t="s">
        <v>47</v>
      </c>
      <c r="G2017" t="s">
        <v>7</v>
      </c>
    </row>
    <row r="2018" spans="1:7" x14ac:dyDescent="0.3">
      <c r="A2018" t="s">
        <v>33</v>
      </c>
      <c r="B2018" s="1">
        <v>45930</v>
      </c>
      <c r="C2018">
        <v>340158</v>
      </c>
      <c r="D2018">
        <v>-18909505.890000001</v>
      </c>
      <c r="E2018" t="s">
        <v>4</v>
      </c>
      <c r="F2018" t="s">
        <v>47</v>
      </c>
      <c r="G2018" t="s">
        <v>7</v>
      </c>
    </row>
    <row r="2019" spans="1:7" x14ac:dyDescent="0.3">
      <c r="A2019" t="s">
        <v>33</v>
      </c>
      <c r="B2019" s="1">
        <v>45930</v>
      </c>
      <c r="C2019">
        <v>350002</v>
      </c>
      <c r="D2019">
        <v>779.15599999999995</v>
      </c>
      <c r="E2019" t="s">
        <v>4</v>
      </c>
      <c r="F2019" t="s">
        <v>49</v>
      </c>
      <c r="G2019" t="s">
        <v>7</v>
      </c>
    </row>
    <row r="2020" spans="1:7" x14ac:dyDescent="0.3">
      <c r="A2020" t="s">
        <v>33</v>
      </c>
      <c r="B2020" s="1">
        <v>45930</v>
      </c>
      <c r="C2020">
        <v>350005</v>
      </c>
      <c r="D2020">
        <v>-155.13</v>
      </c>
      <c r="E2020" t="s">
        <v>4</v>
      </c>
      <c r="F2020" t="s">
        <v>49</v>
      </c>
      <c r="G2020" t="s">
        <v>7</v>
      </c>
    </row>
    <row r="2021" spans="1:7" x14ac:dyDescent="0.3">
      <c r="A2021" t="s">
        <v>33</v>
      </c>
      <c r="B2021" s="1">
        <v>45930</v>
      </c>
      <c r="C2021">
        <v>350031</v>
      </c>
      <c r="D2021">
        <v>143.196</v>
      </c>
      <c r="E2021" t="s">
        <v>4</v>
      </c>
      <c r="F2021" t="s">
        <v>43</v>
      </c>
      <c r="G2021" t="s">
        <v>7</v>
      </c>
    </row>
    <row r="2022" spans="1:7" x14ac:dyDescent="0.3">
      <c r="A2022" t="s">
        <v>33</v>
      </c>
      <c r="B2022" s="1">
        <v>45930</v>
      </c>
      <c r="C2022">
        <v>350034</v>
      </c>
      <c r="D2022">
        <v>36.527000000000001</v>
      </c>
      <c r="E2022" t="s">
        <v>4</v>
      </c>
      <c r="F2022" t="s">
        <v>49</v>
      </c>
      <c r="G2022" t="s">
        <v>7</v>
      </c>
    </row>
    <row r="2023" spans="1:7" x14ac:dyDescent="0.3">
      <c r="A2023" t="s">
        <v>33</v>
      </c>
      <c r="B2023" s="1">
        <v>45930</v>
      </c>
      <c r="C2023">
        <v>351004</v>
      </c>
      <c r="D2023">
        <v>9383.7829999999994</v>
      </c>
      <c r="E2023" t="s">
        <v>4</v>
      </c>
      <c r="F2023" t="s">
        <v>45</v>
      </c>
      <c r="G2023" t="s">
        <v>7</v>
      </c>
    </row>
    <row r="2024" spans="1:7" x14ac:dyDescent="0.3">
      <c r="A2024" t="s">
        <v>33</v>
      </c>
      <c r="B2024" s="1">
        <v>45930</v>
      </c>
      <c r="C2024">
        <v>352002</v>
      </c>
      <c r="D2024">
        <v>1299.7919999999999</v>
      </c>
      <c r="E2024" t="s">
        <v>4</v>
      </c>
      <c r="F2024" t="s">
        <v>48</v>
      </c>
      <c r="G2024" t="s">
        <v>7</v>
      </c>
    </row>
    <row r="2025" spans="1:7" x14ac:dyDescent="0.3">
      <c r="A2025" t="s">
        <v>33</v>
      </c>
      <c r="B2025" s="1">
        <v>45930</v>
      </c>
      <c r="C2025">
        <v>354014</v>
      </c>
      <c r="D2025">
        <v>40934.364999999998</v>
      </c>
      <c r="E2025" t="s">
        <v>4</v>
      </c>
      <c r="F2025" t="s">
        <v>46</v>
      </c>
      <c r="G2025" t="s">
        <v>7</v>
      </c>
    </row>
    <row r="2026" spans="1:7" x14ac:dyDescent="0.3">
      <c r="A2026" t="s">
        <v>33</v>
      </c>
      <c r="B2026" s="1">
        <v>45930</v>
      </c>
      <c r="C2026">
        <v>355018</v>
      </c>
      <c r="D2026">
        <v>71.620999999999995</v>
      </c>
      <c r="E2026" t="s">
        <v>4</v>
      </c>
      <c r="F2026" t="s">
        <v>49</v>
      </c>
      <c r="G2026" t="s">
        <v>7</v>
      </c>
    </row>
    <row r="2027" spans="1:7" x14ac:dyDescent="0.3">
      <c r="A2027" t="s">
        <v>33</v>
      </c>
      <c r="B2027" s="1">
        <v>45930</v>
      </c>
      <c r="C2027">
        <v>360026</v>
      </c>
      <c r="D2027">
        <v>-98548.298999999999</v>
      </c>
      <c r="E2027" t="s">
        <v>4</v>
      </c>
      <c r="F2027" t="s">
        <v>58</v>
      </c>
      <c r="G2027" t="s">
        <v>7</v>
      </c>
    </row>
    <row r="2028" spans="1:7" x14ac:dyDescent="0.3">
      <c r="A2028" t="s">
        <v>33</v>
      </c>
      <c r="B2028" s="1">
        <v>45930</v>
      </c>
      <c r="C2028">
        <v>360028</v>
      </c>
      <c r="D2028">
        <v>-5290.366</v>
      </c>
      <c r="E2028" t="s">
        <v>4</v>
      </c>
      <c r="F2028" t="s">
        <v>58</v>
      </c>
      <c r="G2028" t="s">
        <v>7</v>
      </c>
    </row>
    <row r="2029" spans="1:7" x14ac:dyDescent="0.3">
      <c r="A2029" t="s">
        <v>33</v>
      </c>
      <c r="B2029" s="1">
        <v>45930</v>
      </c>
      <c r="C2029">
        <v>360030</v>
      </c>
      <c r="D2029">
        <v>37.823</v>
      </c>
      <c r="E2029" t="s">
        <v>4</v>
      </c>
      <c r="F2029" t="s">
        <v>58</v>
      </c>
      <c r="G2029" t="s">
        <v>7</v>
      </c>
    </row>
    <row r="2030" spans="1:7" x14ac:dyDescent="0.3">
      <c r="A2030" t="s">
        <v>33</v>
      </c>
      <c r="B2030" s="1">
        <v>45930</v>
      </c>
      <c r="C2030">
        <v>360032</v>
      </c>
      <c r="D2030">
        <v>25.215</v>
      </c>
      <c r="E2030" t="s">
        <v>4</v>
      </c>
      <c r="F2030" t="s">
        <v>58</v>
      </c>
      <c r="G2030" t="s">
        <v>7</v>
      </c>
    </row>
    <row r="2031" spans="1:7" x14ac:dyDescent="0.3">
      <c r="A2031" t="s">
        <v>33</v>
      </c>
      <c r="B2031" s="1">
        <v>45930</v>
      </c>
      <c r="C2031">
        <v>364502</v>
      </c>
      <c r="D2031">
        <v>97144.758000000002</v>
      </c>
      <c r="E2031" t="s">
        <v>4</v>
      </c>
      <c r="F2031" t="s">
        <v>58</v>
      </c>
      <c r="G2031" t="s">
        <v>7</v>
      </c>
    </row>
    <row r="2032" spans="1:7" x14ac:dyDescent="0.3">
      <c r="A2032" t="s">
        <v>33</v>
      </c>
      <c r="B2032" s="1">
        <v>45930</v>
      </c>
      <c r="C2032">
        <v>410002</v>
      </c>
      <c r="D2032">
        <v>-244923.747</v>
      </c>
      <c r="E2032" t="s">
        <v>6</v>
      </c>
      <c r="F2032" t="s">
        <v>51</v>
      </c>
      <c r="G2032" t="s">
        <v>7</v>
      </c>
    </row>
    <row r="2033" spans="1:7" x14ac:dyDescent="0.3">
      <c r="A2033" t="s">
        <v>33</v>
      </c>
      <c r="B2033" s="1">
        <v>45930</v>
      </c>
      <c r="C2033">
        <v>410006</v>
      </c>
      <c r="D2033">
        <v>-27631.837</v>
      </c>
      <c r="E2033" t="s">
        <v>6</v>
      </c>
      <c r="F2033" t="s">
        <v>51</v>
      </c>
      <c r="G2033" t="s">
        <v>7</v>
      </c>
    </row>
    <row r="2034" spans="1:7" x14ac:dyDescent="0.3">
      <c r="A2034" t="s">
        <v>33</v>
      </c>
      <c r="B2034" s="1">
        <v>45930</v>
      </c>
      <c r="C2034">
        <v>410009</v>
      </c>
      <c r="D2034">
        <v>-2677.116</v>
      </c>
      <c r="E2034" t="s">
        <v>6</v>
      </c>
      <c r="F2034" t="s">
        <v>51</v>
      </c>
      <c r="G2034" t="s">
        <v>7</v>
      </c>
    </row>
    <row r="2035" spans="1:7" x14ac:dyDescent="0.3">
      <c r="A2035" t="s">
        <v>33</v>
      </c>
      <c r="B2035" s="1">
        <v>45930</v>
      </c>
      <c r="C2035">
        <v>410036</v>
      </c>
      <c r="D2035">
        <v>-89.858999999999995</v>
      </c>
      <c r="E2035" t="s">
        <v>6</v>
      </c>
      <c r="F2035" t="s">
        <v>51</v>
      </c>
      <c r="G2035" t="s">
        <v>7</v>
      </c>
    </row>
    <row r="2036" spans="1:7" x14ac:dyDescent="0.3">
      <c r="A2036" t="s">
        <v>33</v>
      </c>
      <c r="B2036" s="1">
        <v>45930</v>
      </c>
      <c r="C2036">
        <v>410037</v>
      </c>
      <c r="D2036">
        <v>-74008.156000000003</v>
      </c>
      <c r="E2036" t="s">
        <v>6</v>
      </c>
      <c r="F2036" t="s">
        <v>51</v>
      </c>
      <c r="G2036" t="s">
        <v>7</v>
      </c>
    </row>
    <row r="2037" spans="1:7" x14ac:dyDescent="0.3">
      <c r="A2037" t="s">
        <v>33</v>
      </c>
      <c r="B2037" s="1">
        <v>45930</v>
      </c>
      <c r="C2037">
        <v>410046</v>
      </c>
      <c r="D2037">
        <v>-341.048</v>
      </c>
      <c r="E2037" t="s">
        <v>6</v>
      </c>
      <c r="F2037" t="s">
        <v>51</v>
      </c>
      <c r="G2037" t="s">
        <v>7</v>
      </c>
    </row>
    <row r="2038" spans="1:7" x14ac:dyDescent="0.3">
      <c r="A2038" t="s">
        <v>33</v>
      </c>
      <c r="B2038" s="1">
        <v>45930</v>
      </c>
      <c r="C2038">
        <v>415002</v>
      </c>
      <c r="D2038">
        <v>-440474.70199999999</v>
      </c>
      <c r="E2038" t="s">
        <v>6</v>
      </c>
      <c r="F2038" t="s">
        <v>50</v>
      </c>
      <c r="G2038" t="s">
        <v>7</v>
      </c>
    </row>
    <row r="2039" spans="1:7" x14ac:dyDescent="0.3">
      <c r="A2039" t="s">
        <v>33</v>
      </c>
      <c r="B2039" s="1">
        <v>45930</v>
      </c>
      <c r="C2039">
        <v>415004</v>
      </c>
      <c r="D2039">
        <v>-433414.674</v>
      </c>
      <c r="E2039" t="s">
        <v>6</v>
      </c>
      <c r="F2039" t="s">
        <v>50</v>
      </c>
      <c r="G2039" t="s">
        <v>7</v>
      </c>
    </row>
    <row r="2040" spans="1:7" x14ac:dyDescent="0.3">
      <c r="A2040" t="s">
        <v>33</v>
      </c>
      <c r="B2040" s="1">
        <v>45930</v>
      </c>
      <c r="C2040">
        <v>421003</v>
      </c>
      <c r="D2040">
        <v>-3154.884</v>
      </c>
      <c r="E2040" t="s">
        <v>6</v>
      </c>
      <c r="F2040" t="s">
        <v>52</v>
      </c>
      <c r="G2040" t="s">
        <v>7</v>
      </c>
    </row>
    <row r="2041" spans="1:7" x14ac:dyDescent="0.3">
      <c r="A2041" t="s">
        <v>33</v>
      </c>
      <c r="B2041" s="1">
        <v>45930</v>
      </c>
      <c r="C2041">
        <v>421007</v>
      </c>
      <c r="D2041">
        <v>-132.84100000000001</v>
      </c>
      <c r="E2041" t="s">
        <v>6</v>
      </c>
      <c r="F2041" t="s">
        <v>52</v>
      </c>
      <c r="G2041" t="s">
        <v>7</v>
      </c>
    </row>
    <row r="2042" spans="1:7" x14ac:dyDescent="0.3">
      <c r="A2042" t="s">
        <v>33</v>
      </c>
      <c r="B2042" s="1">
        <v>45930</v>
      </c>
      <c r="C2042">
        <v>510002</v>
      </c>
      <c r="D2042">
        <v>393178.31900000002</v>
      </c>
      <c r="E2042" t="s">
        <v>6</v>
      </c>
      <c r="F2042" t="s">
        <v>53</v>
      </c>
      <c r="G2042" t="s">
        <v>7</v>
      </c>
    </row>
    <row r="2043" spans="1:7" x14ac:dyDescent="0.3">
      <c r="A2043" t="s">
        <v>33</v>
      </c>
      <c r="B2043" s="1">
        <v>45930</v>
      </c>
      <c r="C2043">
        <v>510005</v>
      </c>
      <c r="D2043">
        <v>6962.0749999999998</v>
      </c>
      <c r="E2043" t="s">
        <v>6</v>
      </c>
      <c r="F2043" t="s">
        <v>53</v>
      </c>
      <c r="G2043" t="s">
        <v>7</v>
      </c>
    </row>
    <row r="2044" spans="1:7" x14ac:dyDescent="0.3">
      <c r="A2044" t="s">
        <v>33</v>
      </c>
      <c r="B2044" s="1">
        <v>45930</v>
      </c>
      <c r="C2044">
        <v>510007</v>
      </c>
      <c r="D2044">
        <v>37381.42</v>
      </c>
      <c r="E2044" t="s">
        <v>6</v>
      </c>
      <c r="F2044" t="s">
        <v>53</v>
      </c>
      <c r="G2044" t="s">
        <v>7</v>
      </c>
    </row>
    <row r="2045" spans="1:7" x14ac:dyDescent="0.3">
      <c r="A2045" t="s">
        <v>33</v>
      </c>
      <c r="B2045" s="1">
        <v>45930</v>
      </c>
      <c r="C2045">
        <v>510010</v>
      </c>
      <c r="D2045">
        <v>3537.6320000000001</v>
      </c>
      <c r="E2045" t="s">
        <v>6</v>
      </c>
      <c r="F2045" t="s">
        <v>53</v>
      </c>
      <c r="G2045" t="s">
        <v>7</v>
      </c>
    </row>
    <row r="2046" spans="1:7" x14ac:dyDescent="0.3">
      <c r="A2046" t="s">
        <v>33</v>
      </c>
      <c r="B2046" s="1">
        <v>45930</v>
      </c>
      <c r="C2046">
        <v>510012</v>
      </c>
      <c r="D2046">
        <v>532.18200000000002</v>
      </c>
      <c r="E2046" t="s">
        <v>6</v>
      </c>
      <c r="F2046" t="s">
        <v>53</v>
      </c>
      <c r="G2046" t="s">
        <v>7</v>
      </c>
    </row>
    <row r="2047" spans="1:7" x14ac:dyDescent="0.3">
      <c r="A2047" t="s">
        <v>33</v>
      </c>
      <c r="B2047" s="1">
        <v>45930</v>
      </c>
      <c r="C2047">
        <v>510015</v>
      </c>
      <c r="D2047">
        <v>31423.454000000002</v>
      </c>
      <c r="E2047" t="s">
        <v>6</v>
      </c>
      <c r="F2047" t="s">
        <v>53</v>
      </c>
      <c r="G2047" t="s">
        <v>7</v>
      </c>
    </row>
    <row r="2048" spans="1:7" x14ac:dyDescent="0.3">
      <c r="A2048" t="s">
        <v>33</v>
      </c>
      <c r="B2048" s="1">
        <v>45930</v>
      </c>
      <c r="C2048">
        <v>510018</v>
      </c>
      <c r="D2048">
        <v>136900.53700000001</v>
      </c>
      <c r="E2048" t="s">
        <v>6</v>
      </c>
      <c r="F2048" t="s">
        <v>53</v>
      </c>
      <c r="G2048" t="s">
        <v>7</v>
      </c>
    </row>
    <row r="2049" spans="1:7" x14ac:dyDescent="0.3">
      <c r="A2049" t="s">
        <v>33</v>
      </c>
      <c r="B2049" s="1">
        <v>45930</v>
      </c>
      <c r="C2049">
        <v>510059</v>
      </c>
      <c r="D2049">
        <v>903.21400000000006</v>
      </c>
      <c r="E2049" t="s">
        <v>6</v>
      </c>
      <c r="F2049" t="s">
        <v>53</v>
      </c>
      <c r="G2049" t="s">
        <v>7</v>
      </c>
    </row>
    <row r="2050" spans="1:7" x14ac:dyDescent="0.3">
      <c r="A2050" t="s">
        <v>33</v>
      </c>
      <c r="B2050" s="1">
        <v>45930</v>
      </c>
      <c r="C2050">
        <v>510062</v>
      </c>
      <c r="D2050">
        <v>3237.2260000000001</v>
      </c>
      <c r="E2050" t="s">
        <v>6</v>
      </c>
      <c r="F2050" t="s">
        <v>53</v>
      </c>
      <c r="G2050" t="s">
        <v>7</v>
      </c>
    </row>
    <row r="2051" spans="1:7" x14ac:dyDescent="0.3">
      <c r="A2051" t="s">
        <v>33</v>
      </c>
      <c r="B2051" s="1">
        <v>45930</v>
      </c>
      <c r="C2051">
        <v>510065</v>
      </c>
      <c r="D2051">
        <v>4045.8110000000001</v>
      </c>
      <c r="E2051" t="s">
        <v>6</v>
      </c>
      <c r="F2051" t="s">
        <v>53</v>
      </c>
      <c r="G2051" t="s">
        <v>7</v>
      </c>
    </row>
    <row r="2052" spans="1:7" x14ac:dyDescent="0.3">
      <c r="A2052" t="s">
        <v>33</v>
      </c>
      <c r="B2052" s="1">
        <v>45930</v>
      </c>
      <c r="C2052">
        <v>520021</v>
      </c>
      <c r="D2052">
        <v>833.64800000000002</v>
      </c>
      <c r="E2052" t="s">
        <v>6</v>
      </c>
      <c r="F2052" t="s">
        <v>60</v>
      </c>
      <c r="G2052" t="s">
        <v>7</v>
      </c>
    </row>
    <row r="2053" spans="1:7" x14ac:dyDescent="0.3">
      <c r="A2053" t="s">
        <v>33</v>
      </c>
      <c r="B2053" s="1">
        <v>45930</v>
      </c>
      <c r="C2053">
        <v>530012</v>
      </c>
      <c r="D2053">
        <v>2450.6999999999998</v>
      </c>
      <c r="E2053" t="s">
        <v>6</v>
      </c>
      <c r="F2053" t="s">
        <v>53</v>
      </c>
      <c r="G2053" t="s">
        <v>7</v>
      </c>
    </row>
    <row r="2054" spans="1:7" x14ac:dyDescent="0.3">
      <c r="A2054" t="s">
        <v>33</v>
      </c>
      <c r="B2054" s="1">
        <v>45930</v>
      </c>
      <c r="C2054">
        <v>541004</v>
      </c>
      <c r="D2054">
        <v>834.73699999999997</v>
      </c>
      <c r="E2054" t="s">
        <v>6</v>
      </c>
      <c r="F2054" t="s">
        <v>61</v>
      </c>
      <c r="G2054" t="s">
        <v>7</v>
      </c>
    </row>
    <row r="2055" spans="1:7" x14ac:dyDescent="0.3">
      <c r="A2055" t="s">
        <v>33</v>
      </c>
      <c r="B2055" s="1">
        <v>45930</v>
      </c>
      <c r="C2055">
        <v>541009</v>
      </c>
      <c r="D2055">
        <v>3979.8029999999999</v>
      </c>
      <c r="E2055" t="s">
        <v>6</v>
      </c>
      <c r="F2055" t="s">
        <v>61</v>
      </c>
      <c r="G2055" t="s">
        <v>7</v>
      </c>
    </row>
    <row r="2056" spans="1:7" x14ac:dyDescent="0.3">
      <c r="A2056" t="s">
        <v>33</v>
      </c>
      <c r="B2056" s="1">
        <v>45930</v>
      </c>
      <c r="C2056">
        <v>541010</v>
      </c>
      <c r="D2056">
        <v>4060.0859999999998</v>
      </c>
      <c r="E2056" t="s">
        <v>6</v>
      </c>
      <c r="F2056" t="s">
        <v>61</v>
      </c>
      <c r="G2056" t="s">
        <v>7</v>
      </c>
    </row>
    <row r="2057" spans="1:7" x14ac:dyDescent="0.3">
      <c r="A2057" t="s">
        <v>33</v>
      </c>
      <c r="B2057" s="1">
        <v>45930</v>
      </c>
      <c r="C2057">
        <v>541013</v>
      </c>
      <c r="D2057">
        <v>77.933999999999997</v>
      </c>
      <c r="E2057" t="s">
        <v>6</v>
      </c>
      <c r="F2057" t="s">
        <v>61</v>
      </c>
      <c r="G2057" t="s">
        <v>7</v>
      </c>
    </row>
    <row r="2058" spans="1:7" x14ac:dyDescent="0.3">
      <c r="A2058" t="s">
        <v>33</v>
      </c>
      <c r="B2058" s="1">
        <v>45930</v>
      </c>
      <c r="C2058">
        <v>541023</v>
      </c>
      <c r="D2058">
        <v>341.09800000000001</v>
      </c>
      <c r="E2058" t="s">
        <v>6</v>
      </c>
      <c r="F2058" t="s">
        <v>61</v>
      </c>
      <c r="G2058" t="s">
        <v>7</v>
      </c>
    </row>
    <row r="2059" spans="1:7" x14ac:dyDescent="0.3">
      <c r="A2059" t="s">
        <v>33</v>
      </c>
      <c r="B2059" s="1">
        <v>45930</v>
      </c>
      <c r="C2059">
        <v>546002</v>
      </c>
      <c r="D2059">
        <v>411743.951</v>
      </c>
      <c r="E2059" t="s">
        <v>6</v>
      </c>
      <c r="F2059" t="s">
        <v>51</v>
      </c>
      <c r="G2059" t="s">
        <v>7</v>
      </c>
    </row>
    <row r="2060" spans="1:7" x14ac:dyDescent="0.3">
      <c r="A2060" t="s">
        <v>33</v>
      </c>
      <c r="B2060" s="1">
        <v>45930</v>
      </c>
      <c r="C2060">
        <v>546008</v>
      </c>
      <c r="D2060">
        <v>13436.200999999999</v>
      </c>
      <c r="E2060" t="s">
        <v>6</v>
      </c>
      <c r="F2060" t="s">
        <v>51</v>
      </c>
      <c r="G2060" t="s">
        <v>7</v>
      </c>
    </row>
    <row r="2061" spans="1:7" x14ac:dyDescent="0.3">
      <c r="A2061" t="s">
        <v>33</v>
      </c>
      <c r="B2061" s="1">
        <v>45930</v>
      </c>
      <c r="C2061">
        <v>546013</v>
      </c>
      <c r="D2061">
        <v>153618.177</v>
      </c>
      <c r="E2061" t="s">
        <v>6</v>
      </c>
      <c r="F2061" t="s">
        <v>51</v>
      </c>
      <c r="G2061" t="s">
        <v>7</v>
      </c>
    </row>
    <row r="2062" spans="1:7" x14ac:dyDescent="0.3">
      <c r="A2062" t="s">
        <v>33</v>
      </c>
      <c r="B2062" s="1">
        <v>45930</v>
      </c>
      <c r="C2062">
        <v>546015</v>
      </c>
      <c r="D2062">
        <v>539.68100000000004</v>
      </c>
      <c r="E2062" t="s">
        <v>6</v>
      </c>
      <c r="F2062" t="s">
        <v>51</v>
      </c>
      <c r="G2062" t="s">
        <v>7</v>
      </c>
    </row>
    <row r="2063" spans="1:7" x14ac:dyDescent="0.3">
      <c r="A2063" t="s">
        <v>33</v>
      </c>
      <c r="B2063" s="1">
        <v>45930</v>
      </c>
      <c r="C2063">
        <v>546035</v>
      </c>
      <c r="D2063">
        <v>5194.8850000000002</v>
      </c>
      <c r="E2063" t="s">
        <v>6</v>
      </c>
      <c r="F2063" t="s">
        <v>51</v>
      </c>
      <c r="G2063" t="s">
        <v>7</v>
      </c>
    </row>
    <row r="2064" spans="1:7" x14ac:dyDescent="0.3">
      <c r="A2064" t="s">
        <v>33</v>
      </c>
      <c r="B2064" s="1">
        <v>45930</v>
      </c>
      <c r="C2064">
        <v>546040</v>
      </c>
      <c r="D2064">
        <v>26433.61</v>
      </c>
      <c r="E2064" t="s">
        <v>6</v>
      </c>
      <c r="F2064" t="s">
        <v>51</v>
      </c>
      <c r="G2064" t="s">
        <v>7</v>
      </c>
    </row>
    <row r="2065" spans="1:7" x14ac:dyDescent="0.3">
      <c r="A2065" t="s">
        <v>33</v>
      </c>
      <c r="B2065" s="1">
        <v>45930</v>
      </c>
      <c r="C2065">
        <v>547002</v>
      </c>
      <c r="D2065">
        <v>55.933999999999997</v>
      </c>
      <c r="E2065" t="s">
        <v>6</v>
      </c>
      <c r="F2065" t="s">
        <v>54</v>
      </c>
      <c r="G2065" t="s">
        <v>7</v>
      </c>
    </row>
    <row r="2066" spans="1:7" x14ac:dyDescent="0.3">
      <c r="A2066" t="s">
        <v>33</v>
      </c>
      <c r="B2066" s="1">
        <v>45930</v>
      </c>
      <c r="C2066">
        <v>550003</v>
      </c>
      <c r="D2066">
        <v>95735.561000000002</v>
      </c>
      <c r="E2066" t="s">
        <v>6</v>
      </c>
      <c r="F2066" t="s">
        <v>62</v>
      </c>
      <c r="G2066" t="s">
        <v>7</v>
      </c>
    </row>
    <row r="2067" spans="1:7" x14ac:dyDescent="0.3">
      <c r="A2067" t="s">
        <v>33</v>
      </c>
      <c r="B2067" s="1">
        <v>45930</v>
      </c>
      <c r="C2067">
        <v>551008</v>
      </c>
      <c r="D2067">
        <v>12.343</v>
      </c>
      <c r="E2067" t="s">
        <v>6</v>
      </c>
      <c r="F2067" t="s">
        <v>63</v>
      </c>
      <c r="G2067" t="s">
        <v>7</v>
      </c>
    </row>
    <row r="2068" spans="1:7" x14ac:dyDescent="0.3">
      <c r="A2068" t="s">
        <v>33</v>
      </c>
      <c r="B2068" s="1">
        <v>45930</v>
      </c>
      <c r="C2068">
        <v>552504</v>
      </c>
      <c r="D2068">
        <v>-537.93299999999999</v>
      </c>
      <c r="E2068" t="s">
        <v>6</v>
      </c>
      <c r="F2068" t="s">
        <v>55</v>
      </c>
      <c r="G2068" t="s">
        <v>7</v>
      </c>
    </row>
    <row r="2069" spans="1:7" x14ac:dyDescent="0.3">
      <c r="A2069" t="s">
        <v>33</v>
      </c>
      <c r="B2069" s="1">
        <v>45930</v>
      </c>
      <c r="C2069">
        <v>554005</v>
      </c>
      <c r="D2069">
        <v>99.165000000000006</v>
      </c>
      <c r="E2069" t="s">
        <v>6</v>
      </c>
      <c r="F2069" t="s">
        <v>55</v>
      </c>
      <c r="G2069" t="s">
        <v>7</v>
      </c>
    </row>
    <row r="2070" spans="1:7" x14ac:dyDescent="0.3">
      <c r="A2070" t="s">
        <v>33</v>
      </c>
      <c r="B2070" s="1">
        <v>45930</v>
      </c>
      <c r="C2070">
        <v>555007</v>
      </c>
      <c r="D2070">
        <v>2.4449999999999998</v>
      </c>
      <c r="E2070" t="s">
        <v>6</v>
      </c>
      <c r="F2070" t="s">
        <v>55</v>
      </c>
      <c r="G2070" t="s">
        <v>7</v>
      </c>
    </row>
    <row r="2071" spans="1:7" x14ac:dyDescent="0.3">
      <c r="A2071" t="s">
        <v>33</v>
      </c>
      <c r="B2071" s="1">
        <v>45930</v>
      </c>
      <c r="C2071">
        <v>555502</v>
      </c>
      <c r="D2071">
        <v>171.024</v>
      </c>
      <c r="E2071" t="s">
        <v>6</v>
      </c>
      <c r="F2071" t="s">
        <v>55</v>
      </c>
      <c r="G2071" t="s">
        <v>7</v>
      </c>
    </row>
    <row r="2072" spans="1:7" x14ac:dyDescent="0.3">
      <c r="A2072" t="s">
        <v>33</v>
      </c>
      <c r="B2072" s="1">
        <v>45930</v>
      </c>
      <c r="C2072">
        <v>555508</v>
      </c>
      <c r="D2072">
        <v>1052.558</v>
      </c>
      <c r="E2072" t="s">
        <v>6</v>
      </c>
      <c r="F2072" t="s">
        <v>55</v>
      </c>
      <c r="G2072" t="s">
        <v>7</v>
      </c>
    </row>
    <row r="2073" spans="1:7" x14ac:dyDescent="0.3">
      <c r="A2073" t="s">
        <v>33</v>
      </c>
      <c r="B2073" s="1">
        <v>45930</v>
      </c>
      <c r="C2073">
        <v>556002</v>
      </c>
      <c r="D2073">
        <v>1.8340000000000001</v>
      </c>
      <c r="E2073" t="s">
        <v>6</v>
      </c>
      <c r="F2073" t="s">
        <v>60</v>
      </c>
      <c r="G2073" t="s">
        <v>7</v>
      </c>
    </row>
    <row r="2074" spans="1:7" x14ac:dyDescent="0.3">
      <c r="A2074" t="s">
        <v>33</v>
      </c>
      <c r="B2074" s="1">
        <v>45930</v>
      </c>
      <c r="C2074">
        <v>556003</v>
      </c>
      <c r="D2074">
        <v>-1012.59</v>
      </c>
      <c r="E2074" t="s">
        <v>6</v>
      </c>
      <c r="F2074" t="s">
        <v>55</v>
      </c>
      <c r="G2074" t="s">
        <v>7</v>
      </c>
    </row>
    <row r="2075" spans="1:7" x14ac:dyDescent="0.3">
      <c r="A2075" t="s">
        <v>33</v>
      </c>
      <c r="B2075" s="1">
        <v>45930</v>
      </c>
      <c r="C2075">
        <v>557002</v>
      </c>
      <c r="D2075">
        <v>6776.5990000000002</v>
      </c>
      <c r="E2075" t="s">
        <v>6</v>
      </c>
      <c r="F2075" t="s">
        <v>56</v>
      </c>
      <c r="G2075" t="s">
        <v>7</v>
      </c>
    </row>
    <row r="2076" spans="1:7" x14ac:dyDescent="0.3">
      <c r="A2076" t="s">
        <v>33</v>
      </c>
      <c r="B2076" s="1">
        <v>45930</v>
      </c>
      <c r="C2076">
        <v>557003</v>
      </c>
      <c r="D2076">
        <v>2506.279</v>
      </c>
      <c r="E2076" t="s">
        <v>6</v>
      </c>
      <c r="F2076" t="s">
        <v>56</v>
      </c>
      <c r="G2076" t="s">
        <v>7</v>
      </c>
    </row>
    <row r="2077" spans="1:7" x14ac:dyDescent="0.3">
      <c r="A2077" t="s">
        <v>33</v>
      </c>
      <c r="B2077" s="1">
        <v>45930</v>
      </c>
      <c r="C2077">
        <v>558012</v>
      </c>
      <c r="D2077">
        <v>75.537000000000006</v>
      </c>
      <c r="E2077" t="s">
        <v>6</v>
      </c>
      <c r="F2077" t="s">
        <v>60</v>
      </c>
      <c r="G2077" t="s">
        <v>7</v>
      </c>
    </row>
    <row r="2078" spans="1:7" x14ac:dyDescent="0.3">
      <c r="A2078" t="s">
        <v>33</v>
      </c>
      <c r="B2078" s="1">
        <v>45930</v>
      </c>
      <c r="C2078">
        <v>559002</v>
      </c>
      <c r="D2078">
        <v>84.671999999999997</v>
      </c>
      <c r="E2078" t="s">
        <v>6</v>
      </c>
      <c r="F2078" t="s">
        <v>60</v>
      </c>
      <c r="G2078" t="s">
        <v>7</v>
      </c>
    </row>
    <row r="2079" spans="1:7" x14ac:dyDescent="0.3">
      <c r="A2079" t="s">
        <v>33</v>
      </c>
      <c r="B2079" s="1">
        <v>45930</v>
      </c>
      <c r="C2079">
        <v>563002</v>
      </c>
      <c r="D2079">
        <v>655.08500000000004</v>
      </c>
      <c r="E2079" t="s">
        <v>6</v>
      </c>
      <c r="F2079" t="s">
        <v>57</v>
      </c>
      <c r="G2079" t="s">
        <v>7</v>
      </c>
    </row>
    <row r="2080" spans="1:7" x14ac:dyDescent="0.3">
      <c r="A2080" t="s">
        <v>33</v>
      </c>
      <c r="B2080" s="1">
        <v>45930</v>
      </c>
      <c r="C2080">
        <v>564004</v>
      </c>
      <c r="D2080">
        <v>17153.093000000001</v>
      </c>
      <c r="E2080" t="s">
        <v>6</v>
      </c>
      <c r="F2080" t="s">
        <v>51</v>
      </c>
      <c r="G2080" t="s">
        <v>7</v>
      </c>
    </row>
    <row r="2081" spans="1:7" x14ac:dyDescent="0.3">
      <c r="A2081" t="s">
        <v>33</v>
      </c>
      <c r="B2081" s="1">
        <v>45930</v>
      </c>
      <c r="C2081">
        <v>564006</v>
      </c>
      <c r="D2081">
        <v>2.1000000000000001E-2</v>
      </c>
      <c r="E2081" t="s">
        <v>6</v>
      </c>
      <c r="F2081" t="s">
        <v>57</v>
      </c>
      <c r="G2081" t="s">
        <v>7</v>
      </c>
    </row>
    <row r="2082" spans="1:7" x14ac:dyDescent="0.3">
      <c r="A2082" t="s">
        <v>33</v>
      </c>
      <c r="B2082" s="1">
        <v>45930</v>
      </c>
      <c r="C2082">
        <v>564020</v>
      </c>
      <c r="D2082">
        <v>144.215</v>
      </c>
      <c r="E2082" t="s">
        <v>6</v>
      </c>
      <c r="F2082" t="s">
        <v>57</v>
      </c>
      <c r="G2082" t="s">
        <v>7</v>
      </c>
    </row>
    <row r="2083" spans="1:7" x14ac:dyDescent="0.3">
      <c r="A2083" t="s">
        <v>33</v>
      </c>
      <c r="B2083" s="1">
        <v>45930</v>
      </c>
      <c r="C2083">
        <v>570002</v>
      </c>
      <c r="D2083">
        <v>803.46500000000003</v>
      </c>
      <c r="E2083" t="s">
        <v>6</v>
      </c>
      <c r="F2083" t="s">
        <v>66</v>
      </c>
      <c r="G2083" t="s">
        <v>7</v>
      </c>
    </row>
    <row r="2084" spans="1:7" x14ac:dyDescent="0.3">
      <c r="A2084" t="s">
        <v>33</v>
      </c>
      <c r="B2084" s="1">
        <v>45930</v>
      </c>
      <c r="C2084">
        <v>580002</v>
      </c>
      <c r="D2084">
        <v>33.743000000000002</v>
      </c>
      <c r="E2084" t="s">
        <v>6</v>
      </c>
      <c r="F2084" t="s">
        <v>64</v>
      </c>
      <c r="G2084" t="s">
        <v>7</v>
      </c>
    </row>
    <row r="2085" spans="1:7" x14ac:dyDescent="0.3">
      <c r="A2085" t="s">
        <v>33</v>
      </c>
      <c r="B2085" s="1">
        <v>45930</v>
      </c>
      <c r="C2085">
        <v>580003</v>
      </c>
      <c r="D2085">
        <v>1794.4949999999999</v>
      </c>
      <c r="E2085" t="s">
        <v>6</v>
      </c>
      <c r="F2085" t="s">
        <v>64</v>
      </c>
      <c r="G2085" t="s">
        <v>7</v>
      </c>
    </row>
    <row r="2086" spans="1:7" x14ac:dyDescent="0.3">
      <c r="A2086" t="s">
        <v>33</v>
      </c>
      <c r="B2086" s="1">
        <v>45930</v>
      </c>
      <c r="C2086">
        <v>580005</v>
      </c>
      <c r="D2086">
        <v>1.2969999999999999</v>
      </c>
      <c r="E2086" t="s">
        <v>6</v>
      </c>
      <c r="F2086" t="s">
        <v>64</v>
      </c>
      <c r="G2086" t="s">
        <v>7</v>
      </c>
    </row>
    <row r="2087" spans="1:7" x14ac:dyDescent="0.3">
      <c r="A2087" t="s">
        <v>34</v>
      </c>
      <c r="B2087" s="1">
        <v>45930</v>
      </c>
      <c r="C2087">
        <v>210002</v>
      </c>
      <c r="D2087">
        <v>-13868.47</v>
      </c>
      <c r="E2087" t="s">
        <v>4</v>
      </c>
      <c r="F2087" t="s">
        <v>42</v>
      </c>
      <c r="G2087" t="s">
        <v>7</v>
      </c>
    </row>
    <row r="2088" spans="1:7" x14ac:dyDescent="0.3">
      <c r="A2088" t="s">
        <v>34</v>
      </c>
      <c r="B2088" s="1">
        <v>45930</v>
      </c>
      <c r="C2088">
        <v>220006</v>
      </c>
      <c r="D2088">
        <v>-1731521.2279999999</v>
      </c>
      <c r="E2088" t="s">
        <v>4</v>
      </c>
      <c r="F2088" t="s">
        <v>42</v>
      </c>
      <c r="G2088" t="s">
        <v>7</v>
      </c>
    </row>
    <row r="2089" spans="1:7" x14ac:dyDescent="0.3">
      <c r="A2089" t="s">
        <v>34</v>
      </c>
      <c r="B2089" s="1">
        <v>45930</v>
      </c>
      <c r="C2089">
        <v>240002</v>
      </c>
      <c r="D2089">
        <v>-1283.69</v>
      </c>
      <c r="E2089" t="s">
        <v>4</v>
      </c>
      <c r="F2089" t="s">
        <v>43</v>
      </c>
      <c r="G2089" t="s">
        <v>7</v>
      </c>
    </row>
    <row r="2090" spans="1:7" x14ac:dyDescent="0.3">
      <c r="A2090" t="s">
        <v>34</v>
      </c>
      <c r="B2090" s="1">
        <v>45930</v>
      </c>
      <c r="C2090">
        <v>240003</v>
      </c>
      <c r="D2090">
        <v>-4.681</v>
      </c>
      <c r="E2090" t="s">
        <v>4</v>
      </c>
      <c r="F2090" t="s">
        <v>43</v>
      </c>
      <c r="G2090" t="s">
        <v>7</v>
      </c>
    </row>
    <row r="2091" spans="1:7" x14ac:dyDescent="0.3">
      <c r="A2091" t="s">
        <v>34</v>
      </c>
      <c r="B2091" s="1">
        <v>45930</v>
      </c>
      <c r="C2091">
        <v>240009</v>
      </c>
      <c r="D2091">
        <v>-177.22300000000001</v>
      </c>
      <c r="E2091" t="s">
        <v>4</v>
      </c>
      <c r="F2091" t="s">
        <v>43</v>
      </c>
      <c r="G2091" t="s">
        <v>7</v>
      </c>
    </row>
    <row r="2092" spans="1:7" x14ac:dyDescent="0.3">
      <c r="A2092" t="s">
        <v>34</v>
      </c>
      <c r="B2092" s="1">
        <v>45930</v>
      </c>
      <c r="C2092">
        <v>242003</v>
      </c>
      <c r="D2092">
        <v>-229120.87400000001</v>
      </c>
      <c r="E2092" t="s">
        <v>4</v>
      </c>
      <c r="F2092" t="s">
        <v>43</v>
      </c>
      <c r="G2092" t="s">
        <v>7</v>
      </c>
    </row>
    <row r="2093" spans="1:7" x14ac:dyDescent="0.3">
      <c r="A2093" t="s">
        <v>34</v>
      </c>
      <c r="B2093" s="1">
        <v>45930</v>
      </c>
      <c r="C2093">
        <v>242011</v>
      </c>
      <c r="D2093">
        <v>-565224.68599999999</v>
      </c>
      <c r="E2093" t="s">
        <v>4</v>
      </c>
      <c r="F2093" t="s">
        <v>43</v>
      </c>
      <c r="G2093" t="s">
        <v>7</v>
      </c>
    </row>
    <row r="2094" spans="1:7" x14ac:dyDescent="0.3">
      <c r="A2094" t="s">
        <v>34</v>
      </c>
      <c r="B2094" s="1">
        <v>45930</v>
      </c>
      <c r="C2094">
        <v>242013</v>
      </c>
      <c r="D2094">
        <v>-78742.129000000001</v>
      </c>
      <c r="E2094" t="s">
        <v>4</v>
      </c>
      <c r="F2094" t="s">
        <v>43</v>
      </c>
      <c r="G2094" t="s">
        <v>7</v>
      </c>
    </row>
    <row r="2095" spans="1:7" x14ac:dyDescent="0.3">
      <c r="A2095" t="s">
        <v>34</v>
      </c>
      <c r="B2095" s="1">
        <v>45930</v>
      </c>
      <c r="C2095">
        <v>242014</v>
      </c>
      <c r="D2095">
        <v>-23132.085999999999</v>
      </c>
      <c r="E2095" t="s">
        <v>4</v>
      </c>
      <c r="F2095" t="s">
        <v>43</v>
      </c>
      <c r="G2095" t="s">
        <v>7</v>
      </c>
    </row>
    <row r="2096" spans="1:7" x14ac:dyDescent="0.3">
      <c r="A2096" t="s">
        <v>34</v>
      </c>
      <c r="B2096" s="1">
        <v>45930</v>
      </c>
      <c r="C2096">
        <v>242027</v>
      </c>
      <c r="D2096">
        <v>-162893.68700000001</v>
      </c>
      <c r="E2096" t="s">
        <v>4</v>
      </c>
      <c r="F2096" t="s">
        <v>43</v>
      </c>
      <c r="G2096" t="s">
        <v>7</v>
      </c>
    </row>
    <row r="2097" spans="1:7" x14ac:dyDescent="0.3">
      <c r="A2097" t="s">
        <v>34</v>
      </c>
      <c r="B2097" s="1">
        <v>45930</v>
      </c>
      <c r="C2097">
        <v>242030</v>
      </c>
      <c r="D2097">
        <v>-90973.17</v>
      </c>
      <c r="E2097" t="s">
        <v>4</v>
      </c>
      <c r="F2097" t="s">
        <v>43</v>
      </c>
      <c r="G2097" t="s">
        <v>7</v>
      </c>
    </row>
    <row r="2098" spans="1:7" x14ac:dyDescent="0.3">
      <c r="A2098" t="s">
        <v>34</v>
      </c>
      <c r="B2098" s="1">
        <v>45930</v>
      </c>
      <c r="C2098">
        <v>242038</v>
      </c>
      <c r="D2098">
        <v>-4162.0919999999996</v>
      </c>
      <c r="E2098" t="s">
        <v>4</v>
      </c>
      <c r="F2098" t="s">
        <v>43</v>
      </c>
      <c r="G2098" t="s">
        <v>7</v>
      </c>
    </row>
    <row r="2099" spans="1:7" x14ac:dyDescent="0.3">
      <c r="A2099" t="s">
        <v>34</v>
      </c>
      <c r="B2099" s="1">
        <v>45930</v>
      </c>
      <c r="C2099">
        <v>242041</v>
      </c>
      <c r="D2099">
        <v>21420.93</v>
      </c>
      <c r="E2099" t="s">
        <v>4</v>
      </c>
      <c r="F2099" t="s">
        <v>43</v>
      </c>
      <c r="G2099" t="s">
        <v>7</v>
      </c>
    </row>
    <row r="2100" spans="1:7" x14ac:dyDescent="0.3">
      <c r="A2100" t="s">
        <v>34</v>
      </c>
      <c r="B2100" s="1">
        <v>45930</v>
      </c>
      <c r="C2100">
        <v>243002</v>
      </c>
      <c r="D2100">
        <v>-27861.241000000002</v>
      </c>
      <c r="E2100" t="s">
        <v>4</v>
      </c>
      <c r="F2100" t="s">
        <v>43</v>
      </c>
      <c r="G2100" t="s">
        <v>7</v>
      </c>
    </row>
    <row r="2101" spans="1:7" x14ac:dyDescent="0.3">
      <c r="A2101" t="s">
        <v>34</v>
      </c>
      <c r="B2101" s="1">
        <v>45930</v>
      </c>
      <c r="C2101">
        <v>243003</v>
      </c>
      <c r="D2101">
        <v>-16555.927</v>
      </c>
      <c r="E2101" t="s">
        <v>4</v>
      </c>
      <c r="F2101" t="s">
        <v>43</v>
      </c>
      <c r="G2101" t="s">
        <v>7</v>
      </c>
    </row>
    <row r="2102" spans="1:7" x14ac:dyDescent="0.3">
      <c r="A2102" t="s">
        <v>34</v>
      </c>
      <c r="B2102" s="1">
        <v>45930</v>
      </c>
      <c r="C2102">
        <v>243010</v>
      </c>
      <c r="D2102">
        <v>-4069.46</v>
      </c>
      <c r="E2102" t="s">
        <v>4</v>
      </c>
      <c r="F2102" t="s">
        <v>43</v>
      </c>
      <c r="G2102" t="s">
        <v>7</v>
      </c>
    </row>
    <row r="2103" spans="1:7" x14ac:dyDescent="0.3">
      <c r="A2103" t="s">
        <v>34</v>
      </c>
      <c r="B2103" s="1">
        <v>45930</v>
      </c>
      <c r="C2103">
        <v>245010</v>
      </c>
      <c r="D2103">
        <v>-80652.633000000002</v>
      </c>
      <c r="E2103" t="s">
        <v>4</v>
      </c>
      <c r="F2103" t="s">
        <v>44</v>
      </c>
      <c r="G2103" t="s">
        <v>7</v>
      </c>
    </row>
    <row r="2104" spans="1:7" x14ac:dyDescent="0.3">
      <c r="A2104" t="s">
        <v>34</v>
      </c>
      <c r="B2104" s="1">
        <v>45930</v>
      </c>
      <c r="C2104">
        <v>245018</v>
      </c>
      <c r="D2104">
        <v>-40019.966999999997</v>
      </c>
      <c r="E2104" t="s">
        <v>4</v>
      </c>
      <c r="F2104" t="s">
        <v>43</v>
      </c>
      <c r="G2104" t="s">
        <v>7</v>
      </c>
    </row>
    <row r="2105" spans="1:7" x14ac:dyDescent="0.3">
      <c r="A2105" t="s">
        <v>34</v>
      </c>
      <c r="B2105" s="1">
        <v>45930</v>
      </c>
      <c r="C2105">
        <v>245056</v>
      </c>
      <c r="D2105">
        <v>-187.85499999999999</v>
      </c>
      <c r="E2105" t="s">
        <v>4</v>
      </c>
      <c r="F2105" t="s">
        <v>49</v>
      </c>
      <c r="G2105" t="s">
        <v>7</v>
      </c>
    </row>
    <row r="2106" spans="1:7" x14ac:dyDescent="0.3">
      <c r="A2106" t="s">
        <v>34</v>
      </c>
      <c r="B2106" s="1">
        <v>45930</v>
      </c>
      <c r="C2106">
        <v>245062</v>
      </c>
      <c r="D2106">
        <v>-65732.873000000007</v>
      </c>
      <c r="E2106" t="s">
        <v>4</v>
      </c>
      <c r="F2106" t="s">
        <v>43</v>
      </c>
      <c r="G2106" t="s">
        <v>7</v>
      </c>
    </row>
    <row r="2107" spans="1:7" x14ac:dyDescent="0.3">
      <c r="A2107" t="s">
        <v>34</v>
      </c>
      <c r="B2107" s="1">
        <v>45930</v>
      </c>
      <c r="C2107">
        <v>250003</v>
      </c>
      <c r="D2107">
        <v>-515.64499999999998</v>
      </c>
      <c r="E2107" t="s">
        <v>4</v>
      </c>
      <c r="F2107" t="s">
        <v>45</v>
      </c>
      <c r="G2107" t="s">
        <v>7</v>
      </c>
    </row>
    <row r="2108" spans="1:7" x14ac:dyDescent="0.3">
      <c r="A2108" t="s">
        <v>34</v>
      </c>
      <c r="B2108" s="1">
        <v>45930</v>
      </c>
      <c r="C2108">
        <v>250007</v>
      </c>
      <c r="D2108">
        <v>-60672.786</v>
      </c>
      <c r="E2108" t="s">
        <v>4</v>
      </c>
      <c r="F2108" t="s">
        <v>43</v>
      </c>
      <c r="G2108" t="s">
        <v>7</v>
      </c>
    </row>
    <row r="2109" spans="1:7" x14ac:dyDescent="0.3">
      <c r="A2109" t="s">
        <v>34</v>
      </c>
      <c r="B2109" s="1">
        <v>45930</v>
      </c>
      <c r="C2109">
        <v>251002</v>
      </c>
      <c r="D2109">
        <v>-0.01</v>
      </c>
      <c r="E2109" t="s">
        <v>4</v>
      </c>
      <c r="F2109" t="s">
        <v>45</v>
      </c>
      <c r="G2109" t="s">
        <v>7</v>
      </c>
    </row>
    <row r="2110" spans="1:7" x14ac:dyDescent="0.3">
      <c r="A2110" t="s">
        <v>34</v>
      </c>
      <c r="B2110" s="1">
        <v>45930</v>
      </c>
      <c r="C2110">
        <v>251003</v>
      </c>
      <c r="D2110">
        <v>-5525.9160000000002</v>
      </c>
      <c r="E2110" t="s">
        <v>4</v>
      </c>
      <c r="F2110" t="s">
        <v>45</v>
      </c>
      <c r="G2110" t="s">
        <v>7</v>
      </c>
    </row>
    <row r="2111" spans="1:7" x14ac:dyDescent="0.3">
      <c r="A2111" t="s">
        <v>34</v>
      </c>
      <c r="B2111" s="1">
        <v>45930</v>
      </c>
      <c r="C2111">
        <v>257008</v>
      </c>
      <c r="D2111">
        <v>-986.00900000000001</v>
      </c>
      <c r="E2111" t="s">
        <v>4</v>
      </c>
      <c r="F2111" t="s">
        <v>45</v>
      </c>
      <c r="G2111" t="s">
        <v>7</v>
      </c>
    </row>
    <row r="2112" spans="1:7" x14ac:dyDescent="0.3">
      <c r="A2112" t="s">
        <v>34</v>
      </c>
      <c r="B2112" s="1">
        <v>45930</v>
      </c>
      <c r="C2112">
        <v>257009</v>
      </c>
      <c r="D2112">
        <v>-10824.733</v>
      </c>
      <c r="E2112" t="s">
        <v>4</v>
      </c>
      <c r="F2112" t="s">
        <v>45</v>
      </c>
      <c r="G2112" t="s">
        <v>7</v>
      </c>
    </row>
    <row r="2113" spans="1:7" x14ac:dyDescent="0.3">
      <c r="A2113" t="s">
        <v>34</v>
      </c>
      <c r="B2113" s="1">
        <v>45930</v>
      </c>
      <c r="C2113">
        <v>257011</v>
      </c>
      <c r="D2113">
        <v>-3476.0309999999999</v>
      </c>
      <c r="E2113" t="s">
        <v>4</v>
      </c>
      <c r="F2113" t="s">
        <v>45</v>
      </c>
      <c r="G2113" t="s">
        <v>7</v>
      </c>
    </row>
    <row r="2114" spans="1:7" x14ac:dyDescent="0.3">
      <c r="A2114" t="s">
        <v>34</v>
      </c>
      <c r="B2114" s="1">
        <v>45930</v>
      </c>
      <c r="C2114">
        <v>257028</v>
      </c>
      <c r="D2114">
        <v>-36677.385000000002</v>
      </c>
      <c r="E2114" t="s">
        <v>4</v>
      </c>
      <c r="F2114" t="s">
        <v>45</v>
      </c>
      <c r="G2114" t="s">
        <v>7</v>
      </c>
    </row>
    <row r="2115" spans="1:7" x14ac:dyDescent="0.3">
      <c r="A2115" t="s">
        <v>34</v>
      </c>
      <c r="B2115" s="1">
        <v>45930</v>
      </c>
      <c r="C2115">
        <v>260004</v>
      </c>
      <c r="D2115">
        <v>1937.2560000000001</v>
      </c>
      <c r="E2115" t="s">
        <v>4</v>
      </c>
      <c r="F2115" t="s">
        <v>45</v>
      </c>
      <c r="G2115" t="s">
        <v>7</v>
      </c>
    </row>
    <row r="2116" spans="1:7" x14ac:dyDescent="0.3">
      <c r="A2116" t="s">
        <v>34</v>
      </c>
      <c r="B2116" s="1">
        <v>45930</v>
      </c>
      <c r="C2116">
        <v>270024</v>
      </c>
      <c r="D2116">
        <v>-14470.614</v>
      </c>
      <c r="E2116" t="s">
        <v>4</v>
      </c>
      <c r="F2116" t="s">
        <v>58</v>
      </c>
      <c r="G2116" t="s">
        <v>7</v>
      </c>
    </row>
    <row r="2117" spans="1:7" x14ac:dyDescent="0.3">
      <c r="A2117" t="s">
        <v>34</v>
      </c>
      <c r="B2117" s="1">
        <v>45930</v>
      </c>
      <c r="C2117">
        <v>270025</v>
      </c>
      <c r="D2117">
        <v>-130.994</v>
      </c>
      <c r="E2117" t="s">
        <v>4</v>
      </c>
      <c r="F2117" t="s">
        <v>58</v>
      </c>
      <c r="G2117" t="s">
        <v>7</v>
      </c>
    </row>
    <row r="2118" spans="1:7" x14ac:dyDescent="0.3">
      <c r="A2118" t="s">
        <v>34</v>
      </c>
      <c r="B2118" s="1">
        <v>45930</v>
      </c>
      <c r="C2118">
        <v>270026</v>
      </c>
      <c r="D2118">
        <v>-17284.526000000002</v>
      </c>
      <c r="E2118" t="s">
        <v>4</v>
      </c>
      <c r="F2118" t="s">
        <v>58</v>
      </c>
      <c r="G2118" t="s">
        <v>7</v>
      </c>
    </row>
    <row r="2119" spans="1:7" x14ac:dyDescent="0.3">
      <c r="A2119" t="s">
        <v>34</v>
      </c>
      <c r="B2119" s="1">
        <v>45930</v>
      </c>
      <c r="C2119">
        <v>270027</v>
      </c>
      <c r="D2119">
        <v>-65.56</v>
      </c>
      <c r="E2119" t="s">
        <v>4</v>
      </c>
      <c r="F2119" t="s">
        <v>58</v>
      </c>
      <c r="G2119" t="s">
        <v>7</v>
      </c>
    </row>
    <row r="2120" spans="1:7" x14ac:dyDescent="0.3">
      <c r="A2120" t="s">
        <v>34</v>
      </c>
      <c r="B2120" s="1">
        <v>45930</v>
      </c>
      <c r="C2120">
        <v>300004</v>
      </c>
      <c r="D2120">
        <v>1742.973</v>
      </c>
      <c r="E2120" t="s">
        <v>4</v>
      </c>
      <c r="F2120" t="s">
        <v>65</v>
      </c>
      <c r="G2120" t="s">
        <v>7</v>
      </c>
    </row>
    <row r="2121" spans="1:7" x14ac:dyDescent="0.3">
      <c r="A2121" t="s">
        <v>34</v>
      </c>
      <c r="B2121" s="1">
        <v>45930</v>
      </c>
      <c r="C2121">
        <v>300005</v>
      </c>
      <c r="D2121">
        <v>5673.4650000000001</v>
      </c>
      <c r="E2121" t="s">
        <v>4</v>
      </c>
      <c r="F2121" t="s">
        <v>65</v>
      </c>
      <c r="G2121" t="s">
        <v>7</v>
      </c>
    </row>
    <row r="2122" spans="1:7" x14ac:dyDescent="0.3">
      <c r="A2122" t="s">
        <v>34</v>
      </c>
      <c r="B2122" s="1">
        <v>45930</v>
      </c>
      <c r="C2122">
        <v>300008</v>
      </c>
      <c r="D2122">
        <v>16354.741</v>
      </c>
      <c r="E2122" t="s">
        <v>4</v>
      </c>
      <c r="F2122" t="s">
        <v>65</v>
      </c>
      <c r="G2122" t="s">
        <v>7</v>
      </c>
    </row>
    <row r="2123" spans="1:7" x14ac:dyDescent="0.3">
      <c r="A2123" t="s">
        <v>34</v>
      </c>
      <c r="B2123" s="1">
        <v>45930</v>
      </c>
      <c r="C2123">
        <v>300009</v>
      </c>
      <c r="D2123">
        <v>283.90499999999997</v>
      </c>
      <c r="E2123" t="s">
        <v>4</v>
      </c>
      <c r="F2123" t="s">
        <v>65</v>
      </c>
      <c r="G2123" t="s">
        <v>7</v>
      </c>
    </row>
    <row r="2124" spans="1:7" x14ac:dyDescent="0.3">
      <c r="A2124" t="s">
        <v>34</v>
      </c>
      <c r="B2124" s="1">
        <v>45930</v>
      </c>
      <c r="C2124">
        <v>300011</v>
      </c>
      <c r="D2124">
        <v>143.4</v>
      </c>
      <c r="E2124" t="s">
        <v>4</v>
      </c>
      <c r="F2124" t="s">
        <v>65</v>
      </c>
      <c r="G2124" t="s">
        <v>7</v>
      </c>
    </row>
    <row r="2125" spans="1:7" x14ac:dyDescent="0.3">
      <c r="A2125" t="s">
        <v>34</v>
      </c>
      <c r="B2125" s="1">
        <v>45930</v>
      </c>
      <c r="C2125">
        <v>300012</v>
      </c>
      <c r="D2125">
        <v>5068.6890000000003</v>
      </c>
      <c r="E2125" t="s">
        <v>4</v>
      </c>
      <c r="F2125" t="s">
        <v>65</v>
      </c>
      <c r="G2125" t="s">
        <v>7</v>
      </c>
    </row>
    <row r="2126" spans="1:7" x14ac:dyDescent="0.3">
      <c r="A2126" t="s">
        <v>34</v>
      </c>
      <c r="B2126" s="1">
        <v>45930</v>
      </c>
      <c r="C2126">
        <v>300504</v>
      </c>
      <c r="D2126">
        <v>-1742.973</v>
      </c>
      <c r="E2126" t="s">
        <v>4</v>
      </c>
      <c r="F2126" t="s">
        <v>65</v>
      </c>
      <c r="G2126" t="s">
        <v>7</v>
      </c>
    </row>
    <row r="2127" spans="1:7" x14ac:dyDescent="0.3">
      <c r="A2127" t="s">
        <v>34</v>
      </c>
      <c r="B2127" s="1">
        <v>45930</v>
      </c>
      <c r="C2127">
        <v>300505</v>
      </c>
      <c r="D2127">
        <v>-5673.4650000000001</v>
      </c>
      <c r="E2127" t="s">
        <v>4</v>
      </c>
      <c r="F2127" t="s">
        <v>65</v>
      </c>
      <c r="G2127" t="s">
        <v>7</v>
      </c>
    </row>
    <row r="2128" spans="1:7" x14ac:dyDescent="0.3">
      <c r="A2128" t="s">
        <v>34</v>
      </c>
      <c r="B2128" s="1">
        <v>45930</v>
      </c>
      <c r="C2128">
        <v>300508</v>
      </c>
      <c r="D2128">
        <v>-16354.741</v>
      </c>
      <c r="E2128" t="s">
        <v>4</v>
      </c>
      <c r="F2128" t="s">
        <v>65</v>
      </c>
      <c r="G2128" t="s">
        <v>7</v>
      </c>
    </row>
    <row r="2129" spans="1:7" x14ac:dyDescent="0.3">
      <c r="A2129" t="s">
        <v>34</v>
      </c>
      <c r="B2129" s="1">
        <v>45930</v>
      </c>
      <c r="C2129">
        <v>300509</v>
      </c>
      <c r="D2129">
        <v>-283.90499999999997</v>
      </c>
      <c r="E2129" t="s">
        <v>4</v>
      </c>
      <c r="F2129" t="s">
        <v>65</v>
      </c>
      <c r="G2129" t="s">
        <v>7</v>
      </c>
    </row>
    <row r="2130" spans="1:7" x14ac:dyDescent="0.3">
      <c r="A2130" t="s">
        <v>34</v>
      </c>
      <c r="B2130" s="1">
        <v>45930</v>
      </c>
      <c r="C2130">
        <v>300511</v>
      </c>
      <c r="D2130">
        <v>-115.4</v>
      </c>
      <c r="E2130" t="s">
        <v>4</v>
      </c>
      <c r="F2130" t="s">
        <v>65</v>
      </c>
      <c r="G2130" t="s">
        <v>7</v>
      </c>
    </row>
    <row r="2131" spans="1:7" x14ac:dyDescent="0.3">
      <c r="A2131" t="s">
        <v>34</v>
      </c>
      <c r="B2131" s="1">
        <v>45930</v>
      </c>
      <c r="C2131">
        <v>300512</v>
      </c>
      <c r="D2131">
        <v>-5068.6890000000003</v>
      </c>
      <c r="E2131" t="s">
        <v>4</v>
      </c>
      <c r="F2131" t="s">
        <v>65</v>
      </c>
      <c r="G2131" t="s">
        <v>7</v>
      </c>
    </row>
    <row r="2132" spans="1:7" x14ac:dyDescent="0.3">
      <c r="A2132" t="s">
        <v>34</v>
      </c>
      <c r="B2132" s="1">
        <v>45930</v>
      </c>
      <c r="C2132">
        <v>310019</v>
      </c>
      <c r="D2132">
        <v>0.124</v>
      </c>
      <c r="E2132" t="s">
        <v>4</v>
      </c>
      <c r="F2132" t="s">
        <v>42</v>
      </c>
      <c r="G2132" t="s">
        <v>7</v>
      </c>
    </row>
    <row r="2133" spans="1:7" x14ac:dyDescent="0.3">
      <c r="A2133" t="s">
        <v>34</v>
      </c>
      <c r="B2133" s="1">
        <v>45930</v>
      </c>
      <c r="C2133">
        <v>320002</v>
      </c>
      <c r="D2133">
        <v>1671.403</v>
      </c>
      <c r="E2133" t="s">
        <v>4</v>
      </c>
      <c r="F2133" t="s">
        <v>46</v>
      </c>
      <c r="G2133" t="s">
        <v>7</v>
      </c>
    </row>
    <row r="2134" spans="1:7" x14ac:dyDescent="0.3">
      <c r="A2134" t="s">
        <v>34</v>
      </c>
      <c r="B2134" s="1">
        <v>45930</v>
      </c>
      <c r="C2134">
        <v>320003</v>
      </c>
      <c r="D2134">
        <v>860631.55200000003</v>
      </c>
      <c r="E2134" t="s">
        <v>4</v>
      </c>
      <c r="F2134" t="s">
        <v>46</v>
      </c>
      <c r="G2134" t="s">
        <v>7</v>
      </c>
    </row>
    <row r="2135" spans="1:7" x14ac:dyDescent="0.3">
      <c r="A2135" t="s">
        <v>34</v>
      </c>
      <c r="B2135" s="1">
        <v>45930</v>
      </c>
      <c r="C2135">
        <v>320016</v>
      </c>
      <c r="D2135">
        <v>29296.07</v>
      </c>
      <c r="E2135" t="s">
        <v>4</v>
      </c>
      <c r="F2135" t="s">
        <v>46</v>
      </c>
      <c r="G2135" t="s">
        <v>7</v>
      </c>
    </row>
    <row r="2136" spans="1:7" x14ac:dyDescent="0.3">
      <c r="A2136" t="s">
        <v>34</v>
      </c>
      <c r="B2136" s="1">
        <v>45930</v>
      </c>
      <c r="C2136">
        <v>320023</v>
      </c>
      <c r="D2136">
        <v>-39536.726999999999</v>
      </c>
      <c r="E2136" t="s">
        <v>4</v>
      </c>
      <c r="F2136" t="s">
        <v>46</v>
      </c>
      <c r="G2136" t="s">
        <v>7</v>
      </c>
    </row>
    <row r="2137" spans="1:7" x14ac:dyDescent="0.3">
      <c r="A2137" t="s">
        <v>34</v>
      </c>
      <c r="B2137" s="1">
        <v>45930</v>
      </c>
      <c r="C2137">
        <v>321002</v>
      </c>
      <c r="D2137">
        <v>1383821.8570000001</v>
      </c>
      <c r="E2137" t="s">
        <v>4</v>
      </c>
      <c r="F2137" t="s">
        <v>46</v>
      </c>
      <c r="G2137" t="s">
        <v>7</v>
      </c>
    </row>
    <row r="2138" spans="1:7" x14ac:dyDescent="0.3">
      <c r="A2138" t="s">
        <v>34</v>
      </c>
      <c r="B2138" s="1">
        <v>45930</v>
      </c>
      <c r="C2138">
        <v>321010</v>
      </c>
      <c r="D2138">
        <v>0.94599999999999995</v>
      </c>
      <c r="E2138" t="s">
        <v>4</v>
      </c>
      <c r="F2138" t="s">
        <v>46</v>
      </c>
      <c r="G2138" t="s">
        <v>7</v>
      </c>
    </row>
    <row r="2139" spans="1:7" x14ac:dyDescent="0.3">
      <c r="A2139" t="s">
        <v>34</v>
      </c>
      <c r="B2139" s="1">
        <v>45930</v>
      </c>
      <c r="C2139">
        <v>321013</v>
      </c>
      <c r="D2139">
        <v>948.40300000000002</v>
      </c>
      <c r="E2139" t="s">
        <v>4</v>
      </c>
      <c r="F2139" t="s">
        <v>46</v>
      </c>
      <c r="G2139" t="s">
        <v>7</v>
      </c>
    </row>
    <row r="2140" spans="1:7" x14ac:dyDescent="0.3">
      <c r="A2140" t="s">
        <v>34</v>
      </c>
      <c r="B2140" s="1">
        <v>45930</v>
      </c>
      <c r="C2140">
        <v>321014</v>
      </c>
      <c r="D2140">
        <v>11978.596</v>
      </c>
      <c r="E2140" t="s">
        <v>4</v>
      </c>
      <c r="F2140" t="s">
        <v>46</v>
      </c>
      <c r="G2140" t="s">
        <v>7</v>
      </c>
    </row>
    <row r="2141" spans="1:7" x14ac:dyDescent="0.3">
      <c r="A2141" t="s">
        <v>34</v>
      </c>
      <c r="B2141" s="1">
        <v>45930</v>
      </c>
      <c r="C2141">
        <v>321025</v>
      </c>
      <c r="D2141">
        <v>87905.233999999997</v>
      </c>
      <c r="E2141" t="s">
        <v>4</v>
      </c>
      <c r="F2141" t="s">
        <v>46</v>
      </c>
      <c r="G2141" t="s">
        <v>7</v>
      </c>
    </row>
    <row r="2142" spans="1:7" x14ac:dyDescent="0.3">
      <c r="A2142" t="s">
        <v>34</v>
      </c>
      <c r="B2142" s="1">
        <v>45930</v>
      </c>
      <c r="C2142">
        <v>321029</v>
      </c>
      <c r="D2142">
        <v>21895.276000000002</v>
      </c>
      <c r="E2142" t="s">
        <v>4</v>
      </c>
      <c r="F2142" t="s">
        <v>46</v>
      </c>
      <c r="G2142" t="s">
        <v>7</v>
      </c>
    </row>
    <row r="2143" spans="1:7" x14ac:dyDescent="0.3">
      <c r="A2143" t="s">
        <v>34</v>
      </c>
      <c r="B2143" s="1">
        <v>45930</v>
      </c>
      <c r="C2143">
        <v>321041</v>
      </c>
      <c r="D2143">
        <v>14806.352000000001</v>
      </c>
      <c r="E2143" t="s">
        <v>4</v>
      </c>
      <c r="F2143" t="s">
        <v>46</v>
      </c>
      <c r="G2143" t="s">
        <v>7</v>
      </c>
    </row>
    <row r="2144" spans="1:7" x14ac:dyDescent="0.3">
      <c r="A2144" t="s">
        <v>34</v>
      </c>
      <c r="B2144" s="1">
        <v>45930</v>
      </c>
      <c r="C2144">
        <v>321042</v>
      </c>
      <c r="D2144">
        <v>-170.08</v>
      </c>
      <c r="E2144" t="s">
        <v>4</v>
      </c>
      <c r="F2144" t="s">
        <v>46</v>
      </c>
      <c r="G2144" t="s">
        <v>7</v>
      </c>
    </row>
    <row r="2145" spans="1:7" x14ac:dyDescent="0.3">
      <c r="A2145" t="s">
        <v>34</v>
      </c>
      <c r="B2145" s="1">
        <v>45930</v>
      </c>
      <c r="C2145">
        <v>330040</v>
      </c>
      <c r="D2145">
        <v>12462.838</v>
      </c>
      <c r="E2145" t="s">
        <v>4</v>
      </c>
      <c r="F2145" t="s">
        <v>43</v>
      </c>
      <c r="G2145" t="s">
        <v>7</v>
      </c>
    </row>
    <row r="2146" spans="1:7" x14ac:dyDescent="0.3">
      <c r="A2146" t="s">
        <v>34</v>
      </c>
      <c r="B2146" s="1">
        <v>45930</v>
      </c>
      <c r="C2146">
        <v>330051</v>
      </c>
      <c r="D2146">
        <v>-9771.0460000000003</v>
      </c>
      <c r="E2146" t="s">
        <v>4</v>
      </c>
      <c r="F2146" t="s">
        <v>43</v>
      </c>
      <c r="G2146" t="s">
        <v>7</v>
      </c>
    </row>
    <row r="2147" spans="1:7" x14ac:dyDescent="0.3">
      <c r="A2147" t="s">
        <v>34</v>
      </c>
      <c r="B2147" s="1">
        <v>45930</v>
      </c>
      <c r="C2147">
        <v>330065</v>
      </c>
      <c r="D2147">
        <v>291.77</v>
      </c>
      <c r="E2147" t="s">
        <v>4</v>
      </c>
      <c r="F2147" t="s">
        <v>43</v>
      </c>
      <c r="G2147" t="s">
        <v>7</v>
      </c>
    </row>
    <row r="2148" spans="1:7" x14ac:dyDescent="0.3">
      <c r="A2148" t="s">
        <v>34</v>
      </c>
      <c r="B2148" s="1">
        <v>45930</v>
      </c>
      <c r="C2148">
        <v>330138</v>
      </c>
      <c r="D2148">
        <v>-2775.4969999999998</v>
      </c>
      <c r="E2148" t="s">
        <v>4</v>
      </c>
      <c r="F2148" t="s">
        <v>43</v>
      </c>
      <c r="G2148" t="s">
        <v>7</v>
      </c>
    </row>
    <row r="2149" spans="1:7" x14ac:dyDescent="0.3">
      <c r="A2149" t="s">
        <v>34</v>
      </c>
      <c r="B2149" s="1">
        <v>45930</v>
      </c>
      <c r="C2149">
        <v>330149</v>
      </c>
      <c r="D2149">
        <v>-1338.9380000000001</v>
      </c>
      <c r="E2149" t="s">
        <v>4</v>
      </c>
      <c r="F2149" t="s">
        <v>43</v>
      </c>
      <c r="G2149" t="s">
        <v>7</v>
      </c>
    </row>
    <row r="2150" spans="1:7" x14ac:dyDescent="0.3">
      <c r="A2150" t="s">
        <v>34</v>
      </c>
      <c r="B2150" s="1">
        <v>45930</v>
      </c>
      <c r="C2150">
        <v>340062</v>
      </c>
      <c r="D2150">
        <v>352530.03600000002</v>
      </c>
      <c r="E2150" t="s">
        <v>4</v>
      </c>
      <c r="F2150" t="s">
        <v>47</v>
      </c>
      <c r="G2150" t="s">
        <v>7</v>
      </c>
    </row>
    <row r="2151" spans="1:7" x14ac:dyDescent="0.3">
      <c r="A2151" t="s">
        <v>34</v>
      </c>
      <c r="B2151" s="1">
        <v>45930</v>
      </c>
      <c r="C2151">
        <v>340063</v>
      </c>
      <c r="D2151">
        <v>14637378.342</v>
      </c>
      <c r="E2151" t="s">
        <v>4</v>
      </c>
      <c r="F2151" t="s">
        <v>47</v>
      </c>
      <c r="G2151" t="s">
        <v>7</v>
      </c>
    </row>
    <row r="2152" spans="1:7" x14ac:dyDescent="0.3">
      <c r="A2152" t="s">
        <v>34</v>
      </c>
      <c r="B2152" s="1">
        <v>45930</v>
      </c>
      <c r="C2152">
        <v>340064</v>
      </c>
      <c r="D2152">
        <v>-14772161.854</v>
      </c>
      <c r="E2152" t="s">
        <v>4</v>
      </c>
      <c r="F2152" t="s">
        <v>47</v>
      </c>
      <c r="G2152" t="s">
        <v>7</v>
      </c>
    </row>
    <row r="2153" spans="1:7" x14ac:dyDescent="0.3">
      <c r="A2153" t="s">
        <v>34</v>
      </c>
      <c r="B2153" s="1">
        <v>45930</v>
      </c>
      <c r="C2153">
        <v>340098</v>
      </c>
      <c r="D2153">
        <v>728.46</v>
      </c>
      <c r="E2153" t="s">
        <v>4</v>
      </c>
      <c r="F2153" t="s">
        <v>47</v>
      </c>
      <c r="G2153" t="s">
        <v>7</v>
      </c>
    </row>
    <row r="2154" spans="1:7" x14ac:dyDescent="0.3">
      <c r="A2154" t="s">
        <v>34</v>
      </c>
      <c r="B2154" s="1">
        <v>45930</v>
      </c>
      <c r="C2154">
        <v>340162</v>
      </c>
      <c r="D2154">
        <v>75123.554000000004</v>
      </c>
      <c r="E2154" t="s">
        <v>4</v>
      </c>
      <c r="F2154" t="s">
        <v>47</v>
      </c>
      <c r="G2154" t="s">
        <v>7</v>
      </c>
    </row>
    <row r="2155" spans="1:7" x14ac:dyDescent="0.3">
      <c r="A2155" t="s">
        <v>34</v>
      </c>
      <c r="B2155" s="1">
        <v>45930</v>
      </c>
      <c r="C2155">
        <v>340163</v>
      </c>
      <c r="D2155">
        <v>7164859.5080000004</v>
      </c>
      <c r="E2155" t="s">
        <v>4</v>
      </c>
      <c r="F2155" t="s">
        <v>47</v>
      </c>
      <c r="G2155" t="s">
        <v>7</v>
      </c>
    </row>
    <row r="2156" spans="1:7" x14ac:dyDescent="0.3">
      <c r="A2156" t="s">
        <v>34</v>
      </c>
      <c r="B2156" s="1">
        <v>45930</v>
      </c>
      <c r="C2156">
        <v>340164</v>
      </c>
      <c r="D2156">
        <v>-7144205.1600000001</v>
      </c>
      <c r="E2156" t="s">
        <v>4</v>
      </c>
      <c r="F2156" t="s">
        <v>47</v>
      </c>
      <c r="G2156" t="s">
        <v>7</v>
      </c>
    </row>
    <row r="2157" spans="1:7" x14ac:dyDescent="0.3">
      <c r="A2157" t="s">
        <v>34</v>
      </c>
      <c r="B2157" s="1">
        <v>45930</v>
      </c>
      <c r="C2157">
        <v>350002</v>
      </c>
      <c r="D2157">
        <v>1390.788</v>
      </c>
      <c r="E2157" t="s">
        <v>4</v>
      </c>
      <c r="F2157" t="s">
        <v>49</v>
      </c>
      <c r="G2157" t="s">
        <v>7</v>
      </c>
    </row>
    <row r="2158" spans="1:7" x14ac:dyDescent="0.3">
      <c r="A2158" t="s">
        <v>34</v>
      </c>
      <c r="B2158" s="1">
        <v>45930</v>
      </c>
      <c r="C2158">
        <v>350003</v>
      </c>
      <c r="D2158">
        <v>-541.00800000000004</v>
      </c>
      <c r="E2158" t="s">
        <v>4</v>
      </c>
      <c r="F2158" t="s">
        <v>49</v>
      </c>
      <c r="G2158" t="s">
        <v>7</v>
      </c>
    </row>
    <row r="2159" spans="1:7" x14ac:dyDescent="0.3">
      <c r="A2159" t="s">
        <v>34</v>
      </c>
      <c r="B2159" s="1">
        <v>45930</v>
      </c>
      <c r="C2159">
        <v>350007</v>
      </c>
      <c r="D2159">
        <v>-1.929</v>
      </c>
      <c r="E2159" t="s">
        <v>4</v>
      </c>
      <c r="F2159" t="s">
        <v>49</v>
      </c>
      <c r="G2159" t="s">
        <v>7</v>
      </c>
    </row>
    <row r="2160" spans="1:7" x14ac:dyDescent="0.3">
      <c r="A2160" t="s">
        <v>34</v>
      </c>
      <c r="B2160" s="1">
        <v>45930</v>
      </c>
      <c r="C2160">
        <v>350031</v>
      </c>
      <c r="D2160">
        <v>177.22300000000001</v>
      </c>
      <c r="E2160" t="s">
        <v>4</v>
      </c>
      <c r="F2160" t="s">
        <v>43</v>
      </c>
      <c r="G2160" t="s">
        <v>7</v>
      </c>
    </row>
    <row r="2161" spans="1:7" x14ac:dyDescent="0.3">
      <c r="A2161" t="s">
        <v>34</v>
      </c>
      <c r="B2161" s="1">
        <v>45930</v>
      </c>
      <c r="C2161">
        <v>350034</v>
      </c>
      <c r="D2161">
        <v>187.85499999999999</v>
      </c>
      <c r="E2161" t="s">
        <v>4</v>
      </c>
      <c r="F2161" t="s">
        <v>49</v>
      </c>
      <c r="G2161" t="s">
        <v>7</v>
      </c>
    </row>
    <row r="2162" spans="1:7" x14ac:dyDescent="0.3">
      <c r="A2162" t="s">
        <v>34</v>
      </c>
      <c r="B2162" s="1">
        <v>45930</v>
      </c>
      <c r="C2162">
        <v>351004</v>
      </c>
      <c r="D2162">
        <v>3454.3229999999999</v>
      </c>
      <c r="E2162" t="s">
        <v>4</v>
      </c>
      <c r="F2162" t="s">
        <v>45</v>
      </c>
      <c r="G2162" t="s">
        <v>7</v>
      </c>
    </row>
    <row r="2163" spans="1:7" x14ac:dyDescent="0.3">
      <c r="A2163" t="s">
        <v>34</v>
      </c>
      <c r="B2163" s="1">
        <v>45930</v>
      </c>
      <c r="C2163">
        <v>354012</v>
      </c>
      <c r="D2163">
        <v>308389.20199999999</v>
      </c>
      <c r="E2163" t="s">
        <v>4</v>
      </c>
      <c r="F2163" t="s">
        <v>46</v>
      </c>
      <c r="G2163" t="s">
        <v>7</v>
      </c>
    </row>
    <row r="2164" spans="1:7" x14ac:dyDescent="0.3">
      <c r="A2164" t="s">
        <v>34</v>
      </c>
      <c r="B2164" s="1">
        <v>45930</v>
      </c>
      <c r="C2164">
        <v>354014</v>
      </c>
      <c r="D2164">
        <v>101253.40700000001</v>
      </c>
      <c r="E2164" t="s">
        <v>4</v>
      </c>
      <c r="F2164" t="s">
        <v>46</v>
      </c>
      <c r="G2164" t="s">
        <v>7</v>
      </c>
    </row>
    <row r="2165" spans="1:7" x14ac:dyDescent="0.3">
      <c r="A2165" t="s">
        <v>34</v>
      </c>
      <c r="B2165" s="1">
        <v>45930</v>
      </c>
      <c r="C2165">
        <v>360026</v>
      </c>
      <c r="D2165">
        <v>47729.47</v>
      </c>
      <c r="E2165" t="s">
        <v>4</v>
      </c>
      <c r="F2165" t="s">
        <v>58</v>
      </c>
      <c r="G2165" t="s">
        <v>7</v>
      </c>
    </row>
    <row r="2166" spans="1:7" x14ac:dyDescent="0.3">
      <c r="A2166" t="s">
        <v>34</v>
      </c>
      <c r="B2166" s="1">
        <v>45930</v>
      </c>
      <c r="C2166">
        <v>360027</v>
      </c>
      <c r="D2166">
        <v>14207.869000000001</v>
      </c>
      <c r="E2166" t="s">
        <v>4</v>
      </c>
      <c r="F2166" t="s">
        <v>58</v>
      </c>
      <c r="G2166" t="s">
        <v>7</v>
      </c>
    </row>
    <row r="2167" spans="1:7" x14ac:dyDescent="0.3">
      <c r="A2167" t="s">
        <v>34</v>
      </c>
      <c r="B2167" s="1">
        <v>45930</v>
      </c>
      <c r="C2167">
        <v>360028</v>
      </c>
      <c r="D2167">
        <v>1448.2750000000001</v>
      </c>
      <c r="E2167" t="s">
        <v>4</v>
      </c>
      <c r="F2167" t="s">
        <v>58</v>
      </c>
      <c r="G2167" t="s">
        <v>7</v>
      </c>
    </row>
    <row r="2168" spans="1:7" x14ac:dyDescent="0.3">
      <c r="A2168" t="s">
        <v>34</v>
      </c>
      <c r="B2168" s="1">
        <v>45930</v>
      </c>
      <c r="C2168">
        <v>360030</v>
      </c>
      <c r="D2168">
        <v>29085.964</v>
      </c>
      <c r="E2168" t="s">
        <v>4</v>
      </c>
      <c r="F2168" t="s">
        <v>58</v>
      </c>
      <c r="G2168" t="s">
        <v>7</v>
      </c>
    </row>
    <row r="2169" spans="1:7" x14ac:dyDescent="0.3">
      <c r="A2169" t="s">
        <v>34</v>
      </c>
      <c r="B2169" s="1">
        <v>45930</v>
      </c>
      <c r="C2169">
        <v>360032</v>
      </c>
      <c r="D2169">
        <v>100.86199999999999</v>
      </c>
      <c r="E2169" t="s">
        <v>4</v>
      </c>
      <c r="F2169" t="s">
        <v>58</v>
      </c>
      <c r="G2169" t="s">
        <v>7</v>
      </c>
    </row>
    <row r="2170" spans="1:7" x14ac:dyDescent="0.3">
      <c r="A2170" t="s">
        <v>34</v>
      </c>
      <c r="B2170" s="1">
        <v>45930</v>
      </c>
      <c r="C2170">
        <v>364502</v>
      </c>
      <c r="D2170">
        <v>39770.063999999998</v>
      </c>
      <c r="E2170" t="s">
        <v>4</v>
      </c>
      <c r="F2170" t="s">
        <v>58</v>
      </c>
      <c r="G2170" t="s">
        <v>7</v>
      </c>
    </row>
    <row r="2171" spans="1:7" x14ac:dyDescent="0.3">
      <c r="A2171" t="s">
        <v>34</v>
      </c>
      <c r="B2171" s="1">
        <v>45930</v>
      </c>
      <c r="C2171">
        <v>400002</v>
      </c>
      <c r="D2171">
        <v>-1677.29</v>
      </c>
      <c r="E2171" t="s">
        <v>6</v>
      </c>
      <c r="F2171" t="s">
        <v>50</v>
      </c>
      <c r="G2171" t="s">
        <v>7</v>
      </c>
    </row>
    <row r="2172" spans="1:7" x14ac:dyDescent="0.3">
      <c r="A2172" t="s">
        <v>34</v>
      </c>
      <c r="B2172" s="1">
        <v>45930</v>
      </c>
      <c r="C2172">
        <v>400004</v>
      </c>
      <c r="D2172">
        <v>8995.2170000000006</v>
      </c>
      <c r="E2172" t="s">
        <v>6</v>
      </c>
      <c r="F2172" t="s">
        <v>50</v>
      </c>
      <c r="G2172" t="s">
        <v>7</v>
      </c>
    </row>
    <row r="2173" spans="1:7" x14ac:dyDescent="0.3">
      <c r="A2173" t="s">
        <v>34</v>
      </c>
      <c r="B2173" s="1">
        <v>45930</v>
      </c>
      <c r="C2173">
        <v>410002</v>
      </c>
      <c r="D2173">
        <v>-486549.34899999999</v>
      </c>
      <c r="E2173" t="s">
        <v>6</v>
      </c>
      <c r="F2173" t="s">
        <v>51</v>
      </c>
      <c r="G2173" t="s">
        <v>7</v>
      </c>
    </row>
    <row r="2174" spans="1:7" x14ac:dyDescent="0.3">
      <c r="A2174" t="s">
        <v>34</v>
      </c>
      <c r="B2174" s="1">
        <v>45930</v>
      </c>
      <c r="C2174">
        <v>410006</v>
      </c>
      <c r="D2174">
        <v>-612.505</v>
      </c>
      <c r="E2174" t="s">
        <v>6</v>
      </c>
      <c r="F2174" t="s">
        <v>51</v>
      </c>
      <c r="G2174" t="s">
        <v>7</v>
      </c>
    </row>
    <row r="2175" spans="1:7" x14ac:dyDescent="0.3">
      <c r="A2175" t="s">
        <v>34</v>
      </c>
      <c r="B2175" s="1">
        <v>45930</v>
      </c>
      <c r="C2175">
        <v>410009</v>
      </c>
      <c r="D2175">
        <v>-36461.504000000001</v>
      </c>
      <c r="E2175" t="s">
        <v>6</v>
      </c>
      <c r="F2175" t="s">
        <v>51</v>
      </c>
      <c r="G2175" t="s">
        <v>7</v>
      </c>
    </row>
    <row r="2176" spans="1:7" x14ac:dyDescent="0.3">
      <c r="A2176" t="s">
        <v>34</v>
      </c>
      <c r="B2176" s="1">
        <v>45930</v>
      </c>
      <c r="C2176">
        <v>410015</v>
      </c>
      <c r="D2176">
        <v>-539.68100000000004</v>
      </c>
      <c r="E2176" t="s">
        <v>6</v>
      </c>
      <c r="F2176" t="s">
        <v>51</v>
      </c>
      <c r="G2176" t="s">
        <v>7</v>
      </c>
    </row>
    <row r="2177" spans="1:7" x14ac:dyDescent="0.3">
      <c r="A2177" t="s">
        <v>34</v>
      </c>
      <c r="B2177" s="1">
        <v>45930</v>
      </c>
      <c r="C2177">
        <v>410019</v>
      </c>
      <c r="D2177">
        <v>74.983999999999995</v>
      </c>
      <c r="E2177" t="s">
        <v>6</v>
      </c>
      <c r="F2177" t="s">
        <v>51</v>
      </c>
      <c r="G2177" t="s">
        <v>7</v>
      </c>
    </row>
    <row r="2178" spans="1:7" x14ac:dyDescent="0.3">
      <c r="A2178" t="s">
        <v>34</v>
      </c>
      <c r="B2178" s="1">
        <v>45930</v>
      </c>
      <c r="C2178">
        <v>410032</v>
      </c>
      <c r="D2178">
        <v>-43767.014000000003</v>
      </c>
      <c r="E2178" t="s">
        <v>6</v>
      </c>
      <c r="F2178" t="s">
        <v>51</v>
      </c>
      <c r="G2178" t="s">
        <v>7</v>
      </c>
    </row>
    <row r="2179" spans="1:7" x14ac:dyDescent="0.3">
      <c r="A2179" t="s">
        <v>34</v>
      </c>
      <c r="B2179" s="1">
        <v>45930</v>
      </c>
      <c r="C2179">
        <v>410036</v>
      </c>
      <c r="D2179">
        <v>-283.64600000000002</v>
      </c>
      <c r="E2179" t="s">
        <v>6</v>
      </c>
      <c r="F2179" t="s">
        <v>51</v>
      </c>
      <c r="G2179" t="s">
        <v>7</v>
      </c>
    </row>
    <row r="2180" spans="1:7" x14ac:dyDescent="0.3">
      <c r="A2180" t="s">
        <v>34</v>
      </c>
      <c r="B2180" s="1">
        <v>45930</v>
      </c>
      <c r="C2180">
        <v>410037</v>
      </c>
      <c r="D2180">
        <v>-45371.438000000002</v>
      </c>
      <c r="E2180" t="s">
        <v>6</v>
      </c>
      <c r="F2180" t="s">
        <v>51</v>
      </c>
      <c r="G2180" t="s">
        <v>7</v>
      </c>
    </row>
    <row r="2181" spans="1:7" x14ac:dyDescent="0.3">
      <c r="A2181" t="s">
        <v>34</v>
      </c>
      <c r="B2181" s="1">
        <v>45930</v>
      </c>
      <c r="C2181">
        <v>414013</v>
      </c>
      <c r="D2181">
        <v>612.505</v>
      </c>
      <c r="E2181" t="s">
        <v>6</v>
      </c>
      <c r="F2181" t="s">
        <v>51</v>
      </c>
      <c r="G2181" t="s">
        <v>7</v>
      </c>
    </row>
    <row r="2182" spans="1:7" x14ac:dyDescent="0.3">
      <c r="A2182" t="s">
        <v>34</v>
      </c>
      <c r="B2182" s="1">
        <v>45930</v>
      </c>
      <c r="C2182">
        <v>415002</v>
      </c>
      <c r="D2182">
        <v>-707358.61800000002</v>
      </c>
      <c r="E2182" t="s">
        <v>6</v>
      </c>
      <c r="F2182" t="s">
        <v>50</v>
      </c>
      <c r="G2182" t="s">
        <v>7</v>
      </c>
    </row>
    <row r="2183" spans="1:7" x14ac:dyDescent="0.3">
      <c r="A2183" t="s">
        <v>34</v>
      </c>
      <c r="B2183" s="1">
        <v>45930</v>
      </c>
      <c r="C2183">
        <v>415004</v>
      </c>
      <c r="D2183">
        <v>-995200.63300000003</v>
      </c>
      <c r="E2183" t="s">
        <v>6</v>
      </c>
      <c r="F2183" t="s">
        <v>50</v>
      </c>
      <c r="G2183" t="s">
        <v>7</v>
      </c>
    </row>
    <row r="2184" spans="1:7" x14ac:dyDescent="0.3">
      <c r="A2184" t="s">
        <v>34</v>
      </c>
      <c r="B2184" s="1">
        <v>45930</v>
      </c>
      <c r="C2184">
        <v>420002</v>
      </c>
      <c r="D2184">
        <v>-4.3999999999999997E-2</v>
      </c>
      <c r="E2184" t="s">
        <v>6</v>
      </c>
      <c r="F2184" t="s">
        <v>52</v>
      </c>
      <c r="G2184" t="s">
        <v>7</v>
      </c>
    </row>
    <row r="2185" spans="1:7" x14ac:dyDescent="0.3">
      <c r="A2185" t="s">
        <v>34</v>
      </c>
      <c r="B2185" s="1">
        <v>45930</v>
      </c>
      <c r="C2185">
        <v>420004</v>
      </c>
      <c r="D2185">
        <v>-0.17399999999999999</v>
      </c>
      <c r="E2185" t="s">
        <v>6</v>
      </c>
      <c r="F2185" t="s">
        <v>52</v>
      </c>
      <c r="G2185" t="s">
        <v>7</v>
      </c>
    </row>
    <row r="2186" spans="1:7" x14ac:dyDescent="0.3">
      <c r="A2186" t="s">
        <v>34</v>
      </c>
      <c r="B2186" s="1">
        <v>45930</v>
      </c>
      <c r="C2186">
        <v>421002</v>
      </c>
      <c r="D2186">
        <v>1435.1610000000001</v>
      </c>
      <c r="E2186" t="s">
        <v>6</v>
      </c>
      <c r="F2186" t="s">
        <v>52</v>
      </c>
      <c r="G2186" t="s">
        <v>7</v>
      </c>
    </row>
    <row r="2187" spans="1:7" x14ac:dyDescent="0.3">
      <c r="A2187" t="s">
        <v>34</v>
      </c>
      <c r="B2187" s="1">
        <v>45930</v>
      </c>
      <c r="C2187">
        <v>421003</v>
      </c>
      <c r="D2187">
        <v>-17475.596000000001</v>
      </c>
      <c r="E2187" t="s">
        <v>6</v>
      </c>
      <c r="F2187" t="s">
        <v>52</v>
      </c>
      <c r="G2187" t="s">
        <v>7</v>
      </c>
    </row>
    <row r="2188" spans="1:7" x14ac:dyDescent="0.3">
      <c r="A2188" t="s">
        <v>34</v>
      </c>
      <c r="B2188" s="1">
        <v>45930</v>
      </c>
      <c r="C2188">
        <v>421007</v>
      </c>
      <c r="D2188">
        <v>149.23500000000001</v>
      </c>
      <c r="E2188" t="s">
        <v>6</v>
      </c>
      <c r="F2188" t="s">
        <v>52</v>
      </c>
      <c r="G2188" t="s">
        <v>7</v>
      </c>
    </row>
    <row r="2189" spans="1:7" x14ac:dyDescent="0.3">
      <c r="A2189" t="s">
        <v>34</v>
      </c>
      <c r="B2189" s="1">
        <v>45930</v>
      </c>
      <c r="C2189">
        <v>510002</v>
      </c>
      <c r="D2189">
        <v>618201.93599999999</v>
      </c>
      <c r="E2189" t="s">
        <v>6</v>
      </c>
      <c r="F2189" t="s">
        <v>53</v>
      </c>
      <c r="G2189" t="s">
        <v>7</v>
      </c>
    </row>
    <row r="2190" spans="1:7" x14ac:dyDescent="0.3">
      <c r="A2190" t="s">
        <v>34</v>
      </c>
      <c r="B2190" s="1">
        <v>45930</v>
      </c>
      <c r="C2190">
        <v>510005</v>
      </c>
      <c r="D2190">
        <v>28520.050999999999</v>
      </c>
      <c r="E2190" t="s">
        <v>6</v>
      </c>
      <c r="F2190" t="s">
        <v>53</v>
      </c>
      <c r="G2190" t="s">
        <v>7</v>
      </c>
    </row>
    <row r="2191" spans="1:7" x14ac:dyDescent="0.3">
      <c r="A2191" t="s">
        <v>34</v>
      </c>
      <c r="B2191" s="1">
        <v>45930</v>
      </c>
      <c r="C2191">
        <v>510007</v>
      </c>
      <c r="D2191">
        <v>72954.347999999998</v>
      </c>
      <c r="E2191" t="s">
        <v>6</v>
      </c>
      <c r="F2191" t="s">
        <v>53</v>
      </c>
      <c r="G2191" t="s">
        <v>7</v>
      </c>
    </row>
    <row r="2192" spans="1:7" x14ac:dyDescent="0.3">
      <c r="A2192" t="s">
        <v>34</v>
      </c>
      <c r="B2192" s="1">
        <v>45930</v>
      </c>
      <c r="C2192">
        <v>510010</v>
      </c>
      <c r="D2192">
        <v>11756.960999999999</v>
      </c>
      <c r="E2192" t="s">
        <v>6</v>
      </c>
      <c r="F2192" t="s">
        <v>53</v>
      </c>
      <c r="G2192" t="s">
        <v>7</v>
      </c>
    </row>
    <row r="2193" spans="1:7" x14ac:dyDescent="0.3">
      <c r="A2193" t="s">
        <v>34</v>
      </c>
      <c r="B2193" s="1">
        <v>45930</v>
      </c>
      <c r="C2193">
        <v>510012</v>
      </c>
      <c r="D2193">
        <v>11540.376</v>
      </c>
      <c r="E2193" t="s">
        <v>6</v>
      </c>
      <c r="F2193" t="s">
        <v>53</v>
      </c>
      <c r="G2193" t="s">
        <v>7</v>
      </c>
    </row>
    <row r="2194" spans="1:7" x14ac:dyDescent="0.3">
      <c r="A2194" t="s">
        <v>34</v>
      </c>
      <c r="B2194" s="1">
        <v>45930</v>
      </c>
      <c r="C2194">
        <v>510015</v>
      </c>
      <c r="D2194">
        <v>49289.915000000001</v>
      </c>
      <c r="E2194" t="s">
        <v>6</v>
      </c>
      <c r="F2194" t="s">
        <v>53</v>
      </c>
      <c r="G2194" t="s">
        <v>7</v>
      </c>
    </row>
    <row r="2195" spans="1:7" x14ac:dyDescent="0.3">
      <c r="A2195" t="s">
        <v>34</v>
      </c>
      <c r="B2195" s="1">
        <v>45930</v>
      </c>
      <c r="C2195">
        <v>510018</v>
      </c>
      <c r="D2195">
        <v>97037.323999999993</v>
      </c>
      <c r="E2195" t="s">
        <v>6</v>
      </c>
      <c r="F2195" t="s">
        <v>53</v>
      </c>
      <c r="G2195" t="s">
        <v>7</v>
      </c>
    </row>
    <row r="2196" spans="1:7" x14ac:dyDescent="0.3">
      <c r="A2196" t="s">
        <v>34</v>
      </c>
      <c r="B2196" s="1">
        <v>45930</v>
      </c>
      <c r="C2196">
        <v>510059</v>
      </c>
      <c r="D2196">
        <v>-347.113</v>
      </c>
      <c r="E2196" t="s">
        <v>6</v>
      </c>
      <c r="F2196" t="s">
        <v>53</v>
      </c>
      <c r="G2196" t="s">
        <v>7</v>
      </c>
    </row>
    <row r="2197" spans="1:7" x14ac:dyDescent="0.3">
      <c r="A2197" t="s">
        <v>34</v>
      </c>
      <c r="B2197" s="1">
        <v>45930</v>
      </c>
      <c r="C2197">
        <v>510062</v>
      </c>
      <c r="D2197">
        <v>14270.505999999999</v>
      </c>
      <c r="E2197" t="s">
        <v>6</v>
      </c>
      <c r="F2197" t="s">
        <v>53</v>
      </c>
      <c r="G2197" t="s">
        <v>7</v>
      </c>
    </row>
    <row r="2198" spans="1:7" x14ac:dyDescent="0.3">
      <c r="A2198" t="s">
        <v>34</v>
      </c>
      <c r="B2198" s="1">
        <v>45930</v>
      </c>
      <c r="C2198">
        <v>510064</v>
      </c>
      <c r="D2198">
        <v>492.13799999999998</v>
      </c>
      <c r="E2198" t="s">
        <v>6</v>
      </c>
      <c r="F2198" t="s">
        <v>53</v>
      </c>
      <c r="G2198" t="s">
        <v>7</v>
      </c>
    </row>
    <row r="2199" spans="1:7" x14ac:dyDescent="0.3">
      <c r="A2199" t="s">
        <v>34</v>
      </c>
      <c r="B2199" s="1">
        <v>45930</v>
      </c>
      <c r="C2199">
        <v>510065</v>
      </c>
      <c r="D2199">
        <v>3575.9079999999999</v>
      </c>
      <c r="E2199" t="s">
        <v>6</v>
      </c>
      <c r="F2199" t="s">
        <v>53</v>
      </c>
      <c r="G2199" t="s">
        <v>7</v>
      </c>
    </row>
    <row r="2200" spans="1:7" x14ac:dyDescent="0.3">
      <c r="A2200" t="s">
        <v>34</v>
      </c>
      <c r="B2200" s="1">
        <v>45930</v>
      </c>
      <c r="C2200">
        <v>520021</v>
      </c>
      <c r="D2200">
        <v>1353.6130000000001</v>
      </c>
      <c r="E2200" t="s">
        <v>6</v>
      </c>
      <c r="F2200" t="s">
        <v>60</v>
      </c>
      <c r="G2200" t="s">
        <v>7</v>
      </c>
    </row>
    <row r="2201" spans="1:7" x14ac:dyDescent="0.3">
      <c r="A2201" t="s">
        <v>34</v>
      </c>
      <c r="B2201" s="1">
        <v>45930</v>
      </c>
      <c r="C2201">
        <v>530012</v>
      </c>
      <c r="D2201">
        <v>32689.517</v>
      </c>
      <c r="E2201" t="s">
        <v>6</v>
      </c>
      <c r="F2201" t="s">
        <v>53</v>
      </c>
      <c r="G2201" t="s">
        <v>7</v>
      </c>
    </row>
    <row r="2202" spans="1:7" x14ac:dyDescent="0.3">
      <c r="A2202" t="s">
        <v>34</v>
      </c>
      <c r="B2202" s="1">
        <v>45930</v>
      </c>
      <c r="C2202">
        <v>541002</v>
      </c>
      <c r="D2202">
        <v>4895.5460000000003</v>
      </c>
      <c r="E2202" t="s">
        <v>6</v>
      </c>
      <c r="F2202" t="s">
        <v>61</v>
      </c>
      <c r="G2202" t="s">
        <v>7</v>
      </c>
    </row>
    <row r="2203" spans="1:7" x14ac:dyDescent="0.3">
      <c r="A2203" t="s">
        <v>34</v>
      </c>
      <c r="B2203" s="1">
        <v>45930</v>
      </c>
      <c r="C2203">
        <v>541004</v>
      </c>
      <c r="D2203">
        <v>1965.5450000000001</v>
      </c>
      <c r="E2203" t="s">
        <v>6</v>
      </c>
      <c r="F2203" t="s">
        <v>61</v>
      </c>
      <c r="G2203" t="s">
        <v>7</v>
      </c>
    </row>
    <row r="2204" spans="1:7" x14ac:dyDescent="0.3">
      <c r="A2204" t="s">
        <v>34</v>
      </c>
      <c r="B2204" s="1">
        <v>45930</v>
      </c>
      <c r="C2204">
        <v>541008</v>
      </c>
      <c r="D2204">
        <v>2225.6869999999999</v>
      </c>
      <c r="E2204" t="s">
        <v>6</v>
      </c>
      <c r="F2204" t="s">
        <v>61</v>
      </c>
      <c r="G2204" t="s">
        <v>7</v>
      </c>
    </row>
    <row r="2205" spans="1:7" x14ac:dyDescent="0.3">
      <c r="A2205" t="s">
        <v>34</v>
      </c>
      <c r="B2205" s="1">
        <v>45930</v>
      </c>
      <c r="C2205">
        <v>541009</v>
      </c>
      <c r="D2205">
        <v>13698.915000000001</v>
      </c>
      <c r="E2205" t="s">
        <v>6</v>
      </c>
      <c r="F2205" t="s">
        <v>61</v>
      </c>
      <c r="G2205" t="s">
        <v>7</v>
      </c>
    </row>
    <row r="2206" spans="1:7" x14ac:dyDescent="0.3">
      <c r="A2206" t="s">
        <v>34</v>
      </c>
      <c r="B2206" s="1">
        <v>45930</v>
      </c>
      <c r="C2206">
        <v>541010</v>
      </c>
      <c r="D2206">
        <v>7404.799</v>
      </c>
      <c r="E2206" t="s">
        <v>6</v>
      </c>
      <c r="F2206" t="s">
        <v>61</v>
      </c>
      <c r="G2206" t="s">
        <v>7</v>
      </c>
    </row>
    <row r="2207" spans="1:7" x14ac:dyDescent="0.3">
      <c r="A2207" t="s">
        <v>34</v>
      </c>
      <c r="B2207" s="1">
        <v>45930</v>
      </c>
      <c r="C2207">
        <v>541012</v>
      </c>
      <c r="D2207">
        <v>33.621000000000002</v>
      </c>
      <c r="E2207" t="s">
        <v>6</v>
      </c>
      <c r="F2207" t="s">
        <v>61</v>
      </c>
      <c r="G2207" t="s">
        <v>7</v>
      </c>
    </row>
    <row r="2208" spans="1:7" x14ac:dyDescent="0.3">
      <c r="A2208" t="s">
        <v>34</v>
      </c>
      <c r="B2208" s="1">
        <v>45930</v>
      </c>
      <c r="C2208">
        <v>541013</v>
      </c>
      <c r="D2208">
        <v>2469.7359999999999</v>
      </c>
      <c r="E2208" t="s">
        <v>6</v>
      </c>
      <c r="F2208" t="s">
        <v>61</v>
      </c>
      <c r="G2208" t="s">
        <v>7</v>
      </c>
    </row>
    <row r="2209" spans="1:7" x14ac:dyDescent="0.3">
      <c r="A2209" t="s">
        <v>34</v>
      </c>
      <c r="B2209" s="1">
        <v>45930</v>
      </c>
      <c r="C2209">
        <v>541023</v>
      </c>
      <c r="D2209">
        <v>1063.6400000000001</v>
      </c>
      <c r="E2209" t="s">
        <v>6</v>
      </c>
      <c r="F2209" t="s">
        <v>61</v>
      </c>
      <c r="G2209" t="s">
        <v>7</v>
      </c>
    </row>
    <row r="2210" spans="1:7" x14ac:dyDescent="0.3">
      <c r="A2210" t="s">
        <v>34</v>
      </c>
      <c r="B2210" s="1">
        <v>45930</v>
      </c>
      <c r="C2210">
        <v>544003</v>
      </c>
      <c r="D2210">
        <v>55.872</v>
      </c>
      <c r="E2210" t="s">
        <v>6</v>
      </c>
      <c r="F2210" t="s">
        <v>61</v>
      </c>
      <c r="G2210" t="s">
        <v>7</v>
      </c>
    </row>
    <row r="2211" spans="1:7" x14ac:dyDescent="0.3">
      <c r="A2211" t="s">
        <v>34</v>
      </c>
      <c r="B2211" s="1">
        <v>45930</v>
      </c>
      <c r="C2211">
        <v>544006</v>
      </c>
      <c r="D2211">
        <v>-1204.251</v>
      </c>
      <c r="E2211" t="s">
        <v>6</v>
      </c>
      <c r="F2211" t="s">
        <v>61</v>
      </c>
      <c r="G2211" t="s">
        <v>7</v>
      </c>
    </row>
    <row r="2212" spans="1:7" x14ac:dyDescent="0.3">
      <c r="A2212" t="s">
        <v>34</v>
      </c>
      <c r="B2212" s="1">
        <v>45930</v>
      </c>
      <c r="C2212">
        <v>546002</v>
      </c>
      <c r="D2212">
        <v>936895.19099999999</v>
      </c>
      <c r="E2212" t="s">
        <v>6</v>
      </c>
      <c r="F2212" t="s">
        <v>51</v>
      </c>
      <c r="G2212" t="s">
        <v>7</v>
      </c>
    </row>
    <row r="2213" spans="1:7" x14ac:dyDescent="0.3">
      <c r="A2213" t="s">
        <v>34</v>
      </c>
      <c r="B2213" s="1">
        <v>45930</v>
      </c>
      <c r="C2213">
        <v>546008</v>
      </c>
      <c r="D2213">
        <v>3690.674</v>
      </c>
      <c r="E2213" t="s">
        <v>6</v>
      </c>
      <c r="F2213" t="s">
        <v>51</v>
      </c>
      <c r="G2213" t="s">
        <v>7</v>
      </c>
    </row>
    <row r="2214" spans="1:7" x14ac:dyDescent="0.3">
      <c r="A2214" t="s">
        <v>34</v>
      </c>
      <c r="B2214" s="1">
        <v>45930</v>
      </c>
      <c r="C2214">
        <v>546013</v>
      </c>
      <c r="D2214">
        <v>190364.13500000001</v>
      </c>
      <c r="E2214" t="s">
        <v>6</v>
      </c>
      <c r="F2214" t="s">
        <v>51</v>
      </c>
      <c r="G2214" t="s">
        <v>7</v>
      </c>
    </row>
    <row r="2215" spans="1:7" x14ac:dyDescent="0.3">
      <c r="A2215" t="s">
        <v>34</v>
      </c>
      <c r="B2215" s="1">
        <v>45930</v>
      </c>
      <c r="C2215">
        <v>546016</v>
      </c>
      <c r="D2215">
        <v>27631.837</v>
      </c>
      <c r="E2215" t="s">
        <v>6</v>
      </c>
      <c r="F2215" t="s">
        <v>51</v>
      </c>
      <c r="G2215" t="s">
        <v>7</v>
      </c>
    </row>
    <row r="2216" spans="1:7" x14ac:dyDescent="0.3">
      <c r="A2216" t="s">
        <v>34</v>
      </c>
      <c r="B2216" s="1">
        <v>45930</v>
      </c>
      <c r="C2216">
        <v>546035</v>
      </c>
      <c r="D2216">
        <v>59972.845999999998</v>
      </c>
      <c r="E2216" t="s">
        <v>6</v>
      </c>
      <c r="F2216" t="s">
        <v>51</v>
      </c>
      <c r="G2216" t="s">
        <v>7</v>
      </c>
    </row>
    <row r="2217" spans="1:7" x14ac:dyDescent="0.3">
      <c r="A2217" t="s">
        <v>34</v>
      </c>
      <c r="B2217" s="1">
        <v>45930</v>
      </c>
      <c r="C2217">
        <v>546040</v>
      </c>
      <c r="D2217">
        <v>22980.263999999999</v>
      </c>
      <c r="E2217" t="s">
        <v>6</v>
      </c>
      <c r="F2217" t="s">
        <v>51</v>
      </c>
      <c r="G2217" t="s">
        <v>7</v>
      </c>
    </row>
    <row r="2218" spans="1:7" x14ac:dyDescent="0.3">
      <c r="A2218" t="s">
        <v>34</v>
      </c>
      <c r="B2218" s="1">
        <v>45930</v>
      </c>
      <c r="C2218">
        <v>546045</v>
      </c>
      <c r="D2218">
        <v>1455.4079999999999</v>
      </c>
      <c r="E2218" t="s">
        <v>6</v>
      </c>
      <c r="F2218" t="s">
        <v>51</v>
      </c>
      <c r="G2218" t="s">
        <v>7</v>
      </c>
    </row>
    <row r="2219" spans="1:7" x14ac:dyDescent="0.3">
      <c r="A2219" t="s">
        <v>34</v>
      </c>
      <c r="B2219" s="1">
        <v>45930</v>
      </c>
      <c r="C2219">
        <v>546047</v>
      </c>
      <c r="D2219">
        <v>44.353999999999999</v>
      </c>
      <c r="E2219" t="s">
        <v>6</v>
      </c>
      <c r="F2219" t="s">
        <v>51</v>
      </c>
      <c r="G2219" t="s">
        <v>7</v>
      </c>
    </row>
    <row r="2220" spans="1:7" x14ac:dyDescent="0.3">
      <c r="A2220" t="s">
        <v>34</v>
      </c>
      <c r="B2220" s="1">
        <v>45930</v>
      </c>
      <c r="C2220">
        <v>547002</v>
      </c>
      <c r="D2220">
        <v>22880.77</v>
      </c>
      <c r="E2220" t="s">
        <v>6</v>
      </c>
      <c r="F2220" t="s">
        <v>54</v>
      </c>
      <c r="G2220" t="s">
        <v>7</v>
      </c>
    </row>
    <row r="2221" spans="1:7" x14ac:dyDescent="0.3">
      <c r="A2221" t="s">
        <v>34</v>
      </c>
      <c r="B2221" s="1">
        <v>45930</v>
      </c>
      <c r="C2221">
        <v>547006</v>
      </c>
      <c r="D2221">
        <v>11810.074000000001</v>
      </c>
      <c r="E2221" t="s">
        <v>6</v>
      </c>
      <c r="F2221" t="s">
        <v>54</v>
      </c>
      <c r="G2221" t="s">
        <v>7</v>
      </c>
    </row>
    <row r="2222" spans="1:7" x14ac:dyDescent="0.3">
      <c r="A2222" t="s">
        <v>34</v>
      </c>
      <c r="B2222" s="1">
        <v>45930</v>
      </c>
      <c r="C2222">
        <v>550003</v>
      </c>
      <c r="D2222">
        <v>68160.017999999996</v>
      </c>
      <c r="E2222" t="s">
        <v>6</v>
      </c>
      <c r="F2222" t="s">
        <v>62</v>
      </c>
      <c r="G2222" t="s">
        <v>7</v>
      </c>
    </row>
    <row r="2223" spans="1:7" x14ac:dyDescent="0.3">
      <c r="A2223" t="s">
        <v>34</v>
      </c>
      <c r="B2223" s="1">
        <v>45930</v>
      </c>
      <c r="C2223">
        <v>551008</v>
      </c>
      <c r="D2223">
        <v>155.417</v>
      </c>
      <c r="E2223" t="s">
        <v>6</v>
      </c>
      <c r="F2223" t="s">
        <v>63</v>
      </c>
      <c r="G2223" t="s">
        <v>7</v>
      </c>
    </row>
    <row r="2224" spans="1:7" x14ac:dyDescent="0.3">
      <c r="A2224" t="s">
        <v>34</v>
      </c>
      <c r="B2224" s="1">
        <v>45930</v>
      </c>
      <c r="C2224">
        <v>552504</v>
      </c>
      <c r="D2224">
        <v>40.811999999999998</v>
      </c>
      <c r="E2224" t="s">
        <v>6</v>
      </c>
      <c r="F2224" t="s">
        <v>55</v>
      </c>
      <c r="G2224" t="s">
        <v>7</v>
      </c>
    </row>
    <row r="2225" spans="1:7" x14ac:dyDescent="0.3">
      <c r="A2225" t="s">
        <v>34</v>
      </c>
      <c r="B2225" s="1">
        <v>45930</v>
      </c>
      <c r="C2225">
        <v>555007</v>
      </c>
      <c r="D2225">
        <v>38.884999999999998</v>
      </c>
      <c r="E2225" t="s">
        <v>6</v>
      </c>
      <c r="F2225" t="s">
        <v>55</v>
      </c>
      <c r="G2225" t="s">
        <v>7</v>
      </c>
    </row>
    <row r="2226" spans="1:7" x14ac:dyDescent="0.3">
      <c r="A2226" t="s">
        <v>34</v>
      </c>
      <c r="B2226" s="1">
        <v>45930</v>
      </c>
      <c r="C2226">
        <v>555508</v>
      </c>
      <c r="D2226">
        <v>26.925999999999998</v>
      </c>
      <c r="E2226" t="s">
        <v>6</v>
      </c>
      <c r="F2226" t="s">
        <v>55</v>
      </c>
      <c r="G2226" t="s">
        <v>7</v>
      </c>
    </row>
    <row r="2227" spans="1:7" x14ac:dyDescent="0.3">
      <c r="A2227" t="s">
        <v>34</v>
      </c>
      <c r="B2227" s="1">
        <v>45930</v>
      </c>
      <c r="C2227">
        <v>556002</v>
      </c>
      <c r="D2227">
        <v>108.79300000000001</v>
      </c>
      <c r="E2227" t="s">
        <v>6</v>
      </c>
      <c r="F2227" t="s">
        <v>60</v>
      </c>
      <c r="G2227" t="s">
        <v>7</v>
      </c>
    </row>
    <row r="2228" spans="1:7" x14ac:dyDescent="0.3">
      <c r="A2228" t="s">
        <v>34</v>
      </c>
      <c r="B2228" s="1">
        <v>45930</v>
      </c>
      <c r="C2228">
        <v>557002</v>
      </c>
      <c r="D2228">
        <v>6208.91</v>
      </c>
      <c r="E2228" t="s">
        <v>6</v>
      </c>
      <c r="F2228" t="s">
        <v>56</v>
      </c>
      <c r="G2228" t="s">
        <v>7</v>
      </c>
    </row>
    <row r="2229" spans="1:7" x14ac:dyDescent="0.3">
      <c r="A2229" t="s">
        <v>34</v>
      </c>
      <c r="B2229" s="1">
        <v>45930</v>
      </c>
      <c r="C2229">
        <v>557003</v>
      </c>
      <c r="D2229">
        <v>256.31299999999999</v>
      </c>
      <c r="E2229" t="s">
        <v>6</v>
      </c>
      <c r="F2229" t="s">
        <v>56</v>
      </c>
      <c r="G2229" t="s">
        <v>7</v>
      </c>
    </row>
    <row r="2230" spans="1:7" x14ac:dyDescent="0.3">
      <c r="A2230" t="s">
        <v>34</v>
      </c>
      <c r="B2230" s="1">
        <v>45930</v>
      </c>
      <c r="C2230">
        <v>558012</v>
      </c>
      <c r="D2230">
        <v>4295.4440000000004</v>
      </c>
      <c r="E2230" t="s">
        <v>6</v>
      </c>
      <c r="F2230" t="s">
        <v>60</v>
      </c>
      <c r="G2230" t="s">
        <v>7</v>
      </c>
    </row>
    <row r="2231" spans="1:7" x14ac:dyDescent="0.3">
      <c r="A2231" t="s">
        <v>34</v>
      </c>
      <c r="B2231" s="1">
        <v>45930</v>
      </c>
      <c r="C2231">
        <v>559002</v>
      </c>
      <c r="D2231">
        <v>59.475000000000001</v>
      </c>
      <c r="E2231" t="s">
        <v>6</v>
      </c>
      <c r="F2231" t="s">
        <v>60</v>
      </c>
      <c r="G2231" t="s">
        <v>7</v>
      </c>
    </row>
    <row r="2232" spans="1:7" x14ac:dyDescent="0.3">
      <c r="A2232" t="s">
        <v>34</v>
      </c>
      <c r="B2232" s="1">
        <v>45930</v>
      </c>
      <c r="C2232">
        <v>563002</v>
      </c>
      <c r="D2232">
        <v>5601.7780000000002</v>
      </c>
      <c r="E2232" t="s">
        <v>6</v>
      </c>
      <c r="F2232" t="s">
        <v>57</v>
      </c>
      <c r="G2232" t="s">
        <v>7</v>
      </c>
    </row>
    <row r="2233" spans="1:7" x14ac:dyDescent="0.3">
      <c r="A2233" t="s">
        <v>34</v>
      </c>
      <c r="B2233" s="1">
        <v>45930</v>
      </c>
      <c r="C2233">
        <v>564004</v>
      </c>
      <c r="D2233">
        <v>20909.454000000002</v>
      </c>
      <c r="E2233" t="s">
        <v>6</v>
      </c>
      <c r="F2233" t="s">
        <v>51</v>
      </c>
      <c r="G2233" t="s">
        <v>7</v>
      </c>
    </row>
    <row r="2234" spans="1:7" x14ac:dyDescent="0.3">
      <c r="A2234" t="s">
        <v>34</v>
      </c>
      <c r="B2234" s="1">
        <v>45930</v>
      </c>
      <c r="C2234">
        <v>564006</v>
      </c>
      <c r="D2234">
        <v>-0.121</v>
      </c>
      <c r="E2234" t="s">
        <v>6</v>
      </c>
      <c r="F2234" t="s">
        <v>57</v>
      </c>
      <c r="G2234" t="s">
        <v>7</v>
      </c>
    </row>
    <row r="2235" spans="1:7" x14ac:dyDescent="0.3">
      <c r="A2235" t="s">
        <v>34</v>
      </c>
      <c r="B2235" s="1">
        <v>45930</v>
      </c>
      <c r="C2235">
        <v>564020</v>
      </c>
      <c r="D2235">
        <v>90.488</v>
      </c>
      <c r="E2235" t="s">
        <v>6</v>
      </c>
      <c r="F2235" t="s">
        <v>57</v>
      </c>
      <c r="G2235" t="s">
        <v>7</v>
      </c>
    </row>
    <row r="2236" spans="1:7" x14ac:dyDescent="0.3">
      <c r="A2236" t="s">
        <v>34</v>
      </c>
      <c r="B2236" s="1">
        <v>45930</v>
      </c>
      <c r="C2236">
        <v>564021</v>
      </c>
      <c r="D2236">
        <v>2.9340000000000002</v>
      </c>
      <c r="E2236" t="s">
        <v>6</v>
      </c>
      <c r="F2236" t="s">
        <v>57</v>
      </c>
      <c r="G2236" t="s">
        <v>7</v>
      </c>
    </row>
    <row r="2237" spans="1:7" x14ac:dyDescent="0.3">
      <c r="A2237" t="s">
        <v>34</v>
      </c>
      <c r="B2237" s="1">
        <v>45930</v>
      </c>
      <c r="C2237">
        <v>570002</v>
      </c>
      <c r="D2237">
        <v>12.215999999999999</v>
      </c>
      <c r="E2237" t="s">
        <v>6</v>
      </c>
      <c r="F2237" t="s">
        <v>66</v>
      </c>
      <c r="G2237" t="s">
        <v>7</v>
      </c>
    </row>
    <row r="2238" spans="1:7" x14ac:dyDescent="0.3">
      <c r="A2238" t="s">
        <v>34</v>
      </c>
      <c r="B2238" s="1">
        <v>45930</v>
      </c>
      <c r="C2238">
        <v>580002</v>
      </c>
      <c r="D2238">
        <v>63.573999999999998</v>
      </c>
      <c r="E2238" t="s">
        <v>6</v>
      </c>
      <c r="F2238" t="s">
        <v>64</v>
      </c>
      <c r="G2238" t="s">
        <v>7</v>
      </c>
    </row>
    <row r="2239" spans="1:7" x14ac:dyDescent="0.3">
      <c r="A2239" t="s">
        <v>34</v>
      </c>
      <c r="B2239" s="1">
        <v>45930</v>
      </c>
      <c r="C2239">
        <v>580003</v>
      </c>
      <c r="D2239">
        <v>-4187.5640000000003</v>
      </c>
      <c r="E2239" t="s">
        <v>6</v>
      </c>
      <c r="F2239" t="s">
        <v>64</v>
      </c>
      <c r="G2239" t="s">
        <v>7</v>
      </c>
    </row>
    <row r="2240" spans="1:7" x14ac:dyDescent="0.3">
      <c r="A2240" t="s">
        <v>35</v>
      </c>
      <c r="B2240" s="1">
        <v>45930</v>
      </c>
      <c r="C2240">
        <v>210002</v>
      </c>
      <c r="D2240">
        <v>-63038.5</v>
      </c>
      <c r="E2240" t="s">
        <v>4</v>
      </c>
      <c r="F2240" t="s">
        <v>42</v>
      </c>
      <c r="G2240" t="s">
        <v>7</v>
      </c>
    </row>
    <row r="2241" spans="1:7" x14ac:dyDescent="0.3">
      <c r="A2241" t="s">
        <v>35</v>
      </c>
      <c r="B2241" s="1">
        <v>45930</v>
      </c>
      <c r="C2241">
        <v>220006</v>
      </c>
      <c r="D2241">
        <v>-7381220.2319999998</v>
      </c>
      <c r="E2241" t="s">
        <v>4</v>
      </c>
      <c r="F2241" t="s">
        <v>42</v>
      </c>
      <c r="G2241" t="s">
        <v>7</v>
      </c>
    </row>
    <row r="2242" spans="1:7" x14ac:dyDescent="0.3">
      <c r="A2242" t="s">
        <v>35</v>
      </c>
      <c r="B2242" s="1">
        <v>45930</v>
      </c>
      <c r="C2242">
        <v>240002</v>
      </c>
      <c r="D2242">
        <v>-49004.875</v>
      </c>
      <c r="E2242" t="s">
        <v>4</v>
      </c>
      <c r="F2242" t="s">
        <v>43</v>
      </c>
      <c r="G2242" t="s">
        <v>7</v>
      </c>
    </row>
    <row r="2243" spans="1:7" x14ac:dyDescent="0.3">
      <c r="A2243" t="s">
        <v>35</v>
      </c>
      <c r="B2243" s="1">
        <v>45930</v>
      </c>
      <c r="C2243">
        <v>240003</v>
      </c>
      <c r="D2243">
        <v>1848.087</v>
      </c>
      <c r="E2243" t="s">
        <v>4</v>
      </c>
      <c r="F2243" t="s">
        <v>43</v>
      </c>
      <c r="G2243" t="s">
        <v>7</v>
      </c>
    </row>
    <row r="2244" spans="1:7" x14ac:dyDescent="0.3">
      <c r="A2244" t="s">
        <v>35</v>
      </c>
      <c r="B2244" s="1">
        <v>45930</v>
      </c>
      <c r="C2244">
        <v>240009</v>
      </c>
      <c r="D2244">
        <v>-23360.675999999999</v>
      </c>
      <c r="E2244" t="s">
        <v>4</v>
      </c>
      <c r="F2244" t="s">
        <v>43</v>
      </c>
      <c r="G2244" t="s">
        <v>7</v>
      </c>
    </row>
    <row r="2245" spans="1:7" x14ac:dyDescent="0.3">
      <c r="A2245" t="s">
        <v>35</v>
      </c>
      <c r="B2245" s="1">
        <v>45930</v>
      </c>
      <c r="C2245">
        <v>242003</v>
      </c>
      <c r="D2245">
        <v>778592.48899999994</v>
      </c>
      <c r="E2245" t="s">
        <v>4</v>
      </c>
      <c r="F2245" t="s">
        <v>43</v>
      </c>
      <c r="G2245" t="s">
        <v>7</v>
      </c>
    </row>
    <row r="2246" spans="1:7" x14ac:dyDescent="0.3">
      <c r="A2246" t="s">
        <v>35</v>
      </c>
      <c r="B2246" s="1">
        <v>45930</v>
      </c>
      <c r="C2246">
        <v>242007</v>
      </c>
      <c r="D2246">
        <v>-4098.9690000000001</v>
      </c>
      <c r="E2246" t="s">
        <v>4</v>
      </c>
      <c r="F2246" t="s">
        <v>43</v>
      </c>
      <c r="G2246" t="s">
        <v>7</v>
      </c>
    </row>
    <row r="2247" spans="1:7" x14ac:dyDescent="0.3">
      <c r="A2247" t="s">
        <v>35</v>
      </c>
      <c r="B2247" s="1">
        <v>45930</v>
      </c>
      <c r="C2247">
        <v>242011</v>
      </c>
      <c r="D2247">
        <v>-833832.84900000005</v>
      </c>
      <c r="E2247" t="s">
        <v>4</v>
      </c>
      <c r="F2247" t="s">
        <v>43</v>
      </c>
      <c r="G2247" t="s">
        <v>7</v>
      </c>
    </row>
    <row r="2248" spans="1:7" x14ac:dyDescent="0.3">
      <c r="A2248" t="s">
        <v>35</v>
      </c>
      <c r="B2248" s="1">
        <v>45930</v>
      </c>
      <c r="C2248">
        <v>242012</v>
      </c>
      <c r="D2248">
        <v>-21895.276000000002</v>
      </c>
      <c r="E2248" t="s">
        <v>4</v>
      </c>
      <c r="F2248" t="s">
        <v>43</v>
      </c>
      <c r="G2248" t="s">
        <v>7</v>
      </c>
    </row>
    <row r="2249" spans="1:7" x14ac:dyDescent="0.3">
      <c r="A2249" t="s">
        <v>35</v>
      </c>
      <c r="B2249" s="1">
        <v>45930</v>
      </c>
      <c r="C2249">
        <v>242013</v>
      </c>
      <c r="D2249">
        <v>-27397.773000000001</v>
      </c>
      <c r="E2249" t="s">
        <v>4</v>
      </c>
      <c r="F2249" t="s">
        <v>43</v>
      </c>
      <c r="G2249" t="s">
        <v>7</v>
      </c>
    </row>
    <row r="2250" spans="1:7" x14ac:dyDescent="0.3">
      <c r="A2250" t="s">
        <v>35</v>
      </c>
      <c r="B2250" s="1">
        <v>45930</v>
      </c>
      <c r="C2250">
        <v>242014</v>
      </c>
      <c r="D2250">
        <v>-17306.257000000001</v>
      </c>
      <c r="E2250" t="s">
        <v>4</v>
      </c>
      <c r="F2250" t="s">
        <v>43</v>
      </c>
      <c r="G2250" t="s">
        <v>7</v>
      </c>
    </row>
    <row r="2251" spans="1:7" x14ac:dyDescent="0.3">
      <c r="A2251" t="s">
        <v>35</v>
      </c>
      <c r="B2251" s="1">
        <v>45930</v>
      </c>
      <c r="C2251">
        <v>242017</v>
      </c>
      <c r="D2251">
        <v>-1012.835</v>
      </c>
      <c r="E2251" t="s">
        <v>4</v>
      </c>
      <c r="F2251" t="s">
        <v>43</v>
      </c>
      <c r="G2251" t="s">
        <v>7</v>
      </c>
    </row>
    <row r="2252" spans="1:7" x14ac:dyDescent="0.3">
      <c r="A2252" t="s">
        <v>35</v>
      </c>
      <c r="B2252" s="1">
        <v>45930</v>
      </c>
      <c r="C2252">
        <v>242019</v>
      </c>
      <c r="D2252">
        <v>127.247</v>
      </c>
      <c r="E2252" t="s">
        <v>4</v>
      </c>
      <c r="F2252" t="s">
        <v>43</v>
      </c>
      <c r="G2252" t="s">
        <v>7</v>
      </c>
    </row>
    <row r="2253" spans="1:7" x14ac:dyDescent="0.3">
      <c r="A2253" t="s">
        <v>35</v>
      </c>
      <c r="B2253" s="1">
        <v>45930</v>
      </c>
      <c r="C2253">
        <v>242023</v>
      </c>
      <c r="D2253">
        <v>-822.86199999999997</v>
      </c>
      <c r="E2253" t="s">
        <v>4</v>
      </c>
      <c r="F2253" t="s">
        <v>43</v>
      </c>
      <c r="G2253" t="s">
        <v>7</v>
      </c>
    </row>
    <row r="2254" spans="1:7" x14ac:dyDescent="0.3">
      <c r="A2254" t="s">
        <v>35</v>
      </c>
      <c r="B2254" s="1">
        <v>45930</v>
      </c>
      <c r="C2254">
        <v>242027</v>
      </c>
      <c r="D2254">
        <v>-69067.053</v>
      </c>
      <c r="E2254" t="s">
        <v>4</v>
      </c>
      <c r="F2254" t="s">
        <v>43</v>
      </c>
      <c r="G2254" t="s">
        <v>7</v>
      </c>
    </row>
    <row r="2255" spans="1:7" x14ac:dyDescent="0.3">
      <c r="A2255" t="s">
        <v>35</v>
      </c>
      <c r="B2255" s="1">
        <v>45930</v>
      </c>
      <c r="C2255">
        <v>242038</v>
      </c>
      <c r="D2255">
        <v>-5188.7299999999996</v>
      </c>
      <c r="E2255" t="s">
        <v>4</v>
      </c>
      <c r="F2255" t="s">
        <v>43</v>
      </c>
      <c r="G2255" t="s">
        <v>7</v>
      </c>
    </row>
    <row r="2256" spans="1:7" x14ac:dyDescent="0.3">
      <c r="A2256" t="s">
        <v>35</v>
      </c>
      <c r="B2256" s="1">
        <v>45930</v>
      </c>
      <c r="C2256">
        <v>242039</v>
      </c>
      <c r="D2256">
        <v>-17696.999</v>
      </c>
      <c r="E2256" t="s">
        <v>4</v>
      </c>
      <c r="F2256" t="s">
        <v>43</v>
      </c>
      <c r="G2256" t="s">
        <v>7</v>
      </c>
    </row>
    <row r="2257" spans="1:7" x14ac:dyDescent="0.3">
      <c r="A2257" t="s">
        <v>35</v>
      </c>
      <c r="B2257" s="1">
        <v>45930</v>
      </c>
      <c r="C2257">
        <v>242041</v>
      </c>
      <c r="D2257">
        <v>4894.2830000000004</v>
      </c>
      <c r="E2257" t="s">
        <v>4</v>
      </c>
      <c r="F2257" t="s">
        <v>43</v>
      </c>
      <c r="G2257" t="s">
        <v>7</v>
      </c>
    </row>
    <row r="2258" spans="1:7" x14ac:dyDescent="0.3">
      <c r="A2258" t="s">
        <v>35</v>
      </c>
      <c r="B2258" s="1">
        <v>45930</v>
      </c>
      <c r="C2258">
        <v>243002</v>
      </c>
      <c r="D2258">
        <v>-50619.284</v>
      </c>
      <c r="E2258" t="s">
        <v>4</v>
      </c>
      <c r="F2258" t="s">
        <v>43</v>
      </c>
      <c r="G2258" t="s">
        <v>7</v>
      </c>
    </row>
    <row r="2259" spans="1:7" x14ac:dyDescent="0.3">
      <c r="A2259" t="s">
        <v>35</v>
      </c>
      <c r="B2259" s="1">
        <v>45930</v>
      </c>
      <c r="C2259">
        <v>243003</v>
      </c>
      <c r="D2259">
        <v>-926349.95799999998</v>
      </c>
      <c r="E2259" t="s">
        <v>4</v>
      </c>
      <c r="F2259" t="s">
        <v>43</v>
      </c>
      <c r="G2259" t="s">
        <v>7</v>
      </c>
    </row>
    <row r="2260" spans="1:7" x14ac:dyDescent="0.3">
      <c r="A2260" t="s">
        <v>35</v>
      </c>
      <c r="B2260" s="1">
        <v>45930</v>
      </c>
      <c r="C2260">
        <v>243009</v>
      </c>
      <c r="D2260">
        <v>-11708.323</v>
      </c>
      <c r="E2260" t="s">
        <v>4</v>
      </c>
      <c r="F2260" t="s">
        <v>43</v>
      </c>
      <c r="G2260" t="s">
        <v>7</v>
      </c>
    </row>
    <row r="2261" spans="1:7" x14ac:dyDescent="0.3">
      <c r="A2261" t="s">
        <v>35</v>
      </c>
      <c r="B2261" s="1">
        <v>45930</v>
      </c>
      <c r="C2261">
        <v>243010</v>
      </c>
      <c r="D2261">
        <v>-7094.7650000000003</v>
      </c>
      <c r="E2261" t="s">
        <v>4</v>
      </c>
      <c r="F2261" t="s">
        <v>43</v>
      </c>
      <c r="G2261" t="s">
        <v>7</v>
      </c>
    </row>
    <row r="2262" spans="1:7" x14ac:dyDescent="0.3">
      <c r="A2262" t="s">
        <v>35</v>
      </c>
      <c r="B2262" s="1">
        <v>45930</v>
      </c>
      <c r="C2262">
        <v>245004</v>
      </c>
      <c r="D2262">
        <v>-86.965000000000003</v>
      </c>
      <c r="E2262" t="s">
        <v>4</v>
      </c>
      <c r="F2262" t="s">
        <v>43</v>
      </c>
      <c r="G2262" t="s">
        <v>7</v>
      </c>
    </row>
    <row r="2263" spans="1:7" x14ac:dyDescent="0.3">
      <c r="A2263" t="s">
        <v>35</v>
      </c>
      <c r="B2263" s="1">
        <v>45930</v>
      </c>
      <c r="C2263">
        <v>245006</v>
      </c>
      <c r="D2263">
        <v>-1086.9939999999999</v>
      </c>
      <c r="E2263" t="s">
        <v>4</v>
      </c>
      <c r="F2263" t="s">
        <v>43</v>
      </c>
      <c r="G2263" t="s">
        <v>7</v>
      </c>
    </row>
    <row r="2264" spans="1:7" x14ac:dyDescent="0.3">
      <c r="A2264" t="s">
        <v>35</v>
      </c>
      <c r="B2264" s="1">
        <v>45930</v>
      </c>
      <c r="C2264">
        <v>245010</v>
      </c>
      <c r="D2264">
        <v>-239728.22500000001</v>
      </c>
      <c r="E2264" t="s">
        <v>4</v>
      </c>
      <c r="F2264" t="s">
        <v>44</v>
      </c>
      <c r="G2264" t="s">
        <v>7</v>
      </c>
    </row>
    <row r="2265" spans="1:7" x14ac:dyDescent="0.3">
      <c r="A2265" t="s">
        <v>35</v>
      </c>
      <c r="B2265" s="1">
        <v>45930</v>
      </c>
      <c r="C2265">
        <v>245018</v>
      </c>
      <c r="D2265">
        <v>-80998.707999999999</v>
      </c>
      <c r="E2265" t="s">
        <v>4</v>
      </c>
      <c r="F2265" t="s">
        <v>43</v>
      </c>
      <c r="G2265" t="s">
        <v>7</v>
      </c>
    </row>
    <row r="2266" spans="1:7" x14ac:dyDescent="0.3">
      <c r="A2266" t="s">
        <v>35</v>
      </c>
      <c r="B2266" s="1">
        <v>45930</v>
      </c>
      <c r="C2266">
        <v>245055</v>
      </c>
      <c r="D2266">
        <v>-1190.7950000000001</v>
      </c>
      <c r="E2266" t="s">
        <v>4</v>
      </c>
      <c r="F2266" t="s">
        <v>43</v>
      </c>
      <c r="G2266" t="s">
        <v>7</v>
      </c>
    </row>
    <row r="2267" spans="1:7" x14ac:dyDescent="0.3">
      <c r="A2267" t="s">
        <v>35</v>
      </c>
      <c r="B2267" s="1">
        <v>45930</v>
      </c>
      <c r="C2267">
        <v>245056</v>
      </c>
      <c r="D2267">
        <v>-26.189</v>
      </c>
      <c r="E2267" t="s">
        <v>4</v>
      </c>
      <c r="F2267" t="s">
        <v>49</v>
      </c>
      <c r="G2267" t="s">
        <v>7</v>
      </c>
    </row>
    <row r="2268" spans="1:7" x14ac:dyDescent="0.3">
      <c r="A2268" t="s">
        <v>35</v>
      </c>
      <c r="B2268" s="1">
        <v>45930</v>
      </c>
      <c r="C2268">
        <v>245062</v>
      </c>
      <c r="D2268">
        <v>-167989.03400000001</v>
      </c>
      <c r="E2268" t="s">
        <v>4</v>
      </c>
      <c r="F2268" t="s">
        <v>43</v>
      </c>
      <c r="G2268" t="s">
        <v>7</v>
      </c>
    </row>
    <row r="2269" spans="1:7" x14ac:dyDescent="0.3">
      <c r="A2269" t="s">
        <v>35</v>
      </c>
      <c r="B2269" s="1">
        <v>45930</v>
      </c>
      <c r="C2269">
        <v>250003</v>
      </c>
      <c r="D2269">
        <v>-32732.47</v>
      </c>
      <c r="E2269" t="s">
        <v>4</v>
      </c>
      <c r="F2269" t="s">
        <v>45</v>
      </c>
      <c r="G2269" t="s">
        <v>7</v>
      </c>
    </row>
    <row r="2270" spans="1:7" x14ac:dyDescent="0.3">
      <c r="A2270" t="s">
        <v>35</v>
      </c>
      <c r="B2270" s="1">
        <v>45930</v>
      </c>
      <c r="C2270">
        <v>250007</v>
      </c>
      <c r="D2270">
        <v>-94596.78</v>
      </c>
      <c r="E2270" t="s">
        <v>4</v>
      </c>
      <c r="F2270" t="s">
        <v>43</v>
      </c>
      <c r="G2270" t="s">
        <v>7</v>
      </c>
    </row>
    <row r="2271" spans="1:7" x14ac:dyDescent="0.3">
      <c r="A2271" t="s">
        <v>35</v>
      </c>
      <c r="B2271" s="1">
        <v>45930</v>
      </c>
      <c r="C2271">
        <v>250020</v>
      </c>
      <c r="D2271">
        <v>-85721.906000000003</v>
      </c>
      <c r="E2271" t="s">
        <v>4</v>
      </c>
      <c r="F2271" t="s">
        <v>45</v>
      </c>
      <c r="G2271" t="s">
        <v>7</v>
      </c>
    </row>
    <row r="2272" spans="1:7" x14ac:dyDescent="0.3">
      <c r="A2272" t="s">
        <v>35</v>
      </c>
      <c r="B2272" s="1">
        <v>45930</v>
      </c>
      <c r="C2272">
        <v>251002</v>
      </c>
      <c r="D2272">
        <v>-232082.11799999999</v>
      </c>
      <c r="E2272" t="s">
        <v>4</v>
      </c>
      <c r="F2272" t="s">
        <v>45</v>
      </c>
      <c r="G2272" t="s">
        <v>7</v>
      </c>
    </row>
    <row r="2273" spans="1:7" x14ac:dyDescent="0.3">
      <c r="A2273" t="s">
        <v>35</v>
      </c>
      <c r="B2273" s="1">
        <v>45930</v>
      </c>
      <c r="C2273">
        <v>251003</v>
      </c>
      <c r="D2273">
        <v>-22748.414000000001</v>
      </c>
      <c r="E2273" t="s">
        <v>4</v>
      </c>
      <c r="F2273" t="s">
        <v>45</v>
      </c>
      <c r="G2273" t="s">
        <v>7</v>
      </c>
    </row>
    <row r="2274" spans="1:7" x14ac:dyDescent="0.3">
      <c r="A2274" t="s">
        <v>35</v>
      </c>
      <c r="B2274" s="1">
        <v>45930</v>
      </c>
      <c r="C2274">
        <v>251005</v>
      </c>
      <c r="D2274">
        <v>6970.6610000000001</v>
      </c>
      <c r="E2274" t="s">
        <v>4</v>
      </c>
      <c r="F2274" t="s">
        <v>46</v>
      </c>
      <c r="G2274" t="s">
        <v>7</v>
      </c>
    </row>
    <row r="2275" spans="1:7" x14ac:dyDescent="0.3">
      <c r="A2275" t="s">
        <v>35</v>
      </c>
      <c r="B2275" s="1">
        <v>45930</v>
      </c>
      <c r="C2275">
        <v>257008</v>
      </c>
      <c r="D2275">
        <v>-12381.08</v>
      </c>
      <c r="E2275" t="s">
        <v>4</v>
      </c>
      <c r="F2275" t="s">
        <v>45</v>
      </c>
      <c r="G2275" t="s">
        <v>7</v>
      </c>
    </row>
    <row r="2276" spans="1:7" x14ac:dyDescent="0.3">
      <c r="A2276" t="s">
        <v>35</v>
      </c>
      <c r="B2276" s="1">
        <v>45930</v>
      </c>
      <c r="C2276">
        <v>257009</v>
      </c>
      <c r="D2276">
        <v>-14678.56</v>
      </c>
      <c r="E2276" t="s">
        <v>4</v>
      </c>
      <c r="F2276" t="s">
        <v>45</v>
      </c>
      <c r="G2276" t="s">
        <v>7</v>
      </c>
    </row>
    <row r="2277" spans="1:7" x14ac:dyDescent="0.3">
      <c r="A2277" t="s">
        <v>35</v>
      </c>
      <c r="B2277" s="1">
        <v>45930</v>
      </c>
      <c r="C2277">
        <v>257022</v>
      </c>
      <c r="D2277">
        <v>1657.3920000000001</v>
      </c>
      <c r="E2277" t="s">
        <v>4</v>
      </c>
      <c r="F2277" t="s">
        <v>45</v>
      </c>
      <c r="G2277" t="s">
        <v>7</v>
      </c>
    </row>
    <row r="2278" spans="1:7" x14ac:dyDescent="0.3">
      <c r="A2278" t="s">
        <v>35</v>
      </c>
      <c r="B2278" s="1">
        <v>45930</v>
      </c>
      <c r="C2278">
        <v>257028</v>
      </c>
      <c r="D2278">
        <v>-106266.60799999999</v>
      </c>
      <c r="E2278" t="s">
        <v>4</v>
      </c>
      <c r="F2278" t="s">
        <v>45</v>
      </c>
      <c r="G2278" t="s">
        <v>7</v>
      </c>
    </row>
    <row r="2279" spans="1:7" x14ac:dyDescent="0.3">
      <c r="A2279" t="s">
        <v>35</v>
      </c>
      <c r="B2279" s="1">
        <v>45930</v>
      </c>
      <c r="C2279">
        <v>260004</v>
      </c>
      <c r="D2279">
        <v>-15827.573</v>
      </c>
      <c r="E2279" t="s">
        <v>4</v>
      </c>
      <c r="F2279" t="s">
        <v>45</v>
      </c>
      <c r="G2279" t="s">
        <v>7</v>
      </c>
    </row>
    <row r="2280" spans="1:7" x14ac:dyDescent="0.3">
      <c r="A2280" t="s">
        <v>35</v>
      </c>
      <c r="B2280" s="1">
        <v>45930</v>
      </c>
      <c r="C2280">
        <v>270024</v>
      </c>
      <c r="D2280">
        <v>-1.6E-2</v>
      </c>
      <c r="E2280" t="s">
        <v>4</v>
      </c>
      <c r="F2280" t="s">
        <v>58</v>
      </c>
      <c r="G2280" t="s">
        <v>7</v>
      </c>
    </row>
    <row r="2281" spans="1:7" x14ac:dyDescent="0.3">
      <c r="A2281" t="s">
        <v>35</v>
      </c>
      <c r="B2281" s="1">
        <v>45930</v>
      </c>
      <c r="C2281">
        <v>270025</v>
      </c>
      <c r="D2281">
        <v>-4.9000000000000002E-2</v>
      </c>
      <c r="E2281" t="s">
        <v>4</v>
      </c>
      <c r="F2281" t="s">
        <v>58</v>
      </c>
      <c r="G2281" t="s">
        <v>7</v>
      </c>
    </row>
    <row r="2282" spans="1:7" x14ac:dyDescent="0.3">
      <c r="A2282" t="s">
        <v>35</v>
      </c>
      <c r="B2282" s="1">
        <v>45930</v>
      </c>
      <c r="C2282">
        <v>270027</v>
      </c>
      <c r="D2282">
        <v>-338122.12400000001</v>
      </c>
      <c r="E2282" t="s">
        <v>4</v>
      </c>
      <c r="F2282" t="s">
        <v>58</v>
      </c>
      <c r="G2282" t="s">
        <v>7</v>
      </c>
    </row>
    <row r="2283" spans="1:7" x14ac:dyDescent="0.3">
      <c r="A2283" t="s">
        <v>35</v>
      </c>
      <c r="B2283" s="1">
        <v>45930</v>
      </c>
      <c r="C2283">
        <v>300004</v>
      </c>
      <c r="D2283">
        <v>5467.2849999999999</v>
      </c>
      <c r="E2283" t="s">
        <v>4</v>
      </c>
      <c r="F2283" t="s">
        <v>65</v>
      </c>
      <c r="G2283" t="s">
        <v>7</v>
      </c>
    </row>
    <row r="2284" spans="1:7" x14ac:dyDescent="0.3">
      <c r="A2284" t="s">
        <v>35</v>
      </c>
      <c r="B2284" s="1">
        <v>45930</v>
      </c>
      <c r="C2284">
        <v>300005</v>
      </c>
      <c r="D2284">
        <v>32712.966</v>
      </c>
      <c r="E2284" t="s">
        <v>4</v>
      </c>
      <c r="F2284" t="s">
        <v>65</v>
      </c>
      <c r="G2284" t="s">
        <v>7</v>
      </c>
    </row>
    <row r="2285" spans="1:7" x14ac:dyDescent="0.3">
      <c r="A2285" t="s">
        <v>35</v>
      </c>
      <c r="B2285" s="1">
        <v>45930</v>
      </c>
      <c r="C2285">
        <v>300008</v>
      </c>
      <c r="D2285">
        <v>49145.021000000001</v>
      </c>
      <c r="E2285" t="s">
        <v>4</v>
      </c>
      <c r="F2285" t="s">
        <v>65</v>
      </c>
      <c r="G2285" t="s">
        <v>7</v>
      </c>
    </row>
    <row r="2286" spans="1:7" x14ac:dyDescent="0.3">
      <c r="A2286" t="s">
        <v>35</v>
      </c>
      <c r="B2286" s="1">
        <v>45930</v>
      </c>
      <c r="C2286">
        <v>300009</v>
      </c>
      <c r="D2286">
        <v>39.390999999999998</v>
      </c>
      <c r="E2286" t="s">
        <v>4</v>
      </c>
      <c r="F2286" t="s">
        <v>65</v>
      </c>
      <c r="G2286" t="s">
        <v>7</v>
      </c>
    </row>
    <row r="2287" spans="1:7" x14ac:dyDescent="0.3">
      <c r="A2287" t="s">
        <v>35</v>
      </c>
      <c r="B2287" s="1">
        <v>45930</v>
      </c>
      <c r="C2287">
        <v>300012</v>
      </c>
      <c r="D2287">
        <v>87.644000000000005</v>
      </c>
      <c r="E2287" t="s">
        <v>4</v>
      </c>
      <c r="F2287" t="s">
        <v>65</v>
      </c>
      <c r="G2287" t="s">
        <v>7</v>
      </c>
    </row>
    <row r="2288" spans="1:7" x14ac:dyDescent="0.3">
      <c r="A2288" t="s">
        <v>35</v>
      </c>
      <c r="B2288" s="1">
        <v>45930</v>
      </c>
      <c r="C2288">
        <v>300504</v>
      </c>
      <c r="D2288">
        <v>-4962.4979999999996</v>
      </c>
      <c r="E2288" t="s">
        <v>4</v>
      </c>
      <c r="F2288" t="s">
        <v>65</v>
      </c>
      <c r="G2288" t="s">
        <v>7</v>
      </c>
    </row>
    <row r="2289" spans="1:7" x14ac:dyDescent="0.3">
      <c r="A2289" t="s">
        <v>35</v>
      </c>
      <c r="B2289" s="1">
        <v>45930</v>
      </c>
      <c r="C2289">
        <v>300505</v>
      </c>
      <c r="D2289">
        <v>-31027.773000000001</v>
      </c>
      <c r="E2289" t="s">
        <v>4</v>
      </c>
      <c r="F2289" t="s">
        <v>65</v>
      </c>
      <c r="G2289" t="s">
        <v>7</v>
      </c>
    </row>
    <row r="2290" spans="1:7" x14ac:dyDescent="0.3">
      <c r="A2290" t="s">
        <v>35</v>
      </c>
      <c r="B2290" s="1">
        <v>45930</v>
      </c>
      <c r="C2290">
        <v>300508</v>
      </c>
      <c r="D2290">
        <v>-46605.983</v>
      </c>
      <c r="E2290" t="s">
        <v>4</v>
      </c>
      <c r="F2290" t="s">
        <v>65</v>
      </c>
      <c r="G2290" t="s">
        <v>7</v>
      </c>
    </row>
    <row r="2291" spans="1:7" x14ac:dyDescent="0.3">
      <c r="A2291" t="s">
        <v>35</v>
      </c>
      <c r="B2291" s="1">
        <v>45930</v>
      </c>
      <c r="C2291">
        <v>300509</v>
      </c>
      <c r="D2291">
        <v>-11.952</v>
      </c>
      <c r="E2291" t="s">
        <v>4</v>
      </c>
      <c r="F2291" t="s">
        <v>65</v>
      </c>
      <c r="G2291" t="s">
        <v>7</v>
      </c>
    </row>
    <row r="2292" spans="1:7" x14ac:dyDescent="0.3">
      <c r="A2292" t="s">
        <v>35</v>
      </c>
      <c r="B2292" s="1">
        <v>45930</v>
      </c>
      <c r="C2292">
        <v>300512</v>
      </c>
      <c r="D2292">
        <v>-30.943000000000001</v>
      </c>
      <c r="E2292" t="s">
        <v>4</v>
      </c>
      <c r="F2292" t="s">
        <v>65</v>
      </c>
      <c r="G2292" t="s">
        <v>7</v>
      </c>
    </row>
    <row r="2293" spans="1:7" x14ac:dyDescent="0.3">
      <c r="A2293" t="s">
        <v>35</v>
      </c>
      <c r="B2293" s="1">
        <v>45930</v>
      </c>
      <c r="C2293">
        <v>301004</v>
      </c>
      <c r="D2293">
        <v>79411.626000000004</v>
      </c>
      <c r="E2293" t="s">
        <v>4</v>
      </c>
      <c r="F2293" t="s">
        <v>65</v>
      </c>
      <c r="G2293" t="s">
        <v>7</v>
      </c>
    </row>
    <row r="2294" spans="1:7" x14ac:dyDescent="0.3">
      <c r="A2294" t="s">
        <v>35</v>
      </c>
      <c r="B2294" s="1">
        <v>45930</v>
      </c>
      <c r="C2294">
        <v>301504</v>
      </c>
      <c r="D2294">
        <v>-79411.626000000004</v>
      </c>
      <c r="E2294" t="s">
        <v>4</v>
      </c>
      <c r="F2294" t="s">
        <v>65</v>
      </c>
      <c r="G2294" t="s">
        <v>7</v>
      </c>
    </row>
    <row r="2295" spans="1:7" x14ac:dyDescent="0.3">
      <c r="A2295" t="s">
        <v>35</v>
      </c>
      <c r="B2295" s="1">
        <v>45930</v>
      </c>
      <c r="C2295">
        <v>310033</v>
      </c>
      <c r="D2295">
        <v>35147.745999999999</v>
      </c>
      <c r="E2295" t="s">
        <v>4</v>
      </c>
      <c r="F2295" t="s">
        <v>42</v>
      </c>
      <c r="G2295" t="s">
        <v>7</v>
      </c>
    </row>
    <row r="2296" spans="1:7" x14ac:dyDescent="0.3">
      <c r="A2296" t="s">
        <v>35</v>
      </c>
      <c r="B2296" s="1">
        <v>45930</v>
      </c>
      <c r="C2296">
        <v>310035</v>
      </c>
      <c r="D2296">
        <v>1016493.795</v>
      </c>
      <c r="E2296" t="s">
        <v>4</v>
      </c>
      <c r="F2296" t="s">
        <v>42</v>
      </c>
      <c r="G2296" t="s">
        <v>7</v>
      </c>
    </row>
    <row r="2297" spans="1:7" x14ac:dyDescent="0.3">
      <c r="A2297" t="s">
        <v>35</v>
      </c>
      <c r="B2297" s="1">
        <v>45930</v>
      </c>
      <c r="C2297">
        <v>315016</v>
      </c>
      <c r="D2297">
        <v>630781.755</v>
      </c>
      <c r="E2297" t="s">
        <v>4</v>
      </c>
      <c r="F2297" t="s">
        <v>47</v>
      </c>
      <c r="G2297" t="s">
        <v>7</v>
      </c>
    </row>
    <row r="2298" spans="1:7" x14ac:dyDescent="0.3">
      <c r="A2298" t="s">
        <v>35</v>
      </c>
      <c r="B2298" s="1">
        <v>45930</v>
      </c>
      <c r="C2298">
        <v>320002</v>
      </c>
      <c r="D2298">
        <v>24033.302</v>
      </c>
      <c r="E2298" t="s">
        <v>4</v>
      </c>
      <c r="F2298" t="s">
        <v>46</v>
      </c>
      <c r="G2298" t="s">
        <v>7</v>
      </c>
    </row>
    <row r="2299" spans="1:7" x14ac:dyDescent="0.3">
      <c r="A2299" t="s">
        <v>35</v>
      </c>
      <c r="B2299" s="1">
        <v>45930</v>
      </c>
      <c r="C2299">
        <v>320003</v>
      </c>
      <c r="D2299">
        <v>2125454.44</v>
      </c>
      <c r="E2299" t="s">
        <v>4</v>
      </c>
      <c r="F2299" t="s">
        <v>46</v>
      </c>
      <c r="G2299" t="s">
        <v>7</v>
      </c>
    </row>
    <row r="2300" spans="1:7" x14ac:dyDescent="0.3">
      <c r="A2300" t="s">
        <v>35</v>
      </c>
      <c r="B2300" s="1">
        <v>45930</v>
      </c>
      <c r="C2300">
        <v>320020</v>
      </c>
      <c r="D2300">
        <v>2456.989</v>
      </c>
      <c r="E2300" t="s">
        <v>4</v>
      </c>
      <c r="F2300" t="s">
        <v>46</v>
      </c>
      <c r="G2300" t="s">
        <v>7</v>
      </c>
    </row>
    <row r="2301" spans="1:7" x14ac:dyDescent="0.3">
      <c r="A2301" t="s">
        <v>35</v>
      </c>
      <c r="B2301" s="1">
        <v>45930</v>
      </c>
      <c r="C2301">
        <v>320023</v>
      </c>
      <c r="D2301">
        <v>-2456.989</v>
      </c>
      <c r="E2301" t="s">
        <v>4</v>
      </c>
      <c r="F2301" t="s">
        <v>46</v>
      </c>
      <c r="G2301" t="s">
        <v>7</v>
      </c>
    </row>
    <row r="2302" spans="1:7" x14ac:dyDescent="0.3">
      <c r="A2302" t="s">
        <v>35</v>
      </c>
      <c r="B2302" s="1">
        <v>45930</v>
      </c>
      <c r="C2302">
        <v>320024</v>
      </c>
      <c r="D2302">
        <v>727509.11899999995</v>
      </c>
      <c r="E2302" t="s">
        <v>4</v>
      </c>
      <c r="F2302" t="s">
        <v>46</v>
      </c>
      <c r="G2302" t="s">
        <v>7</v>
      </c>
    </row>
    <row r="2303" spans="1:7" x14ac:dyDescent="0.3">
      <c r="A2303" t="s">
        <v>35</v>
      </c>
      <c r="B2303" s="1">
        <v>45930</v>
      </c>
      <c r="C2303">
        <v>321002</v>
      </c>
      <c r="D2303">
        <v>680325.13100000005</v>
      </c>
      <c r="E2303" t="s">
        <v>4</v>
      </c>
      <c r="F2303" t="s">
        <v>46</v>
      </c>
      <c r="G2303" t="s">
        <v>7</v>
      </c>
    </row>
    <row r="2304" spans="1:7" x14ac:dyDescent="0.3">
      <c r="A2304" t="s">
        <v>35</v>
      </c>
      <c r="B2304" s="1">
        <v>45930</v>
      </c>
      <c r="C2304">
        <v>321012</v>
      </c>
      <c r="D2304">
        <v>90973.17</v>
      </c>
      <c r="E2304" t="s">
        <v>4</v>
      </c>
      <c r="F2304" t="s">
        <v>46</v>
      </c>
      <c r="G2304" t="s">
        <v>7</v>
      </c>
    </row>
    <row r="2305" spans="1:7" x14ac:dyDescent="0.3">
      <c r="A2305" t="s">
        <v>35</v>
      </c>
      <c r="B2305" s="1">
        <v>45930</v>
      </c>
      <c r="C2305">
        <v>321013</v>
      </c>
      <c r="D2305">
        <v>71480.277000000002</v>
      </c>
      <c r="E2305" t="s">
        <v>4</v>
      </c>
      <c r="F2305" t="s">
        <v>46</v>
      </c>
      <c r="G2305" t="s">
        <v>7</v>
      </c>
    </row>
    <row r="2306" spans="1:7" x14ac:dyDescent="0.3">
      <c r="A2306" t="s">
        <v>35</v>
      </c>
      <c r="B2306" s="1">
        <v>45930</v>
      </c>
      <c r="C2306">
        <v>321025</v>
      </c>
      <c r="D2306">
        <v>111964.542</v>
      </c>
      <c r="E2306" t="s">
        <v>4</v>
      </c>
      <c r="F2306" t="s">
        <v>46</v>
      </c>
      <c r="G2306" t="s">
        <v>7</v>
      </c>
    </row>
    <row r="2307" spans="1:7" x14ac:dyDescent="0.3">
      <c r="A2307" t="s">
        <v>35</v>
      </c>
      <c r="B2307" s="1">
        <v>45930</v>
      </c>
      <c r="C2307">
        <v>321028</v>
      </c>
      <c r="D2307">
        <v>754.00199999999995</v>
      </c>
      <c r="E2307" t="s">
        <v>4</v>
      </c>
      <c r="F2307" t="s">
        <v>46</v>
      </c>
      <c r="G2307" t="s">
        <v>7</v>
      </c>
    </row>
    <row r="2308" spans="1:7" x14ac:dyDescent="0.3">
      <c r="A2308" t="s">
        <v>35</v>
      </c>
      <c r="B2308" s="1">
        <v>45930</v>
      </c>
      <c r="C2308">
        <v>321030</v>
      </c>
      <c r="D2308">
        <v>91.462999999999994</v>
      </c>
      <c r="E2308" t="s">
        <v>4</v>
      </c>
      <c r="F2308" t="s">
        <v>46</v>
      </c>
      <c r="G2308" t="s">
        <v>7</v>
      </c>
    </row>
    <row r="2309" spans="1:7" x14ac:dyDescent="0.3">
      <c r="A2309" t="s">
        <v>35</v>
      </c>
      <c r="B2309" s="1">
        <v>45930</v>
      </c>
      <c r="C2309">
        <v>321031</v>
      </c>
      <c r="D2309">
        <v>20604.012999999999</v>
      </c>
      <c r="E2309" t="s">
        <v>4</v>
      </c>
      <c r="F2309" t="s">
        <v>46</v>
      </c>
      <c r="G2309" t="s">
        <v>7</v>
      </c>
    </row>
    <row r="2310" spans="1:7" x14ac:dyDescent="0.3">
      <c r="A2310" t="s">
        <v>35</v>
      </c>
      <c r="B2310" s="1">
        <v>45930</v>
      </c>
      <c r="C2310">
        <v>321041</v>
      </c>
      <c r="D2310">
        <v>1801.9570000000001</v>
      </c>
      <c r="E2310" t="s">
        <v>4</v>
      </c>
      <c r="F2310" t="s">
        <v>46</v>
      </c>
      <c r="G2310" t="s">
        <v>7</v>
      </c>
    </row>
    <row r="2311" spans="1:7" x14ac:dyDescent="0.3">
      <c r="A2311" t="s">
        <v>35</v>
      </c>
      <c r="B2311" s="1">
        <v>45930</v>
      </c>
      <c r="C2311">
        <v>321042</v>
      </c>
      <c r="D2311">
        <v>-205.18299999999999</v>
      </c>
      <c r="E2311" t="s">
        <v>4</v>
      </c>
      <c r="F2311" t="s">
        <v>46</v>
      </c>
      <c r="G2311" t="s">
        <v>7</v>
      </c>
    </row>
    <row r="2312" spans="1:7" x14ac:dyDescent="0.3">
      <c r="A2312" t="s">
        <v>35</v>
      </c>
      <c r="B2312" s="1">
        <v>45930</v>
      </c>
      <c r="C2312">
        <v>330115</v>
      </c>
      <c r="D2312">
        <v>46034.199000000001</v>
      </c>
      <c r="E2312" t="s">
        <v>4</v>
      </c>
      <c r="F2312" t="s">
        <v>43</v>
      </c>
      <c r="G2312" t="s">
        <v>7</v>
      </c>
    </row>
    <row r="2313" spans="1:7" x14ac:dyDescent="0.3">
      <c r="A2313" t="s">
        <v>35</v>
      </c>
      <c r="B2313" s="1">
        <v>45930</v>
      </c>
      <c r="C2313">
        <v>330123</v>
      </c>
      <c r="D2313">
        <v>943868.26300000004</v>
      </c>
      <c r="E2313" t="s">
        <v>4</v>
      </c>
      <c r="F2313" t="s">
        <v>43</v>
      </c>
      <c r="G2313" t="s">
        <v>7</v>
      </c>
    </row>
    <row r="2314" spans="1:7" x14ac:dyDescent="0.3">
      <c r="A2314" t="s">
        <v>35</v>
      </c>
      <c r="B2314" s="1">
        <v>45930</v>
      </c>
      <c r="C2314">
        <v>330129</v>
      </c>
      <c r="D2314">
        <v>-40843.646000000001</v>
      </c>
      <c r="E2314" t="s">
        <v>4</v>
      </c>
      <c r="F2314" t="s">
        <v>43</v>
      </c>
      <c r="G2314" t="s">
        <v>7</v>
      </c>
    </row>
    <row r="2315" spans="1:7" x14ac:dyDescent="0.3">
      <c r="A2315" t="s">
        <v>35</v>
      </c>
      <c r="B2315" s="1">
        <v>45930</v>
      </c>
      <c r="C2315">
        <v>330136</v>
      </c>
      <c r="D2315">
        <v>10366.050999999999</v>
      </c>
      <c r="E2315" t="s">
        <v>4</v>
      </c>
      <c r="F2315" t="s">
        <v>43</v>
      </c>
      <c r="G2315" t="s">
        <v>7</v>
      </c>
    </row>
    <row r="2316" spans="1:7" x14ac:dyDescent="0.3">
      <c r="A2316" t="s">
        <v>35</v>
      </c>
      <c r="B2316" s="1">
        <v>45930</v>
      </c>
      <c r="C2316">
        <v>330138</v>
      </c>
      <c r="D2316">
        <v>2775.4969999999998</v>
      </c>
      <c r="E2316" t="s">
        <v>4</v>
      </c>
      <c r="F2316" t="s">
        <v>43</v>
      </c>
      <c r="G2316" t="s">
        <v>7</v>
      </c>
    </row>
    <row r="2317" spans="1:7" x14ac:dyDescent="0.3">
      <c r="A2317" t="s">
        <v>35</v>
      </c>
      <c r="B2317" s="1">
        <v>45930</v>
      </c>
      <c r="C2317">
        <v>340255</v>
      </c>
      <c r="D2317">
        <v>1640905.547</v>
      </c>
      <c r="E2317" t="s">
        <v>4</v>
      </c>
      <c r="F2317" t="s">
        <v>47</v>
      </c>
      <c r="G2317" t="s">
        <v>7</v>
      </c>
    </row>
    <row r="2318" spans="1:7" x14ac:dyDescent="0.3">
      <c r="A2318" t="s">
        <v>35</v>
      </c>
      <c r="B2318" s="1">
        <v>45930</v>
      </c>
      <c r="C2318">
        <v>340256</v>
      </c>
      <c r="D2318">
        <v>64371988.377999999</v>
      </c>
      <c r="E2318" t="s">
        <v>4</v>
      </c>
      <c r="F2318" t="s">
        <v>47</v>
      </c>
      <c r="G2318" t="s">
        <v>7</v>
      </c>
    </row>
    <row r="2319" spans="1:7" x14ac:dyDescent="0.3">
      <c r="A2319" t="s">
        <v>35</v>
      </c>
      <c r="B2319" s="1">
        <v>45930</v>
      </c>
      <c r="C2319">
        <v>340257</v>
      </c>
      <c r="D2319">
        <v>-64670618.57</v>
      </c>
      <c r="E2319" t="s">
        <v>4</v>
      </c>
      <c r="F2319" t="s">
        <v>47</v>
      </c>
      <c r="G2319" t="s">
        <v>7</v>
      </c>
    </row>
    <row r="2320" spans="1:7" x14ac:dyDescent="0.3">
      <c r="A2320" t="s">
        <v>35</v>
      </c>
      <c r="B2320" s="1">
        <v>45930</v>
      </c>
      <c r="C2320">
        <v>350002</v>
      </c>
      <c r="D2320">
        <v>33627.033000000003</v>
      </c>
      <c r="E2320" t="s">
        <v>4</v>
      </c>
      <c r="F2320" t="s">
        <v>49</v>
      </c>
      <c r="G2320" t="s">
        <v>7</v>
      </c>
    </row>
    <row r="2321" spans="1:7" x14ac:dyDescent="0.3">
      <c r="A2321" t="s">
        <v>35</v>
      </c>
      <c r="B2321" s="1">
        <v>45930</v>
      </c>
      <c r="C2321">
        <v>350003</v>
      </c>
      <c r="D2321">
        <v>77504.285000000003</v>
      </c>
      <c r="E2321" t="s">
        <v>4</v>
      </c>
      <c r="F2321" t="s">
        <v>49</v>
      </c>
      <c r="G2321" t="s">
        <v>7</v>
      </c>
    </row>
    <row r="2322" spans="1:7" x14ac:dyDescent="0.3">
      <c r="A2322" t="s">
        <v>35</v>
      </c>
      <c r="B2322" s="1">
        <v>45930</v>
      </c>
      <c r="C2322">
        <v>350007</v>
      </c>
      <c r="D2322">
        <v>0.88500000000000001</v>
      </c>
      <c r="E2322" t="s">
        <v>4</v>
      </c>
      <c r="F2322" t="s">
        <v>49</v>
      </c>
      <c r="G2322" t="s">
        <v>7</v>
      </c>
    </row>
    <row r="2323" spans="1:7" x14ac:dyDescent="0.3">
      <c r="A2323" t="s">
        <v>35</v>
      </c>
      <c r="B2323" s="1">
        <v>45930</v>
      </c>
      <c r="C2323">
        <v>350031</v>
      </c>
      <c r="D2323">
        <v>23360.675999999999</v>
      </c>
      <c r="E2323" t="s">
        <v>4</v>
      </c>
      <c r="F2323" t="s">
        <v>43</v>
      </c>
      <c r="G2323" t="s">
        <v>7</v>
      </c>
    </row>
    <row r="2324" spans="1:7" x14ac:dyDescent="0.3">
      <c r="A2324" t="s">
        <v>35</v>
      </c>
      <c r="B2324" s="1">
        <v>45930</v>
      </c>
      <c r="C2324">
        <v>350034</v>
      </c>
      <c r="D2324">
        <v>26.189</v>
      </c>
      <c r="E2324" t="s">
        <v>4</v>
      </c>
      <c r="F2324" t="s">
        <v>49</v>
      </c>
      <c r="G2324" t="s">
        <v>7</v>
      </c>
    </row>
    <row r="2325" spans="1:7" x14ac:dyDescent="0.3">
      <c r="A2325" t="s">
        <v>35</v>
      </c>
      <c r="B2325" s="1">
        <v>45930</v>
      </c>
      <c r="C2325">
        <v>351004</v>
      </c>
      <c r="D2325">
        <v>13992.781999999999</v>
      </c>
      <c r="E2325" t="s">
        <v>4</v>
      </c>
      <c r="F2325" t="s">
        <v>45</v>
      </c>
      <c r="G2325" t="s">
        <v>7</v>
      </c>
    </row>
    <row r="2326" spans="1:7" x14ac:dyDescent="0.3">
      <c r="A2326" t="s">
        <v>35</v>
      </c>
      <c r="B2326" s="1">
        <v>45930</v>
      </c>
      <c r="C2326">
        <v>352002</v>
      </c>
      <c r="D2326">
        <v>9068.6779999999999</v>
      </c>
      <c r="E2326" t="s">
        <v>4</v>
      </c>
      <c r="F2326" t="s">
        <v>48</v>
      </c>
      <c r="G2326" t="s">
        <v>7</v>
      </c>
    </row>
    <row r="2327" spans="1:7" x14ac:dyDescent="0.3">
      <c r="A2327" t="s">
        <v>35</v>
      </c>
      <c r="B2327" s="1">
        <v>45930</v>
      </c>
      <c r="C2327">
        <v>354011</v>
      </c>
      <c r="D2327">
        <v>-641787.21400000004</v>
      </c>
      <c r="E2327" t="s">
        <v>4</v>
      </c>
      <c r="F2327" t="s">
        <v>46</v>
      </c>
      <c r="G2327" t="s">
        <v>7</v>
      </c>
    </row>
    <row r="2328" spans="1:7" x14ac:dyDescent="0.3">
      <c r="A2328" t="s">
        <v>35</v>
      </c>
      <c r="B2328" s="1">
        <v>45930</v>
      </c>
      <c r="C2328">
        <v>354012</v>
      </c>
      <c r="D2328">
        <v>410894.86099999998</v>
      </c>
      <c r="E2328" t="s">
        <v>4</v>
      </c>
      <c r="F2328" t="s">
        <v>46</v>
      </c>
      <c r="G2328" t="s">
        <v>7</v>
      </c>
    </row>
    <row r="2329" spans="1:7" x14ac:dyDescent="0.3">
      <c r="A2329" t="s">
        <v>35</v>
      </c>
      <c r="B2329" s="1">
        <v>45930</v>
      </c>
      <c r="C2329">
        <v>354013</v>
      </c>
      <c r="D2329">
        <v>211991.266</v>
      </c>
      <c r="E2329" t="s">
        <v>4</v>
      </c>
      <c r="F2329" t="s">
        <v>46</v>
      </c>
      <c r="G2329" t="s">
        <v>7</v>
      </c>
    </row>
    <row r="2330" spans="1:7" x14ac:dyDescent="0.3">
      <c r="A2330" t="s">
        <v>35</v>
      </c>
      <c r="B2330" s="1">
        <v>45930</v>
      </c>
      <c r="C2330">
        <v>354014</v>
      </c>
      <c r="D2330">
        <v>2253161.2689999999</v>
      </c>
      <c r="E2330" t="s">
        <v>4</v>
      </c>
      <c r="F2330" t="s">
        <v>46</v>
      </c>
      <c r="G2330" t="s">
        <v>7</v>
      </c>
    </row>
    <row r="2331" spans="1:7" x14ac:dyDescent="0.3">
      <c r="A2331" t="s">
        <v>35</v>
      </c>
      <c r="B2331" s="1">
        <v>45930</v>
      </c>
      <c r="C2331">
        <v>355014</v>
      </c>
      <c r="D2331">
        <v>1376.057</v>
      </c>
      <c r="E2331" t="s">
        <v>4</v>
      </c>
      <c r="F2331" t="s">
        <v>49</v>
      </c>
      <c r="G2331" t="s">
        <v>7</v>
      </c>
    </row>
    <row r="2332" spans="1:7" x14ac:dyDescent="0.3">
      <c r="A2332" t="s">
        <v>35</v>
      </c>
      <c r="B2332" s="1">
        <v>45930</v>
      </c>
      <c r="C2332">
        <v>355016</v>
      </c>
      <c r="D2332">
        <v>18961.203000000001</v>
      </c>
      <c r="E2332" t="s">
        <v>4</v>
      </c>
      <c r="F2332" t="s">
        <v>49</v>
      </c>
      <c r="G2332" t="s">
        <v>7</v>
      </c>
    </row>
    <row r="2333" spans="1:7" x14ac:dyDescent="0.3">
      <c r="A2333" t="s">
        <v>35</v>
      </c>
      <c r="B2333" s="1">
        <v>45930</v>
      </c>
      <c r="C2333">
        <v>355018</v>
      </c>
      <c r="D2333">
        <v>99655.991999999998</v>
      </c>
      <c r="E2333" t="s">
        <v>4</v>
      </c>
      <c r="F2333" t="s">
        <v>49</v>
      </c>
      <c r="G2333" t="s">
        <v>7</v>
      </c>
    </row>
    <row r="2334" spans="1:7" x14ac:dyDescent="0.3">
      <c r="A2334" t="s">
        <v>35</v>
      </c>
      <c r="B2334" s="1">
        <v>45930</v>
      </c>
      <c r="C2334">
        <v>360022</v>
      </c>
      <c r="D2334">
        <v>-1.2999999999999999E-2</v>
      </c>
      <c r="E2334" t="s">
        <v>4</v>
      </c>
      <c r="F2334" t="s">
        <v>58</v>
      </c>
      <c r="G2334" t="s">
        <v>7</v>
      </c>
    </row>
    <row r="2335" spans="1:7" x14ac:dyDescent="0.3">
      <c r="A2335" t="s">
        <v>35</v>
      </c>
      <c r="B2335" s="1">
        <v>45930</v>
      </c>
      <c r="C2335">
        <v>360026</v>
      </c>
      <c r="D2335">
        <v>-3.0000000000000001E-3</v>
      </c>
      <c r="E2335" t="s">
        <v>4</v>
      </c>
      <c r="F2335" t="s">
        <v>58</v>
      </c>
      <c r="G2335" t="s">
        <v>7</v>
      </c>
    </row>
    <row r="2336" spans="1:7" x14ac:dyDescent="0.3">
      <c r="A2336" t="s">
        <v>35</v>
      </c>
      <c r="B2336" s="1">
        <v>45930</v>
      </c>
      <c r="C2336">
        <v>360028</v>
      </c>
      <c r="D2336">
        <v>2.3E-2</v>
      </c>
      <c r="E2336" t="s">
        <v>4</v>
      </c>
      <c r="F2336" t="s">
        <v>58</v>
      </c>
      <c r="G2336" t="s">
        <v>7</v>
      </c>
    </row>
    <row r="2337" spans="1:7" x14ac:dyDescent="0.3">
      <c r="A2337" t="s">
        <v>35</v>
      </c>
      <c r="B2337" s="1">
        <v>45930</v>
      </c>
      <c r="C2337">
        <v>360030</v>
      </c>
      <c r="D2337">
        <v>0.05</v>
      </c>
      <c r="E2337" t="s">
        <v>4</v>
      </c>
      <c r="F2337" t="s">
        <v>58</v>
      </c>
      <c r="G2337" t="s">
        <v>7</v>
      </c>
    </row>
    <row r="2338" spans="1:7" x14ac:dyDescent="0.3">
      <c r="A2338" t="s">
        <v>35</v>
      </c>
      <c r="B2338" s="1">
        <v>45930</v>
      </c>
      <c r="C2338">
        <v>360032</v>
      </c>
      <c r="D2338">
        <v>419557.98800000001</v>
      </c>
      <c r="E2338" t="s">
        <v>4</v>
      </c>
      <c r="F2338" t="s">
        <v>58</v>
      </c>
      <c r="G2338" t="s">
        <v>7</v>
      </c>
    </row>
    <row r="2339" spans="1:7" x14ac:dyDescent="0.3">
      <c r="A2339" t="s">
        <v>35</v>
      </c>
      <c r="B2339" s="1">
        <v>45930</v>
      </c>
      <c r="C2339">
        <v>364502</v>
      </c>
      <c r="D2339">
        <v>447897.16499999998</v>
      </c>
      <c r="E2339" t="s">
        <v>4</v>
      </c>
      <c r="F2339" t="s">
        <v>58</v>
      </c>
      <c r="G2339" t="s">
        <v>7</v>
      </c>
    </row>
    <row r="2340" spans="1:7" x14ac:dyDescent="0.3">
      <c r="A2340" t="s">
        <v>35</v>
      </c>
      <c r="B2340" s="1">
        <v>45930</v>
      </c>
      <c r="C2340">
        <v>400002</v>
      </c>
      <c r="D2340">
        <v>-21802.912</v>
      </c>
      <c r="E2340" t="s">
        <v>6</v>
      </c>
      <c r="F2340" t="s">
        <v>50</v>
      </c>
      <c r="G2340" t="s">
        <v>7</v>
      </c>
    </row>
    <row r="2341" spans="1:7" x14ac:dyDescent="0.3">
      <c r="A2341" t="s">
        <v>35</v>
      </c>
      <c r="B2341" s="1">
        <v>45930</v>
      </c>
      <c r="C2341">
        <v>400004</v>
      </c>
      <c r="D2341">
        <v>-13364.210999999999</v>
      </c>
      <c r="E2341" t="s">
        <v>6</v>
      </c>
      <c r="F2341" t="s">
        <v>50</v>
      </c>
      <c r="G2341" t="s">
        <v>7</v>
      </c>
    </row>
    <row r="2342" spans="1:7" x14ac:dyDescent="0.3">
      <c r="A2342" t="s">
        <v>35</v>
      </c>
      <c r="B2342" s="1">
        <v>45930</v>
      </c>
      <c r="C2342">
        <v>410002</v>
      </c>
      <c r="D2342">
        <v>-345291.196</v>
      </c>
      <c r="E2342" t="s">
        <v>6</v>
      </c>
      <c r="F2342" t="s">
        <v>51</v>
      </c>
      <c r="G2342" t="s">
        <v>7</v>
      </c>
    </row>
    <row r="2343" spans="1:7" x14ac:dyDescent="0.3">
      <c r="A2343" t="s">
        <v>35</v>
      </c>
      <c r="B2343" s="1">
        <v>45930</v>
      </c>
      <c r="C2343">
        <v>410006</v>
      </c>
      <c r="D2343">
        <v>-22980.263999999999</v>
      </c>
      <c r="E2343" t="s">
        <v>6</v>
      </c>
      <c r="F2343" t="s">
        <v>51</v>
      </c>
      <c r="G2343" t="s">
        <v>7</v>
      </c>
    </row>
    <row r="2344" spans="1:7" x14ac:dyDescent="0.3">
      <c r="A2344" t="s">
        <v>35</v>
      </c>
      <c r="B2344" s="1">
        <v>45930</v>
      </c>
      <c r="C2344">
        <v>410009</v>
      </c>
      <c r="D2344">
        <v>-6432.6559999999999</v>
      </c>
      <c r="E2344" t="s">
        <v>6</v>
      </c>
      <c r="F2344" t="s">
        <v>51</v>
      </c>
      <c r="G2344" t="s">
        <v>7</v>
      </c>
    </row>
    <row r="2345" spans="1:7" x14ac:dyDescent="0.3">
      <c r="A2345" t="s">
        <v>35</v>
      </c>
      <c r="B2345" s="1">
        <v>45930</v>
      </c>
      <c r="C2345">
        <v>410015</v>
      </c>
      <c r="D2345">
        <v>-26433.61</v>
      </c>
      <c r="E2345" t="s">
        <v>6</v>
      </c>
      <c r="F2345" t="s">
        <v>51</v>
      </c>
      <c r="G2345" t="s">
        <v>7</v>
      </c>
    </row>
    <row r="2346" spans="1:7" x14ac:dyDescent="0.3">
      <c r="A2346" t="s">
        <v>35</v>
      </c>
      <c r="B2346" s="1">
        <v>45930</v>
      </c>
      <c r="C2346">
        <v>410032</v>
      </c>
      <c r="D2346">
        <v>-35025.207999999999</v>
      </c>
      <c r="E2346" t="s">
        <v>6</v>
      </c>
      <c r="F2346" t="s">
        <v>51</v>
      </c>
      <c r="G2346" t="s">
        <v>7</v>
      </c>
    </row>
    <row r="2347" spans="1:7" x14ac:dyDescent="0.3">
      <c r="A2347" t="s">
        <v>35</v>
      </c>
      <c r="B2347" s="1">
        <v>45930</v>
      </c>
      <c r="C2347">
        <v>410036</v>
      </c>
      <c r="D2347">
        <v>-1026.748</v>
      </c>
      <c r="E2347" t="s">
        <v>6</v>
      </c>
      <c r="F2347" t="s">
        <v>51</v>
      </c>
      <c r="G2347" t="s">
        <v>7</v>
      </c>
    </row>
    <row r="2348" spans="1:7" x14ac:dyDescent="0.3">
      <c r="A2348" t="s">
        <v>35</v>
      </c>
      <c r="B2348" s="1">
        <v>45930</v>
      </c>
      <c r="C2348">
        <v>410039</v>
      </c>
      <c r="D2348">
        <v>-9142.6830000000009</v>
      </c>
      <c r="E2348" t="s">
        <v>6</v>
      </c>
      <c r="F2348" t="s">
        <v>51</v>
      </c>
      <c r="G2348" t="s">
        <v>7</v>
      </c>
    </row>
    <row r="2349" spans="1:7" x14ac:dyDescent="0.3">
      <c r="A2349" t="s">
        <v>35</v>
      </c>
      <c r="B2349" s="1">
        <v>45930</v>
      </c>
      <c r="C2349">
        <v>410040</v>
      </c>
      <c r="D2349">
        <v>-396.61099999999999</v>
      </c>
      <c r="E2349" t="s">
        <v>6</v>
      </c>
      <c r="F2349" t="s">
        <v>51</v>
      </c>
      <c r="G2349" t="s">
        <v>7</v>
      </c>
    </row>
    <row r="2350" spans="1:7" x14ac:dyDescent="0.3">
      <c r="A2350" t="s">
        <v>35</v>
      </c>
      <c r="B2350" s="1">
        <v>45930</v>
      </c>
      <c r="C2350">
        <v>410046</v>
      </c>
      <c r="D2350">
        <v>-1475.0039999999999</v>
      </c>
      <c r="E2350" t="s">
        <v>6</v>
      </c>
      <c r="F2350" t="s">
        <v>51</v>
      </c>
      <c r="G2350" t="s">
        <v>7</v>
      </c>
    </row>
    <row r="2351" spans="1:7" x14ac:dyDescent="0.3">
      <c r="A2351" t="s">
        <v>35</v>
      </c>
      <c r="B2351" s="1">
        <v>45930</v>
      </c>
      <c r="C2351">
        <v>415002</v>
      </c>
      <c r="D2351">
        <v>-9300993.3139999993</v>
      </c>
      <c r="E2351" t="s">
        <v>6</v>
      </c>
      <c r="F2351" t="s">
        <v>50</v>
      </c>
      <c r="G2351" t="s">
        <v>7</v>
      </c>
    </row>
    <row r="2352" spans="1:7" x14ac:dyDescent="0.3">
      <c r="A2352" t="s">
        <v>35</v>
      </c>
      <c r="B2352" s="1">
        <v>45930</v>
      </c>
      <c r="C2352">
        <v>415003</v>
      </c>
      <c r="D2352">
        <v>-9480.1919999999991</v>
      </c>
      <c r="E2352" t="s">
        <v>6</v>
      </c>
      <c r="F2352" t="s">
        <v>50</v>
      </c>
      <c r="G2352" t="s">
        <v>7</v>
      </c>
    </row>
    <row r="2353" spans="1:7" x14ac:dyDescent="0.3">
      <c r="A2353" t="s">
        <v>35</v>
      </c>
      <c r="B2353" s="1">
        <v>45930</v>
      </c>
      <c r="C2353">
        <v>415004</v>
      </c>
      <c r="D2353">
        <v>-5946371.4740000004</v>
      </c>
      <c r="E2353" t="s">
        <v>6</v>
      </c>
      <c r="F2353" t="s">
        <v>50</v>
      </c>
      <c r="G2353" t="s">
        <v>7</v>
      </c>
    </row>
    <row r="2354" spans="1:7" x14ac:dyDescent="0.3">
      <c r="A2354" t="s">
        <v>35</v>
      </c>
      <c r="B2354" s="1">
        <v>45930</v>
      </c>
      <c r="C2354">
        <v>415006</v>
      </c>
      <c r="D2354">
        <v>175.083</v>
      </c>
      <c r="E2354" t="s">
        <v>6</v>
      </c>
      <c r="F2354" t="s">
        <v>50</v>
      </c>
      <c r="G2354" t="s">
        <v>7</v>
      </c>
    </row>
    <row r="2355" spans="1:7" x14ac:dyDescent="0.3">
      <c r="A2355" t="s">
        <v>35</v>
      </c>
      <c r="B2355" s="1">
        <v>45930</v>
      </c>
      <c r="C2355">
        <v>418002</v>
      </c>
      <c r="D2355">
        <v>-62.015999999999998</v>
      </c>
      <c r="E2355" t="s">
        <v>6</v>
      </c>
      <c r="F2355" t="s">
        <v>50</v>
      </c>
      <c r="G2355" t="s">
        <v>7</v>
      </c>
    </row>
    <row r="2356" spans="1:7" x14ac:dyDescent="0.3">
      <c r="A2356" t="s">
        <v>35</v>
      </c>
      <c r="B2356" s="1">
        <v>45930</v>
      </c>
      <c r="C2356">
        <v>418003</v>
      </c>
      <c r="D2356">
        <v>62.015999999999998</v>
      </c>
      <c r="E2356" t="s">
        <v>6</v>
      </c>
      <c r="F2356" t="s">
        <v>51</v>
      </c>
      <c r="G2356" t="s">
        <v>7</v>
      </c>
    </row>
    <row r="2357" spans="1:7" x14ac:dyDescent="0.3">
      <c r="A2357" t="s">
        <v>35</v>
      </c>
      <c r="B2357" s="1">
        <v>45930</v>
      </c>
      <c r="C2357">
        <v>421003</v>
      </c>
      <c r="D2357">
        <v>2637.7330000000002</v>
      </c>
      <c r="E2357" t="s">
        <v>6</v>
      </c>
      <c r="F2357" t="s">
        <v>52</v>
      </c>
      <c r="G2357" t="s">
        <v>7</v>
      </c>
    </row>
    <row r="2358" spans="1:7" x14ac:dyDescent="0.3">
      <c r="A2358" t="s">
        <v>35</v>
      </c>
      <c r="B2358" s="1">
        <v>45930</v>
      </c>
      <c r="C2358">
        <v>421007</v>
      </c>
      <c r="D2358">
        <v>205.50399999999999</v>
      </c>
      <c r="E2358" t="s">
        <v>6</v>
      </c>
      <c r="F2358" t="s">
        <v>52</v>
      </c>
      <c r="G2358" t="s">
        <v>7</v>
      </c>
    </row>
    <row r="2359" spans="1:7" x14ac:dyDescent="0.3">
      <c r="A2359" t="s">
        <v>35</v>
      </c>
      <c r="B2359" s="1">
        <v>45930</v>
      </c>
      <c r="C2359">
        <v>423011</v>
      </c>
      <c r="D2359">
        <v>-384.73599999999999</v>
      </c>
      <c r="E2359" t="s">
        <v>6</v>
      </c>
      <c r="F2359" t="s">
        <v>52</v>
      </c>
      <c r="G2359" t="s">
        <v>7</v>
      </c>
    </row>
    <row r="2360" spans="1:7" x14ac:dyDescent="0.3">
      <c r="A2360" t="s">
        <v>35</v>
      </c>
      <c r="B2360" s="1">
        <v>45930</v>
      </c>
      <c r="C2360">
        <v>423012</v>
      </c>
      <c r="D2360">
        <v>-3028.61</v>
      </c>
      <c r="E2360" t="s">
        <v>6</v>
      </c>
      <c r="F2360" t="s">
        <v>52</v>
      </c>
      <c r="G2360" t="s">
        <v>7</v>
      </c>
    </row>
    <row r="2361" spans="1:7" x14ac:dyDescent="0.3">
      <c r="A2361" t="s">
        <v>35</v>
      </c>
      <c r="B2361" s="1">
        <v>45930</v>
      </c>
      <c r="C2361">
        <v>510002</v>
      </c>
      <c r="D2361">
        <v>2705705.5350000001</v>
      </c>
      <c r="E2361" t="s">
        <v>6</v>
      </c>
      <c r="F2361" t="s">
        <v>53</v>
      </c>
      <c r="G2361" t="s">
        <v>7</v>
      </c>
    </row>
    <row r="2362" spans="1:7" x14ac:dyDescent="0.3">
      <c r="A2362" t="s">
        <v>35</v>
      </c>
      <c r="B2362" s="1">
        <v>45930</v>
      </c>
      <c r="C2362">
        <v>510005</v>
      </c>
      <c r="D2362">
        <v>109389.288</v>
      </c>
      <c r="E2362" t="s">
        <v>6</v>
      </c>
      <c r="F2362" t="s">
        <v>53</v>
      </c>
      <c r="G2362" t="s">
        <v>7</v>
      </c>
    </row>
    <row r="2363" spans="1:7" x14ac:dyDescent="0.3">
      <c r="A2363" t="s">
        <v>35</v>
      </c>
      <c r="B2363" s="1">
        <v>45930</v>
      </c>
      <c r="C2363">
        <v>510007</v>
      </c>
      <c r="D2363">
        <v>186360.921</v>
      </c>
      <c r="E2363" t="s">
        <v>6</v>
      </c>
      <c r="F2363" t="s">
        <v>53</v>
      </c>
      <c r="G2363" t="s">
        <v>7</v>
      </c>
    </row>
    <row r="2364" spans="1:7" x14ac:dyDescent="0.3">
      <c r="A2364" t="s">
        <v>35</v>
      </c>
      <c r="B2364" s="1">
        <v>45930</v>
      </c>
      <c r="C2364">
        <v>510008</v>
      </c>
      <c r="D2364">
        <v>2116.4740000000002</v>
      </c>
      <c r="E2364" t="s">
        <v>6</v>
      </c>
      <c r="F2364" t="s">
        <v>53</v>
      </c>
      <c r="G2364" t="s">
        <v>7</v>
      </c>
    </row>
    <row r="2365" spans="1:7" x14ac:dyDescent="0.3">
      <c r="A2365" t="s">
        <v>35</v>
      </c>
      <c r="B2365" s="1">
        <v>45930</v>
      </c>
      <c r="C2365">
        <v>510010</v>
      </c>
      <c r="D2365">
        <v>16925.597000000002</v>
      </c>
      <c r="E2365" t="s">
        <v>6</v>
      </c>
      <c r="F2365" t="s">
        <v>53</v>
      </c>
      <c r="G2365" t="s">
        <v>7</v>
      </c>
    </row>
    <row r="2366" spans="1:7" x14ac:dyDescent="0.3">
      <c r="A2366" t="s">
        <v>35</v>
      </c>
      <c r="B2366" s="1">
        <v>45930</v>
      </c>
      <c r="C2366">
        <v>510012</v>
      </c>
      <c r="D2366">
        <v>44569.245999999999</v>
      </c>
      <c r="E2366" t="s">
        <v>6</v>
      </c>
      <c r="F2366" t="s">
        <v>53</v>
      </c>
      <c r="G2366" t="s">
        <v>7</v>
      </c>
    </row>
    <row r="2367" spans="1:7" x14ac:dyDescent="0.3">
      <c r="A2367" t="s">
        <v>35</v>
      </c>
      <c r="B2367" s="1">
        <v>45930</v>
      </c>
      <c r="C2367">
        <v>510015</v>
      </c>
      <c r="D2367">
        <v>216089.40900000001</v>
      </c>
      <c r="E2367" t="s">
        <v>6</v>
      </c>
      <c r="F2367" t="s">
        <v>53</v>
      </c>
      <c r="G2367" t="s">
        <v>7</v>
      </c>
    </row>
    <row r="2368" spans="1:7" x14ac:dyDescent="0.3">
      <c r="A2368" t="s">
        <v>35</v>
      </c>
      <c r="B2368" s="1">
        <v>45930</v>
      </c>
      <c r="C2368">
        <v>510018</v>
      </c>
      <c r="D2368">
        <v>42200.006999999998</v>
      </c>
      <c r="E2368" t="s">
        <v>6</v>
      </c>
      <c r="F2368" t="s">
        <v>53</v>
      </c>
      <c r="G2368" t="s">
        <v>7</v>
      </c>
    </row>
    <row r="2369" spans="1:7" x14ac:dyDescent="0.3">
      <c r="A2369" t="s">
        <v>35</v>
      </c>
      <c r="B2369" s="1">
        <v>45930</v>
      </c>
      <c r="C2369">
        <v>510048</v>
      </c>
      <c r="D2369">
        <v>1107.2619999999999</v>
      </c>
      <c r="E2369" t="s">
        <v>6</v>
      </c>
      <c r="F2369" t="s">
        <v>61</v>
      </c>
      <c r="G2369" t="s">
        <v>7</v>
      </c>
    </row>
    <row r="2370" spans="1:7" x14ac:dyDescent="0.3">
      <c r="A2370" t="s">
        <v>35</v>
      </c>
      <c r="B2370" s="1">
        <v>45930</v>
      </c>
      <c r="C2370">
        <v>510059</v>
      </c>
      <c r="D2370">
        <v>14030.182000000001</v>
      </c>
      <c r="E2370" t="s">
        <v>6</v>
      </c>
      <c r="F2370" t="s">
        <v>53</v>
      </c>
      <c r="G2370" t="s">
        <v>7</v>
      </c>
    </row>
    <row r="2371" spans="1:7" x14ac:dyDescent="0.3">
      <c r="A2371" t="s">
        <v>35</v>
      </c>
      <c r="B2371" s="1">
        <v>45930</v>
      </c>
      <c r="C2371">
        <v>510062</v>
      </c>
      <c r="D2371">
        <v>32438.214</v>
      </c>
      <c r="E2371" t="s">
        <v>6</v>
      </c>
      <c r="F2371" t="s">
        <v>53</v>
      </c>
      <c r="G2371" t="s">
        <v>7</v>
      </c>
    </row>
    <row r="2372" spans="1:7" x14ac:dyDescent="0.3">
      <c r="A2372" t="s">
        <v>35</v>
      </c>
      <c r="B2372" s="1">
        <v>45930</v>
      </c>
      <c r="C2372">
        <v>510064</v>
      </c>
      <c r="D2372">
        <v>1228.3430000000001</v>
      </c>
      <c r="E2372" t="s">
        <v>6</v>
      </c>
      <c r="F2372" t="s">
        <v>53</v>
      </c>
      <c r="G2372" t="s">
        <v>7</v>
      </c>
    </row>
    <row r="2373" spans="1:7" x14ac:dyDescent="0.3">
      <c r="A2373" t="s">
        <v>35</v>
      </c>
      <c r="B2373" s="1">
        <v>45930</v>
      </c>
      <c r="C2373">
        <v>510065</v>
      </c>
      <c r="D2373">
        <v>62050.294999999998</v>
      </c>
      <c r="E2373" t="s">
        <v>6</v>
      </c>
      <c r="F2373" t="s">
        <v>53</v>
      </c>
      <c r="G2373" t="s">
        <v>7</v>
      </c>
    </row>
    <row r="2374" spans="1:7" x14ac:dyDescent="0.3">
      <c r="A2374" t="s">
        <v>35</v>
      </c>
      <c r="B2374" s="1">
        <v>45930</v>
      </c>
      <c r="C2374">
        <v>520020</v>
      </c>
      <c r="D2374">
        <v>2196.0279999999998</v>
      </c>
      <c r="E2374" t="s">
        <v>6</v>
      </c>
      <c r="F2374" t="s">
        <v>53</v>
      </c>
      <c r="G2374" t="s">
        <v>7</v>
      </c>
    </row>
    <row r="2375" spans="1:7" x14ac:dyDescent="0.3">
      <c r="A2375" t="s">
        <v>35</v>
      </c>
      <c r="B2375" s="1">
        <v>45930</v>
      </c>
      <c r="C2375">
        <v>520021</v>
      </c>
      <c r="D2375">
        <v>6238.5219999999999</v>
      </c>
      <c r="E2375" t="s">
        <v>6</v>
      </c>
      <c r="F2375" t="s">
        <v>60</v>
      </c>
      <c r="G2375" t="s">
        <v>7</v>
      </c>
    </row>
    <row r="2376" spans="1:7" x14ac:dyDescent="0.3">
      <c r="A2376" t="s">
        <v>35</v>
      </c>
      <c r="B2376" s="1">
        <v>45930</v>
      </c>
      <c r="C2376">
        <v>530012</v>
      </c>
      <c r="D2376">
        <v>28223.469000000001</v>
      </c>
      <c r="E2376" t="s">
        <v>6</v>
      </c>
      <c r="F2376" t="s">
        <v>53</v>
      </c>
      <c r="G2376" t="s">
        <v>7</v>
      </c>
    </row>
    <row r="2377" spans="1:7" x14ac:dyDescent="0.3">
      <c r="A2377" t="s">
        <v>35</v>
      </c>
      <c r="B2377" s="1">
        <v>45930</v>
      </c>
      <c r="C2377">
        <v>540004</v>
      </c>
      <c r="D2377">
        <v>391.24700000000001</v>
      </c>
      <c r="E2377" t="s">
        <v>6</v>
      </c>
      <c r="F2377" t="s">
        <v>67</v>
      </c>
      <c r="G2377" t="s">
        <v>7</v>
      </c>
    </row>
    <row r="2378" spans="1:7" x14ac:dyDescent="0.3">
      <c r="A2378" t="s">
        <v>35</v>
      </c>
      <c r="B2378" s="1">
        <v>45930</v>
      </c>
      <c r="C2378">
        <v>541002</v>
      </c>
      <c r="D2378">
        <v>9815.0810000000001</v>
      </c>
      <c r="E2378" t="s">
        <v>6</v>
      </c>
      <c r="F2378" t="s">
        <v>61</v>
      </c>
      <c r="G2378" t="s">
        <v>7</v>
      </c>
    </row>
    <row r="2379" spans="1:7" x14ac:dyDescent="0.3">
      <c r="A2379" t="s">
        <v>35</v>
      </c>
      <c r="B2379" s="1">
        <v>45930</v>
      </c>
      <c r="C2379">
        <v>541004</v>
      </c>
      <c r="D2379">
        <v>30759.722000000002</v>
      </c>
      <c r="E2379" t="s">
        <v>6</v>
      </c>
      <c r="F2379" t="s">
        <v>61</v>
      </c>
      <c r="G2379" t="s">
        <v>7</v>
      </c>
    </row>
    <row r="2380" spans="1:7" x14ac:dyDescent="0.3">
      <c r="A2380" t="s">
        <v>35</v>
      </c>
      <c r="B2380" s="1">
        <v>45930</v>
      </c>
      <c r="C2380">
        <v>541008</v>
      </c>
      <c r="D2380">
        <v>9173.7639999999992</v>
      </c>
      <c r="E2380" t="s">
        <v>6</v>
      </c>
      <c r="F2380" t="s">
        <v>61</v>
      </c>
      <c r="G2380" t="s">
        <v>7</v>
      </c>
    </row>
    <row r="2381" spans="1:7" x14ac:dyDescent="0.3">
      <c r="A2381" t="s">
        <v>35</v>
      </c>
      <c r="B2381" s="1">
        <v>45930</v>
      </c>
      <c r="C2381">
        <v>541009</v>
      </c>
      <c r="D2381">
        <v>8184.2060000000001</v>
      </c>
      <c r="E2381" t="s">
        <v>6</v>
      </c>
      <c r="F2381" t="s">
        <v>61</v>
      </c>
      <c r="G2381" t="s">
        <v>7</v>
      </c>
    </row>
    <row r="2382" spans="1:7" x14ac:dyDescent="0.3">
      <c r="A2382" t="s">
        <v>35</v>
      </c>
      <c r="B2382" s="1">
        <v>45930</v>
      </c>
      <c r="C2382">
        <v>541010</v>
      </c>
      <c r="D2382">
        <v>32960.375</v>
      </c>
      <c r="E2382" t="s">
        <v>6</v>
      </c>
      <c r="F2382" t="s">
        <v>61</v>
      </c>
      <c r="G2382" t="s">
        <v>7</v>
      </c>
    </row>
    <row r="2383" spans="1:7" x14ac:dyDescent="0.3">
      <c r="A2383" t="s">
        <v>35</v>
      </c>
      <c r="B2383" s="1">
        <v>45930</v>
      </c>
      <c r="C2383">
        <v>541012</v>
      </c>
      <c r="D2383">
        <v>267.00900000000001</v>
      </c>
      <c r="E2383" t="s">
        <v>6</v>
      </c>
      <c r="F2383" t="s">
        <v>61</v>
      </c>
      <c r="G2383" t="s">
        <v>7</v>
      </c>
    </row>
    <row r="2384" spans="1:7" x14ac:dyDescent="0.3">
      <c r="A2384" t="s">
        <v>35</v>
      </c>
      <c r="B2384" s="1">
        <v>45930</v>
      </c>
      <c r="C2384">
        <v>541013</v>
      </c>
      <c r="D2384">
        <v>2211.9940000000001</v>
      </c>
      <c r="E2384" t="s">
        <v>6</v>
      </c>
      <c r="F2384" t="s">
        <v>61</v>
      </c>
      <c r="G2384" t="s">
        <v>7</v>
      </c>
    </row>
    <row r="2385" spans="1:7" x14ac:dyDescent="0.3">
      <c r="A2385" t="s">
        <v>35</v>
      </c>
      <c r="B2385" s="1">
        <v>45930</v>
      </c>
      <c r="C2385">
        <v>541021</v>
      </c>
      <c r="D2385">
        <v>-248.672</v>
      </c>
      <c r="E2385" t="s">
        <v>6</v>
      </c>
      <c r="F2385" t="s">
        <v>61</v>
      </c>
      <c r="G2385" t="s">
        <v>7</v>
      </c>
    </row>
    <row r="2386" spans="1:7" x14ac:dyDescent="0.3">
      <c r="A2386" t="s">
        <v>35</v>
      </c>
      <c r="B2386" s="1">
        <v>45930</v>
      </c>
      <c r="C2386">
        <v>541023</v>
      </c>
      <c r="D2386">
        <v>9570.9989999999998</v>
      </c>
      <c r="E2386" t="s">
        <v>6</v>
      </c>
      <c r="F2386" t="s">
        <v>61</v>
      </c>
      <c r="G2386" t="s">
        <v>7</v>
      </c>
    </row>
    <row r="2387" spans="1:7" x14ac:dyDescent="0.3">
      <c r="A2387" t="s">
        <v>35</v>
      </c>
      <c r="B2387" s="1">
        <v>45930</v>
      </c>
      <c r="C2387">
        <v>544003</v>
      </c>
      <c r="D2387">
        <v>268.52100000000002</v>
      </c>
      <c r="E2387" t="s">
        <v>6</v>
      </c>
      <c r="F2387" t="s">
        <v>61</v>
      </c>
      <c r="G2387" t="s">
        <v>7</v>
      </c>
    </row>
    <row r="2388" spans="1:7" x14ac:dyDescent="0.3">
      <c r="A2388" t="s">
        <v>35</v>
      </c>
      <c r="B2388" s="1">
        <v>45930</v>
      </c>
      <c r="C2388">
        <v>544006</v>
      </c>
      <c r="D2388">
        <v>15911.776</v>
      </c>
      <c r="E2388" t="s">
        <v>6</v>
      </c>
      <c r="F2388" t="s">
        <v>61</v>
      </c>
      <c r="G2388" t="s">
        <v>7</v>
      </c>
    </row>
    <row r="2389" spans="1:7" x14ac:dyDescent="0.3">
      <c r="A2389" t="s">
        <v>35</v>
      </c>
      <c r="B2389" s="1">
        <v>45930</v>
      </c>
      <c r="C2389">
        <v>546002</v>
      </c>
      <c r="D2389">
        <v>5661748.9890000001</v>
      </c>
      <c r="E2389" t="s">
        <v>6</v>
      </c>
      <c r="F2389" t="s">
        <v>51</v>
      </c>
      <c r="G2389" t="s">
        <v>7</v>
      </c>
    </row>
    <row r="2390" spans="1:7" x14ac:dyDescent="0.3">
      <c r="A2390" t="s">
        <v>35</v>
      </c>
      <c r="B2390" s="1">
        <v>45930</v>
      </c>
      <c r="C2390">
        <v>546005</v>
      </c>
      <c r="D2390">
        <v>9055.7379999999994</v>
      </c>
      <c r="E2390" t="s">
        <v>6</v>
      </c>
      <c r="F2390" t="s">
        <v>51</v>
      </c>
      <c r="G2390" t="s">
        <v>7</v>
      </c>
    </row>
    <row r="2391" spans="1:7" x14ac:dyDescent="0.3">
      <c r="A2391" t="s">
        <v>35</v>
      </c>
      <c r="B2391" s="1">
        <v>45930</v>
      </c>
      <c r="C2391">
        <v>546008</v>
      </c>
      <c r="D2391">
        <v>88504.812999999995</v>
      </c>
      <c r="E2391" t="s">
        <v>6</v>
      </c>
      <c r="F2391" t="s">
        <v>51</v>
      </c>
      <c r="G2391" t="s">
        <v>7</v>
      </c>
    </row>
    <row r="2392" spans="1:7" x14ac:dyDescent="0.3">
      <c r="A2392" t="s">
        <v>35</v>
      </c>
      <c r="B2392" s="1">
        <v>45930</v>
      </c>
      <c r="C2392">
        <v>546012</v>
      </c>
      <c r="D2392">
        <v>8614.2810000000009</v>
      </c>
      <c r="E2392" t="s">
        <v>6</v>
      </c>
      <c r="F2392" t="s">
        <v>51</v>
      </c>
      <c r="G2392" t="s">
        <v>7</v>
      </c>
    </row>
    <row r="2393" spans="1:7" x14ac:dyDescent="0.3">
      <c r="A2393" t="s">
        <v>35</v>
      </c>
      <c r="B2393" s="1">
        <v>45930</v>
      </c>
      <c r="C2393">
        <v>546013</v>
      </c>
      <c r="D2393">
        <v>852670.71100000001</v>
      </c>
      <c r="E2393" t="s">
        <v>6</v>
      </c>
      <c r="F2393" t="s">
        <v>51</v>
      </c>
      <c r="G2393" t="s">
        <v>7</v>
      </c>
    </row>
    <row r="2394" spans="1:7" x14ac:dyDescent="0.3">
      <c r="A2394" t="s">
        <v>35</v>
      </c>
      <c r="B2394" s="1">
        <v>45930</v>
      </c>
      <c r="C2394">
        <v>546015</v>
      </c>
      <c r="D2394">
        <v>45371.438000000002</v>
      </c>
      <c r="E2394" t="s">
        <v>6</v>
      </c>
      <c r="F2394" t="s">
        <v>51</v>
      </c>
      <c r="G2394" t="s">
        <v>7</v>
      </c>
    </row>
    <row r="2395" spans="1:7" x14ac:dyDescent="0.3">
      <c r="A2395" t="s">
        <v>35</v>
      </c>
      <c r="B2395" s="1">
        <v>45930</v>
      </c>
      <c r="C2395">
        <v>546016</v>
      </c>
      <c r="D2395">
        <v>74008.156000000003</v>
      </c>
      <c r="E2395" t="s">
        <v>6</v>
      </c>
      <c r="F2395" t="s">
        <v>51</v>
      </c>
      <c r="G2395" t="s">
        <v>7</v>
      </c>
    </row>
    <row r="2396" spans="1:7" x14ac:dyDescent="0.3">
      <c r="A2396" t="s">
        <v>35</v>
      </c>
      <c r="B2396" s="1">
        <v>45930</v>
      </c>
      <c r="C2396">
        <v>546018</v>
      </c>
      <c r="D2396">
        <v>1375.761</v>
      </c>
      <c r="E2396" t="s">
        <v>6</v>
      </c>
      <c r="F2396" t="s">
        <v>51</v>
      </c>
      <c r="G2396" t="s">
        <v>7</v>
      </c>
    </row>
    <row r="2397" spans="1:7" x14ac:dyDescent="0.3">
      <c r="A2397" t="s">
        <v>35</v>
      </c>
      <c r="B2397" s="1">
        <v>45930</v>
      </c>
      <c r="C2397">
        <v>546024</v>
      </c>
      <c r="D2397">
        <v>4500.3980000000001</v>
      </c>
      <c r="E2397" t="s">
        <v>6</v>
      </c>
      <c r="F2397" t="s">
        <v>51</v>
      </c>
      <c r="G2397" t="s">
        <v>7</v>
      </c>
    </row>
    <row r="2398" spans="1:7" x14ac:dyDescent="0.3">
      <c r="A2398" t="s">
        <v>35</v>
      </c>
      <c r="B2398" s="1">
        <v>45930</v>
      </c>
      <c r="C2398">
        <v>546035</v>
      </c>
      <c r="D2398">
        <v>117663.352</v>
      </c>
      <c r="E2398" t="s">
        <v>6</v>
      </c>
      <c r="F2398" t="s">
        <v>51</v>
      </c>
      <c r="G2398" t="s">
        <v>7</v>
      </c>
    </row>
    <row r="2399" spans="1:7" x14ac:dyDescent="0.3">
      <c r="A2399" t="s">
        <v>35</v>
      </c>
      <c r="B2399" s="1">
        <v>45930</v>
      </c>
      <c r="C2399">
        <v>546045</v>
      </c>
      <c r="D2399">
        <v>31054.66</v>
      </c>
      <c r="E2399" t="s">
        <v>6</v>
      </c>
      <c r="F2399" t="s">
        <v>51</v>
      </c>
      <c r="G2399" t="s">
        <v>7</v>
      </c>
    </row>
    <row r="2400" spans="1:7" x14ac:dyDescent="0.3">
      <c r="A2400" t="s">
        <v>35</v>
      </c>
      <c r="B2400" s="1">
        <v>45930</v>
      </c>
      <c r="C2400">
        <v>546047</v>
      </c>
      <c r="D2400">
        <v>12731.592000000001</v>
      </c>
      <c r="E2400" t="s">
        <v>6</v>
      </c>
      <c r="F2400" t="s">
        <v>51</v>
      </c>
      <c r="G2400" t="s">
        <v>7</v>
      </c>
    </row>
    <row r="2401" spans="1:7" x14ac:dyDescent="0.3">
      <c r="A2401" t="s">
        <v>35</v>
      </c>
      <c r="B2401" s="1">
        <v>45930</v>
      </c>
      <c r="C2401">
        <v>547002</v>
      </c>
      <c r="D2401">
        <v>28342.272000000001</v>
      </c>
      <c r="E2401" t="s">
        <v>6</v>
      </c>
      <c r="F2401" t="s">
        <v>54</v>
      </c>
      <c r="G2401" t="s">
        <v>7</v>
      </c>
    </row>
    <row r="2402" spans="1:7" x14ac:dyDescent="0.3">
      <c r="A2402" t="s">
        <v>35</v>
      </c>
      <c r="B2402" s="1">
        <v>45930</v>
      </c>
      <c r="C2402">
        <v>547006</v>
      </c>
      <c r="D2402">
        <v>10449.046</v>
      </c>
      <c r="E2402" t="s">
        <v>6</v>
      </c>
      <c r="F2402" t="s">
        <v>54</v>
      </c>
      <c r="G2402" t="s">
        <v>7</v>
      </c>
    </row>
    <row r="2403" spans="1:7" x14ac:dyDescent="0.3">
      <c r="A2403" t="s">
        <v>35</v>
      </c>
      <c r="B2403" s="1">
        <v>45930</v>
      </c>
      <c r="C2403">
        <v>550003</v>
      </c>
      <c r="D2403">
        <v>3212303.9070000001</v>
      </c>
      <c r="E2403" t="s">
        <v>6</v>
      </c>
      <c r="F2403" t="s">
        <v>62</v>
      </c>
      <c r="G2403" t="s">
        <v>7</v>
      </c>
    </row>
    <row r="2404" spans="1:7" x14ac:dyDescent="0.3">
      <c r="A2404" t="s">
        <v>35</v>
      </c>
      <c r="B2404" s="1">
        <v>45930</v>
      </c>
      <c r="C2404">
        <v>551002</v>
      </c>
      <c r="D2404">
        <v>2593.902</v>
      </c>
      <c r="E2404" t="s">
        <v>6</v>
      </c>
      <c r="F2404" t="s">
        <v>63</v>
      </c>
      <c r="G2404" t="s">
        <v>7</v>
      </c>
    </row>
    <row r="2405" spans="1:7" x14ac:dyDescent="0.3">
      <c r="A2405" t="s">
        <v>35</v>
      </c>
      <c r="B2405" s="1">
        <v>45930</v>
      </c>
      <c r="C2405">
        <v>551003</v>
      </c>
      <c r="D2405">
        <v>59588.262000000002</v>
      </c>
      <c r="E2405" t="s">
        <v>6</v>
      </c>
      <c r="F2405" t="s">
        <v>63</v>
      </c>
      <c r="G2405" t="s">
        <v>7</v>
      </c>
    </row>
    <row r="2406" spans="1:7" x14ac:dyDescent="0.3">
      <c r="A2406" t="s">
        <v>35</v>
      </c>
      <c r="B2406" s="1">
        <v>45930</v>
      </c>
      <c r="C2406">
        <v>551008</v>
      </c>
      <c r="D2406">
        <v>26.957999999999998</v>
      </c>
      <c r="E2406" t="s">
        <v>6</v>
      </c>
      <c r="F2406" t="s">
        <v>63</v>
      </c>
      <c r="G2406" t="s">
        <v>7</v>
      </c>
    </row>
    <row r="2407" spans="1:7" x14ac:dyDescent="0.3">
      <c r="A2407" t="s">
        <v>35</v>
      </c>
      <c r="B2407" s="1">
        <v>45930</v>
      </c>
      <c r="C2407">
        <v>551011</v>
      </c>
      <c r="D2407">
        <v>208.83799999999999</v>
      </c>
      <c r="E2407" t="s">
        <v>6</v>
      </c>
      <c r="F2407" t="s">
        <v>61</v>
      </c>
      <c r="G2407" t="s">
        <v>7</v>
      </c>
    </row>
    <row r="2408" spans="1:7" x14ac:dyDescent="0.3">
      <c r="A2408" t="s">
        <v>35</v>
      </c>
      <c r="B2408" s="1">
        <v>45930</v>
      </c>
      <c r="C2408">
        <v>552002</v>
      </c>
      <c r="D2408">
        <v>1120.057</v>
      </c>
      <c r="E2408" t="s">
        <v>6</v>
      </c>
      <c r="F2408" t="s">
        <v>55</v>
      </c>
      <c r="G2408" t="s">
        <v>7</v>
      </c>
    </row>
    <row r="2409" spans="1:7" x14ac:dyDescent="0.3">
      <c r="A2409" t="s">
        <v>35</v>
      </c>
      <c r="B2409" s="1">
        <v>45930</v>
      </c>
      <c r="C2409">
        <v>552502</v>
      </c>
      <c r="D2409">
        <v>13835.162</v>
      </c>
      <c r="E2409" t="s">
        <v>6</v>
      </c>
      <c r="F2409" t="s">
        <v>55</v>
      </c>
      <c r="G2409" t="s">
        <v>7</v>
      </c>
    </row>
    <row r="2410" spans="1:7" x14ac:dyDescent="0.3">
      <c r="A2410" t="s">
        <v>35</v>
      </c>
      <c r="B2410" s="1">
        <v>45930</v>
      </c>
      <c r="C2410">
        <v>552504</v>
      </c>
      <c r="D2410">
        <v>770.27599999999995</v>
      </c>
      <c r="E2410" t="s">
        <v>6</v>
      </c>
      <c r="F2410" t="s">
        <v>55</v>
      </c>
      <c r="G2410" t="s">
        <v>7</v>
      </c>
    </row>
    <row r="2411" spans="1:7" x14ac:dyDescent="0.3">
      <c r="A2411" t="s">
        <v>35</v>
      </c>
      <c r="B2411" s="1">
        <v>45930</v>
      </c>
      <c r="C2411">
        <v>554003</v>
      </c>
      <c r="D2411">
        <v>1404.443</v>
      </c>
      <c r="E2411" t="s">
        <v>6</v>
      </c>
      <c r="F2411" t="s">
        <v>55</v>
      </c>
      <c r="G2411" t="s">
        <v>7</v>
      </c>
    </row>
    <row r="2412" spans="1:7" x14ac:dyDescent="0.3">
      <c r="A2412" t="s">
        <v>35</v>
      </c>
      <c r="B2412" s="1">
        <v>45930</v>
      </c>
      <c r="C2412">
        <v>554006</v>
      </c>
      <c r="D2412">
        <v>245.59700000000001</v>
      </c>
      <c r="E2412" t="s">
        <v>6</v>
      </c>
      <c r="F2412" t="s">
        <v>55</v>
      </c>
      <c r="G2412" t="s">
        <v>7</v>
      </c>
    </row>
    <row r="2413" spans="1:7" x14ac:dyDescent="0.3">
      <c r="A2413" t="s">
        <v>35</v>
      </c>
      <c r="B2413" s="1">
        <v>45930</v>
      </c>
      <c r="C2413">
        <v>555007</v>
      </c>
      <c r="D2413">
        <v>121.77200000000001</v>
      </c>
      <c r="E2413" t="s">
        <v>6</v>
      </c>
      <c r="F2413" t="s">
        <v>55</v>
      </c>
      <c r="G2413" t="s">
        <v>7</v>
      </c>
    </row>
    <row r="2414" spans="1:7" x14ac:dyDescent="0.3">
      <c r="A2414" t="s">
        <v>35</v>
      </c>
      <c r="B2414" s="1">
        <v>45930</v>
      </c>
      <c r="C2414">
        <v>555502</v>
      </c>
      <c r="D2414">
        <v>21921.504000000001</v>
      </c>
      <c r="E2414" t="s">
        <v>6</v>
      </c>
      <c r="F2414" t="s">
        <v>55</v>
      </c>
      <c r="G2414" t="s">
        <v>7</v>
      </c>
    </row>
    <row r="2415" spans="1:7" x14ac:dyDescent="0.3">
      <c r="A2415" t="s">
        <v>35</v>
      </c>
      <c r="B2415" s="1">
        <v>45930</v>
      </c>
      <c r="C2415">
        <v>555508</v>
      </c>
      <c r="D2415">
        <v>3265.6559999999999</v>
      </c>
      <c r="E2415" t="s">
        <v>6</v>
      </c>
      <c r="F2415" t="s">
        <v>55</v>
      </c>
      <c r="G2415" t="s">
        <v>7</v>
      </c>
    </row>
    <row r="2416" spans="1:7" x14ac:dyDescent="0.3">
      <c r="A2416" t="s">
        <v>35</v>
      </c>
      <c r="B2416" s="1">
        <v>45930</v>
      </c>
      <c r="C2416">
        <v>556002</v>
      </c>
      <c r="D2416">
        <v>4395.107</v>
      </c>
      <c r="E2416" t="s">
        <v>6</v>
      </c>
      <c r="F2416" t="s">
        <v>60</v>
      </c>
      <c r="G2416" t="s">
        <v>7</v>
      </c>
    </row>
    <row r="2417" spans="1:7" x14ac:dyDescent="0.3">
      <c r="A2417" t="s">
        <v>35</v>
      </c>
      <c r="B2417" s="1">
        <v>45930</v>
      </c>
      <c r="C2417">
        <v>557002</v>
      </c>
      <c r="D2417">
        <v>48915.345000000001</v>
      </c>
      <c r="E2417" t="s">
        <v>6</v>
      </c>
      <c r="F2417" t="s">
        <v>56</v>
      </c>
      <c r="G2417" t="s">
        <v>7</v>
      </c>
    </row>
    <row r="2418" spans="1:7" x14ac:dyDescent="0.3">
      <c r="A2418" t="s">
        <v>35</v>
      </c>
      <c r="B2418" s="1">
        <v>45930</v>
      </c>
      <c r="C2418">
        <v>557003</v>
      </c>
      <c r="D2418">
        <v>-31578.132000000001</v>
      </c>
      <c r="E2418" t="s">
        <v>6</v>
      </c>
      <c r="F2418" t="s">
        <v>56</v>
      </c>
      <c r="G2418" t="s">
        <v>7</v>
      </c>
    </row>
    <row r="2419" spans="1:7" x14ac:dyDescent="0.3">
      <c r="A2419" t="s">
        <v>35</v>
      </c>
      <c r="B2419" s="1">
        <v>45930</v>
      </c>
      <c r="C2419">
        <v>558003</v>
      </c>
      <c r="D2419">
        <v>32148.444</v>
      </c>
      <c r="E2419" t="s">
        <v>6</v>
      </c>
      <c r="F2419" t="s">
        <v>57</v>
      </c>
      <c r="G2419" t="s">
        <v>7</v>
      </c>
    </row>
    <row r="2420" spans="1:7" x14ac:dyDescent="0.3">
      <c r="A2420" t="s">
        <v>35</v>
      </c>
      <c r="B2420" s="1">
        <v>45930</v>
      </c>
      <c r="C2420">
        <v>558006</v>
      </c>
      <c r="D2420">
        <v>23179.212</v>
      </c>
      <c r="E2420" t="s">
        <v>6</v>
      </c>
      <c r="F2420" t="s">
        <v>57</v>
      </c>
      <c r="G2420" t="s">
        <v>7</v>
      </c>
    </row>
    <row r="2421" spans="1:7" x14ac:dyDescent="0.3">
      <c r="A2421" t="s">
        <v>35</v>
      </c>
      <c r="B2421" s="1">
        <v>45930</v>
      </c>
      <c r="C2421">
        <v>558007</v>
      </c>
      <c r="D2421">
        <v>229.74600000000001</v>
      </c>
      <c r="E2421" t="s">
        <v>6</v>
      </c>
      <c r="F2421" t="s">
        <v>60</v>
      </c>
      <c r="G2421" t="s">
        <v>7</v>
      </c>
    </row>
    <row r="2422" spans="1:7" x14ac:dyDescent="0.3">
      <c r="A2422" t="s">
        <v>35</v>
      </c>
      <c r="B2422" s="1">
        <v>45930</v>
      </c>
      <c r="C2422">
        <v>558011</v>
      </c>
      <c r="D2422">
        <v>4834.6090000000004</v>
      </c>
      <c r="E2422" t="s">
        <v>6</v>
      </c>
      <c r="F2422" t="s">
        <v>57</v>
      </c>
      <c r="G2422" t="s">
        <v>7</v>
      </c>
    </row>
    <row r="2423" spans="1:7" x14ac:dyDescent="0.3">
      <c r="A2423" t="s">
        <v>35</v>
      </c>
      <c r="B2423" s="1">
        <v>45930</v>
      </c>
      <c r="C2423">
        <v>558012</v>
      </c>
      <c r="D2423">
        <v>6818.1850000000004</v>
      </c>
      <c r="E2423" t="s">
        <v>6</v>
      </c>
      <c r="F2423" t="s">
        <v>60</v>
      </c>
      <c r="G2423" t="s">
        <v>7</v>
      </c>
    </row>
    <row r="2424" spans="1:7" x14ac:dyDescent="0.3">
      <c r="A2424" t="s">
        <v>35</v>
      </c>
      <c r="B2424" s="1">
        <v>45930</v>
      </c>
      <c r="C2424">
        <v>559002</v>
      </c>
      <c r="D2424">
        <v>40.186</v>
      </c>
      <c r="E2424" t="s">
        <v>6</v>
      </c>
      <c r="F2424" t="s">
        <v>60</v>
      </c>
      <c r="G2424" t="s">
        <v>7</v>
      </c>
    </row>
    <row r="2425" spans="1:7" x14ac:dyDescent="0.3">
      <c r="A2425" t="s">
        <v>35</v>
      </c>
      <c r="B2425" s="1">
        <v>45930</v>
      </c>
      <c r="C2425">
        <v>564004</v>
      </c>
      <c r="D2425">
        <v>327398.10100000002</v>
      </c>
      <c r="E2425" t="s">
        <v>6</v>
      </c>
      <c r="F2425" t="s">
        <v>51</v>
      </c>
      <c r="G2425" t="s">
        <v>7</v>
      </c>
    </row>
    <row r="2426" spans="1:7" x14ac:dyDescent="0.3">
      <c r="A2426" t="s">
        <v>35</v>
      </c>
      <c r="B2426" s="1">
        <v>45930</v>
      </c>
      <c r="C2426">
        <v>564006</v>
      </c>
      <c r="D2426">
        <v>-1.4999999999999999E-2</v>
      </c>
      <c r="E2426" t="s">
        <v>6</v>
      </c>
      <c r="F2426" t="s">
        <v>57</v>
      </c>
      <c r="G2426" t="s">
        <v>7</v>
      </c>
    </row>
    <row r="2427" spans="1:7" x14ac:dyDescent="0.3">
      <c r="A2427" t="s">
        <v>35</v>
      </c>
      <c r="B2427" s="1">
        <v>45930</v>
      </c>
      <c r="C2427">
        <v>564008</v>
      </c>
      <c r="D2427">
        <v>591.38900000000001</v>
      </c>
      <c r="E2427" t="s">
        <v>6</v>
      </c>
      <c r="F2427" t="s">
        <v>55</v>
      </c>
      <c r="G2427" t="s">
        <v>7</v>
      </c>
    </row>
    <row r="2428" spans="1:7" x14ac:dyDescent="0.3">
      <c r="A2428" t="s">
        <v>35</v>
      </c>
      <c r="B2428" s="1">
        <v>45930</v>
      </c>
      <c r="C2428">
        <v>564013</v>
      </c>
      <c r="D2428">
        <v>3300.9520000000002</v>
      </c>
      <c r="E2428" t="s">
        <v>6</v>
      </c>
      <c r="F2428" t="s">
        <v>69</v>
      </c>
      <c r="G2428" t="s">
        <v>7</v>
      </c>
    </row>
    <row r="2429" spans="1:7" x14ac:dyDescent="0.3">
      <c r="A2429" t="s">
        <v>35</v>
      </c>
      <c r="B2429" s="1">
        <v>45930</v>
      </c>
      <c r="C2429">
        <v>564020</v>
      </c>
      <c r="D2429">
        <v>721.93499999999995</v>
      </c>
      <c r="E2429" t="s">
        <v>6</v>
      </c>
      <c r="F2429" t="s">
        <v>57</v>
      </c>
      <c r="G2429" t="s">
        <v>7</v>
      </c>
    </row>
    <row r="2430" spans="1:7" x14ac:dyDescent="0.3">
      <c r="A2430" t="s">
        <v>35</v>
      </c>
      <c r="B2430" s="1">
        <v>45930</v>
      </c>
      <c r="C2430">
        <v>564021</v>
      </c>
      <c r="D2430">
        <v>1.8340000000000001</v>
      </c>
      <c r="E2430" t="s">
        <v>6</v>
      </c>
      <c r="F2430" t="s">
        <v>57</v>
      </c>
      <c r="G2430" t="s">
        <v>7</v>
      </c>
    </row>
    <row r="2431" spans="1:7" x14ac:dyDescent="0.3">
      <c r="A2431" t="s">
        <v>35</v>
      </c>
      <c r="B2431" s="1">
        <v>45930</v>
      </c>
      <c r="C2431">
        <v>564022</v>
      </c>
      <c r="D2431">
        <v>48210.836000000003</v>
      </c>
      <c r="E2431" t="s">
        <v>6</v>
      </c>
      <c r="F2431" t="s">
        <v>67</v>
      </c>
      <c r="G2431" t="s">
        <v>7</v>
      </c>
    </row>
    <row r="2432" spans="1:7" x14ac:dyDescent="0.3">
      <c r="A2432" t="s">
        <v>35</v>
      </c>
      <c r="B2432" s="1">
        <v>45930</v>
      </c>
      <c r="C2432">
        <v>570002</v>
      </c>
      <c r="D2432">
        <v>2210.0520000000001</v>
      </c>
      <c r="E2432" t="s">
        <v>6</v>
      </c>
      <c r="F2432" t="s">
        <v>66</v>
      </c>
      <c r="G2432" t="s">
        <v>7</v>
      </c>
    </row>
    <row r="2433" spans="1:7" x14ac:dyDescent="0.3">
      <c r="A2433" t="s">
        <v>35</v>
      </c>
      <c r="B2433" s="1">
        <v>45930</v>
      </c>
      <c r="C2433">
        <v>580002</v>
      </c>
      <c r="D2433">
        <v>327878.69500000001</v>
      </c>
      <c r="E2433" t="s">
        <v>6</v>
      </c>
      <c r="F2433" t="s">
        <v>64</v>
      </c>
      <c r="G2433" t="s">
        <v>7</v>
      </c>
    </row>
    <row r="2434" spans="1:7" x14ac:dyDescent="0.3">
      <c r="A2434" t="s">
        <v>35</v>
      </c>
      <c r="B2434" s="1">
        <v>45930</v>
      </c>
      <c r="C2434">
        <v>580003</v>
      </c>
      <c r="D2434">
        <v>4873.0609999999997</v>
      </c>
      <c r="E2434" t="s">
        <v>6</v>
      </c>
      <c r="F2434" t="s">
        <v>64</v>
      </c>
      <c r="G2434" t="s">
        <v>7</v>
      </c>
    </row>
    <row r="2435" spans="1:7" x14ac:dyDescent="0.3">
      <c r="A2435" t="s">
        <v>35</v>
      </c>
      <c r="B2435" s="1">
        <v>45930</v>
      </c>
      <c r="C2435">
        <v>580005</v>
      </c>
      <c r="D2435">
        <v>52112.815999999999</v>
      </c>
      <c r="E2435" t="s">
        <v>6</v>
      </c>
      <c r="F2435" t="s">
        <v>64</v>
      </c>
      <c r="G2435" t="s">
        <v>7</v>
      </c>
    </row>
    <row r="2436" spans="1:7" x14ac:dyDescent="0.3">
      <c r="A2436" t="s">
        <v>36</v>
      </c>
      <c r="B2436" s="1">
        <v>45930</v>
      </c>
      <c r="C2436">
        <v>210002</v>
      </c>
      <c r="D2436">
        <v>-1016493.795</v>
      </c>
      <c r="E2436" t="s">
        <v>4</v>
      </c>
      <c r="F2436" t="s">
        <v>42</v>
      </c>
      <c r="G2436" t="s">
        <v>7</v>
      </c>
    </row>
    <row r="2437" spans="1:7" x14ac:dyDescent="0.3">
      <c r="A2437" t="s">
        <v>36</v>
      </c>
      <c r="B2437" s="1">
        <v>45930</v>
      </c>
      <c r="C2437">
        <v>220006</v>
      </c>
      <c r="D2437">
        <v>1768389.6440000001</v>
      </c>
      <c r="E2437" t="s">
        <v>4</v>
      </c>
      <c r="F2437" t="s">
        <v>42</v>
      </c>
      <c r="G2437" t="s">
        <v>7</v>
      </c>
    </row>
    <row r="2438" spans="1:7" x14ac:dyDescent="0.3">
      <c r="A2438" t="s">
        <v>36</v>
      </c>
      <c r="B2438" s="1">
        <v>45930</v>
      </c>
      <c r="C2438">
        <v>300005</v>
      </c>
      <c r="D2438">
        <v>5607.5029999999997</v>
      </c>
      <c r="E2438" t="s">
        <v>4</v>
      </c>
      <c r="F2438" t="s">
        <v>65</v>
      </c>
      <c r="G2438" t="s">
        <v>7</v>
      </c>
    </row>
    <row r="2439" spans="1:7" x14ac:dyDescent="0.3">
      <c r="A2439" t="s">
        <v>36</v>
      </c>
      <c r="B2439" s="1">
        <v>45930</v>
      </c>
      <c r="C2439">
        <v>300008</v>
      </c>
      <c r="D2439">
        <v>11978.514999999999</v>
      </c>
      <c r="E2439" t="s">
        <v>4</v>
      </c>
      <c r="F2439" t="s">
        <v>65</v>
      </c>
      <c r="G2439" t="s">
        <v>7</v>
      </c>
    </row>
    <row r="2440" spans="1:7" x14ac:dyDescent="0.3">
      <c r="A2440" t="s">
        <v>36</v>
      </c>
      <c r="B2440" s="1">
        <v>45930</v>
      </c>
      <c r="C2440">
        <v>300505</v>
      </c>
      <c r="D2440">
        <v>-5607.5029999999997</v>
      </c>
      <c r="E2440" t="s">
        <v>4</v>
      </c>
      <c r="F2440" t="s">
        <v>65</v>
      </c>
      <c r="G2440" t="s">
        <v>7</v>
      </c>
    </row>
    <row r="2441" spans="1:7" x14ac:dyDescent="0.3">
      <c r="A2441" t="s">
        <v>36</v>
      </c>
      <c r="B2441" s="1">
        <v>45930</v>
      </c>
      <c r="C2441">
        <v>300508</v>
      </c>
      <c r="D2441">
        <v>-11978.514999999999</v>
      </c>
      <c r="E2441" t="s">
        <v>4</v>
      </c>
      <c r="F2441" t="s">
        <v>65</v>
      </c>
      <c r="G2441" t="s">
        <v>7</v>
      </c>
    </row>
    <row r="2442" spans="1:7" x14ac:dyDescent="0.3">
      <c r="A2442" t="s">
        <v>36</v>
      </c>
      <c r="B2442" s="1">
        <v>45930</v>
      </c>
      <c r="C2442">
        <v>301002</v>
      </c>
      <c r="D2442">
        <v>471647.87900000002</v>
      </c>
      <c r="E2442" t="s">
        <v>4</v>
      </c>
      <c r="F2442" t="s">
        <v>68</v>
      </c>
      <c r="G2442" t="s">
        <v>7</v>
      </c>
    </row>
    <row r="2443" spans="1:7" x14ac:dyDescent="0.3">
      <c r="A2443" t="s">
        <v>36</v>
      </c>
      <c r="B2443" s="1">
        <v>45930</v>
      </c>
      <c r="C2443">
        <v>301502</v>
      </c>
      <c r="D2443">
        <v>-401047.12900000002</v>
      </c>
      <c r="E2443" t="s">
        <v>4</v>
      </c>
      <c r="F2443" t="s">
        <v>68</v>
      </c>
      <c r="G2443" t="s">
        <v>7</v>
      </c>
    </row>
    <row r="2444" spans="1:7" x14ac:dyDescent="0.3">
      <c r="A2444" t="s">
        <v>36</v>
      </c>
      <c r="B2444" s="1">
        <v>45930</v>
      </c>
      <c r="C2444">
        <v>330123</v>
      </c>
      <c r="D2444">
        <v>-943868.26300000004</v>
      </c>
      <c r="E2444" t="s">
        <v>4</v>
      </c>
      <c r="F2444" t="s">
        <v>43</v>
      </c>
      <c r="G2444" t="s">
        <v>7</v>
      </c>
    </row>
    <row r="2445" spans="1:7" x14ac:dyDescent="0.3">
      <c r="A2445" t="s">
        <v>36</v>
      </c>
      <c r="B2445" s="1">
        <v>45930</v>
      </c>
      <c r="C2445">
        <v>340258</v>
      </c>
      <c r="D2445">
        <v>185.143</v>
      </c>
      <c r="E2445" t="s">
        <v>4</v>
      </c>
      <c r="F2445" t="s">
        <v>47</v>
      </c>
      <c r="G2445" t="s">
        <v>7</v>
      </c>
    </row>
    <row r="2446" spans="1:7" x14ac:dyDescent="0.3">
      <c r="A2446" t="s">
        <v>36</v>
      </c>
      <c r="B2446" s="1">
        <v>45930</v>
      </c>
      <c r="C2446">
        <v>364502</v>
      </c>
      <c r="D2446">
        <v>97523.577999999994</v>
      </c>
      <c r="E2446" t="s">
        <v>4</v>
      </c>
      <c r="F2446" t="s">
        <v>58</v>
      </c>
      <c r="G2446" t="s">
        <v>7</v>
      </c>
    </row>
    <row r="2447" spans="1:7" x14ac:dyDescent="0.3">
      <c r="A2447" t="s">
        <v>36</v>
      </c>
      <c r="B2447" s="1">
        <v>45930</v>
      </c>
      <c r="C2447">
        <v>564006</v>
      </c>
      <c r="D2447">
        <v>5.3999999999999999E-2</v>
      </c>
      <c r="E2447" t="s">
        <v>6</v>
      </c>
      <c r="F2447" t="s">
        <v>57</v>
      </c>
      <c r="G2447" t="s">
        <v>7</v>
      </c>
    </row>
    <row r="2448" spans="1:7" x14ac:dyDescent="0.3">
      <c r="A2448" t="s">
        <v>36</v>
      </c>
      <c r="B2448" s="1">
        <v>45930</v>
      </c>
      <c r="C2448">
        <v>570003</v>
      </c>
      <c r="D2448">
        <v>22946.019</v>
      </c>
      <c r="E2448" t="s">
        <v>6</v>
      </c>
      <c r="F2448" t="s">
        <v>66</v>
      </c>
      <c r="G2448" t="s">
        <v>7</v>
      </c>
    </row>
    <row r="2449" spans="1:7" x14ac:dyDescent="0.3">
      <c r="A2449" t="s">
        <v>37</v>
      </c>
      <c r="B2449" s="1">
        <v>45930</v>
      </c>
      <c r="C2449">
        <v>210002</v>
      </c>
      <c r="D2449">
        <v>-94112.585999999996</v>
      </c>
      <c r="E2449" t="s">
        <v>4</v>
      </c>
      <c r="F2449" t="s">
        <v>42</v>
      </c>
      <c r="G2449" t="s">
        <v>7</v>
      </c>
    </row>
    <row r="2450" spans="1:7" x14ac:dyDescent="0.3">
      <c r="A2450" t="s">
        <v>37</v>
      </c>
      <c r="B2450" s="1">
        <v>45930</v>
      </c>
      <c r="C2450">
        <v>220006</v>
      </c>
      <c r="D2450">
        <v>-94238.411999999997</v>
      </c>
      <c r="E2450" t="s">
        <v>4</v>
      </c>
      <c r="F2450" t="s">
        <v>42</v>
      </c>
      <c r="G2450" t="s">
        <v>7</v>
      </c>
    </row>
    <row r="2451" spans="1:7" x14ac:dyDescent="0.3">
      <c r="A2451" t="s">
        <v>37</v>
      </c>
      <c r="B2451" s="1">
        <v>45930</v>
      </c>
      <c r="C2451">
        <v>234003</v>
      </c>
      <c r="D2451">
        <v>-19717.274000000001</v>
      </c>
      <c r="E2451" t="s">
        <v>4</v>
      </c>
      <c r="F2451" t="s">
        <v>43</v>
      </c>
      <c r="G2451" t="s">
        <v>7</v>
      </c>
    </row>
    <row r="2452" spans="1:7" x14ac:dyDescent="0.3">
      <c r="A2452" t="s">
        <v>37</v>
      </c>
      <c r="B2452" s="1">
        <v>45930</v>
      </c>
      <c r="C2452">
        <v>240002</v>
      </c>
      <c r="D2452">
        <v>-910.77700000000004</v>
      </c>
      <c r="E2452" t="s">
        <v>4</v>
      </c>
      <c r="F2452" t="s">
        <v>43</v>
      </c>
      <c r="G2452" t="s">
        <v>7</v>
      </c>
    </row>
    <row r="2453" spans="1:7" x14ac:dyDescent="0.3">
      <c r="A2453" t="s">
        <v>37</v>
      </c>
      <c r="B2453" s="1">
        <v>45930</v>
      </c>
      <c r="C2453">
        <v>243002</v>
      </c>
      <c r="D2453">
        <v>-547.49599999999998</v>
      </c>
      <c r="E2453" t="s">
        <v>4</v>
      </c>
      <c r="F2453" t="s">
        <v>43</v>
      </c>
      <c r="G2453" t="s">
        <v>7</v>
      </c>
    </row>
    <row r="2454" spans="1:7" x14ac:dyDescent="0.3">
      <c r="A2454" t="s">
        <v>37</v>
      </c>
      <c r="B2454" s="1">
        <v>45930</v>
      </c>
      <c r="C2454">
        <v>243003</v>
      </c>
      <c r="D2454">
        <v>-41233.31</v>
      </c>
      <c r="E2454" t="s">
        <v>4</v>
      </c>
      <c r="F2454" t="s">
        <v>43</v>
      </c>
      <c r="G2454" t="s">
        <v>7</v>
      </c>
    </row>
    <row r="2455" spans="1:7" x14ac:dyDescent="0.3">
      <c r="A2455" t="s">
        <v>37</v>
      </c>
      <c r="B2455" s="1">
        <v>45930</v>
      </c>
      <c r="C2455">
        <v>245010</v>
      </c>
      <c r="D2455">
        <v>-28860.704000000002</v>
      </c>
      <c r="E2455" t="s">
        <v>4</v>
      </c>
      <c r="F2455" t="s">
        <v>44</v>
      </c>
      <c r="G2455" t="s">
        <v>7</v>
      </c>
    </row>
    <row r="2456" spans="1:7" x14ac:dyDescent="0.3">
      <c r="A2456" t="s">
        <v>37</v>
      </c>
      <c r="B2456" s="1">
        <v>45930</v>
      </c>
      <c r="C2456">
        <v>245044</v>
      </c>
      <c r="D2456">
        <v>-10671.358</v>
      </c>
      <c r="E2456" t="s">
        <v>4</v>
      </c>
      <c r="F2456" t="s">
        <v>43</v>
      </c>
      <c r="G2456" t="s">
        <v>7</v>
      </c>
    </row>
    <row r="2457" spans="1:7" x14ac:dyDescent="0.3">
      <c r="A2457" t="s">
        <v>37</v>
      </c>
      <c r="B2457" s="1">
        <v>45930</v>
      </c>
      <c r="C2457">
        <v>251002</v>
      </c>
      <c r="D2457">
        <v>-8718.34</v>
      </c>
      <c r="E2457" t="s">
        <v>4</v>
      </c>
      <c r="F2457" t="s">
        <v>45</v>
      </c>
      <c r="G2457" t="s">
        <v>7</v>
      </c>
    </row>
    <row r="2458" spans="1:7" x14ac:dyDescent="0.3">
      <c r="A2458" t="s">
        <v>37</v>
      </c>
      <c r="B2458" s="1">
        <v>45930</v>
      </c>
      <c r="C2458">
        <v>257022</v>
      </c>
      <c r="D2458">
        <v>-2501.9850000000001</v>
      </c>
      <c r="E2458" t="s">
        <v>4</v>
      </c>
      <c r="F2458" t="s">
        <v>45</v>
      </c>
      <c r="G2458" t="s">
        <v>7</v>
      </c>
    </row>
    <row r="2459" spans="1:7" x14ac:dyDescent="0.3">
      <c r="A2459" t="s">
        <v>37</v>
      </c>
      <c r="B2459" s="1">
        <v>45930</v>
      </c>
      <c r="C2459">
        <v>257030</v>
      </c>
      <c r="D2459">
        <v>-5317.9930000000004</v>
      </c>
      <c r="E2459" t="s">
        <v>4</v>
      </c>
      <c r="F2459" t="s">
        <v>45</v>
      </c>
      <c r="G2459" t="s">
        <v>7</v>
      </c>
    </row>
    <row r="2460" spans="1:7" x14ac:dyDescent="0.3">
      <c r="A2460" t="s">
        <v>37</v>
      </c>
      <c r="B2460" s="1">
        <v>45930</v>
      </c>
      <c r="C2460">
        <v>270024</v>
      </c>
      <c r="D2460">
        <v>-30404.701000000001</v>
      </c>
      <c r="E2460" t="s">
        <v>4</v>
      </c>
      <c r="F2460" t="s">
        <v>58</v>
      </c>
      <c r="G2460" t="s">
        <v>7</v>
      </c>
    </row>
    <row r="2461" spans="1:7" x14ac:dyDescent="0.3">
      <c r="A2461" t="s">
        <v>37</v>
      </c>
      <c r="B2461" s="1">
        <v>45930</v>
      </c>
      <c r="C2461">
        <v>300012</v>
      </c>
      <c r="D2461">
        <v>6276.3249999999998</v>
      </c>
      <c r="E2461" t="s">
        <v>4</v>
      </c>
      <c r="F2461" t="s">
        <v>65</v>
      </c>
      <c r="G2461" t="s">
        <v>7</v>
      </c>
    </row>
    <row r="2462" spans="1:7" x14ac:dyDescent="0.3">
      <c r="A2462" t="s">
        <v>37</v>
      </c>
      <c r="B2462" s="1">
        <v>45930</v>
      </c>
      <c r="C2462">
        <v>300013</v>
      </c>
      <c r="D2462">
        <v>1598.645</v>
      </c>
      <c r="E2462" t="s">
        <v>4</v>
      </c>
      <c r="F2462" t="s">
        <v>65</v>
      </c>
      <c r="G2462" t="s">
        <v>7</v>
      </c>
    </row>
    <row r="2463" spans="1:7" x14ac:dyDescent="0.3">
      <c r="A2463" t="s">
        <v>37</v>
      </c>
      <c r="B2463" s="1">
        <v>45930</v>
      </c>
      <c r="C2463">
        <v>300512</v>
      </c>
      <c r="D2463">
        <v>-3798.1210000000001</v>
      </c>
      <c r="E2463" t="s">
        <v>4</v>
      </c>
      <c r="F2463" t="s">
        <v>65</v>
      </c>
      <c r="G2463" t="s">
        <v>7</v>
      </c>
    </row>
    <row r="2464" spans="1:7" x14ac:dyDescent="0.3">
      <c r="A2464" t="s">
        <v>37</v>
      </c>
      <c r="B2464" s="1">
        <v>45930</v>
      </c>
      <c r="C2464">
        <v>300513</v>
      </c>
      <c r="D2464">
        <v>-735.30399999999997</v>
      </c>
      <c r="E2464" t="s">
        <v>4</v>
      </c>
      <c r="F2464" t="s">
        <v>65</v>
      </c>
      <c r="G2464" t="s">
        <v>7</v>
      </c>
    </row>
    <row r="2465" spans="1:7" x14ac:dyDescent="0.3">
      <c r="A2465" t="s">
        <v>37</v>
      </c>
      <c r="B2465" s="1">
        <v>45930</v>
      </c>
      <c r="C2465">
        <v>304002</v>
      </c>
      <c r="D2465">
        <v>24476.62</v>
      </c>
      <c r="E2465" t="s">
        <v>4</v>
      </c>
      <c r="F2465" t="s">
        <v>65</v>
      </c>
      <c r="G2465" t="s">
        <v>7</v>
      </c>
    </row>
    <row r="2466" spans="1:7" x14ac:dyDescent="0.3">
      <c r="A2466" t="s">
        <v>37</v>
      </c>
      <c r="B2466" s="1">
        <v>45930</v>
      </c>
      <c r="C2466">
        <v>304502</v>
      </c>
      <c r="D2466">
        <v>-4759.3469999999998</v>
      </c>
      <c r="E2466" t="s">
        <v>4</v>
      </c>
      <c r="F2466" t="s">
        <v>65</v>
      </c>
      <c r="G2466" t="s">
        <v>7</v>
      </c>
    </row>
    <row r="2467" spans="1:7" x14ac:dyDescent="0.3">
      <c r="A2467" t="s">
        <v>37</v>
      </c>
      <c r="B2467" s="1">
        <v>45930</v>
      </c>
      <c r="C2467">
        <v>320002</v>
      </c>
      <c r="D2467">
        <v>9462.4429999999993</v>
      </c>
      <c r="E2467" t="s">
        <v>4</v>
      </c>
      <c r="F2467" t="s">
        <v>46</v>
      </c>
      <c r="G2467" t="s">
        <v>7</v>
      </c>
    </row>
    <row r="2468" spans="1:7" x14ac:dyDescent="0.3">
      <c r="A2468" t="s">
        <v>37</v>
      </c>
      <c r="B2468" s="1">
        <v>45930</v>
      </c>
      <c r="C2468">
        <v>320003</v>
      </c>
      <c r="D2468">
        <v>58663.862000000001</v>
      </c>
      <c r="E2468" t="s">
        <v>4</v>
      </c>
      <c r="F2468" t="s">
        <v>46</v>
      </c>
      <c r="G2468" t="s">
        <v>7</v>
      </c>
    </row>
    <row r="2469" spans="1:7" x14ac:dyDescent="0.3">
      <c r="A2469" t="s">
        <v>37</v>
      </c>
      <c r="B2469" s="1">
        <v>45930</v>
      </c>
      <c r="C2469">
        <v>321002</v>
      </c>
      <c r="D2469">
        <v>13789.623</v>
      </c>
      <c r="E2469" t="s">
        <v>4</v>
      </c>
      <c r="F2469" t="s">
        <v>46</v>
      </c>
      <c r="G2469" t="s">
        <v>7</v>
      </c>
    </row>
    <row r="2470" spans="1:7" x14ac:dyDescent="0.3">
      <c r="A2470" t="s">
        <v>37</v>
      </c>
      <c r="B2470" s="1">
        <v>45930</v>
      </c>
      <c r="C2470">
        <v>321025</v>
      </c>
      <c r="D2470">
        <v>12811.699000000001</v>
      </c>
      <c r="E2470" t="s">
        <v>4</v>
      </c>
      <c r="F2470" t="s">
        <v>46</v>
      </c>
      <c r="G2470" t="s">
        <v>7</v>
      </c>
    </row>
    <row r="2471" spans="1:7" x14ac:dyDescent="0.3">
      <c r="A2471" t="s">
        <v>37</v>
      </c>
      <c r="B2471" s="1">
        <v>45930</v>
      </c>
      <c r="C2471">
        <v>340008</v>
      </c>
      <c r="D2471">
        <v>178473.02100000001</v>
      </c>
      <c r="E2471" t="s">
        <v>4</v>
      </c>
      <c r="F2471" t="s">
        <v>47</v>
      </c>
      <c r="G2471" t="s">
        <v>7</v>
      </c>
    </row>
    <row r="2472" spans="1:7" x14ac:dyDescent="0.3">
      <c r="A2472" t="s">
        <v>37</v>
      </c>
      <c r="B2472" s="1">
        <v>45930</v>
      </c>
      <c r="C2472">
        <v>350002</v>
      </c>
      <c r="D2472">
        <v>4975.4170000000004</v>
      </c>
      <c r="E2472" t="s">
        <v>4</v>
      </c>
      <c r="F2472" t="s">
        <v>49</v>
      </c>
      <c r="G2472" t="s">
        <v>7</v>
      </c>
    </row>
    <row r="2473" spans="1:7" x14ac:dyDescent="0.3">
      <c r="A2473" t="s">
        <v>37</v>
      </c>
      <c r="B2473" s="1">
        <v>45930</v>
      </c>
      <c r="C2473">
        <v>350006</v>
      </c>
      <c r="D2473">
        <v>287.45800000000003</v>
      </c>
      <c r="E2473" t="s">
        <v>4</v>
      </c>
      <c r="F2473" t="s">
        <v>43</v>
      </c>
      <c r="G2473" t="s">
        <v>7</v>
      </c>
    </row>
    <row r="2474" spans="1:7" x14ac:dyDescent="0.3">
      <c r="A2474" t="s">
        <v>37</v>
      </c>
      <c r="B2474" s="1">
        <v>45930</v>
      </c>
      <c r="C2474">
        <v>352004</v>
      </c>
      <c r="D2474">
        <v>471.61900000000003</v>
      </c>
      <c r="E2474" t="s">
        <v>4</v>
      </c>
      <c r="F2474" t="s">
        <v>48</v>
      </c>
      <c r="G2474" t="s">
        <v>7</v>
      </c>
    </row>
    <row r="2475" spans="1:7" x14ac:dyDescent="0.3">
      <c r="A2475" t="s">
        <v>37</v>
      </c>
      <c r="B2475" s="1">
        <v>45930</v>
      </c>
      <c r="C2475">
        <v>354014</v>
      </c>
      <c r="D2475">
        <v>59026.053</v>
      </c>
      <c r="E2475" t="s">
        <v>4</v>
      </c>
      <c r="F2475" t="s">
        <v>46</v>
      </c>
      <c r="G2475" t="s">
        <v>7</v>
      </c>
    </row>
    <row r="2476" spans="1:7" x14ac:dyDescent="0.3">
      <c r="A2476" t="s">
        <v>37</v>
      </c>
      <c r="B2476" s="1">
        <v>45930</v>
      </c>
      <c r="C2476">
        <v>355002</v>
      </c>
      <c r="D2476">
        <v>291.78300000000002</v>
      </c>
      <c r="E2476" t="s">
        <v>4</v>
      </c>
      <c r="F2476" t="s">
        <v>49</v>
      </c>
      <c r="G2476" t="s">
        <v>7</v>
      </c>
    </row>
    <row r="2477" spans="1:7" x14ac:dyDescent="0.3">
      <c r="A2477" t="s">
        <v>37</v>
      </c>
      <c r="B2477" s="1">
        <v>45930</v>
      </c>
      <c r="C2477">
        <v>360012</v>
      </c>
      <c r="D2477">
        <v>5453.4309999999996</v>
      </c>
      <c r="E2477" t="s">
        <v>4</v>
      </c>
      <c r="F2477" t="s">
        <v>58</v>
      </c>
      <c r="G2477" t="s">
        <v>7</v>
      </c>
    </row>
    <row r="2478" spans="1:7" x14ac:dyDescent="0.3">
      <c r="A2478" t="s">
        <v>37</v>
      </c>
      <c r="B2478" s="1">
        <v>45930</v>
      </c>
      <c r="C2478">
        <v>360019</v>
      </c>
      <c r="D2478">
        <v>3464.11</v>
      </c>
      <c r="E2478" t="s">
        <v>4</v>
      </c>
      <c r="F2478" t="s">
        <v>58</v>
      </c>
      <c r="G2478" t="s">
        <v>7</v>
      </c>
    </row>
    <row r="2479" spans="1:7" x14ac:dyDescent="0.3">
      <c r="A2479" t="s">
        <v>37</v>
      </c>
      <c r="B2479" s="1">
        <v>45930</v>
      </c>
      <c r="C2479">
        <v>360026</v>
      </c>
      <c r="D2479">
        <v>30087.39</v>
      </c>
      <c r="E2479" t="s">
        <v>4</v>
      </c>
      <c r="F2479" t="s">
        <v>58</v>
      </c>
      <c r="G2479" t="s">
        <v>7</v>
      </c>
    </row>
    <row r="2480" spans="1:7" x14ac:dyDescent="0.3">
      <c r="A2480" t="s">
        <v>37</v>
      </c>
      <c r="B2480" s="1">
        <v>45930</v>
      </c>
      <c r="C2480">
        <v>364502</v>
      </c>
      <c r="D2480">
        <v>17680.998</v>
      </c>
      <c r="E2480" t="s">
        <v>4</v>
      </c>
      <c r="F2480" t="s">
        <v>58</v>
      </c>
      <c r="G2480" t="s">
        <v>7</v>
      </c>
    </row>
    <row r="2481" spans="1:7" x14ac:dyDescent="0.3">
      <c r="A2481" t="s">
        <v>37</v>
      </c>
      <c r="B2481" s="1">
        <v>45930</v>
      </c>
      <c r="C2481">
        <v>400002</v>
      </c>
      <c r="D2481">
        <v>-14730.84</v>
      </c>
      <c r="E2481" t="s">
        <v>6</v>
      </c>
      <c r="F2481" t="s">
        <v>50</v>
      </c>
      <c r="G2481" t="s">
        <v>7</v>
      </c>
    </row>
    <row r="2482" spans="1:7" x14ac:dyDescent="0.3">
      <c r="A2482" t="s">
        <v>37</v>
      </c>
      <c r="B2482" s="1">
        <v>45930</v>
      </c>
      <c r="C2482">
        <v>410002</v>
      </c>
      <c r="D2482">
        <v>-68612.130999999994</v>
      </c>
      <c r="E2482" t="s">
        <v>6</v>
      </c>
      <c r="F2482" t="s">
        <v>51</v>
      </c>
      <c r="G2482" t="s">
        <v>7</v>
      </c>
    </row>
    <row r="2483" spans="1:7" x14ac:dyDescent="0.3">
      <c r="A2483" t="s">
        <v>37</v>
      </c>
      <c r="B2483" s="1">
        <v>45930</v>
      </c>
      <c r="C2483">
        <v>410032</v>
      </c>
      <c r="D2483">
        <v>-22323.152999999998</v>
      </c>
      <c r="E2483" t="s">
        <v>6</v>
      </c>
      <c r="F2483" t="s">
        <v>51</v>
      </c>
      <c r="G2483" t="s">
        <v>7</v>
      </c>
    </row>
    <row r="2484" spans="1:7" x14ac:dyDescent="0.3">
      <c r="A2484" t="s">
        <v>37</v>
      </c>
      <c r="B2484" s="1">
        <v>45930</v>
      </c>
      <c r="C2484">
        <v>415002</v>
      </c>
      <c r="D2484">
        <v>-404585.527</v>
      </c>
      <c r="E2484" t="s">
        <v>6</v>
      </c>
      <c r="F2484" t="s">
        <v>50</v>
      </c>
      <c r="G2484" t="s">
        <v>7</v>
      </c>
    </row>
    <row r="2485" spans="1:7" x14ac:dyDescent="0.3">
      <c r="A2485" t="s">
        <v>37</v>
      </c>
      <c r="B2485" s="1">
        <v>45930</v>
      </c>
      <c r="C2485">
        <v>420002</v>
      </c>
      <c r="D2485">
        <v>-1218.3779999999999</v>
      </c>
      <c r="E2485" t="s">
        <v>6</v>
      </c>
      <c r="F2485" t="s">
        <v>52</v>
      </c>
      <c r="G2485" t="s">
        <v>7</v>
      </c>
    </row>
    <row r="2486" spans="1:7" x14ac:dyDescent="0.3">
      <c r="A2486" t="s">
        <v>37</v>
      </c>
      <c r="B2486" s="1">
        <v>45930</v>
      </c>
      <c r="C2486">
        <v>421002</v>
      </c>
      <c r="D2486">
        <v>-2543.5790000000002</v>
      </c>
      <c r="E2486" t="s">
        <v>6</v>
      </c>
      <c r="F2486" t="s">
        <v>52</v>
      </c>
      <c r="G2486" t="s">
        <v>7</v>
      </c>
    </row>
    <row r="2487" spans="1:7" x14ac:dyDescent="0.3">
      <c r="A2487" t="s">
        <v>37</v>
      </c>
      <c r="B2487" s="1">
        <v>45930</v>
      </c>
      <c r="C2487">
        <v>510002</v>
      </c>
      <c r="D2487">
        <v>53915.474999999999</v>
      </c>
      <c r="E2487" t="s">
        <v>6</v>
      </c>
      <c r="F2487" t="s">
        <v>53</v>
      </c>
      <c r="G2487" t="s">
        <v>7</v>
      </c>
    </row>
    <row r="2488" spans="1:7" x14ac:dyDescent="0.3">
      <c r="A2488" t="s">
        <v>37</v>
      </c>
      <c r="B2488" s="1">
        <v>45930</v>
      </c>
      <c r="C2488">
        <v>510004</v>
      </c>
      <c r="D2488">
        <v>6001.7089999999998</v>
      </c>
      <c r="E2488" t="s">
        <v>6</v>
      </c>
      <c r="F2488" t="s">
        <v>53</v>
      </c>
      <c r="G2488" t="s">
        <v>7</v>
      </c>
    </row>
    <row r="2489" spans="1:7" x14ac:dyDescent="0.3">
      <c r="A2489" t="s">
        <v>37</v>
      </c>
      <c r="B2489" s="1">
        <v>45930</v>
      </c>
      <c r="C2489">
        <v>510005</v>
      </c>
      <c r="D2489">
        <v>12514.017</v>
      </c>
      <c r="E2489" t="s">
        <v>6</v>
      </c>
      <c r="F2489" t="s">
        <v>53</v>
      </c>
      <c r="G2489" t="s">
        <v>7</v>
      </c>
    </row>
    <row r="2490" spans="1:7" x14ac:dyDescent="0.3">
      <c r="A2490" t="s">
        <v>37</v>
      </c>
      <c r="B2490" s="1">
        <v>45930</v>
      </c>
      <c r="C2490">
        <v>510007</v>
      </c>
      <c r="D2490">
        <v>2963.681</v>
      </c>
      <c r="E2490" t="s">
        <v>6</v>
      </c>
      <c r="F2490" t="s">
        <v>53</v>
      </c>
      <c r="G2490" t="s">
        <v>7</v>
      </c>
    </row>
    <row r="2491" spans="1:7" x14ac:dyDescent="0.3">
      <c r="A2491" t="s">
        <v>37</v>
      </c>
      <c r="B2491" s="1">
        <v>45930</v>
      </c>
      <c r="C2491">
        <v>510015</v>
      </c>
      <c r="D2491">
        <v>22163.242999999999</v>
      </c>
      <c r="E2491" t="s">
        <v>6</v>
      </c>
      <c r="F2491" t="s">
        <v>53</v>
      </c>
      <c r="G2491" t="s">
        <v>7</v>
      </c>
    </row>
    <row r="2492" spans="1:7" x14ac:dyDescent="0.3">
      <c r="A2492" t="s">
        <v>37</v>
      </c>
      <c r="B2492" s="1">
        <v>45930</v>
      </c>
      <c r="C2492">
        <v>520021</v>
      </c>
      <c r="D2492">
        <v>172.952</v>
      </c>
      <c r="E2492" t="s">
        <v>6</v>
      </c>
      <c r="F2492" t="s">
        <v>60</v>
      </c>
      <c r="G2492" t="s">
        <v>7</v>
      </c>
    </row>
    <row r="2493" spans="1:7" x14ac:dyDescent="0.3">
      <c r="A2493" t="s">
        <v>37</v>
      </c>
      <c r="B2493" s="1">
        <v>45930</v>
      </c>
      <c r="C2493">
        <v>530012</v>
      </c>
      <c r="D2493">
        <v>15314.483</v>
      </c>
      <c r="E2493" t="s">
        <v>6</v>
      </c>
      <c r="F2493" t="s">
        <v>53</v>
      </c>
      <c r="G2493" t="s">
        <v>7</v>
      </c>
    </row>
    <row r="2494" spans="1:7" x14ac:dyDescent="0.3">
      <c r="A2494" t="s">
        <v>37</v>
      </c>
      <c r="B2494" s="1">
        <v>45930</v>
      </c>
      <c r="C2494">
        <v>540004</v>
      </c>
      <c r="D2494">
        <v>1.4999999999999999E-2</v>
      </c>
      <c r="E2494" t="s">
        <v>6</v>
      </c>
      <c r="F2494" t="s">
        <v>67</v>
      </c>
      <c r="G2494" t="s">
        <v>7</v>
      </c>
    </row>
    <row r="2495" spans="1:7" x14ac:dyDescent="0.3">
      <c r="A2495" t="s">
        <v>37</v>
      </c>
      <c r="B2495" s="1">
        <v>45930</v>
      </c>
      <c r="C2495">
        <v>541022</v>
      </c>
      <c r="D2495">
        <v>1051.6790000000001</v>
      </c>
      <c r="E2495" t="s">
        <v>6</v>
      </c>
      <c r="F2495" t="s">
        <v>61</v>
      </c>
      <c r="G2495" t="s">
        <v>7</v>
      </c>
    </row>
    <row r="2496" spans="1:7" x14ac:dyDescent="0.3">
      <c r="A2496" t="s">
        <v>37</v>
      </c>
      <c r="B2496" s="1">
        <v>45930</v>
      </c>
      <c r="C2496">
        <v>544002</v>
      </c>
      <c r="D2496">
        <v>304.46699999999998</v>
      </c>
      <c r="E2496" t="s">
        <v>6</v>
      </c>
      <c r="F2496" t="s">
        <v>61</v>
      </c>
      <c r="G2496" t="s">
        <v>7</v>
      </c>
    </row>
    <row r="2497" spans="1:7" x14ac:dyDescent="0.3">
      <c r="A2497" t="s">
        <v>37</v>
      </c>
      <c r="B2497" s="1">
        <v>45930</v>
      </c>
      <c r="C2497">
        <v>547002</v>
      </c>
      <c r="D2497">
        <v>363.07900000000001</v>
      </c>
      <c r="E2497" t="s">
        <v>6</v>
      </c>
      <c r="F2497" t="s">
        <v>54</v>
      </c>
      <c r="G2497" t="s">
        <v>7</v>
      </c>
    </row>
    <row r="2498" spans="1:7" x14ac:dyDescent="0.3">
      <c r="A2498" t="s">
        <v>37</v>
      </c>
      <c r="B2498" s="1">
        <v>45930</v>
      </c>
      <c r="C2498">
        <v>550002</v>
      </c>
      <c r="D2498">
        <v>271288.75199999998</v>
      </c>
      <c r="E2498" t="s">
        <v>6</v>
      </c>
      <c r="F2498" t="s">
        <v>62</v>
      </c>
      <c r="G2498" t="s">
        <v>7</v>
      </c>
    </row>
    <row r="2499" spans="1:7" x14ac:dyDescent="0.3">
      <c r="A2499" t="s">
        <v>37</v>
      </c>
      <c r="B2499" s="1">
        <v>45930</v>
      </c>
      <c r="C2499">
        <v>552502</v>
      </c>
      <c r="D2499">
        <v>3765.192</v>
      </c>
      <c r="E2499" t="s">
        <v>6</v>
      </c>
      <c r="F2499" t="s">
        <v>55</v>
      </c>
      <c r="G2499" t="s">
        <v>7</v>
      </c>
    </row>
    <row r="2500" spans="1:7" x14ac:dyDescent="0.3">
      <c r="A2500" t="s">
        <v>37</v>
      </c>
      <c r="B2500" s="1">
        <v>45930</v>
      </c>
      <c r="C2500">
        <v>555508</v>
      </c>
      <c r="D2500">
        <v>80.728999999999999</v>
      </c>
      <c r="E2500" t="s">
        <v>6</v>
      </c>
      <c r="F2500" t="s">
        <v>55</v>
      </c>
      <c r="G2500" t="s">
        <v>7</v>
      </c>
    </row>
    <row r="2501" spans="1:7" x14ac:dyDescent="0.3">
      <c r="A2501" t="s">
        <v>37</v>
      </c>
      <c r="B2501" s="1">
        <v>45930</v>
      </c>
      <c r="C2501">
        <v>556002</v>
      </c>
      <c r="D2501">
        <v>276.851</v>
      </c>
      <c r="E2501" t="s">
        <v>6</v>
      </c>
      <c r="F2501" t="s">
        <v>60</v>
      </c>
      <c r="G2501" t="s">
        <v>7</v>
      </c>
    </row>
    <row r="2502" spans="1:7" x14ac:dyDescent="0.3">
      <c r="A2502" t="s">
        <v>37</v>
      </c>
      <c r="B2502" s="1">
        <v>45930</v>
      </c>
      <c r="C2502">
        <v>557002</v>
      </c>
      <c r="D2502">
        <v>3209.21</v>
      </c>
      <c r="E2502" t="s">
        <v>6</v>
      </c>
      <c r="F2502" t="s">
        <v>56</v>
      </c>
      <c r="G2502" t="s">
        <v>7</v>
      </c>
    </row>
    <row r="2503" spans="1:7" x14ac:dyDescent="0.3">
      <c r="A2503" t="s">
        <v>37</v>
      </c>
      <c r="B2503" s="1">
        <v>45930</v>
      </c>
      <c r="C2503">
        <v>557003</v>
      </c>
      <c r="D2503">
        <v>2250.4050000000002</v>
      </c>
      <c r="E2503" t="s">
        <v>6</v>
      </c>
      <c r="F2503" t="s">
        <v>56</v>
      </c>
      <c r="G2503" t="s">
        <v>7</v>
      </c>
    </row>
    <row r="2504" spans="1:7" x14ac:dyDescent="0.3">
      <c r="A2504" t="s">
        <v>37</v>
      </c>
      <c r="B2504" s="1">
        <v>45930</v>
      </c>
      <c r="C2504">
        <v>558003</v>
      </c>
      <c r="D2504">
        <v>219.56100000000001</v>
      </c>
      <c r="E2504" t="s">
        <v>6</v>
      </c>
      <c r="F2504" t="s">
        <v>57</v>
      </c>
      <c r="G2504" t="s">
        <v>7</v>
      </c>
    </row>
    <row r="2505" spans="1:7" x14ac:dyDescent="0.3">
      <c r="A2505" t="s">
        <v>37</v>
      </c>
      <c r="B2505" s="1">
        <v>45930</v>
      </c>
      <c r="C2505">
        <v>558007</v>
      </c>
      <c r="D2505">
        <v>1351.3679999999999</v>
      </c>
      <c r="E2505" t="s">
        <v>6</v>
      </c>
      <c r="F2505" t="s">
        <v>60</v>
      </c>
      <c r="G2505" t="s">
        <v>7</v>
      </c>
    </row>
    <row r="2506" spans="1:7" x14ac:dyDescent="0.3">
      <c r="A2506" t="s">
        <v>37</v>
      </c>
      <c r="B2506" s="1">
        <v>45930</v>
      </c>
      <c r="C2506">
        <v>564008</v>
      </c>
      <c r="D2506">
        <v>815.31500000000005</v>
      </c>
      <c r="E2506" t="s">
        <v>6</v>
      </c>
      <c r="F2506" t="s">
        <v>55</v>
      </c>
      <c r="G2506" t="s">
        <v>7</v>
      </c>
    </row>
    <row r="2507" spans="1:7" x14ac:dyDescent="0.3">
      <c r="A2507" t="s">
        <v>37</v>
      </c>
      <c r="B2507" s="1">
        <v>45930</v>
      </c>
      <c r="C2507">
        <v>564020</v>
      </c>
      <c r="D2507">
        <v>104.82</v>
      </c>
      <c r="E2507" t="s">
        <v>6</v>
      </c>
      <c r="F2507" t="s">
        <v>57</v>
      </c>
      <c r="G2507" t="s">
        <v>7</v>
      </c>
    </row>
    <row r="2508" spans="1:7" x14ac:dyDescent="0.3">
      <c r="A2508" t="s">
        <v>37</v>
      </c>
      <c r="B2508" s="1">
        <v>45930</v>
      </c>
      <c r="C2508">
        <v>570002</v>
      </c>
      <c r="D2508">
        <v>282.62299999999999</v>
      </c>
      <c r="E2508" t="s">
        <v>6</v>
      </c>
      <c r="F2508" t="s">
        <v>66</v>
      </c>
      <c r="G2508" t="s">
        <v>7</v>
      </c>
    </row>
    <row r="2509" spans="1:7" x14ac:dyDescent="0.3">
      <c r="A2509" t="s">
        <v>37</v>
      </c>
      <c r="B2509" s="1">
        <v>45930</v>
      </c>
      <c r="C2509">
        <v>580002</v>
      </c>
      <c r="D2509">
        <v>26791.113000000001</v>
      </c>
      <c r="E2509" t="s">
        <v>6</v>
      </c>
      <c r="F2509" t="s">
        <v>64</v>
      </c>
      <c r="G2509" t="s">
        <v>7</v>
      </c>
    </row>
    <row r="2510" spans="1:7" x14ac:dyDescent="0.3">
      <c r="A2510" t="s">
        <v>37</v>
      </c>
      <c r="B2510" s="1">
        <v>45930</v>
      </c>
      <c r="C2510">
        <v>580003</v>
      </c>
      <c r="D2510">
        <v>-3076.7820000000002</v>
      </c>
      <c r="E2510" t="s">
        <v>6</v>
      </c>
      <c r="F2510" t="s">
        <v>64</v>
      </c>
      <c r="G2510" t="s">
        <v>7</v>
      </c>
    </row>
    <row r="2511" spans="1:7" x14ac:dyDescent="0.3">
      <c r="A2511" t="s">
        <v>37</v>
      </c>
      <c r="B2511" s="1">
        <v>45930</v>
      </c>
      <c r="C2511">
        <v>510006</v>
      </c>
      <c r="D2511">
        <v>9182.9169999999995</v>
      </c>
      <c r="E2511" t="s">
        <v>6</v>
      </c>
      <c r="F2511" t="s">
        <v>53</v>
      </c>
      <c r="G2511" t="s">
        <v>7</v>
      </c>
    </row>
    <row r="2512" spans="1:7" x14ac:dyDescent="0.3">
      <c r="A2512" t="s">
        <v>37</v>
      </c>
      <c r="B2512" s="1">
        <v>45930</v>
      </c>
      <c r="C2512">
        <v>560008</v>
      </c>
      <c r="D2512">
        <v>0</v>
      </c>
      <c r="E2512" t="s">
        <v>6</v>
      </c>
      <c r="F2512" t="s">
        <v>56</v>
      </c>
      <c r="G2512" t="s">
        <v>7</v>
      </c>
    </row>
    <row r="2513" spans="1:7" x14ac:dyDescent="0.3">
      <c r="A2513" t="s">
        <v>32</v>
      </c>
      <c r="B2513" s="1">
        <v>45930</v>
      </c>
      <c r="C2513">
        <v>220007</v>
      </c>
      <c r="D2513">
        <v>-21602.034</v>
      </c>
      <c r="E2513" t="s">
        <v>4</v>
      </c>
      <c r="F2513" t="s">
        <v>42</v>
      </c>
      <c r="G2513" t="s">
        <v>7</v>
      </c>
    </row>
    <row r="2514" spans="1:7" x14ac:dyDescent="0.3">
      <c r="A2514" t="s">
        <v>33</v>
      </c>
      <c r="B2514" s="1">
        <v>45930</v>
      </c>
      <c r="C2514">
        <v>220007</v>
      </c>
      <c r="D2514">
        <v>4386.5079999999998</v>
      </c>
      <c r="E2514" t="s">
        <v>4</v>
      </c>
      <c r="F2514" t="s">
        <v>42</v>
      </c>
      <c r="G2514" t="s">
        <v>7</v>
      </c>
    </row>
    <row r="2515" spans="1:7" x14ac:dyDescent="0.3">
      <c r="A2515" t="s">
        <v>34</v>
      </c>
      <c r="B2515" s="1">
        <v>45930</v>
      </c>
      <c r="C2515">
        <v>220007</v>
      </c>
      <c r="D2515">
        <v>921.10900000000004</v>
      </c>
      <c r="E2515" t="s">
        <v>4</v>
      </c>
      <c r="F2515" t="s">
        <v>42</v>
      </c>
      <c r="G2515" t="s">
        <v>7</v>
      </c>
    </row>
    <row r="2516" spans="1:7" x14ac:dyDescent="0.3">
      <c r="A2516" t="s">
        <v>35</v>
      </c>
      <c r="B2516" s="1">
        <v>45930</v>
      </c>
      <c r="C2516">
        <v>220007</v>
      </c>
      <c r="D2516">
        <v>-32200.523000000001</v>
      </c>
      <c r="E2516" t="s">
        <v>4</v>
      </c>
      <c r="F2516" t="s">
        <v>42</v>
      </c>
      <c r="G2516" t="s">
        <v>7</v>
      </c>
    </row>
    <row r="2517" spans="1:7" x14ac:dyDescent="0.3">
      <c r="A2517" t="s">
        <v>36</v>
      </c>
      <c r="B2517" s="1">
        <v>45930</v>
      </c>
      <c r="C2517">
        <v>220007</v>
      </c>
      <c r="D2517">
        <v>716.87</v>
      </c>
      <c r="E2517" t="s">
        <v>4</v>
      </c>
      <c r="F2517" t="s">
        <v>42</v>
      </c>
      <c r="G2517" t="s">
        <v>7</v>
      </c>
    </row>
    <row r="2518" spans="1:7" x14ac:dyDescent="0.3">
      <c r="A2518" t="s">
        <v>11</v>
      </c>
      <c r="B2518" s="1">
        <v>45930</v>
      </c>
      <c r="C2518">
        <v>220007</v>
      </c>
      <c r="D2518">
        <v>-399.88499999999999</v>
      </c>
      <c r="E2518" t="s">
        <v>4</v>
      </c>
      <c r="F2518" t="s">
        <v>42</v>
      </c>
      <c r="G2518" t="s">
        <v>7</v>
      </c>
    </row>
    <row r="2519" spans="1:7" x14ac:dyDescent="0.3">
      <c r="A2519" t="s">
        <v>37</v>
      </c>
      <c r="B2519" s="1">
        <v>45930</v>
      </c>
      <c r="C2519">
        <v>220007</v>
      </c>
      <c r="D2519">
        <v>1943.943</v>
      </c>
      <c r="E2519" t="s">
        <v>4</v>
      </c>
      <c r="F2519" t="s">
        <v>42</v>
      </c>
      <c r="G2519" t="s">
        <v>7</v>
      </c>
    </row>
    <row r="2520" spans="1:7" x14ac:dyDescent="0.3">
      <c r="A2520" t="s">
        <v>30</v>
      </c>
      <c r="B2520" s="1">
        <v>45930</v>
      </c>
      <c r="C2520">
        <v>220007</v>
      </c>
      <c r="D2520">
        <v>-1398.19</v>
      </c>
      <c r="E2520" t="s">
        <v>4</v>
      </c>
      <c r="F2520" t="s">
        <v>42</v>
      </c>
      <c r="G2520" t="s">
        <v>8</v>
      </c>
    </row>
    <row r="2521" spans="1:7" x14ac:dyDescent="0.3">
      <c r="A2521" t="s">
        <v>31</v>
      </c>
      <c r="B2521" s="1">
        <v>45930</v>
      </c>
      <c r="C2521">
        <v>220007</v>
      </c>
      <c r="D2521">
        <v>2209.953</v>
      </c>
      <c r="E2521" t="s">
        <v>4</v>
      </c>
      <c r="F2521" t="s">
        <v>42</v>
      </c>
      <c r="G2521" t="s">
        <v>8</v>
      </c>
    </row>
    <row r="2522" spans="1:7" x14ac:dyDescent="0.3">
      <c r="A2522" t="s">
        <v>14</v>
      </c>
      <c r="B2522" s="1">
        <v>45930</v>
      </c>
      <c r="C2522">
        <v>220007</v>
      </c>
      <c r="D2522">
        <v>1235.6120000000001</v>
      </c>
      <c r="E2522" t="s">
        <v>4</v>
      </c>
      <c r="F2522" t="s">
        <v>42</v>
      </c>
      <c r="G2522" t="s">
        <v>8</v>
      </c>
    </row>
    <row r="2523" spans="1:7" x14ac:dyDescent="0.3">
      <c r="A2523" t="s">
        <v>38</v>
      </c>
      <c r="B2523" s="1">
        <v>45930</v>
      </c>
      <c r="C2523">
        <v>220007</v>
      </c>
      <c r="D2523">
        <v>0</v>
      </c>
      <c r="E2523" t="s">
        <v>4</v>
      </c>
      <c r="F2523" t="s">
        <v>42</v>
      </c>
      <c r="G2523" t="s">
        <v>8</v>
      </c>
    </row>
    <row r="2524" spans="1:7" x14ac:dyDescent="0.3">
      <c r="A2524" t="s">
        <v>22</v>
      </c>
      <c r="B2524" s="1">
        <v>45930</v>
      </c>
      <c r="C2524">
        <v>220007</v>
      </c>
      <c r="D2524">
        <v>-216.547</v>
      </c>
      <c r="E2524" t="s">
        <v>4</v>
      </c>
      <c r="F2524" t="s">
        <v>42</v>
      </c>
      <c r="G2524" t="s">
        <v>8</v>
      </c>
    </row>
    <row r="2525" spans="1:7" x14ac:dyDescent="0.3">
      <c r="A2525" t="s">
        <v>13</v>
      </c>
      <c r="B2525" s="1">
        <v>45930</v>
      </c>
      <c r="C2525">
        <v>220007</v>
      </c>
      <c r="D2525">
        <v>341.28800000000001</v>
      </c>
      <c r="E2525" t="s">
        <v>4</v>
      </c>
      <c r="F2525" t="s">
        <v>42</v>
      </c>
      <c r="G2525" t="s">
        <v>8</v>
      </c>
    </row>
    <row r="2526" spans="1:7" x14ac:dyDescent="0.3">
      <c r="A2526" t="s">
        <v>28</v>
      </c>
      <c r="B2526" s="1">
        <v>45930</v>
      </c>
      <c r="C2526">
        <v>421005</v>
      </c>
      <c r="D2526">
        <v>-14.301</v>
      </c>
      <c r="E2526" t="s">
        <v>6</v>
      </c>
      <c r="F2526" t="s">
        <v>52</v>
      </c>
      <c r="G2526" t="s">
        <v>8</v>
      </c>
    </row>
    <row r="2527" spans="1:7" x14ac:dyDescent="0.3">
      <c r="A2527" t="s">
        <v>29</v>
      </c>
      <c r="B2527" s="1">
        <v>45930</v>
      </c>
      <c r="C2527">
        <v>421005</v>
      </c>
      <c r="D2527">
        <v>-128.01900000000001</v>
      </c>
      <c r="E2527" t="s">
        <v>6</v>
      </c>
      <c r="F2527" t="s">
        <v>52</v>
      </c>
      <c r="G2527" t="s">
        <v>8</v>
      </c>
    </row>
    <row r="2528" spans="1:7" x14ac:dyDescent="0.3">
      <c r="A2528" t="s">
        <v>24</v>
      </c>
      <c r="B2528" s="1">
        <v>45930</v>
      </c>
      <c r="C2528">
        <v>421005</v>
      </c>
      <c r="D2528">
        <v>-28.446999999999999</v>
      </c>
      <c r="E2528" t="s">
        <v>6</v>
      </c>
      <c r="F2528" t="s">
        <v>52</v>
      </c>
      <c r="G2528" t="s">
        <v>8</v>
      </c>
    </row>
    <row r="2529" spans="1:7" x14ac:dyDescent="0.3">
      <c r="A2529" t="s">
        <v>15</v>
      </c>
      <c r="B2529" s="1">
        <v>45930</v>
      </c>
      <c r="C2529">
        <v>220007</v>
      </c>
      <c r="D2529">
        <v>0</v>
      </c>
      <c r="E2529" t="s">
        <v>4</v>
      </c>
      <c r="F2529" t="s">
        <v>42</v>
      </c>
      <c r="G2529" t="s">
        <v>5</v>
      </c>
    </row>
    <row r="2530" spans="1:7" x14ac:dyDescent="0.3">
      <c r="A2530" t="s">
        <v>19</v>
      </c>
      <c r="B2530" s="1">
        <v>45930</v>
      </c>
      <c r="C2530">
        <v>220007</v>
      </c>
      <c r="D2530">
        <v>345.60700000000003</v>
      </c>
      <c r="E2530" t="s">
        <v>4</v>
      </c>
      <c r="F2530" t="s">
        <v>42</v>
      </c>
      <c r="G2530" t="s">
        <v>5</v>
      </c>
    </row>
    <row r="2531" spans="1:7" x14ac:dyDescent="0.3">
      <c r="A2531" t="s">
        <v>10</v>
      </c>
      <c r="B2531" s="1">
        <v>45930</v>
      </c>
      <c r="C2531">
        <v>220007</v>
      </c>
      <c r="D2531">
        <v>-904.27700000000004</v>
      </c>
      <c r="E2531" t="s">
        <v>4</v>
      </c>
      <c r="F2531" t="s">
        <v>42</v>
      </c>
      <c r="G2531" t="s">
        <v>5</v>
      </c>
    </row>
    <row r="2532" spans="1:7" x14ac:dyDescent="0.3">
      <c r="A2532" t="s">
        <v>18</v>
      </c>
      <c r="B2532" s="1">
        <v>45930</v>
      </c>
      <c r="C2532">
        <v>220007</v>
      </c>
      <c r="D2532">
        <v>94.763999999999996</v>
      </c>
      <c r="E2532" t="s">
        <v>4</v>
      </c>
      <c r="F2532" t="s">
        <v>42</v>
      </c>
      <c r="G2532" t="s">
        <v>5</v>
      </c>
    </row>
    <row r="2533" spans="1:7" x14ac:dyDescent="0.3">
      <c r="A2533" t="s">
        <v>26</v>
      </c>
      <c r="B2533" s="1">
        <v>45930</v>
      </c>
      <c r="C2533">
        <v>421005</v>
      </c>
      <c r="D2533">
        <v>47.023000000000003</v>
      </c>
      <c r="E2533" t="s">
        <v>6</v>
      </c>
      <c r="F2533" t="s">
        <v>52</v>
      </c>
      <c r="G2533" t="s">
        <v>5</v>
      </c>
    </row>
    <row r="2534" spans="1:7" x14ac:dyDescent="0.3">
      <c r="A2534" t="s">
        <v>20</v>
      </c>
      <c r="B2534" s="1">
        <v>45930</v>
      </c>
      <c r="C2534">
        <v>220007</v>
      </c>
      <c r="D2534">
        <v>26.87</v>
      </c>
      <c r="E2534" t="s">
        <v>4</v>
      </c>
      <c r="F2534" t="s">
        <v>42</v>
      </c>
      <c r="G2534" t="s">
        <v>5</v>
      </c>
    </row>
    <row r="2535" spans="1:7" x14ac:dyDescent="0.3">
      <c r="A2535" t="s">
        <v>21</v>
      </c>
      <c r="B2535" s="1">
        <v>45930</v>
      </c>
      <c r="C2535">
        <v>220007</v>
      </c>
      <c r="D2535">
        <v>638.91899999999998</v>
      </c>
      <c r="E2535" t="s">
        <v>4</v>
      </c>
      <c r="F2535" t="s">
        <v>42</v>
      </c>
      <c r="G2535" t="s">
        <v>7</v>
      </c>
    </row>
    <row r="2536" spans="1:7" x14ac:dyDescent="0.3">
      <c r="A2536" t="s">
        <v>25</v>
      </c>
      <c r="B2536" s="1">
        <v>45930</v>
      </c>
      <c r="C2536">
        <v>421005</v>
      </c>
      <c r="D2536">
        <v>-5.9470000000000001</v>
      </c>
      <c r="E2536" t="s">
        <v>6</v>
      </c>
      <c r="F2536" t="s">
        <v>52</v>
      </c>
      <c r="G2536" t="s">
        <v>5</v>
      </c>
    </row>
    <row r="2537" spans="1:7" x14ac:dyDescent="0.3">
      <c r="A2537" t="s">
        <v>17</v>
      </c>
      <c r="B2537" s="1">
        <v>45930</v>
      </c>
      <c r="C2537">
        <v>220007</v>
      </c>
      <c r="D2537">
        <v>0</v>
      </c>
      <c r="E2537" t="s">
        <v>4</v>
      </c>
      <c r="F2537" t="s">
        <v>42</v>
      </c>
      <c r="G2537" t="s">
        <v>5</v>
      </c>
    </row>
    <row r="2538" spans="1:7" x14ac:dyDescent="0.3">
      <c r="A2538" t="s">
        <v>39</v>
      </c>
      <c r="B2538" s="1">
        <v>45930</v>
      </c>
      <c r="C2538">
        <v>421005</v>
      </c>
      <c r="D2538">
        <v>0</v>
      </c>
      <c r="E2538" t="s">
        <v>6</v>
      </c>
      <c r="F2538" t="s">
        <v>52</v>
      </c>
      <c r="G2538" t="s">
        <v>5</v>
      </c>
    </row>
    <row r="2539" spans="1:7" x14ac:dyDescent="0.3">
      <c r="A2539" t="s">
        <v>27</v>
      </c>
      <c r="B2539" s="1">
        <v>45930</v>
      </c>
      <c r="C2539">
        <v>220007</v>
      </c>
      <c r="D2539">
        <v>-10.282999999999999</v>
      </c>
      <c r="E2539" t="s">
        <v>4</v>
      </c>
      <c r="F2539" t="s">
        <v>42</v>
      </c>
      <c r="G2539" t="s">
        <v>8</v>
      </c>
    </row>
    <row r="2540" spans="1:7" x14ac:dyDescent="0.3">
      <c r="A2540" t="s">
        <v>12</v>
      </c>
      <c r="B2540" s="1">
        <v>45930</v>
      </c>
      <c r="C2540">
        <v>220007</v>
      </c>
      <c r="D2540">
        <v>22.193999999999999</v>
      </c>
      <c r="E2540" t="s">
        <v>4</v>
      </c>
      <c r="F2540" t="s">
        <v>42</v>
      </c>
      <c r="G2540" t="s">
        <v>8</v>
      </c>
    </row>
    <row r="2541" spans="1:7" x14ac:dyDescent="0.3">
      <c r="A2541" t="s">
        <v>23</v>
      </c>
      <c r="B2541" s="1">
        <v>45930</v>
      </c>
      <c r="C2541">
        <v>220007</v>
      </c>
      <c r="D2541">
        <v>-233.982</v>
      </c>
      <c r="E2541" t="s">
        <v>4</v>
      </c>
      <c r="F2541" t="s">
        <v>42</v>
      </c>
      <c r="G2541" t="s">
        <v>5</v>
      </c>
    </row>
  </sheetData>
  <autoFilter ref="B1:G2541" xr:uid="{AF1632E0-B07C-411D-862A-264F187FDEEC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32DD-DD98-4832-8BB8-B35527B6C417}">
  <dimension ref="A1:G2524"/>
  <sheetViews>
    <sheetView workbookViewId="0">
      <selection activeCell="C1" sqref="C1"/>
    </sheetView>
  </sheetViews>
  <sheetFormatPr defaultRowHeight="14.4" x14ac:dyDescent="0.3"/>
  <cols>
    <col min="1" max="1" width="20.77734375" bestFit="1" customWidth="1"/>
    <col min="2" max="2" width="8.33203125" style="1" bestFit="1" customWidth="1"/>
    <col min="3" max="3" width="10.109375" bestFit="1" customWidth="1"/>
    <col min="4" max="4" width="12.6640625" customWidth="1"/>
    <col min="5" max="5" width="10.88671875" bestFit="1" customWidth="1"/>
    <col min="6" max="6" width="52.21875" bestFit="1" customWidth="1"/>
    <col min="7" max="7" width="8.77734375" bestFit="1" customWidth="1"/>
  </cols>
  <sheetData>
    <row r="1" spans="1:7" x14ac:dyDescent="0.3">
      <c r="A1" s="6" t="s">
        <v>9</v>
      </c>
      <c r="B1" s="4" t="s">
        <v>0</v>
      </c>
      <c r="C1" s="5" t="s">
        <v>1</v>
      </c>
      <c r="D1" s="5" t="s">
        <v>40</v>
      </c>
      <c r="E1" s="5" t="s">
        <v>2</v>
      </c>
      <c r="F1" s="5" t="s">
        <v>41</v>
      </c>
      <c r="G1" s="5" t="s">
        <v>3</v>
      </c>
    </row>
    <row r="2" spans="1:7" x14ac:dyDescent="0.3">
      <c r="A2" t="s">
        <v>10</v>
      </c>
      <c r="B2" s="1">
        <v>45961</v>
      </c>
      <c r="C2">
        <v>220006</v>
      </c>
      <c r="D2">
        <v>70503.732999999993</v>
      </c>
      <c r="E2" t="s">
        <v>4</v>
      </c>
      <c r="F2" t="s">
        <v>42</v>
      </c>
      <c r="G2" t="s">
        <v>5</v>
      </c>
    </row>
    <row r="3" spans="1:7" x14ac:dyDescent="0.3">
      <c r="A3" t="s">
        <v>10</v>
      </c>
      <c r="B3" s="1">
        <v>45961</v>
      </c>
      <c r="C3">
        <v>240002</v>
      </c>
      <c r="D3">
        <v>-72.153999999999996</v>
      </c>
      <c r="E3" t="s">
        <v>4</v>
      </c>
      <c r="F3" t="s">
        <v>43</v>
      </c>
      <c r="G3" t="s">
        <v>5</v>
      </c>
    </row>
    <row r="4" spans="1:7" x14ac:dyDescent="0.3">
      <c r="A4" t="s">
        <v>10</v>
      </c>
      <c r="B4" s="1">
        <v>45961</v>
      </c>
      <c r="C4">
        <v>242003</v>
      </c>
      <c r="D4">
        <v>-2675.6880000000001</v>
      </c>
      <c r="E4" t="s">
        <v>4</v>
      </c>
      <c r="F4" t="s">
        <v>43</v>
      </c>
      <c r="G4" t="s">
        <v>5</v>
      </c>
    </row>
    <row r="5" spans="1:7" x14ac:dyDescent="0.3">
      <c r="A5" t="s">
        <v>10</v>
      </c>
      <c r="B5" s="1">
        <v>45961</v>
      </c>
      <c r="C5">
        <v>243002</v>
      </c>
      <c r="D5">
        <v>-1528.8320000000001</v>
      </c>
      <c r="E5" t="s">
        <v>4</v>
      </c>
      <c r="F5" t="s">
        <v>43</v>
      </c>
      <c r="G5" t="s">
        <v>5</v>
      </c>
    </row>
    <row r="6" spans="1:7" x14ac:dyDescent="0.3">
      <c r="A6" t="s">
        <v>10</v>
      </c>
      <c r="B6" s="1">
        <v>45961</v>
      </c>
      <c r="C6">
        <v>245010</v>
      </c>
      <c r="D6">
        <v>-448.98899999999998</v>
      </c>
      <c r="E6" t="s">
        <v>4</v>
      </c>
      <c r="F6" t="s">
        <v>44</v>
      </c>
      <c r="G6" t="s">
        <v>5</v>
      </c>
    </row>
    <row r="7" spans="1:7" x14ac:dyDescent="0.3">
      <c r="A7" t="s">
        <v>10</v>
      </c>
      <c r="B7" s="1">
        <v>45961</v>
      </c>
      <c r="C7">
        <v>245062</v>
      </c>
      <c r="D7">
        <v>-631.35199999999998</v>
      </c>
      <c r="E7" t="s">
        <v>4</v>
      </c>
      <c r="F7" t="s">
        <v>43</v>
      </c>
      <c r="G7" t="s">
        <v>5</v>
      </c>
    </row>
    <row r="8" spans="1:7" x14ac:dyDescent="0.3">
      <c r="A8" t="s">
        <v>10</v>
      </c>
      <c r="B8" s="1">
        <v>45961</v>
      </c>
      <c r="C8">
        <v>257010</v>
      </c>
      <c r="D8">
        <v>-714.21900000000005</v>
      </c>
      <c r="E8" t="s">
        <v>4</v>
      </c>
      <c r="F8" t="s">
        <v>45</v>
      </c>
      <c r="G8" t="s">
        <v>5</v>
      </c>
    </row>
    <row r="9" spans="1:7" x14ac:dyDescent="0.3">
      <c r="A9" t="s">
        <v>10</v>
      </c>
      <c r="B9" s="1">
        <v>45961</v>
      </c>
      <c r="C9">
        <v>257030</v>
      </c>
      <c r="D9">
        <v>-1890.365</v>
      </c>
      <c r="E9" t="s">
        <v>4</v>
      </c>
      <c r="F9" t="s">
        <v>45</v>
      </c>
      <c r="G9" t="s">
        <v>5</v>
      </c>
    </row>
    <row r="10" spans="1:7" x14ac:dyDescent="0.3">
      <c r="A10" t="s">
        <v>10</v>
      </c>
      <c r="B10" s="1">
        <v>45961</v>
      </c>
      <c r="C10">
        <v>260004</v>
      </c>
      <c r="D10">
        <v>-351.80599999999998</v>
      </c>
      <c r="E10" t="s">
        <v>4</v>
      </c>
      <c r="F10" t="s">
        <v>45</v>
      </c>
      <c r="G10" t="s">
        <v>5</v>
      </c>
    </row>
    <row r="11" spans="1:7" x14ac:dyDescent="0.3">
      <c r="A11" t="s">
        <v>10</v>
      </c>
      <c r="B11" s="1">
        <v>45961</v>
      </c>
      <c r="C11">
        <v>320002</v>
      </c>
      <c r="D11">
        <v>1109.2570000000001</v>
      </c>
      <c r="E11" t="s">
        <v>4</v>
      </c>
      <c r="F11" t="s">
        <v>46</v>
      </c>
      <c r="G11" t="s">
        <v>5</v>
      </c>
    </row>
    <row r="12" spans="1:7" x14ac:dyDescent="0.3">
      <c r="A12" t="s">
        <v>10</v>
      </c>
      <c r="B12" s="1">
        <v>45961</v>
      </c>
      <c r="C12">
        <v>320003</v>
      </c>
      <c r="D12">
        <v>4747.3010000000004</v>
      </c>
      <c r="E12" t="s">
        <v>4</v>
      </c>
      <c r="F12" t="s">
        <v>46</v>
      </c>
      <c r="G12" t="s">
        <v>5</v>
      </c>
    </row>
    <row r="13" spans="1:7" x14ac:dyDescent="0.3">
      <c r="A13" t="s">
        <v>10</v>
      </c>
      <c r="B13" s="1">
        <v>45961</v>
      </c>
      <c r="C13">
        <v>320004</v>
      </c>
      <c r="D13">
        <v>74.995000000000005</v>
      </c>
      <c r="E13" t="s">
        <v>4</v>
      </c>
      <c r="F13" t="s">
        <v>46</v>
      </c>
      <c r="G13" t="s">
        <v>5</v>
      </c>
    </row>
    <row r="14" spans="1:7" x14ac:dyDescent="0.3">
      <c r="A14" t="s">
        <v>10</v>
      </c>
      <c r="B14" s="1">
        <v>45961</v>
      </c>
      <c r="C14">
        <v>320006</v>
      </c>
      <c r="D14">
        <v>308.25</v>
      </c>
      <c r="E14" t="s">
        <v>4</v>
      </c>
      <c r="F14" t="s">
        <v>46</v>
      </c>
      <c r="G14" t="s">
        <v>5</v>
      </c>
    </row>
    <row r="15" spans="1:7" x14ac:dyDescent="0.3">
      <c r="A15" t="s">
        <v>10</v>
      </c>
      <c r="B15" s="1">
        <v>45961</v>
      </c>
      <c r="C15">
        <v>320023</v>
      </c>
      <c r="D15">
        <v>-368.55799999999999</v>
      </c>
      <c r="E15" t="s">
        <v>4</v>
      </c>
      <c r="F15" t="s">
        <v>46</v>
      </c>
      <c r="G15" t="s">
        <v>5</v>
      </c>
    </row>
    <row r="16" spans="1:7" x14ac:dyDescent="0.3">
      <c r="A16" t="s">
        <v>10</v>
      </c>
      <c r="B16" s="1">
        <v>45961</v>
      </c>
      <c r="C16">
        <v>321002</v>
      </c>
      <c r="D16">
        <v>3611.194</v>
      </c>
      <c r="E16" t="s">
        <v>4</v>
      </c>
      <c r="F16" t="s">
        <v>46</v>
      </c>
      <c r="G16" t="s">
        <v>5</v>
      </c>
    </row>
    <row r="17" spans="1:7" x14ac:dyDescent="0.3">
      <c r="A17" t="s">
        <v>10</v>
      </c>
      <c r="B17" s="1">
        <v>45961</v>
      </c>
      <c r="C17">
        <v>321010</v>
      </c>
      <c r="D17">
        <v>-5644.7560000000003</v>
      </c>
      <c r="E17" t="s">
        <v>4</v>
      </c>
      <c r="F17" t="s">
        <v>46</v>
      </c>
      <c r="G17" t="s">
        <v>5</v>
      </c>
    </row>
    <row r="18" spans="1:7" x14ac:dyDescent="0.3">
      <c r="A18" t="s">
        <v>10</v>
      </c>
      <c r="B18" s="1">
        <v>45961</v>
      </c>
      <c r="C18">
        <v>321029</v>
      </c>
      <c r="D18">
        <v>-121.994</v>
      </c>
      <c r="E18" t="s">
        <v>4</v>
      </c>
      <c r="F18" t="s">
        <v>46</v>
      </c>
      <c r="G18" t="s">
        <v>5</v>
      </c>
    </row>
    <row r="19" spans="1:7" x14ac:dyDescent="0.3">
      <c r="A19" t="s">
        <v>10</v>
      </c>
      <c r="B19" s="1">
        <v>45961</v>
      </c>
      <c r="C19">
        <v>321042</v>
      </c>
      <c r="D19">
        <v>-1414.3119999999999</v>
      </c>
      <c r="E19" t="s">
        <v>4</v>
      </c>
      <c r="F19" t="s">
        <v>46</v>
      </c>
      <c r="G19" t="s">
        <v>5</v>
      </c>
    </row>
    <row r="20" spans="1:7" x14ac:dyDescent="0.3">
      <c r="A20" t="s">
        <v>10</v>
      </c>
      <c r="B20" s="1">
        <v>45961</v>
      </c>
      <c r="C20">
        <v>321045</v>
      </c>
      <c r="D20">
        <v>32823.468000000001</v>
      </c>
      <c r="E20" t="s">
        <v>4</v>
      </c>
      <c r="F20" t="s">
        <v>46</v>
      </c>
      <c r="G20" t="s">
        <v>5</v>
      </c>
    </row>
    <row r="21" spans="1:7" x14ac:dyDescent="0.3">
      <c r="A21" t="s">
        <v>10</v>
      </c>
      <c r="B21" s="1">
        <v>45961</v>
      </c>
      <c r="C21">
        <v>330049</v>
      </c>
      <c r="D21">
        <v>-171890.97200000001</v>
      </c>
      <c r="E21" t="s">
        <v>4</v>
      </c>
      <c r="F21" t="s">
        <v>43</v>
      </c>
      <c r="G21" t="s">
        <v>5</v>
      </c>
    </row>
    <row r="22" spans="1:7" x14ac:dyDescent="0.3">
      <c r="A22" t="s">
        <v>10</v>
      </c>
      <c r="B22" s="1">
        <v>45961</v>
      </c>
      <c r="C22">
        <v>330055</v>
      </c>
      <c r="D22">
        <v>133.83799999999999</v>
      </c>
      <c r="E22" t="s">
        <v>4</v>
      </c>
      <c r="F22" t="s">
        <v>43</v>
      </c>
      <c r="G22" t="s">
        <v>5</v>
      </c>
    </row>
    <row r="23" spans="1:7" x14ac:dyDescent="0.3">
      <c r="A23" t="s">
        <v>10</v>
      </c>
      <c r="B23" s="1">
        <v>45961</v>
      </c>
      <c r="C23">
        <v>340041</v>
      </c>
      <c r="D23">
        <v>42284.868999999999</v>
      </c>
      <c r="E23" t="s">
        <v>4</v>
      </c>
      <c r="F23" t="s">
        <v>47</v>
      </c>
      <c r="G23" t="s">
        <v>5</v>
      </c>
    </row>
    <row r="24" spans="1:7" x14ac:dyDescent="0.3">
      <c r="A24" t="s">
        <v>10</v>
      </c>
      <c r="B24" s="1">
        <v>45961</v>
      </c>
      <c r="C24">
        <v>352002</v>
      </c>
      <c r="D24">
        <v>17.137</v>
      </c>
      <c r="E24" t="s">
        <v>4</v>
      </c>
      <c r="F24" t="s">
        <v>48</v>
      </c>
      <c r="G24" t="s">
        <v>5</v>
      </c>
    </row>
    <row r="25" spans="1:7" x14ac:dyDescent="0.3">
      <c r="A25" t="s">
        <v>10</v>
      </c>
      <c r="B25" s="1">
        <v>45961</v>
      </c>
      <c r="C25">
        <v>354015</v>
      </c>
      <c r="D25">
        <v>2553.0140000000001</v>
      </c>
      <c r="E25" t="s">
        <v>4</v>
      </c>
      <c r="F25" t="s">
        <v>46</v>
      </c>
      <c r="G25" t="s">
        <v>5</v>
      </c>
    </row>
    <row r="26" spans="1:7" x14ac:dyDescent="0.3">
      <c r="A26" t="s">
        <v>10</v>
      </c>
      <c r="B26" s="1">
        <v>45961</v>
      </c>
      <c r="C26">
        <v>355016</v>
      </c>
      <c r="D26">
        <v>15.579000000000001</v>
      </c>
      <c r="E26" t="s">
        <v>4</v>
      </c>
      <c r="F26" t="s">
        <v>49</v>
      </c>
      <c r="G26" t="s">
        <v>5</v>
      </c>
    </row>
    <row r="27" spans="1:7" x14ac:dyDescent="0.3">
      <c r="A27" t="s">
        <v>10</v>
      </c>
      <c r="B27" s="1">
        <v>45961</v>
      </c>
      <c r="C27">
        <v>355017</v>
      </c>
      <c r="D27">
        <v>8913.759</v>
      </c>
      <c r="E27" t="s">
        <v>4</v>
      </c>
      <c r="F27" t="s">
        <v>49</v>
      </c>
      <c r="G27" t="s">
        <v>5</v>
      </c>
    </row>
    <row r="28" spans="1:7" x14ac:dyDescent="0.3">
      <c r="A28" t="s">
        <v>10</v>
      </c>
      <c r="B28" s="1">
        <v>45961</v>
      </c>
      <c r="C28">
        <v>372004</v>
      </c>
      <c r="D28">
        <v>59.863999999999997</v>
      </c>
      <c r="E28" t="s">
        <v>4</v>
      </c>
      <c r="F28" t="s">
        <v>45</v>
      </c>
      <c r="G28" t="s">
        <v>5</v>
      </c>
    </row>
    <row r="29" spans="1:7" x14ac:dyDescent="0.3">
      <c r="A29" t="s">
        <v>10</v>
      </c>
      <c r="B29" s="1">
        <v>45961</v>
      </c>
      <c r="C29">
        <v>400002</v>
      </c>
      <c r="D29">
        <v>550.12199999999996</v>
      </c>
      <c r="E29" t="s">
        <v>6</v>
      </c>
      <c r="F29" t="s">
        <v>50</v>
      </c>
      <c r="G29" t="s">
        <v>5</v>
      </c>
    </row>
    <row r="30" spans="1:7" x14ac:dyDescent="0.3">
      <c r="A30" t="s">
        <v>10</v>
      </c>
      <c r="B30" s="1">
        <v>45961</v>
      </c>
      <c r="C30">
        <v>400004</v>
      </c>
      <c r="D30">
        <v>-20241.73</v>
      </c>
      <c r="E30" t="s">
        <v>6</v>
      </c>
      <c r="F30" t="s">
        <v>50</v>
      </c>
      <c r="G30" t="s">
        <v>5</v>
      </c>
    </row>
    <row r="31" spans="1:7" x14ac:dyDescent="0.3">
      <c r="A31" t="s">
        <v>10</v>
      </c>
      <c r="B31" s="1">
        <v>45961</v>
      </c>
      <c r="C31">
        <v>410002</v>
      </c>
      <c r="D31">
        <v>-10663.674000000001</v>
      </c>
      <c r="E31" t="s">
        <v>6</v>
      </c>
      <c r="F31" t="s">
        <v>51</v>
      </c>
      <c r="G31" t="s">
        <v>5</v>
      </c>
    </row>
    <row r="32" spans="1:7" x14ac:dyDescent="0.3">
      <c r="A32" t="s">
        <v>10</v>
      </c>
      <c r="B32" s="1">
        <v>45961</v>
      </c>
      <c r="C32">
        <v>410037</v>
      </c>
      <c r="D32">
        <v>-1233.058</v>
      </c>
      <c r="E32" t="s">
        <v>6</v>
      </c>
      <c r="F32" t="s">
        <v>51</v>
      </c>
      <c r="G32" t="s">
        <v>5</v>
      </c>
    </row>
    <row r="33" spans="1:7" x14ac:dyDescent="0.3">
      <c r="A33" t="s">
        <v>10</v>
      </c>
      <c r="B33" s="1">
        <v>45961</v>
      </c>
      <c r="C33">
        <v>410049</v>
      </c>
      <c r="D33">
        <v>-958.59</v>
      </c>
      <c r="E33" t="s">
        <v>6</v>
      </c>
      <c r="F33" t="s">
        <v>51</v>
      </c>
      <c r="G33" t="s">
        <v>5</v>
      </c>
    </row>
    <row r="34" spans="1:7" x14ac:dyDescent="0.3">
      <c r="A34" t="s">
        <v>10</v>
      </c>
      <c r="B34" s="1">
        <v>45961</v>
      </c>
      <c r="C34">
        <v>415002</v>
      </c>
      <c r="D34">
        <v>0.64200000000000002</v>
      </c>
      <c r="E34" t="s">
        <v>6</v>
      </c>
      <c r="F34" t="s">
        <v>50</v>
      </c>
      <c r="G34" t="s">
        <v>5</v>
      </c>
    </row>
    <row r="35" spans="1:7" x14ac:dyDescent="0.3">
      <c r="A35" t="s">
        <v>10</v>
      </c>
      <c r="B35" s="1">
        <v>45961</v>
      </c>
      <c r="C35">
        <v>415004</v>
      </c>
      <c r="D35">
        <v>-1820.0060000000001</v>
      </c>
      <c r="E35" t="s">
        <v>6</v>
      </c>
      <c r="F35" t="s">
        <v>50</v>
      </c>
      <c r="G35" t="s">
        <v>5</v>
      </c>
    </row>
    <row r="36" spans="1:7" x14ac:dyDescent="0.3">
      <c r="A36" t="s">
        <v>10</v>
      </c>
      <c r="B36" s="1">
        <v>45961</v>
      </c>
      <c r="C36">
        <v>421002</v>
      </c>
      <c r="D36">
        <v>-1317.6890000000001</v>
      </c>
      <c r="E36" t="s">
        <v>6</v>
      </c>
      <c r="F36" t="s">
        <v>52</v>
      </c>
      <c r="G36" t="s">
        <v>5</v>
      </c>
    </row>
    <row r="37" spans="1:7" x14ac:dyDescent="0.3">
      <c r="A37" t="s">
        <v>10</v>
      </c>
      <c r="B37" s="1">
        <v>45961</v>
      </c>
      <c r="C37">
        <v>421003</v>
      </c>
      <c r="D37">
        <v>23352.187999999998</v>
      </c>
      <c r="E37" t="s">
        <v>6</v>
      </c>
      <c r="F37" t="s">
        <v>52</v>
      </c>
      <c r="G37" t="s">
        <v>5</v>
      </c>
    </row>
    <row r="38" spans="1:7" x14ac:dyDescent="0.3">
      <c r="A38" t="s">
        <v>10</v>
      </c>
      <c r="B38" s="1">
        <v>45961</v>
      </c>
      <c r="C38">
        <v>421007</v>
      </c>
      <c r="D38">
        <v>234.80600000000001</v>
      </c>
      <c r="E38" t="s">
        <v>6</v>
      </c>
      <c r="F38" t="s">
        <v>52</v>
      </c>
      <c r="G38" t="s">
        <v>5</v>
      </c>
    </row>
    <row r="39" spans="1:7" x14ac:dyDescent="0.3">
      <c r="A39" t="s">
        <v>10</v>
      </c>
      <c r="B39" s="1">
        <v>45961</v>
      </c>
      <c r="C39">
        <v>510002</v>
      </c>
      <c r="D39">
        <v>6607.7529999999997</v>
      </c>
      <c r="E39" t="s">
        <v>6</v>
      </c>
      <c r="F39" t="s">
        <v>53</v>
      </c>
      <c r="G39" t="s">
        <v>5</v>
      </c>
    </row>
    <row r="40" spans="1:7" x14ac:dyDescent="0.3">
      <c r="A40" t="s">
        <v>10</v>
      </c>
      <c r="B40" s="1">
        <v>45961</v>
      </c>
      <c r="C40">
        <v>510005</v>
      </c>
      <c r="D40">
        <v>25.295000000000002</v>
      </c>
      <c r="E40" t="s">
        <v>6</v>
      </c>
      <c r="F40" t="s">
        <v>53</v>
      </c>
      <c r="G40" t="s">
        <v>5</v>
      </c>
    </row>
    <row r="41" spans="1:7" x14ac:dyDescent="0.3">
      <c r="A41" t="s">
        <v>10</v>
      </c>
      <c r="B41" s="1">
        <v>45961</v>
      </c>
      <c r="C41">
        <v>510007</v>
      </c>
      <c r="D41">
        <v>115.919</v>
      </c>
      <c r="E41" t="s">
        <v>6</v>
      </c>
      <c r="F41" t="s">
        <v>53</v>
      </c>
      <c r="G41" t="s">
        <v>5</v>
      </c>
    </row>
    <row r="42" spans="1:7" x14ac:dyDescent="0.3">
      <c r="A42" t="s">
        <v>10</v>
      </c>
      <c r="B42" s="1">
        <v>45961</v>
      </c>
      <c r="C42">
        <v>510015</v>
      </c>
      <c r="D42">
        <v>794.93600000000004</v>
      </c>
      <c r="E42" t="s">
        <v>6</v>
      </c>
      <c r="F42" t="s">
        <v>53</v>
      </c>
      <c r="G42" t="s">
        <v>5</v>
      </c>
    </row>
    <row r="43" spans="1:7" x14ac:dyDescent="0.3">
      <c r="A43" t="s">
        <v>10</v>
      </c>
      <c r="B43" s="1">
        <v>45961</v>
      </c>
      <c r="C43">
        <v>510065</v>
      </c>
      <c r="D43">
        <v>10.387</v>
      </c>
      <c r="E43" t="s">
        <v>6</v>
      </c>
      <c r="F43" t="s">
        <v>53</v>
      </c>
      <c r="G43" t="s">
        <v>5</v>
      </c>
    </row>
    <row r="44" spans="1:7" x14ac:dyDescent="0.3">
      <c r="A44" t="s">
        <v>10</v>
      </c>
      <c r="B44" s="1">
        <v>45961</v>
      </c>
      <c r="C44">
        <v>546002</v>
      </c>
      <c r="D44">
        <v>19414.327000000001</v>
      </c>
      <c r="E44" t="s">
        <v>6</v>
      </c>
      <c r="F44" t="s">
        <v>51</v>
      </c>
      <c r="G44" t="s">
        <v>5</v>
      </c>
    </row>
    <row r="45" spans="1:7" x14ac:dyDescent="0.3">
      <c r="A45" t="s">
        <v>10</v>
      </c>
      <c r="B45" s="1">
        <v>45961</v>
      </c>
      <c r="C45">
        <v>547002</v>
      </c>
      <c r="D45">
        <v>4628.7910000000002</v>
      </c>
      <c r="E45" t="s">
        <v>6</v>
      </c>
      <c r="F45" t="s">
        <v>54</v>
      </c>
      <c r="G45" t="s">
        <v>5</v>
      </c>
    </row>
    <row r="46" spans="1:7" x14ac:dyDescent="0.3">
      <c r="A46" t="s">
        <v>10</v>
      </c>
      <c r="B46" s="1">
        <v>45961</v>
      </c>
      <c r="C46">
        <v>547011</v>
      </c>
      <c r="D46">
        <v>183.40799999999999</v>
      </c>
      <c r="E46" t="s">
        <v>6</v>
      </c>
      <c r="F46" t="s">
        <v>54</v>
      </c>
      <c r="G46" t="s">
        <v>5</v>
      </c>
    </row>
    <row r="47" spans="1:7" x14ac:dyDescent="0.3">
      <c r="A47" t="s">
        <v>10</v>
      </c>
      <c r="B47" s="1">
        <v>45961</v>
      </c>
      <c r="C47">
        <v>552502</v>
      </c>
      <c r="D47">
        <v>118.68899999999999</v>
      </c>
      <c r="E47" t="s">
        <v>6</v>
      </c>
      <c r="F47" t="s">
        <v>55</v>
      </c>
      <c r="G47" t="s">
        <v>5</v>
      </c>
    </row>
    <row r="48" spans="1:7" x14ac:dyDescent="0.3">
      <c r="A48" t="s">
        <v>10</v>
      </c>
      <c r="B48" s="1">
        <v>45961</v>
      </c>
      <c r="C48">
        <v>556002</v>
      </c>
      <c r="D48">
        <v>10.576000000000001</v>
      </c>
      <c r="E48" t="s">
        <v>6</v>
      </c>
      <c r="F48" t="s">
        <v>60</v>
      </c>
      <c r="G48" t="s">
        <v>5</v>
      </c>
    </row>
    <row r="49" spans="1:7" x14ac:dyDescent="0.3">
      <c r="A49" t="s">
        <v>10</v>
      </c>
      <c r="B49" s="1">
        <v>45961</v>
      </c>
      <c r="C49">
        <v>557002</v>
      </c>
      <c r="D49">
        <v>1168.7570000000001</v>
      </c>
      <c r="E49" t="s">
        <v>6</v>
      </c>
      <c r="F49" t="s">
        <v>56</v>
      </c>
      <c r="G49" t="s">
        <v>5</v>
      </c>
    </row>
    <row r="50" spans="1:7" x14ac:dyDescent="0.3">
      <c r="A50" t="s">
        <v>10</v>
      </c>
      <c r="B50" s="1">
        <v>45961</v>
      </c>
      <c r="C50">
        <v>564004</v>
      </c>
      <c r="D50">
        <v>17.542999999999999</v>
      </c>
      <c r="E50" t="s">
        <v>6</v>
      </c>
      <c r="F50" t="s">
        <v>51</v>
      </c>
      <c r="G50" t="s">
        <v>5</v>
      </c>
    </row>
    <row r="51" spans="1:7" x14ac:dyDescent="0.3">
      <c r="A51" t="s">
        <v>10</v>
      </c>
      <c r="B51" s="1">
        <v>45961</v>
      </c>
      <c r="C51">
        <v>564006</v>
      </c>
      <c r="D51">
        <v>1.2999999999999999E-2</v>
      </c>
      <c r="E51" t="s">
        <v>6</v>
      </c>
      <c r="F51" t="s">
        <v>57</v>
      </c>
      <c r="G51" t="s">
        <v>5</v>
      </c>
    </row>
    <row r="52" spans="1:7" x14ac:dyDescent="0.3">
      <c r="A52" t="s">
        <v>10</v>
      </c>
      <c r="B52" s="1">
        <v>45961</v>
      </c>
      <c r="C52">
        <v>564021</v>
      </c>
      <c r="D52">
        <v>86.847999999999999</v>
      </c>
      <c r="E52" t="s">
        <v>6</v>
      </c>
      <c r="F52" t="s">
        <v>57</v>
      </c>
      <c r="G52" t="s">
        <v>5</v>
      </c>
    </row>
    <row r="53" spans="1:7" x14ac:dyDescent="0.3">
      <c r="A53" t="s">
        <v>11</v>
      </c>
      <c r="B53" s="1">
        <v>45961</v>
      </c>
      <c r="C53">
        <v>210002</v>
      </c>
      <c r="D53">
        <v>-9.4E-2</v>
      </c>
      <c r="E53" t="s">
        <v>4</v>
      </c>
      <c r="F53" t="s">
        <v>42</v>
      </c>
      <c r="G53" t="s">
        <v>7</v>
      </c>
    </row>
    <row r="54" spans="1:7" x14ac:dyDescent="0.3">
      <c r="A54" t="s">
        <v>11</v>
      </c>
      <c r="B54" s="1">
        <v>45961</v>
      </c>
      <c r="C54">
        <v>220006</v>
      </c>
      <c r="D54">
        <v>-1743587.3870000001</v>
      </c>
      <c r="E54" t="s">
        <v>4</v>
      </c>
      <c r="F54" t="s">
        <v>42</v>
      </c>
      <c r="G54" t="s">
        <v>7</v>
      </c>
    </row>
    <row r="55" spans="1:7" x14ac:dyDescent="0.3">
      <c r="A55" t="s">
        <v>11</v>
      </c>
      <c r="B55" s="1">
        <v>45961</v>
      </c>
      <c r="C55">
        <v>240002</v>
      </c>
      <c r="D55">
        <v>-1164.991</v>
      </c>
      <c r="E55" t="s">
        <v>4</v>
      </c>
      <c r="F55" t="s">
        <v>43</v>
      </c>
      <c r="G55" t="s">
        <v>7</v>
      </c>
    </row>
    <row r="56" spans="1:7" x14ac:dyDescent="0.3">
      <c r="A56" t="s">
        <v>11</v>
      </c>
      <c r="B56" s="1">
        <v>45961</v>
      </c>
      <c r="C56">
        <v>240003</v>
      </c>
      <c r="D56">
        <v>-136.53899999999999</v>
      </c>
      <c r="E56" t="s">
        <v>4</v>
      </c>
      <c r="F56" t="s">
        <v>43</v>
      </c>
      <c r="G56" t="s">
        <v>7</v>
      </c>
    </row>
    <row r="57" spans="1:7" x14ac:dyDescent="0.3">
      <c r="A57" t="s">
        <v>11</v>
      </c>
      <c r="B57" s="1">
        <v>45961</v>
      </c>
      <c r="C57">
        <v>240009</v>
      </c>
      <c r="D57">
        <v>-942.53300000000002</v>
      </c>
      <c r="E57" t="s">
        <v>4</v>
      </c>
      <c r="F57" t="s">
        <v>43</v>
      </c>
      <c r="G57" t="s">
        <v>7</v>
      </c>
    </row>
    <row r="58" spans="1:7" x14ac:dyDescent="0.3">
      <c r="A58" t="s">
        <v>11</v>
      </c>
      <c r="B58" s="1">
        <v>45961</v>
      </c>
      <c r="C58">
        <v>242003</v>
      </c>
      <c r="D58">
        <v>-64428.722000000002</v>
      </c>
      <c r="E58" t="s">
        <v>4</v>
      </c>
      <c r="F58" t="s">
        <v>43</v>
      </c>
      <c r="G58" t="s">
        <v>7</v>
      </c>
    </row>
    <row r="59" spans="1:7" x14ac:dyDescent="0.3">
      <c r="A59" t="s">
        <v>11</v>
      </c>
      <c r="B59" s="1">
        <v>45961</v>
      </c>
      <c r="C59">
        <v>242011</v>
      </c>
      <c r="D59">
        <v>-58362.624000000003</v>
      </c>
      <c r="E59" t="s">
        <v>4</v>
      </c>
      <c r="F59" t="s">
        <v>43</v>
      </c>
      <c r="G59" t="s">
        <v>7</v>
      </c>
    </row>
    <row r="60" spans="1:7" x14ac:dyDescent="0.3">
      <c r="A60" t="s">
        <v>11</v>
      </c>
      <c r="B60" s="1">
        <v>45961</v>
      </c>
      <c r="C60">
        <v>242012</v>
      </c>
      <c r="D60">
        <v>-13609.302</v>
      </c>
      <c r="E60" t="s">
        <v>4</v>
      </c>
      <c r="F60" t="s">
        <v>43</v>
      </c>
      <c r="G60" t="s">
        <v>7</v>
      </c>
    </row>
    <row r="61" spans="1:7" x14ac:dyDescent="0.3">
      <c r="A61" t="s">
        <v>11</v>
      </c>
      <c r="B61" s="1">
        <v>45961</v>
      </c>
      <c r="C61">
        <v>242013</v>
      </c>
      <c r="D61">
        <v>-16929.362000000001</v>
      </c>
      <c r="E61" t="s">
        <v>4</v>
      </c>
      <c r="F61" t="s">
        <v>43</v>
      </c>
      <c r="G61" t="s">
        <v>7</v>
      </c>
    </row>
    <row r="62" spans="1:7" x14ac:dyDescent="0.3">
      <c r="A62" t="s">
        <v>11</v>
      </c>
      <c r="B62" s="1">
        <v>45961</v>
      </c>
      <c r="C62">
        <v>242018</v>
      </c>
      <c r="D62">
        <v>-11960.343000000001</v>
      </c>
      <c r="E62" t="s">
        <v>4</v>
      </c>
      <c r="F62" t="s">
        <v>43</v>
      </c>
      <c r="G62" t="s">
        <v>7</v>
      </c>
    </row>
    <row r="63" spans="1:7" x14ac:dyDescent="0.3">
      <c r="A63" t="s">
        <v>11</v>
      </c>
      <c r="B63" s="1">
        <v>45961</v>
      </c>
      <c r="C63">
        <v>242023</v>
      </c>
      <c r="D63">
        <v>-82.055000000000007</v>
      </c>
      <c r="E63" t="s">
        <v>4</v>
      </c>
      <c r="F63" t="s">
        <v>43</v>
      </c>
      <c r="G63" t="s">
        <v>7</v>
      </c>
    </row>
    <row r="64" spans="1:7" x14ac:dyDescent="0.3">
      <c r="A64" t="s">
        <v>11</v>
      </c>
      <c r="B64" s="1">
        <v>45961</v>
      </c>
      <c r="C64">
        <v>242027</v>
      </c>
      <c r="D64">
        <v>-5939.48</v>
      </c>
      <c r="E64" t="s">
        <v>4</v>
      </c>
      <c r="F64" t="s">
        <v>43</v>
      </c>
      <c r="G64" t="s">
        <v>7</v>
      </c>
    </row>
    <row r="65" spans="1:7" x14ac:dyDescent="0.3">
      <c r="A65" t="s">
        <v>11</v>
      </c>
      <c r="B65" s="1">
        <v>45961</v>
      </c>
      <c r="C65">
        <v>242038</v>
      </c>
      <c r="D65">
        <v>-2.6019999999999999</v>
      </c>
      <c r="E65" t="s">
        <v>4</v>
      </c>
      <c r="F65" t="s">
        <v>43</v>
      </c>
      <c r="G65" t="s">
        <v>7</v>
      </c>
    </row>
    <row r="66" spans="1:7" x14ac:dyDescent="0.3">
      <c r="A66" t="s">
        <v>11</v>
      </c>
      <c r="B66" s="1">
        <v>45961</v>
      </c>
      <c r="C66">
        <v>242039</v>
      </c>
      <c r="D66">
        <v>-11.295</v>
      </c>
      <c r="E66" t="s">
        <v>4</v>
      </c>
      <c r="F66" t="s">
        <v>43</v>
      </c>
      <c r="G66" t="s">
        <v>7</v>
      </c>
    </row>
    <row r="67" spans="1:7" x14ac:dyDescent="0.3">
      <c r="A67" t="s">
        <v>11</v>
      </c>
      <c r="B67" s="1">
        <v>45961</v>
      </c>
      <c r="C67">
        <v>242041</v>
      </c>
      <c r="D67">
        <v>-5534.6629999999996</v>
      </c>
      <c r="E67" t="s">
        <v>4</v>
      </c>
      <c r="F67" t="s">
        <v>43</v>
      </c>
      <c r="G67" t="s">
        <v>7</v>
      </c>
    </row>
    <row r="68" spans="1:7" x14ac:dyDescent="0.3">
      <c r="A68" t="s">
        <v>11</v>
      </c>
      <c r="B68" s="1">
        <v>45961</v>
      </c>
      <c r="C68">
        <v>243002</v>
      </c>
      <c r="D68">
        <v>-9661.1280000000006</v>
      </c>
      <c r="E68" t="s">
        <v>4</v>
      </c>
      <c r="F68" t="s">
        <v>43</v>
      </c>
      <c r="G68" t="s">
        <v>7</v>
      </c>
    </row>
    <row r="69" spans="1:7" x14ac:dyDescent="0.3">
      <c r="A69" t="s">
        <v>11</v>
      </c>
      <c r="B69" s="1">
        <v>45961</v>
      </c>
      <c r="C69">
        <v>243003</v>
      </c>
      <c r="D69">
        <v>-3574.4</v>
      </c>
      <c r="E69" t="s">
        <v>4</v>
      </c>
      <c r="F69" t="s">
        <v>43</v>
      </c>
      <c r="G69" t="s">
        <v>7</v>
      </c>
    </row>
    <row r="70" spans="1:7" x14ac:dyDescent="0.3">
      <c r="A70" t="s">
        <v>11</v>
      </c>
      <c r="B70" s="1">
        <v>45961</v>
      </c>
      <c r="C70">
        <v>243010</v>
      </c>
      <c r="D70">
        <v>-536.77499999999998</v>
      </c>
      <c r="E70" t="s">
        <v>4</v>
      </c>
      <c r="F70" t="s">
        <v>43</v>
      </c>
      <c r="G70" t="s">
        <v>7</v>
      </c>
    </row>
    <row r="71" spans="1:7" x14ac:dyDescent="0.3">
      <c r="A71" t="s">
        <v>11</v>
      </c>
      <c r="B71" s="1">
        <v>45961</v>
      </c>
      <c r="C71">
        <v>245010</v>
      </c>
      <c r="D71">
        <v>-27642.969000000001</v>
      </c>
      <c r="E71" t="s">
        <v>4</v>
      </c>
      <c r="F71" t="s">
        <v>44</v>
      </c>
      <c r="G71" t="s">
        <v>7</v>
      </c>
    </row>
    <row r="72" spans="1:7" x14ac:dyDescent="0.3">
      <c r="A72" t="s">
        <v>11</v>
      </c>
      <c r="B72" s="1">
        <v>45961</v>
      </c>
      <c r="C72">
        <v>245018</v>
      </c>
      <c r="D72">
        <v>-2591.569</v>
      </c>
      <c r="E72" t="s">
        <v>4</v>
      </c>
      <c r="F72" t="s">
        <v>43</v>
      </c>
      <c r="G72" t="s">
        <v>7</v>
      </c>
    </row>
    <row r="73" spans="1:7" x14ac:dyDescent="0.3">
      <c r="A73" t="s">
        <v>11</v>
      </c>
      <c r="B73" s="1">
        <v>45961</v>
      </c>
      <c r="C73">
        <v>245055</v>
      </c>
      <c r="D73">
        <v>-2026.85</v>
      </c>
      <c r="E73" t="s">
        <v>4</v>
      </c>
      <c r="F73" t="s">
        <v>43</v>
      </c>
      <c r="G73" t="s">
        <v>7</v>
      </c>
    </row>
    <row r="74" spans="1:7" x14ac:dyDescent="0.3">
      <c r="A74" t="s">
        <v>11</v>
      </c>
      <c r="B74" s="1">
        <v>45961</v>
      </c>
      <c r="C74">
        <v>245062</v>
      </c>
      <c r="D74">
        <v>-30967.436000000002</v>
      </c>
      <c r="E74" t="s">
        <v>4</v>
      </c>
      <c r="F74" t="s">
        <v>43</v>
      </c>
      <c r="G74" t="s">
        <v>7</v>
      </c>
    </row>
    <row r="75" spans="1:7" x14ac:dyDescent="0.3">
      <c r="A75" t="s">
        <v>11</v>
      </c>
      <c r="B75" s="1">
        <v>45961</v>
      </c>
      <c r="C75">
        <v>250003</v>
      </c>
      <c r="D75">
        <v>-1567.671</v>
      </c>
      <c r="E75" t="s">
        <v>4</v>
      </c>
      <c r="F75" t="s">
        <v>45</v>
      </c>
      <c r="G75" t="s">
        <v>7</v>
      </c>
    </row>
    <row r="76" spans="1:7" x14ac:dyDescent="0.3">
      <c r="A76" t="s">
        <v>11</v>
      </c>
      <c r="B76" s="1">
        <v>45961</v>
      </c>
      <c r="C76">
        <v>251002</v>
      </c>
      <c r="D76">
        <v>-807.16399999999999</v>
      </c>
      <c r="E76" t="s">
        <v>4</v>
      </c>
      <c r="F76" t="s">
        <v>45</v>
      </c>
      <c r="G76" t="s">
        <v>7</v>
      </c>
    </row>
    <row r="77" spans="1:7" x14ac:dyDescent="0.3">
      <c r="A77" t="s">
        <v>11</v>
      </c>
      <c r="B77" s="1">
        <v>45961</v>
      </c>
      <c r="C77">
        <v>251003</v>
      </c>
      <c r="D77">
        <v>-4689.0290000000005</v>
      </c>
      <c r="E77" t="s">
        <v>4</v>
      </c>
      <c r="F77" t="s">
        <v>45</v>
      </c>
      <c r="G77" t="s">
        <v>7</v>
      </c>
    </row>
    <row r="78" spans="1:7" x14ac:dyDescent="0.3">
      <c r="A78" t="s">
        <v>11</v>
      </c>
      <c r="B78" s="1">
        <v>45961</v>
      </c>
      <c r="C78">
        <v>256040</v>
      </c>
      <c r="D78">
        <v>991855.04799999995</v>
      </c>
      <c r="E78" t="s">
        <v>4</v>
      </c>
      <c r="F78" t="s">
        <v>43</v>
      </c>
      <c r="G78" t="s">
        <v>7</v>
      </c>
    </row>
    <row r="79" spans="1:7" x14ac:dyDescent="0.3">
      <c r="A79" t="s">
        <v>11</v>
      </c>
      <c r="B79" s="1">
        <v>45961</v>
      </c>
      <c r="C79">
        <v>256041</v>
      </c>
      <c r="D79">
        <v>16329.379000000001</v>
      </c>
      <c r="E79" t="s">
        <v>4</v>
      </c>
      <c r="F79" t="s">
        <v>43</v>
      </c>
      <c r="G79" t="s">
        <v>7</v>
      </c>
    </row>
    <row r="80" spans="1:7" x14ac:dyDescent="0.3">
      <c r="A80" t="s">
        <v>11</v>
      </c>
      <c r="B80" s="1">
        <v>45961</v>
      </c>
      <c r="C80">
        <v>263002</v>
      </c>
      <c r="D80">
        <v>-13514.698</v>
      </c>
      <c r="E80" t="s">
        <v>4</v>
      </c>
      <c r="F80" t="s">
        <v>45</v>
      </c>
      <c r="G80" t="s">
        <v>7</v>
      </c>
    </row>
    <row r="81" spans="1:7" x14ac:dyDescent="0.3">
      <c r="A81" t="s">
        <v>11</v>
      </c>
      <c r="B81" s="1">
        <v>45961</v>
      </c>
      <c r="C81">
        <v>263005</v>
      </c>
      <c r="D81">
        <v>396.846</v>
      </c>
      <c r="E81" t="s">
        <v>4</v>
      </c>
      <c r="F81" t="s">
        <v>45</v>
      </c>
      <c r="G81" t="s">
        <v>7</v>
      </c>
    </row>
    <row r="82" spans="1:7" x14ac:dyDescent="0.3">
      <c r="A82" t="s">
        <v>11</v>
      </c>
      <c r="B82" s="1">
        <v>45961</v>
      </c>
      <c r="C82">
        <v>270026</v>
      </c>
      <c r="D82">
        <v>-74416.289000000004</v>
      </c>
      <c r="E82" t="s">
        <v>4</v>
      </c>
      <c r="F82" t="s">
        <v>58</v>
      </c>
      <c r="G82" t="s">
        <v>7</v>
      </c>
    </row>
    <row r="83" spans="1:7" x14ac:dyDescent="0.3">
      <c r="A83" t="s">
        <v>11</v>
      </c>
      <c r="B83" s="1">
        <v>45961</v>
      </c>
      <c r="C83">
        <v>320003</v>
      </c>
      <c r="D83">
        <v>141962.89499999999</v>
      </c>
      <c r="E83" t="s">
        <v>4</v>
      </c>
      <c r="F83" t="s">
        <v>46</v>
      </c>
      <c r="G83" t="s">
        <v>7</v>
      </c>
    </row>
    <row r="84" spans="1:7" x14ac:dyDescent="0.3">
      <c r="A84" t="s">
        <v>11</v>
      </c>
      <c r="B84" s="1">
        <v>45961</v>
      </c>
      <c r="C84">
        <v>320004</v>
      </c>
      <c r="D84">
        <v>2360.6109999999999</v>
      </c>
      <c r="E84" t="s">
        <v>4</v>
      </c>
      <c r="F84" t="s">
        <v>46</v>
      </c>
      <c r="G84" t="s">
        <v>7</v>
      </c>
    </row>
    <row r="85" spans="1:7" x14ac:dyDescent="0.3">
      <c r="A85" t="s">
        <v>11</v>
      </c>
      <c r="B85" s="1">
        <v>45961</v>
      </c>
      <c r="C85">
        <v>320023</v>
      </c>
      <c r="D85">
        <v>-3591.3919999999998</v>
      </c>
      <c r="E85" t="s">
        <v>4</v>
      </c>
      <c r="F85" t="s">
        <v>46</v>
      </c>
      <c r="G85" t="s">
        <v>7</v>
      </c>
    </row>
    <row r="86" spans="1:7" x14ac:dyDescent="0.3">
      <c r="A86" t="s">
        <v>11</v>
      </c>
      <c r="B86" s="1">
        <v>45961</v>
      </c>
      <c r="C86">
        <v>321002</v>
      </c>
      <c r="D86">
        <v>328346.83899999998</v>
      </c>
      <c r="E86" t="s">
        <v>4</v>
      </c>
      <c r="F86" t="s">
        <v>46</v>
      </c>
      <c r="G86" t="s">
        <v>7</v>
      </c>
    </row>
    <row r="87" spans="1:7" x14ac:dyDescent="0.3">
      <c r="A87" t="s">
        <v>11</v>
      </c>
      <c r="B87" s="1">
        <v>45961</v>
      </c>
      <c r="C87">
        <v>321010</v>
      </c>
      <c r="D87">
        <v>11.295</v>
      </c>
      <c r="E87" t="s">
        <v>4</v>
      </c>
      <c r="F87" t="s">
        <v>46</v>
      </c>
      <c r="G87" t="s">
        <v>7</v>
      </c>
    </row>
    <row r="88" spans="1:7" x14ac:dyDescent="0.3">
      <c r="A88" t="s">
        <v>11</v>
      </c>
      <c r="B88" s="1">
        <v>45961</v>
      </c>
      <c r="C88">
        <v>321012</v>
      </c>
      <c r="D88">
        <v>22283.877</v>
      </c>
      <c r="E88" t="s">
        <v>4</v>
      </c>
      <c r="F88" t="s">
        <v>46</v>
      </c>
      <c r="G88" t="s">
        <v>7</v>
      </c>
    </row>
    <row r="89" spans="1:7" x14ac:dyDescent="0.3">
      <c r="A89" t="s">
        <v>11</v>
      </c>
      <c r="B89" s="1">
        <v>45961</v>
      </c>
      <c r="C89">
        <v>321013</v>
      </c>
      <c r="D89">
        <v>31095.064999999999</v>
      </c>
      <c r="E89" t="s">
        <v>4</v>
      </c>
      <c r="F89" t="s">
        <v>46</v>
      </c>
      <c r="G89" t="s">
        <v>7</v>
      </c>
    </row>
    <row r="90" spans="1:7" x14ac:dyDescent="0.3">
      <c r="A90" t="s">
        <v>11</v>
      </c>
      <c r="B90" s="1">
        <v>45961</v>
      </c>
      <c r="C90">
        <v>321021</v>
      </c>
      <c r="D90">
        <v>30184.827000000001</v>
      </c>
      <c r="E90" t="s">
        <v>4</v>
      </c>
      <c r="F90" t="s">
        <v>46</v>
      </c>
      <c r="G90" t="s">
        <v>7</v>
      </c>
    </row>
    <row r="91" spans="1:7" x14ac:dyDescent="0.3">
      <c r="A91" t="s">
        <v>11</v>
      </c>
      <c r="B91" s="1">
        <v>45961</v>
      </c>
      <c r="C91">
        <v>321025</v>
      </c>
      <c r="D91">
        <v>26516.168000000001</v>
      </c>
      <c r="E91" t="s">
        <v>4</v>
      </c>
      <c r="F91" t="s">
        <v>46</v>
      </c>
      <c r="G91" t="s">
        <v>7</v>
      </c>
    </row>
    <row r="92" spans="1:7" x14ac:dyDescent="0.3">
      <c r="A92" t="s">
        <v>11</v>
      </c>
      <c r="B92" s="1">
        <v>45961</v>
      </c>
      <c r="C92">
        <v>321029</v>
      </c>
      <c r="D92">
        <v>29409.829000000002</v>
      </c>
      <c r="E92" t="s">
        <v>4</v>
      </c>
      <c r="F92" t="s">
        <v>46</v>
      </c>
      <c r="G92" t="s">
        <v>7</v>
      </c>
    </row>
    <row r="93" spans="1:7" x14ac:dyDescent="0.3">
      <c r="A93" t="s">
        <v>11</v>
      </c>
      <c r="B93" s="1">
        <v>45961</v>
      </c>
      <c r="C93">
        <v>321031</v>
      </c>
      <c r="D93">
        <v>11.295</v>
      </c>
      <c r="E93" t="s">
        <v>4</v>
      </c>
      <c r="F93" t="s">
        <v>46</v>
      </c>
      <c r="G93" t="s">
        <v>7</v>
      </c>
    </row>
    <row r="94" spans="1:7" x14ac:dyDescent="0.3">
      <c r="A94" t="s">
        <v>11</v>
      </c>
      <c r="B94" s="1">
        <v>45961</v>
      </c>
      <c r="C94">
        <v>321041</v>
      </c>
      <c r="D94">
        <v>6752.1229999999996</v>
      </c>
      <c r="E94" t="s">
        <v>4</v>
      </c>
      <c r="F94" t="s">
        <v>46</v>
      </c>
      <c r="G94" t="s">
        <v>7</v>
      </c>
    </row>
    <row r="95" spans="1:7" x14ac:dyDescent="0.3">
      <c r="A95" t="s">
        <v>11</v>
      </c>
      <c r="B95" s="1">
        <v>45961</v>
      </c>
      <c r="C95">
        <v>321042</v>
      </c>
      <c r="D95">
        <v>576.30799999999999</v>
      </c>
      <c r="E95" t="s">
        <v>4</v>
      </c>
      <c r="F95" t="s">
        <v>46</v>
      </c>
      <c r="G95" t="s">
        <v>7</v>
      </c>
    </row>
    <row r="96" spans="1:7" x14ac:dyDescent="0.3">
      <c r="A96" t="s">
        <v>11</v>
      </c>
      <c r="B96" s="1">
        <v>45961</v>
      </c>
      <c r="C96">
        <v>330033</v>
      </c>
      <c r="D96">
        <v>-32.384999999999998</v>
      </c>
      <c r="E96" t="s">
        <v>4</v>
      </c>
      <c r="F96" t="s">
        <v>43</v>
      </c>
      <c r="G96" t="s">
        <v>7</v>
      </c>
    </row>
    <row r="97" spans="1:7" x14ac:dyDescent="0.3">
      <c r="A97" t="s">
        <v>11</v>
      </c>
      <c r="B97" s="1">
        <v>45961</v>
      </c>
      <c r="C97">
        <v>330054</v>
      </c>
      <c r="D97">
        <v>196.71700000000001</v>
      </c>
      <c r="E97" t="s">
        <v>4</v>
      </c>
      <c r="F97" t="s">
        <v>43</v>
      </c>
      <c r="G97" t="s">
        <v>7</v>
      </c>
    </row>
    <row r="98" spans="1:7" x14ac:dyDescent="0.3">
      <c r="A98" t="s">
        <v>11</v>
      </c>
      <c r="B98" s="1">
        <v>45961</v>
      </c>
      <c r="C98">
        <v>330061</v>
      </c>
      <c r="D98">
        <v>506.464</v>
      </c>
      <c r="E98" t="s">
        <v>4</v>
      </c>
      <c r="F98" t="s">
        <v>43</v>
      </c>
      <c r="G98" t="s">
        <v>7</v>
      </c>
    </row>
    <row r="99" spans="1:7" x14ac:dyDescent="0.3">
      <c r="A99" t="s">
        <v>11</v>
      </c>
      <c r="B99" s="1">
        <v>45961</v>
      </c>
      <c r="C99">
        <v>340096</v>
      </c>
      <c r="D99">
        <v>485591.38900000002</v>
      </c>
      <c r="E99" t="s">
        <v>4</v>
      </c>
      <c r="F99" t="s">
        <v>47</v>
      </c>
      <c r="G99" t="s">
        <v>7</v>
      </c>
    </row>
    <row r="100" spans="1:7" x14ac:dyDescent="0.3">
      <c r="A100" t="s">
        <v>11</v>
      </c>
      <c r="B100" s="1">
        <v>45961</v>
      </c>
      <c r="C100">
        <v>340111</v>
      </c>
      <c r="D100">
        <v>163496.06599999999</v>
      </c>
      <c r="E100" t="s">
        <v>4</v>
      </c>
      <c r="F100" t="s">
        <v>47</v>
      </c>
      <c r="G100" t="s">
        <v>7</v>
      </c>
    </row>
    <row r="101" spans="1:7" x14ac:dyDescent="0.3">
      <c r="A101" t="s">
        <v>11</v>
      </c>
      <c r="B101" s="1">
        <v>45961</v>
      </c>
      <c r="C101">
        <v>340133</v>
      </c>
      <c r="D101">
        <v>7844454.5209999997</v>
      </c>
      <c r="E101" t="s">
        <v>4</v>
      </c>
      <c r="F101" t="s">
        <v>47</v>
      </c>
      <c r="G101" t="s">
        <v>7</v>
      </c>
    </row>
    <row r="102" spans="1:7" x14ac:dyDescent="0.3">
      <c r="A102" t="s">
        <v>11</v>
      </c>
      <c r="B102" s="1">
        <v>45961</v>
      </c>
      <c r="C102">
        <v>340134</v>
      </c>
      <c r="D102">
        <v>-8245778.8140000002</v>
      </c>
      <c r="E102" t="s">
        <v>4</v>
      </c>
      <c r="F102" t="s">
        <v>47</v>
      </c>
      <c r="G102" t="s">
        <v>7</v>
      </c>
    </row>
    <row r="103" spans="1:7" x14ac:dyDescent="0.3">
      <c r="A103" t="s">
        <v>11</v>
      </c>
      <c r="B103" s="1">
        <v>45961</v>
      </c>
      <c r="C103">
        <v>340143</v>
      </c>
      <c r="D103">
        <v>1374290.825</v>
      </c>
      <c r="E103" t="s">
        <v>4</v>
      </c>
      <c r="F103" t="s">
        <v>47</v>
      </c>
      <c r="G103" t="s">
        <v>7</v>
      </c>
    </row>
    <row r="104" spans="1:7" x14ac:dyDescent="0.3">
      <c r="A104" t="s">
        <v>11</v>
      </c>
      <c r="B104" s="1">
        <v>45961</v>
      </c>
      <c r="C104">
        <v>340144</v>
      </c>
      <c r="D104">
        <v>-1536217.6070000001</v>
      </c>
      <c r="E104" t="s">
        <v>4</v>
      </c>
      <c r="F104" t="s">
        <v>47</v>
      </c>
      <c r="G104" t="s">
        <v>7</v>
      </c>
    </row>
    <row r="105" spans="1:7" x14ac:dyDescent="0.3">
      <c r="A105" t="s">
        <v>11</v>
      </c>
      <c r="B105" s="1">
        <v>45961</v>
      </c>
      <c r="C105">
        <v>340317</v>
      </c>
      <c r="D105">
        <v>1388963.6680000001</v>
      </c>
      <c r="E105" t="s">
        <v>4</v>
      </c>
      <c r="F105" t="s">
        <v>47</v>
      </c>
      <c r="G105" t="s">
        <v>7</v>
      </c>
    </row>
    <row r="106" spans="1:7" x14ac:dyDescent="0.3">
      <c r="A106" t="s">
        <v>11</v>
      </c>
      <c r="B106" s="1">
        <v>45961</v>
      </c>
      <c r="C106">
        <v>340318</v>
      </c>
      <c r="D106">
        <v>-1230149.514</v>
      </c>
      <c r="E106" t="s">
        <v>4</v>
      </c>
      <c r="F106" t="s">
        <v>47</v>
      </c>
      <c r="G106" t="s">
        <v>7</v>
      </c>
    </row>
    <row r="107" spans="1:7" x14ac:dyDescent="0.3">
      <c r="A107" t="s">
        <v>11</v>
      </c>
      <c r="B107" s="1">
        <v>45961</v>
      </c>
      <c r="C107">
        <v>340319</v>
      </c>
      <c r="D107">
        <v>1543820.6680000001</v>
      </c>
      <c r="E107" t="s">
        <v>4</v>
      </c>
      <c r="F107" t="s">
        <v>47</v>
      </c>
      <c r="G107" t="s">
        <v>7</v>
      </c>
    </row>
    <row r="108" spans="1:7" x14ac:dyDescent="0.3">
      <c r="A108" t="s">
        <v>11</v>
      </c>
      <c r="B108" s="1">
        <v>45961</v>
      </c>
      <c r="C108">
        <v>340320</v>
      </c>
      <c r="D108">
        <v>-1499510.2479999999</v>
      </c>
      <c r="E108" t="s">
        <v>4</v>
      </c>
      <c r="F108" t="s">
        <v>47</v>
      </c>
      <c r="G108" t="s">
        <v>7</v>
      </c>
    </row>
    <row r="109" spans="1:7" x14ac:dyDescent="0.3">
      <c r="A109" t="s">
        <v>11</v>
      </c>
      <c r="B109" s="1">
        <v>45961</v>
      </c>
      <c r="C109">
        <v>345023</v>
      </c>
      <c r="D109">
        <v>26.401</v>
      </c>
      <c r="E109" t="s">
        <v>4</v>
      </c>
      <c r="F109" t="s">
        <v>47</v>
      </c>
      <c r="G109" t="s">
        <v>7</v>
      </c>
    </row>
    <row r="110" spans="1:7" x14ac:dyDescent="0.3">
      <c r="A110" t="s">
        <v>11</v>
      </c>
      <c r="B110" s="1">
        <v>45961</v>
      </c>
      <c r="C110">
        <v>350002</v>
      </c>
      <c r="D110">
        <v>618.1</v>
      </c>
      <c r="E110" t="s">
        <v>4</v>
      </c>
      <c r="F110" t="s">
        <v>49</v>
      </c>
      <c r="G110" t="s">
        <v>7</v>
      </c>
    </row>
    <row r="111" spans="1:7" x14ac:dyDescent="0.3">
      <c r="A111" t="s">
        <v>11</v>
      </c>
      <c r="B111" s="1">
        <v>45961</v>
      </c>
      <c r="C111">
        <v>350031</v>
      </c>
      <c r="D111">
        <v>942.53300000000002</v>
      </c>
      <c r="E111" t="s">
        <v>4</v>
      </c>
      <c r="F111" t="s">
        <v>43</v>
      </c>
      <c r="G111" t="s">
        <v>7</v>
      </c>
    </row>
    <row r="112" spans="1:7" x14ac:dyDescent="0.3">
      <c r="A112" t="s">
        <v>11</v>
      </c>
      <c r="B112" s="1">
        <v>45961</v>
      </c>
      <c r="C112">
        <v>352002</v>
      </c>
      <c r="D112">
        <v>115.20099999999999</v>
      </c>
      <c r="E112" t="s">
        <v>4</v>
      </c>
      <c r="F112" t="s">
        <v>48</v>
      </c>
      <c r="G112" t="s">
        <v>7</v>
      </c>
    </row>
    <row r="113" spans="1:7" x14ac:dyDescent="0.3">
      <c r="A113" t="s">
        <v>11</v>
      </c>
      <c r="B113" s="1">
        <v>45961</v>
      </c>
      <c r="C113">
        <v>354012</v>
      </c>
      <c r="D113">
        <v>621.52099999999996</v>
      </c>
      <c r="E113" t="s">
        <v>4</v>
      </c>
      <c r="F113" t="s">
        <v>46</v>
      </c>
      <c r="G113" t="s">
        <v>7</v>
      </c>
    </row>
    <row r="114" spans="1:7" x14ac:dyDescent="0.3">
      <c r="A114" t="s">
        <v>11</v>
      </c>
      <c r="B114" s="1">
        <v>45961</v>
      </c>
      <c r="C114">
        <v>354014</v>
      </c>
      <c r="D114">
        <v>98749.546000000002</v>
      </c>
      <c r="E114" t="s">
        <v>4</v>
      </c>
      <c r="F114" t="s">
        <v>46</v>
      </c>
      <c r="G114" t="s">
        <v>7</v>
      </c>
    </row>
    <row r="115" spans="1:7" x14ac:dyDescent="0.3">
      <c r="A115" t="s">
        <v>11</v>
      </c>
      <c r="B115" s="1">
        <v>45961</v>
      </c>
      <c r="C115">
        <v>355016</v>
      </c>
      <c r="D115">
        <v>346.37700000000001</v>
      </c>
      <c r="E115" t="s">
        <v>4</v>
      </c>
      <c r="F115" t="s">
        <v>49</v>
      </c>
      <c r="G115" t="s">
        <v>7</v>
      </c>
    </row>
    <row r="116" spans="1:7" x14ac:dyDescent="0.3">
      <c r="A116" t="s">
        <v>11</v>
      </c>
      <c r="B116" s="1">
        <v>45961</v>
      </c>
      <c r="C116">
        <v>355017</v>
      </c>
      <c r="D116">
        <v>664.63199999999995</v>
      </c>
      <c r="E116" t="s">
        <v>4</v>
      </c>
      <c r="F116" t="s">
        <v>49</v>
      </c>
      <c r="G116" t="s">
        <v>7</v>
      </c>
    </row>
    <row r="117" spans="1:7" x14ac:dyDescent="0.3">
      <c r="A117" t="s">
        <v>11</v>
      </c>
      <c r="B117" s="1">
        <v>45961</v>
      </c>
      <c r="C117">
        <v>360022</v>
      </c>
      <c r="D117">
        <v>1.7000000000000001E-2</v>
      </c>
      <c r="E117" t="s">
        <v>4</v>
      </c>
      <c r="F117" t="s">
        <v>58</v>
      </c>
      <c r="G117" t="s">
        <v>7</v>
      </c>
    </row>
    <row r="118" spans="1:7" x14ac:dyDescent="0.3">
      <c r="A118" t="s">
        <v>11</v>
      </c>
      <c r="B118" s="1">
        <v>45961</v>
      </c>
      <c r="C118">
        <v>360028</v>
      </c>
      <c r="D118">
        <v>-3.0000000000000001E-3</v>
      </c>
      <c r="E118" t="s">
        <v>4</v>
      </c>
      <c r="F118" t="s">
        <v>58</v>
      </c>
      <c r="G118" t="s">
        <v>7</v>
      </c>
    </row>
    <row r="119" spans="1:7" x14ac:dyDescent="0.3">
      <c r="A119" t="s">
        <v>11</v>
      </c>
      <c r="B119" s="1">
        <v>45961</v>
      </c>
      <c r="C119">
        <v>360030</v>
      </c>
      <c r="D119">
        <v>74416.256999999998</v>
      </c>
      <c r="E119" t="s">
        <v>4</v>
      </c>
      <c r="F119" t="s">
        <v>58</v>
      </c>
      <c r="G119" t="s">
        <v>7</v>
      </c>
    </row>
    <row r="120" spans="1:7" x14ac:dyDescent="0.3">
      <c r="A120" t="s">
        <v>11</v>
      </c>
      <c r="B120" s="1">
        <v>45961</v>
      </c>
      <c r="C120">
        <v>360032</v>
      </c>
      <c r="D120">
        <v>16718.864000000001</v>
      </c>
      <c r="E120" t="s">
        <v>4</v>
      </c>
      <c r="F120" t="s">
        <v>58</v>
      </c>
      <c r="G120" t="s">
        <v>7</v>
      </c>
    </row>
    <row r="121" spans="1:7" x14ac:dyDescent="0.3">
      <c r="A121" t="s">
        <v>11</v>
      </c>
      <c r="B121" s="1">
        <v>45961</v>
      </c>
      <c r="C121">
        <v>372004</v>
      </c>
      <c r="D121">
        <v>384.30399999999997</v>
      </c>
      <c r="E121" t="s">
        <v>4</v>
      </c>
      <c r="F121" t="s">
        <v>45</v>
      </c>
      <c r="G121" t="s">
        <v>7</v>
      </c>
    </row>
    <row r="122" spans="1:7" x14ac:dyDescent="0.3">
      <c r="A122" t="s">
        <v>11</v>
      </c>
      <c r="B122" s="1">
        <v>45961</v>
      </c>
      <c r="C122">
        <v>410002</v>
      </c>
      <c r="D122">
        <v>-159768.66800000001</v>
      </c>
      <c r="E122" t="s">
        <v>6</v>
      </c>
      <c r="F122" t="s">
        <v>51</v>
      </c>
      <c r="G122" t="s">
        <v>7</v>
      </c>
    </row>
    <row r="123" spans="1:7" x14ac:dyDescent="0.3">
      <c r="A123" t="s">
        <v>11</v>
      </c>
      <c r="B123" s="1">
        <v>45961</v>
      </c>
      <c r="C123">
        <v>410006</v>
      </c>
      <c r="D123">
        <v>-4241.9279999999999</v>
      </c>
      <c r="E123" t="s">
        <v>6</v>
      </c>
      <c r="F123" t="s">
        <v>51</v>
      </c>
      <c r="G123" t="s">
        <v>7</v>
      </c>
    </row>
    <row r="124" spans="1:7" x14ac:dyDescent="0.3">
      <c r="A124" t="s">
        <v>11</v>
      </c>
      <c r="B124" s="1">
        <v>45961</v>
      </c>
      <c r="C124">
        <v>410015</v>
      </c>
      <c r="D124">
        <v>-15446.973</v>
      </c>
      <c r="E124" t="s">
        <v>6</v>
      </c>
      <c r="F124" t="s">
        <v>51</v>
      </c>
      <c r="G124" t="s">
        <v>7</v>
      </c>
    </row>
    <row r="125" spans="1:7" x14ac:dyDescent="0.3">
      <c r="A125" t="s">
        <v>11</v>
      </c>
      <c r="B125" s="1">
        <v>45961</v>
      </c>
      <c r="C125">
        <v>410018</v>
      </c>
      <c r="D125">
        <v>-6748.826</v>
      </c>
      <c r="E125" t="s">
        <v>6</v>
      </c>
      <c r="F125" t="s">
        <v>51</v>
      </c>
      <c r="G125" t="s">
        <v>7</v>
      </c>
    </row>
    <row r="126" spans="1:7" x14ac:dyDescent="0.3">
      <c r="A126" t="s">
        <v>11</v>
      </c>
      <c r="B126" s="1">
        <v>45961</v>
      </c>
      <c r="C126">
        <v>410019</v>
      </c>
      <c r="D126">
        <v>-11.279</v>
      </c>
      <c r="E126" t="s">
        <v>6</v>
      </c>
      <c r="F126" t="s">
        <v>51</v>
      </c>
      <c r="G126" t="s">
        <v>7</v>
      </c>
    </row>
    <row r="127" spans="1:7" x14ac:dyDescent="0.3">
      <c r="A127" t="s">
        <v>11</v>
      </c>
      <c r="B127" s="1">
        <v>45961</v>
      </c>
      <c r="C127">
        <v>410032</v>
      </c>
      <c r="D127">
        <v>-12125.058999999999</v>
      </c>
      <c r="E127" t="s">
        <v>6</v>
      </c>
      <c r="F127" t="s">
        <v>51</v>
      </c>
      <c r="G127" t="s">
        <v>7</v>
      </c>
    </row>
    <row r="128" spans="1:7" x14ac:dyDescent="0.3">
      <c r="A128" t="s">
        <v>11</v>
      </c>
      <c r="B128" s="1">
        <v>45961</v>
      </c>
      <c r="C128">
        <v>410037</v>
      </c>
      <c r="D128">
        <v>-99700.868000000002</v>
      </c>
      <c r="E128" t="s">
        <v>6</v>
      </c>
      <c r="F128" t="s">
        <v>51</v>
      </c>
      <c r="G128" t="s">
        <v>7</v>
      </c>
    </row>
    <row r="129" spans="1:7" x14ac:dyDescent="0.3">
      <c r="A129" t="s">
        <v>11</v>
      </c>
      <c r="B129" s="1">
        <v>45961</v>
      </c>
      <c r="C129">
        <v>410039</v>
      </c>
      <c r="D129">
        <v>-11.279</v>
      </c>
      <c r="E129" t="s">
        <v>6</v>
      </c>
      <c r="F129" t="s">
        <v>51</v>
      </c>
      <c r="G129" t="s">
        <v>7</v>
      </c>
    </row>
    <row r="130" spans="1:7" x14ac:dyDescent="0.3">
      <c r="A130" t="s">
        <v>11</v>
      </c>
      <c r="B130" s="1">
        <v>45961</v>
      </c>
      <c r="C130">
        <v>410046</v>
      </c>
      <c r="D130">
        <v>-4075.471</v>
      </c>
      <c r="E130" t="s">
        <v>6</v>
      </c>
      <c r="F130" t="s">
        <v>51</v>
      </c>
      <c r="G130" t="s">
        <v>7</v>
      </c>
    </row>
    <row r="131" spans="1:7" x14ac:dyDescent="0.3">
      <c r="A131" t="s">
        <v>11</v>
      </c>
      <c r="B131" s="1">
        <v>45961</v>
      </c>
      <c r="C131">
        <v>415002</v>
      </c>
      <c r="D131">
        <v>-323742.04200000002</v>
      </c>
      <c r="E131" t="s">
        <v>6</v>
      </c>
      <c r="F131" t="s">
        <v>50</v>
      </c>
      <c r="G131" t="s">
        <v>7</v>
      </c>
    </row>
    <row r="132" spans="1:7" x14ac:dyDescent="0.3">
      <c r="A132" t="s">
        <v>11</v>
      </c>
      <c r="B132" s="1">
        <v>45961</v>
      </c>
      <c r="C132">
        <v>415004</v>
      </c>
      <c r="D132">
        <v>-569674.95799999998</v>
      </c>
      <c r="E132" t="s">
        <v>6</v>
      </c>
      <c r="F132" t="s">
        <v>50</v>
      </c>
      <c r="G132" t="s">
        <v>7</v>
      </c>
    </row>
    <row r="133" spans="1:7" x14ac:dyDescent="0.3">
      <c r="A133" t="s">
        <v>11</v>
      </c>
      <c r="B133" s="1">
        <v>45961</v>
      </c>
      <c r="C133">
        <v>418002</v>
      </c>
      <c r="D133">
        <v>-1E-3</v>
      </c>
      <c r="E133" t="s">
        <v>6</v>
      </c>
      <c r="F133" t="s">
        <v>50</v>
      </c>
      <c r="G133" t="s">
        <v>7</v>
      </c>
    </row>
    <row r="134" spans="1:7" x14ac:dyDescent="0.3">
      <c r="A134" t="s">
        <v>11</v>
      </c>
      <c r="B134" s="1">
        <v>45961</v>
      </c>
      <c r="C134">
        <v>420004</v>
      </c>
      <c r="D134">
        <v>-26.361999999999998</v>
      </c>
      <c r="E134" t="s">
        <v>6</v>
      </c>
      <c r="F134" t="s">
        <v>52</v>
      </c>
      <c r="G134" t="s">
        <v>7</v>
      </c>
    </row>
    <row r="135" spans="1:7" x14ac:dyDescent="0.3">
      <c r="A135" t="s">
        <v>11</v>
      </c>
      <c r="B135" s="1">
        <v>45961</v>
      </c>
      <c r="C135">
        <v>420005</v>
      </c>
      <c r="D135">
        <v>-16435.335999999999</v>
      </c>
      <c r="E135" t="s">
        <v>6</v>
      </c>
      <c r="F135" t="s">
        <v>59</v>
      </c>
      <c r="G135" t="s">
        <v>7</v>
      </c>
    </row>
    <row r="136" spans="1:7" x14ac:dyDescent="0.3">
      <c r="A136" t="s">
        <v>11</v>
      </c>
      <c r="B136" s="1">
        <v>45961</v>
      </c>
      <c r="C136">
        <v>421002</v>
      </c>
      <c r="D136">
        <v>-3749.971</v>
      </c>
      <c r="E136" t="s">
        <v>6</v>
      </c>
      <c r="F136" t="s">
        <v>52</v>
      </c>
      <c r="G136" t="s">
        <v>7</v>
      </c>
    </row>
    <row r="137" spans="1:7" x14ac:dyDescent="0.3">
      <c r="A137" t="s">
        <v>11</v>
      </c>
      <c r="B137" s="1">
        <v>45961</v>
      </c>
      <c r="C137">
        <v>421003</v>
      </c>
      <c r="D137">
        <v>10220.499</v>
      </c>
      <c r="E137" t="s">
        <v>6</v>
      </c>
      <c r="F137" t="s">
        <v>52</v>
      </c>
      <c r="G137" t="s">
        <v>7</v>
      </c>
    </row>
    <row r="138" spans="1:7" x14ac:dyDescent="0.3">
      <c r="A138" t="s">
        <v>11</v>
      </c>
      <c r="B138" s="1">
        <v>45961</v>
      </c>
      <c r="C138">
        <v>421004</v>
      </c>
      <c r="D138">
        <v>61168.987000000001</v>
      </c>
      <c r="E138" t="s">
        <v>6</v>
      </c>
      <c r="F138" t="s">
        <v>52</v>
      </c>
      <c r="G138" t="s">
        <v>7</v>
      </c>
    </row>
    <row r="139" spans="1:7" x14ac:dyDescent="0.3">
      <c r="A139" t="s">
        <v>11</v>
      </c>
      <c r="B139" s="1">
        <v>45961</v>
      </c>
      <c r="C139">
        <v>421007</v>
      </c>
      <c r="D139">
        <v>-3332.096</v>
      </c>
      <c r="E139" t="s">
        <v>6</v>
      </c>
      <c r="F139" t="s">
        <v>52</v>
      </c>
      <c r="G139" t="s">
        <v>7</v>
      </c>
    </row>
    <row r="140" spans="1:7" x14ac:dyDescent="0.3">
      <c r="A140" t="s">
        <v>11</v>
      </c>
      <c r="B140" s="1">
        <v>45961</v>
      </c>
      <c r="C140">
        <v>510002</v>
      </c>
      <c r="D140">
        <v>331288.40999999997</v>
      </c>
      <c r="E140" t="s">
        <v>6</v>
      </c>
      <c r="F140" t="s">
        <v>53</v>
      </c>
      <c r="G140" t="s">
        <v>7</v>
      </c>
    </row>
    <row r="141" spans="1:7" x14ac:dyDescent="0.3">
      <c r="A141" t="s">
        <v>11</v>
      </c>
      <c r="B141" s="1">
        <v>45961</v>
      </c>
      <c r="C141">
        <v>510005</v>
      </c>
      <c r="D141">
        <v>18959.349999999999</v>
      </c>
      <c r="E141" t="s">
        <v>6</v>
      </c>
      <c r="F141" t="s">
        <v>53</v>
      </c>
      <c r="G141" t="s">
        <v>7</v>
      </c>
    </row>
    <row r="142" spans="1:7" x14ac:dyDescent="0.3">
      <c r="A142" t="s">
        <v>11</v>
      </c>
      <c r="B142" s="1">
        <v>45961</v>
      </c>
      <c r="C142">
        <v>510007</v>
      </c>
      <c r="D142">
        <v>30485.64</v>
      </c>
      <c r="E142" t="s">
        <v>6</v>
      </c>
      <c r="F142" t="s">
        <v>53</v>
      </c>
      <c r="G142" t="s">
        <v>7</v>
      </c>
    </row>
    <row r="143" spans="1:7" x14ac:dyDescent="0.3">
      <c r="A143" t="s">
        <v>11</v>
      </c>
      <c r="B143" s="1">
        <v>45961</v>
      </c>
      <c r="C143">
        <v>510012</v>
      </c>
      <c r="D143">
        <v>243.93899999999999</v>
      </c>
      <c r="E143" t="s">
        <v>6</v>
      </c>
      <c r="F143" t="s">
        <v>53</v>
      </c>
      <c r="G143" t="s">
        <v>7</v>
      </c>
    </row>
    <row r="144" spans="1:7" x14ac:dyDescent="0.3">
      <c r="A144" t="s">
        <v>11</v>
      </c>
      <c r="B144" s="1">
        <v>45961</v>
      </c>
      <c r="C144">
        <v>510015</v>
      </c>
      <c r="D144">
        <v>13106.103999999999</v>
      </c>
      <c r="E144" t="s">
        <v>6</v>
      </c>
      <c r="F144" t="s">
        <v>53</v>
      </c>
      <c r="G144" t="s">
        <v>7</v>
      </c>
    </row>
    <row r="145" spans="1:7" x14ac:dyDescent="0.3">
      <c r="A145" t="s">
        <v>11</v>
      </c>
      <c r="B145" s="1">
        <v>45961</v>
      </c>
      <c r="C145">
        <v>510018</v>
      </c>
      <c r="D145">
        <v>13169.169</v>
      </c>
      <c r="E145" t="s">
        <v>6</v>
      </c>
      <c r="F145" t="s">
        <v>53</v>
      </c>
      <c r="G145" t="s">
        <v>7</v>
      </c>
    </row>
    <row r="146" spans="1:7" x14ac:dyDescent="0.3">
      <c r="A146" t="s">
        <v>11</v>
      </c>
      <c r="B146" s="1">
        <v>45961</v>
      </c>
      <c r="C146">
        <v>510059</v>
      </c>
      <c r="D146">
        <v>61.15</v>
      </c>
      <c r="E146" t="s">
        <v>6</v>
      </c>
      <c r="F146" t="s">
        <v>53</v>
      </c>
      <c r="G146" t="s">
        <v>7</v>
      </c>
    </row>
    <row r="147" spans="1:7" x14ac:dyDescent="0.3">
      <c r="A147" t="s">
        <v>11</v>
      </c>
      <c r="B147" s="1">
        <v>45961</v>
      </c>
      <c r="C147">
        <v>510062</v>
      </c>
      <c r="D147">
        <v>1298.633</v>
      </c>
      <c r="E147" t="s">
        <v>6</v>
      </c>
      <c r="F147" t="s">
        <v>53</v>
      </c>
      <c r="G147" t="s">
        <v>7</v>
      </c>
    </row>
    <row r="148" spans="1:7" x14ac:dyDescent="0.3">
      <c r="A148" t="s">
        <v>11</v>
      </c>
      <c r="B148" s="1">
        <v>45961</v>
      </c>
      <c r="C148">
        <v>510064</v>
      </c>
      <c r="D148">
        <v>1347.607</v>
      </c>
      <c r="E148" t="s">
        <v>6</v>
      </c>
      <c r="F148" t="s">
        <v>53</v>
      </c>
      <c r="G148" t="s">
        <v>7</v>
      </c>
    </row>
    <row r="149" spans="1:7" x14ac:dyDescent="0.3">
      <c r="A149" t="s">
        <v>11</v>
      </c>
      <c r="B149" s="1">
        <v>45961</v>
      </c>
      <c r="C149">
        <v>510065</v>
      </c>
      <c r="D149">
        <v>703.94100000000003</v>
      </c>
      <c r="E149" t="s">
        <v>6</v>
      </c>
      <c r="F149" t="s">
        <v>53</v>
      </c>
      <c r="G149" t="s">
        <v>7</v>
      </c>
    </row>
    <row r="150" spans="1:7" x14ac:dyDescent="0.3">
      <c r="A150" t="s">
        <v>11</v>
      </c>
      <c r="B150" s="1">
        <v>45961</v>
      </c>
      <c r="C150">
        <v>520021</v>
      </c>
      <c r="D150">
        <v>506.089</v>
      </c>
      <c r="E150" t="s">
        <v>6</v>
      </c>
      <c r="F150" t="s">
        <v>60</v>
      </c>
      <c r="G150" t="s">
        <v>7</v>
      </c>
    </row>
    <row r="151" spans="1:7" x14ac:dyDescent="0.3">
      <c r="A151" t="s">
        <v>11</v>
      </c>
      <c r="B151" s="1">
        <v>45961</v>
      </c>
      <c r="C151">
        <v>541002</v>
      </c>
      <c r="D151">
        <v>1323.5429999999999</v>
      </c>
      <c r="E151" t="s">
        <v>6</v>
      </c>
      <c r="F151" t="s">
        <v>61</v>
      </c>
      <c r="G151" t="s">
        <v>7</v>
      </c>
    </row>
    <row r="152" spans="1:7" x14ac:dyDescent="0.3">
      <c r="A152" t="s">
        <v>11</v>
      </c>
      <c r="B152" s="1">
        <v>45961</v>
      </c>
      <c r="C152">
        <v>541008</v>
      </c>
      <c r="D152">
        <v>3147.0819999999999</v>
      </c>
      <c r="E152" t="s">
        <v>6</v>
      </c>
      <c r="F152" t="s">
        <v>61</v>
      </c>
      <c r="G152" t="s">
        <v>7</v>
      </c>
    </row>
    <row r="153" spans="1:7" x14ac:dyDescent="0.3">
      <c r="A153" t="s">
        <v>11</v>
      </c>
      <c r="B153" s="1">
        <v>45961</v>
      </c>
      <c r="C153">
        <v>541009</v>
      </c>
      <c r="D153">
        <v>1620.04</v>
      </c>
      <c r="E153" t="s">
        <v>6</v>
      </c>
      <c r="F153" t="s">
        <v>61</v>
      </c>
      <c r="G153" t="s">
        <v>7</v>
      </c>
    </row>
    <row r="154" spans="1:7" x14ac:dyDescent="0.3">
      <c r="A154" t="s">
        <v>11</v>
      </c>
      <c r="B154" s="1">
        <v>45961</v>
      </c>
      <c r="C154">
        <v>541010</v>
      </c>
      <c r="D154">
        <v>2570.4899999999998</v>
      </c>
      <c r="E154" t="s">
        <v>6</v>
      </c>
      <c r="F154" t="s">
        <v>61</v>
      </c>
      <c r="G154" t="s">
        <v>7</v>
      </c>
    </row>
    <row r="155" spans="1:7" x14ac:dyDescent="0.3">
      <c r="A155" t="s">
        <v>11</v>
      </c>
      <c r="B155" s="1">
        <v>45961</v>
      </c>
      <c r="C155">
        <v>541013</v>
      </c>
      <c r="D155">
        <v>1469.8889999999999</v>
      </c>
      <c r="E155" t="s">
        <v>6</v>
      </c>
      <c r="F155" t="s">
        <v>61</v>
      </c>
      <c r="G155" t="s">
        <v>7</v>
      </c>
    </row>
    <row r="156" spans="1:7" x14ac:dyDescent="0.3">
      <c r="A156" t="s">
        <v>11</v>
      </c>
      <c r="B156" s="1">
        <v>45961</v>
      </c>
      <c r="C156">
        <v>546002</v>
      </c>
      <c r="D156">
        <v>541191.24699999997</v>
      </c>
      <c r="E156" t="s">
        <v>6</v>
      </c>
      <c r="F156" t="s">
        <v>51</v>
      </c>
      <c r="G156" t="s">
        <v>7</v>
      </c>
    </row>
    <row r="157" spans="1:7" x14ac:dyDescent="0.3">
      <c r="A157" t="s">
        <v>11</v>
      </c>
      <c r="B157" s="1">
        <v>45961</v>
      </c>
      <c r="C157">
        <v>546013</v>
      </c>
      <c r="D157">
        <v>32075.493999999999</v>
      </c>
      <c r="E157" t="s">
        <v>6</v>
      </c>
      <c r="F157" t="s">
        <v>51</v>
      </c>
      <c r="G157" t="s">
        <v>7</v>
      </c>
    </row>
    <row r="158" spans="1:7" x14ac:dyDescent="0.3">
      <c r="A158" t="s">
        <v>11</v>
      </c>
      <c r="B158" s="1">
        <v>45961</v>
      </c>
      <c r="C158">
        <v>546015</v>
      </c>
      <c r="D158">
        <v>37913.786999999997</v>
      </c>
      <c r="E158" t="s">
        <v>6</v>
      </c>
      <c r="F158" t="s">
        <v>51</v>
      </c>
      <c r="G158" t="s">
        <v>7</v>
      </c>
    </row>
    <row r="159" spans="1:7" x14ac:dyDescent="0.3">
      <c r="A159" t="s">
        <v>11</v>
      </c>
      <c r="B159" s="1">
        <v>45961</v>
      </c>
      <c r="C159">
        <v>546016</v>
      </c>
      <c r="D159">
        <v>6528.8649999999998</v>
      </c>
      <c r="E159" t="s">
        <v>6</v>
      </c>
      <c r="F159" t="s">
        <v>51</v>
      </c>
      <c r="G159" t="s">
        <v>7</v>
      </c>
    </row>
    <row r="160" spans="1:7" x14ac:dyDescent="0.3">
      <c r="A160" t="s">
        <v>11</v>
      </c>
      <c r="B160" s="1">
        <v>45961</v>
      </c>
      <c r="C160">
        <v>546019</v>
      </c>
      <c r="D160">
        <v>5601.4040000000005</v>
      </c>
      <c r="E160" t="s">
        <v>6</v>
      </c>
      <c r="F160" t="s">
        <v>51</v>
      </c>
      <c r="G160" t="s">
        <v>7</v>
      </c>
    </row>
    <row r="161" spans="1:7" x14ac:dyDescent="0.3">
      <c r="A161" t="s">
        <v>11</v>
      </c>
      <c r="B161" s="1">
        <v>45961</v>
      </c>
      <c r="C161">
        <v>546024</v>
      </c>
      <c r="D161">
        <v>4937.4989999999998</v>
      </c>
      <c r="E161" t="s">
        <v>6</v>
      </c>
      <c r="F161" t="s">
        <v>51</v>
      </c>
      <c r="G161" t="s">
        <v>7</v>
      </c>
    </row>
    <row r="162" spans="1:7" x14ac:dyDescent="0.3">
      <c r="A162" t="s">
        <v>11</v>
      </c>
      <c r="B162" s="1">
        <v>45961</v>
      </c>
      <c r="C162">
        <v>546035</v>
      </c>
      <c r="D162">
        <v>28544.353999999999</v>
      </c>
      <c r="E162" t="s">
        <v>6</v>
      </c>
      <c r="F162" t="s">
        <v>51</v>
      </c>
      <c r="G162" t="s">
        <v>7</v>
      </c>
    </row>
    <row r="163" spans="1:7" x14ac:dyDescent="0.3">
      <c r="A163" t="s">
        <v>11</v>
      </c>
      <c r="B163" s="1">
        <v>45961</v>
      </c>
      <c r="C163">
        <v>546040</v>
      </c>
      <c r="D163">
        <v>6281.9709999999995</v>
      </c>
      <c r="E163" t="s">
        <v>6</v>
      </c>
      <c r="F163" t="s">
        <v>51</v>
      </c>
      <c r="G163" t="s">
        <v>7</v>
      </c>
    </row>
    <row r="164" spans="1:7" x14ac:dyDescent="0.3">
      <c r="A164" t="s">
        <v>11</v>
      </c>
      <c r="B164" s="1">
        <v>45961</v>
      </c>
      <c r="C164">
        <v>546045</v>
      </c>
      <c r="D164">
        <v>259.77600000000001</v>
      </c>
      <c r="E164" t="s">
        <v>6</v>
      </c>
      <c r="F164" t="s">
        <v>51</v>
      </c>
      <c r="G164" t="s">
        <v>7</v>
      </c>
    </row>
    <row r="165" spans="1:7" x14ac:dyDescent="0.3">
      <c r="A165" t="s">
        <v>11</v>
      </c>
      <c r="B165" s="1">
        <v>45961</v>
      </c>
      <c r="C165">
        <v>547002</v>
      </c>
      <c r="D165">
        <v>5495.1790000000001</v>
      </c>
      <c r="E165" t="s">
        <v>6</v>
      </c>
      <c r="F165" t="s">
        <v>54</v>
      </c>
      <c r="G165" t="s">
        <v>7</v>
      </c>
    </row>
    <row r="166" spans="1:7" x14ac:dyDescent="0.3">
      <c r="A166" t="s">
        <v>11</v>
      </c>
      <c r="B166" s="1">
        <v>45961</v>
      </c>
      <c r="C166">
        <v>550003</v>
      </c>
      <c r="D166">
        <v>25122.813999999998</v>
      </c>
      <c r="E166" t="s">
        <v>6</v>
      </c>
      <c r="F166" t="s">
        <v>62</v>
      </c>
      <c r="G166" t="s">
        <v>7</v>
      </c>
    </row>
    <row r="167" spans="1:7" x14ac:dyDescent="0.3">
      <c r="A167" t="s">
        <v>11</v>
      </c>
      <c r="B167" s="1">
        <v>45961</v>
      </c>
      <c r="C167">
        <v>551003</v>
      </c>
      <c r="D167">
        <v>1512.856</v>
      </c>
      <c r="E167" t="s">
        <v>6</v>
      </c>
      <c r="F167" t="s">
        <v>63</v>
      </c>
      <c r="G167" t="s">
        <v>7</v>
      </c>
    </row>
    <row r="168" spans="1:7" x14ac:dyDescent="0.3">
      <c r="A168" t="s">
        <v>11</v>
      </c>
      <c r="B168" s="1">
        <v>45961</v>
      </c>
      <c r="C168">
        <v>552502</v>
      </c>
      <c r="D168">
        <v>749.851</v>
      </c>
      <c r="E168" t="s">
        <v>6</v>
      </c>
      <c r="F168" t="s">
        <v>55</v>
      </c>
      <c r="G168" t="s">
        <v>7</v>
      </c>
    </row>
    <row r="169" spans="1:7" x14ac:dyDescent="0.3">
      <c r="A169" t="s">
        <v>11</v>
      </c>
      <c r="B169" s="1">
        <v>45961</v>
      </c>
      <c r="C169">
        <v>555007</v>
      </c>
      <c r="D169">
        <v>792.52</v>
      </c>
      <c r="E169" t="s">
        <v>6</v>
      </c>
      <c r="F169" t="s">
        <v>55</v>
      </c>
      <c r="G169" t="s">
        <v>7</v>
      </c>
    </row>
    <row r="170" spans="1:7" x14ac:dyDescent="0.3">
      <c r="A170" t="s">
        <v>11</v>
      </c>
      <c r="B170" s="1">
        <v>45961</v>
      </c>
      <c r="C170">
        <v>556002</v>
      </c>
      <c r="D170">
        <v>472.00099999999998</v>
      </c>
      <c r="E170" t="s">
        <v>6</v>
      </c>
      <c r="F170" t="s">
        <v>60</v>
      </c>
      <c r="G170" t="s">
        <v>7</v>
      </c>
    </row>
    <row r="171" spans="1:7" x14ac:dyDescent="0.3">
      <c r="A171" t="s">
        <v>11</v>
      </c>
      <c r="B171" s="1">
        <v>45961</v>
      </c>
      <c r="C171">
        <v>556004</v>
      </c>
      <c r="D171">
        <v>11.285</v>
      </c>
      <c r="E171" t="s">
        <v>6</v>
      </c>
      <c r="F171" t="s">
        <v>55</v>
      </c>
      <c r="G171" t="s">
        <v>7</v>
      </c>
    </row>
    <row r="172" spans="1:7" x14ac:dyDescent="0.3">
      <c r="A172" t="s">
        <v>11</v>
      </c>
      <c r="B172" s="1">
        <v>45961</v>
      </c>
      <c r="C172">
        <v>557002</v>
      </c>
      <c r="D172">
        <v>2539.8760000000002</v>
      </c>
      <c r="E172" t="s">
        <v>6</v>
      </c>
      <c r="F172" t="s">
        <v>56</v>
      </c>
      <c r="G172" t="s">
        <v>7</v>
      </c>
    </row>
    <row r="173" spans="1:7" x14ac:dyDescent="0.3">
      <c r="A173" t="s">
        <v>11</v>
      </c>
      <c r="B173" s="1">
        <v>45961</v>
      </c>
      <c r="C173">
        <v>563002</v>
      </c>
      <c r="D173">
        <v>-9258.4189999999999</v>
      </c>
      <c r="E173" t="s">
        <v>6</v>
      </c>
      <c r="F173" t="s">
        <v>57</v>
      </c>
      <c r="G173" t="s">
        <v>7</v>
      </c>
    </row>
    <row r="174" spans="1:7" x14ac:dyDescent="0.3">
      <c r="A174" t="s">
        <v>11</v>
      </c>
      <c r="B174" s="1">
        <v>45961</v>
      </c>
      <c r="C174">
        <v>564004</v>
      </c>
      <c r="D174">
        <v>13179.517</v>
      </c>
      <c r="E174" t="s">
        <v>6</v>
      </c>
      <c r="F174" t="s">
        <v>51</v>
      </c>
      <c r="G174" t="s">
        <v>7</v>
      </c>
    </row>
    <row r="175" spans="1:7" x14ac:dyDescent="0.3">
      <c r="A175" t="s">
        <v>11</v>
      </c>
      <c r="B175" s="1">
        <v>45961</v>
      </c>
      <c r="C175">
        <v>564006</v>
      </c>
      <c r="D175">
        <v>7.3999999999999996E-2</v>
      </c>
      <c r="E175" t="s">
        <v>6</v>
      </c>
      <c r="F175" t="s">
        <v>57</v>
      </c>
      <c r="G175" t="s">
        <v>7</v>
      </c>
    </row>
    <row r="176" spans="1:7" x14ac:dyDescent="0.3">
      <c r="A176" t="s">
        <v>11</v>
      </c>
      <c r="B176" s="1">
        <v>45961</v>
      </c>
      <c r="C176">
        <v>564007</v>
      </c>
      <c r="D176">
        <v>1E-3</v>
      </c>
      <c r="E176" t="s">
        <v>6</v>
      </c>
      <c r="F176" t="s">
        <v>57</v>
      </c>
      <c r="G176" t="s">
        <v>7</v>
      </c>
    </row>
    <row r="177" spans="1:7" x14ac:dyDescent="0.3">
      <c r="A177" t="s">
        <v>11</v>
      </c>
      <c r="B177" s="1">
        <v>45961</v>
      </c>
      <c r="C177">
        <v>564020</v>
      </c>
      <c r="D177">
        <v>367.709</v>
      </c>
      <c r="E177" t="s">
        <v>6</v>
      </c>
      <c r="F177" t="s">
        <v>57</v>
      </c>
      <c r="G177" t="s">
        <v>7</v>
      </c>
    </row>
    <row r="178" spans="1:7" x14ac:dyDescent="0.3">
      <c r="A178" t="s">
        <v>11</v>
      </c>
      <c r="B178" s="1">
        <v>45961</v>
      </c>
      <c r="C178">
        <v>564021</v>
      </c>
      <c r="D178">
        <v>33.058</v>
      </c>
      <c r="E178" t="s">
        <v>6</v>
      </c>
      <c r="F178" t="s">
        <v>57</v>
      </c>
      <c r="G178" t="s">
        <v>7</v>
      </c>
    </row>
    <row r="179" spans="1:7" x14ac:dyDescent="0.3">
      <c r="A179" t="s">
        <v>11</v>
      </c>
      <c r="B179" s="1">
        <v>45961</v>
      </c>
      <c r="C179">
        <v>580003</v>
      </c>
      <c r="D179">
        <v>1278.787</v>
      </c>
      <c r="E179" t="s">
        <v>6</v>
      </c>
      <c r="F179" t="s">
        <v>64</v>
      </c>
      <c r="G179" t="s">
        <v>7</v>
      </c>
    </row>
    <row r="180" spans="1:7" x14ac:dyDescent="0.3">
      <c r="A180" t="s">
        <v>11</v>
      </c>
      <c r="B180" s="1">
        <v>45961</v>
      </c>
      <c r="C180">
        <v>580005</v>
      </c>
      <c r="D180">
        <v>7739.4350000000004</v>
      </c>
      <c r="E180" t="s">
        <v>6</v>
      </c>
      <c r="F180" t="s">
        <v>64</v>
      </c>
      <c r="G180" t="s">
        <v>7</v>
      </c>
    </row>
    <row r="181" spans="1:7" x14ac:dyDescent="0.3">
      <c r="A181" t="s">
        <v>12</v>
      </c>
      <c r="B181" s="1">
        <v>45961</v>
      </c>
      <c r="C181">
        <v>220006</v>
      </c>
      <c r="D181">
        <v>4148.6210000000001</v>
      </c>
      <c r="E181" t="s">
        <v>4</v>
      </c>
      <c r="F181" t="s">
        <v>42</v>
      </c>
      <c r="G181" t="s">
        <v>8</v>
      </c>
    </row>
    <row r="182" spans="1:7" x14ac:dyDescent="0.3">
      <c r="A182" t="s">
        <v>12</v>
      </c>
      <c r="B182" s="1">
        <v>45961</v>
      </c>
      <c r="C182">
        <v>240002</v>
      </c>
      <c r="D182">
        <v>-61.417000000000002</v>
      </c>
      <c r="E182" t="s">
        <v>4</v>
      </c>
      <c r="F182" t="s">
        <v>43</v>
      </c>
      <c r="G182" t="s">
        <v>8</v>
      </c>
    </row>
    <row r="183" spans="1:7" x14ac:dyDescent="0.3">
      <c r="A183" t="s">
        <v>12</v>
      </c>
      <c r="B183" s="1">
        <v>45961</v>
      </c>
      <c r="C183">
        <v>243002</v>
      </c>
      <c r="D183">
        <v>-979.61900000000003</v>
      </c>
      <c r="E183" t="s">
        <v>4</v>
      </c>
      <c r="F183" t="s">
        <v>43</v>
      </c>
      <c r="G183" t="s">
        <v>8</v>
      </c>
    </row>
    <row r="184" spans="1:7" x14ac:dyDescent="0.3">
      <c r="A184" t="s">
        <v>12</v>
      </c>
      <c r="B184" s="1">
        <v>45961</v>
      </c>
      <c r="C184">
        <v>330143</v>
      </c>
      <c r="D184">
        <v>-2323.4839999999999</v>
      </c>
      <c r="E184" t="s">
        <v>4</v>
      </c>
      <c r="F184" t="s">
        <v>43</v>
      </c>
      <c r="G184" t="s">
        <v>8</v>
      </c>
    </row>
    <row r="185" spans="1:7" x14ac:dyDescent="0.3">
      <c r="A185" t="s">
        <v>12</v>
      </c>
      <c r="B185" s="1">
        <v>45961</v>
      </c>
      <c r="C185">
        <v>372004</v>
      </c>
      <c r="D185">
        <v>403.625</v>
      </c>
      <c r="E185" t="s">
        <v>4</v>
      </c>
      <c r="F185" t="s">
        <v>45</v>
      </c>
      <c r="G185" t="s">
        <v>8</v>
      </c>
    </row>
    <row r="186" spans="1:7" x14ac:dyDescent="0.3">
      <c r="A186" t="s">
        <v>12</v>
      </c>
      <c r="B186" s="1">
        <v>45961</v>
      </c>
      <c r="C186">
        <v>557002</v>
      </c>
      <c r="D186">
        <v>-1179.326</v>
      </c>
      <c r="E186" t="s">
        <v>6</v>
      </c>
      <c r="F186" t="s">
        <v>56</v>
      </c>
      <c r="G186" t="s">
        <v>8</v>
      </c>
    </row>
    <row r="187" spans="1:7" x14ac:dyDescent="0.3">
      <c r="A187" t="s">
        <v>13</v>
      </c>
      <c r="B187" s="1">
        <v>45961</v>
      </c>
      <c r="C187">
        <v>210002</v>
      </c>
      <c r="D187">
        <v>-12689.37</v>
      </c>
      <c r="E187" t="s">
        <v>4</v>
      </c>
      <c r="F187" t="s">
        <v>42</v>
      </c>
      <c r="G187" t="s">
        <v>8</v>
      </c>
    </row>
    <row r="188" spans="1:7" x14ac:dyDescent="0.3">
      <c r="A188" t="s">
        <v>13</v>
      </c>
      <c r="B188" s="1">
        <v>45961</v>
      </c>
      <c r="C188">
        <v>220004</v>
      </c>
      <c r="D188">
        <v>-1901.796</v>
      </c>
      <c r="E188" t="s">
        <v>4</v>
      </c>
      <c r="F188" t="s">
        <v>42</v>
      </c>
      <c r="G188" t="s">
        <v>8</v>
      </c>
    </row>
    <row r="189" spans="1:7" x14ac:dyDescent="0.3">
      <c r="A189" t="s">
        <v>13</v>
      </c>
      <c r="B189" s="1">
        <v>45961</v>
      </c>
      <c r="C189">
        <v>220006</v>
      </c>
      <c r="D189">
        <v>-668421.05000000005</v>
      </c>
      <c r="E189" t="s">
        <v>4</v>
      </c>
      <c r="F189" t="s">
        <v>42</v>
      </c>
      <c r="G189" t="s">
        <v>8</v>
      </c>
    </row>
    <row r="190" spans="1:7" x14ac:dyDescent="0.3">
      <c r="A190" t="s">
        <v>13</v>
      </c>
      <c r="B190" s="1">
        <v>45961</v>
      </c>
      <c r="C190">
        <v>220011</v>
      </c>
      <c r="D190">
        <v>-6.7489999999999997</v>
      </c>
      <c r="E190" t="s">
        <v>4</v>
      </c>
      <c r="F190" t="s">
        <v>42</v>
      </c>
      <c r="G190" t="s">
        <v>8</v>
      </c>
    </row>
    <row r="191" spans="1:7" x14ac:dyDescent="0.3">
      <c r="A191" t="s">
        <v>13</v>
      </c>
      <c r="B191" s="1">
        <v>45961</v>
      </c>
      <c r="C191">
        <v>240002</v>
      </c>
      <c r="D191">
        <v>-40851.555</v>
      </c>
      <c r="E191" t="s">
        <v>4</v>
      </c>
      <c r="F191" t="s">
        <v>43</v>
      </c>
      <c r="G191" t="s">
        <v>8</v>
      </c>
    </row>
    <row r="192" spans="1:7" x14ac:dyDescent="0.3">
      <c r="A192" t="s">
        <v>13</v>
      </c>
      <c r="B192" s="1">
        <v>45961</v>
      </c>
      <c r="C192">
        <v>240009</v>
      </c>
      <c r="D192">
        <v>-493.762</v>
      </c>
      <c r="E192" t="s">
        <v>4</v>
      </c>
      <c r="F192" t="s">
        <v>43</v>
      </c>
      <c r="G192" t="s">
        <v>8</v>
      </c>
    </row>
    <row r="193" spans="1:7" x14ac:dyDescent="0.3">
      <c r="A193" t="s">
        <v>13</v>
      </c>
      <c r="B193" s="1">
        <v>45961</v>
      </c>
      <c r="C193">
        <v>242003</v>
      </c>
      <c r="D193">
        <v>-49625.750999999997</v>
      </c>
      <c r="E193" t="s">
        <v>4</v>
      </c>
      <c r="F193" t="s">
        <v>43</v>
      </c>
      <c r="G193" t="s">
        <v>8</v>
      </c>
    </row>
    <row r="194" spans="1:7" x14ac:dyDescent="0.3">
      <c r="A194" t="s">
        <v>13</v>
      </c>
      <c r="B194" s="1">
        <v>45961</v>
      </c>
      <c r="C194">
        <v>242011</v>
      </c>
      <c r="D194">
        <v>-1516.1179999999999</v>
      </c>
      <c r="E194" t="s">
        <v>4</v>
      </c>
      <c r="F194" t="s">
        <v>43</v>
      </c>
      <c r="G194" t="s">
        <v>8</v>
      </c>
    </row>
    <row r="195" spans="1:7" x14ac:dyDescent="0.3">
      <c r="A195" t="s">
        <v>13</v>
      </c>
      <c r="B195" s="1">
        <v>45961</v>
      </c>
      <c r="C195">
        <v>242023</v>
      </c>
      <c r="D195">
        <v>-5871.73</v>
      </c>
      <c r="E195" t="s">
        <v>4</v>
      </c>
      <c r="F195" t="s">
        <v>43</v>
      </c>
      <c r="G195" t="s">
        <v>8</v>
      </c>
    </row>
    <row r="196" spans="1:7" x14ac:dyDescent="0.3">
      <c r="A196" t="s">
        <v>13</v>
      </c>
      <c r="B196" s="1">
        <v>45961</v>
      </c>
      <c r="C196">
        <v>242027</v>
      </c>
      <c r="D196">
        <v>-2641.8440000000001</v>
      </c>
      <c r="E196" t="s">
        <v>4</v>
      </c>
      <c r="F196" t="s">
        <v>43</v>
      </c>
      <c r="G196" t="s">
        <v>8</v>
      </c>
    </row>
    <row r="197" spans="1:7" x14ac:dyDescent="0.3">
      <c r="A197" t="s">
        <v>13</v>
      </c>
      <c r="B197" s="1">
        <v>45961</v>
      </c>
      <c r="C197">
        <v>242030</v>
      </c>
      <c r="D197">
        <v>-462.86799999999999</v>
      </c>
      <c r="E197" t="s">
        <v>4</v>
      </c>
      <c r="F197" t="s">
        <v>43</v>
      </c>
      <c r="G197" t="s">
        <v>8</v>
      </c>
    </row>
    <row r="198" spans="1:7" x14ac:dyDescent="0.3">
      <c r="A198" t="s">
        <v>13</v>
      </c>
      <c r="B198" s="1">
        <v>45961</v>
      </c>
      <c r="C198">
        <v>242036</v>
      </c>
      <c r="D198">
        <v>-6773.5680000000002</v>
      </c>
      <c r="E198" t="s">
        <v>4</v>
      </c>
      <c r="F198" t="s">
        <v>43</v>
      </c>
      <c r="G198" t="s">
        <v>8</v>
      </c>
    </row>
    <row r="199" spans="1:7" x14ac:dyDescent="0.3">
      <c r="A199" t="s">
        <v>13</v>
      </c>
      <c r="B199" s="1">
        <v>45961</v>
      </c>
      <c r="C199">
        <v>242039</v>
      </c>
      <c r="D199">
        <v>-10626.837</v>
      </c>
      <c r="E199" t="s">
        <v>4</v>
      </c>
      <c r="F199" t="s">
        <v>43</v>
      </c>
      <c r="G199" t="s">
        <v>8</v>
      </c>
    </row>
    <row r="200" spans="1:7" x14ac:dyDescent="0.3">
      <c r="A200" t="s">
        <v>13</v>
      </c>
      <c r="B200" s="1">
        <v>45961</v>
      </c>
      <c r="C200">
        <v>242040</v>
      </c>
      <c r="D200">
        <v>-1467.021</v>
      </c>
      <c r="E200" t="s">
        <v>4</v>
      </c>
      <c r="F200" t="s">
        <v>43</v>
      </c>
      <c r="G200" t="s">
        <v>8</v>
      </c>
    </row>
    <row r="201" spans="1:7" x14ac:dyDescent="0.3">
      <c r="A201" t="s">
        <v>13</v>
      </c>
      <c r="B201" s="1">
        <v>45961</v>
      </c>
      <c r="C201">
        <v>242041</v>
      </c>
      <c r="D201">
        <v>-99.885999999999996</v>
      </c>
      <c r="E201" t="s">
        <v>4</v>
      </c>
      <c r="F201" t="s">
        <v>43</v>
      </c>
      <c r="G201" t="s">
        <v>8</v>
      </c>
    </row>
    <row r="202" spans="1:7" x14ac:dyDescent="0.3">
      <c r="A202" t="s">
        <v>13</v>
      </c>
      <c r="B202" s="1">
        <v>45961</v>
      </c>
      <c r="C202">
        <v>243002</v>
      </c>
      <c r="D202">
        <v>-46726.574000000001</v>
      </c>
      <c r="E202" t="s">
        <v>4</v>
      </c>
      <c r="F202" t="s">
        <v>43</v>
      </c>
      <c r="G202" t="s">
        <v>8</v>
      </c>
    </row>
    <row r="203" spans="1:7" x14ac:dyDescent="0.3">
      <c r="A203" t="s">
        <v>13</v>
      </c>
      <c r="B203" s="1">
        <v>45961</v>
      </c>
      <c r="C203">
        <v>243011</v>
      </c>
      <c r="D203">
        <v>-1268.8900000000001</v>
      </c>
      <c r="E203" t="s">
        <v>4</v>
      </c>
      <c r="F203" t="s">
        <v>43</v>
      </c>
      <c r="G203" t="s">
        <v>8</v>
      </c>
    </row>
    <row r="204" spans="1:7" x14ac:dyDescent="0.3">
      <c r="A204" t="s">
        <v>13</v>
      </c>
      <c r="B204" s="1">
        <v>45961</v>
      </c>
      <c r="C204">
        <v>245010</v>
      </c>
      <c r="D204">
        <v>-9431.5049999999992</v>
      </c>
      <c r="E204" t="s">
        <v>4</v>
      </c>
      <c r="F204" t="s">
        <v>44</v>
      </c>
      <c r="G204" t="s">
        <v>8</v>
      </c>
    </row>
    <row r="205" spans="1:7" x14ac:dyDescent="0.3">
      <c r="A205" t="s">
        <v>13</v>
      </c>
      <c r="B205" s="1">
        <v>45961</v>
      </c>
      <c r="C205">
        <v>245049</v>
      </c>
      <c r="D205">
        <v>-224.60300000000001</v>
      </c>
      <c r="E205" t="s">
        <v>4</v>
      </c>
      <c r="F205" t="s">
        <v>43</v>
      </c>
      <c r="G205" t="s">
        <v>8</v>
      </c>
    </row>
    <row r="206" spans="1:7" x14ac:dyDescent="0.3">
      <c r="A206" t="s">
        <v>13</v>
      </c>
      <c r="B206" s="1">
        <v>45961</v>
      </c>
      <c r="C206">
        <v>245062</v>
      </c>
      <c r="D206">
        <v>-1125.42</v>
      </c>
      <c r="E206" t="s">
        <v>4</v>
      </c>
      <c r="F206" t="s">
        <v>43</v>
      </c>
      <c r="G206" t="s">
        <v>8</v>
      </c>
    </row>
    <row r="207" spans="1:7" x14ac:dyDescent="0.3">
      <c r="A207" t="s">
        <v>13</v>
      </c>
      <c r="B207" s="1">
        <v>45961</v>
      </c>
      <c r="C207">
        <v>250003</v>
      </c>
      <c r="D207">
        <v>-9749.4470000000001</v>
      </c>
      <c r="E207" t="s">
        <v>4</v>
      </c>
      <c r="F207" t="s">
        <v>45</v>
      </c>
      <c r="G207" t="s">
        <v>8</v>
      </c>
    </row>
    <row r="208" spans="1:7" x14ac:dyDescent="0.3">
      <c r="A208" t="s">
        <v>13</v>
      </c>
      <c r="B208" s="1">
        <v>45961</v>
      </c>
      <c r="C208">
        <v>251002</v>
      </c>
      <c r="D208">
        <v>-8212.4320000000007</v>
      </c>
      <c r="E208" t="s">
        <v>4</v>
      </c>
      <c r="F208" t="s">
        <v>45</v>
      </c>
      <c r="G208" t="s">
        <v>8</v>
      </c>
    </row>
    <row r="209" spans="1:7" x14ac:dyDescent="0.3">
      <c r="A209" t="s">
        <v>13</v>
      </c>
      <c r="B209" s="1">
        <v>45961</v>
      </c>
      <c r="C209">
        <v>251003</v>
      </c>
      <c r="D209">
        <v>-95920.176999999996</v>
      </c>
      <c r="E209" t="s">
        <v>4</v>
      </c>
      <c r="F209" t="s">
        <v>45</v>
      </c>
      <c r="G209" t="s">
        <v>8</v>
      </c>
    </row>
    <row r="210" spans="1:7" x14ac:dyDescent="0.3">
      <c r="A210" t="s">
        <v>13</v>
      </c>
      <c r="B210" s="1">
        <v>45961</v>
      </c>
      <c r="C210">
        <v>257014</v>
      </c>
      <c r="D210">
        <v>2139.4279999999999</v>
      </c>
      <c r="E210" t="s">
        <v>4</v>
      </c>
      <c r="F210" t="s">
        <v>45</v>
      </c>
      <c r="G210" t="s">
        <v>8</v>
      </c>
    </row>
    <row r="211" spans="1:7" x14ac:dyDescent="0.3">
      <c r="A211" t="s">
        <v>13</v>
      </c>
      <c r="B211" s="1">
        <v>45961</v>
      </c>
      <c r="C211">
        <v>257022</v>
      </c>
      <c r="D211">
        <v>22812.273000000001</v>
      </c>
      <c r="E211" t="s">
        <v>4</v>
      </c>
      <c r="F211" t="s">
        <v>45</v>
      </c>
      <c r="G211" t="s">
        <v>8</v>
      </c>
    </row>
    <row r="212" spans="1:7" x14ac:dyDescent="0.3">
      <c r="A212" t="s">
        <v>13</v>
      </c>
      <c r="B212" s="1">
        <v>45961</v>
      </c>
      <c r="C212">
        <v>257027</v>
      </c>
      <c r="D212">
        <v>41233.517</v>
      </c>
      <c r="E212" t="s">
        <v>4</v>
      </c>
      <c r="F212" t="s">
        <v>45</v>
      </c>
      <c r="G212" t="s">
        <v>8</v>
      </c>
    </row>
    <row r="213" spans="1:7" x14ac:dyDescent="0.3">
      <c r="A213" t="s">
        <v>13</v>
      </c>
      <c r="B213" s="1">
        <v>45961</v>
      </c>
      <c r="C213">
        <v>257030</v>
      </c>
      <c r="D213">
        <v>-77521.603000000003</v>
      </c>
      <c r="E213" t="s">
        <v>4</v>
      </c>
      <c r="F213" t="s">
        <v>45</v>
      </c>
      <c r="G213" t="s">
        <v>8</v>
      </c>
    </row>
    <row r="214" spans="1:7" x14ac:dyDescent="0.3">
      <c r="A214" t="s">
        <v>13</v>
      </c>
      <c r="B214" s="1">
        <v>45961</v>
      </c>
      <c r="C214">
        <v>260004</v>
      </c>
      <c r="D214">
        <v>-379476.94900000002</v>
      </c>
      <c r="E214" t="s">
        <v>4</v>
      </c>
      <c r="F214" t="s">
        <v>45</v>
      </c>
      <c r="G214" t="s">
        <v>8</v>
      </c>
    </row>
    <row r="215" spans="1:7" x14ac:dyDescent="0.3">
      <c r="A215" t="s">
        <v>13</v>
      </c>
      <c r="B215" s="1">
        <v>45961</v>
      </c>
      <c r="C215">
        <v>260051</v>
      </c>
      <c r="D215">
        <v>-179884.916</v>
      </c>
      <c r="E215" t="s">
        <v>4</v>
      </c>
      <c r="F215" t="s">
        <v>45</v>
      </c>
      <c r="G215" t="s">
        <v>8</v>
      </c>
    </row>
    <row r="216" spans="1:7" x14ac:dyDescent="0.3">
      <c r="A216" t="s">
        <v>13</v>
      </c>
      <c r="B216" s="1">
        <v>45961</v>
      </c>
      <c r="C216">
        <v>300004</v>
      </c>
      <c r="D216">
        <v>2817.2249999999999</v>
      </c>
      <c r="E216" t="s">
        <v>4</v>
      </c>
      <c r="F216" t="s">
        <v>65</v>
      </c>
      <c r="G216" t="s">
        <v>8</v>
      </c>
    </row>
    <row r="217" spans="1:7" x14ac:dyDescent="0.3">
      <c r="A217" t="s">
        <v>13</v>
      </c>
      <c r="B217" s="1">
        <v>45961</v>
      </c>
      <c r="C217">
        <v>300005</v>
      </c>
      <c r="D217">
        <v>1506.5909999999999</v>
      </c>
      <c r="E217" t="s">
        <v>4</v>
      </c>
      <c r="F217" t="s">
        <v>65</v>
      </c>
      <c r="G217" t="s">
        <v>8</v>
      </c>
    </row>
    <row r="218" spans="1:7" x14ac:dyDescent="0.3">
      <c r="A218" t="s">
        <v>13</v>
      </c>
      <c r="B218" s="1">
        <v>45961</v>
      </c>
      <c r="C218">
        <v>300008</v>
      </c>
      <c r="D218">
        <v>1869.925</v>
      </c>
      <c r="E218" t="s">
        <v>4</v>
      </c>
      <c r="F218" t="s">
        <v>65</v>
      </c>
      <c r="G218" t="s">
        <v>8</v>
      </c>
    </row>
    <row r="219" spans="1:7" x14ac:dyDescent="0.3">
      <c r="A219" t="s">
        <v>13</v>
      </c>
      <c r="B219" s="1">
        <v>45961</v>
      </c>
      <c r="C219">
        <v>300011</v>
      </c>
      <c r="D219">
        <v>151.76499999999999</v>
      </c>
      <c r="E219" t="s">
        <v>4</v>
      </c>
      <c r="F219" t="s">
        <v>65</v>
      </c>
      <c r="G219" t="s">
        <v>8</v>
      </c>
    </row>
    <row r="220" spans="1:7" x14ac:dyDescent="0.3">
      <c r="A220" t="s">
        <v>13</v>
      </c>
      <c r="B220" s="1">
        <v>45961</v>
      </c>
      <c r="C220">
        <v>300012</v>
      </c>
      <c r="D220">
        <v>973.44299999999998</v>
      </c>
      <c r="E220" t="s">
        <v>4</v>
      </c>
      <c r="F220" t="s">
        <v>65</v>
      </c>
      <c r="G220" t="s">
        <v>8</v>
      </c>
    </row>
    <row r="221" spans="1:7" x14ac:dyDescent="0.3">
      <c r="A221" t="s">
        <v>13</v>
      </c>
      <c r="B221" s="1">
        <v>45961</v>
      </c>
      <c r="C221">
        <v>300504</v>
      </c>
      <c r="D221">
        <v>-2607.3980000000001</v>
      </c>
      <c r="E221" t="s">
        <v>4</v>
      </c>
      <c r="F221" t="s">
        <v>65</v>
      </c>
      <c r="G221" t="s">
        <v>8</v>
      </c>
    </row>
    <row r="222" spans="1:7" x14ac:dyDescent="0.3">
      <c r="A222" t="s">
        <v>13</v>
      </c>
      <c r="B222" s="1">
        <v>45961</v>
      </c>
      <c r="C222">
        <v>300505</v>
      </c>
      <c r="D222">
        <v>-1365.1210000000001</v>
      </c>
      <c r="E222" t="s">
        <v>4</v>
      </c>
      <c r="F222" t="s">
        <v>65</v>
      </c>
      <c r="G222" t="s">
        <v>8</v>
      </c>
    </row>
    <row r="223" spans="1:7" x14ac:dyDescent="0.3">
      <c r="A223" t="s">
        <v>13</v>
      </c>
      <c r="B223" s="1">
        <v>45961</v>
      </c>
      <c r="C223">
        <v>300508</v>
      </c>
      <c r="D223">
        <v>-1819.7760000000001</v>
      </c>
      <c r="E223" t="s">
        <v>4</v>
      </c>
      <c r="F223" t="s">
        <v>65</v>
      </c>
      <c r="G223" t="s">
        <v>8</v>
      </c>
    </row>
    <row r="224" spans="1:7" x14ac:dyDescent="0.3">
      <c r="A224" t="s">
        <v>13</v>
      </c>
      <c r="B224" s="1">
        <v>45961</v>
      </c>
      <c r="C224">
        <v>300511</v>
      </c>
      <c r="D224">
        <v>-151.76499999999999</v>
      </c>
      <c r="E224" t="s">
        <v>4</v>
      </c>
      <c r="F224" t="s">
        <v>65</v>
      </c>
      <c r="G224" t="s">
        <v>8</v>
      </c>
    </row>
    <row r="225" spans="1:7" x14ac:dyDescent="0.3">
      <c r="A225" t="s">
        <v>13</v>
      </c>
      <c r="B225" s="1">
        <v>45961</v>
      </c>
      <c r="C225">
        <v>300512</v>
      </c>
      <c r="D225">
        <v>-973.44299999999998</v>
      </c>
      <c r="E225" t="s">
        <v>4</v>
      </c>
      <c r="F225" t="s">
        <v>65</v>
      </c>
      <c r="G225" t="s">
        <v>8</v>
      </c>
    </row>
    <row r="226" spans="1:7" x14ac:dyDescent="0.3">
      <c r="A226" t="s">
        <v>13</v>
      </c>
      <c r="B226" s="1">
        <v>45961</v>
      </c>
      <c r="C226">
        <v>301004</v>
      </c>
      <c r="D226">
        <v>2918.5549999999998</v>
      </c>
      <c r="E226" t="s">
        <v>4</v>
      </c>
      <c r="F226" t="s">
        <v>65</v>
      </c>
      <c r="G226" t="s">
        <v>8</v>
      </c>
    </row>
    <row r="227" spans="1:7" x14ac:dyDescent="0.3">
      <c r="A227" t="s">
        <v>13</v>
      </c>
      <c r="B227" s="1">
        <v>45961</v>
      </c>
      <c r="C227">
        <v>301504</v>
      </c>
      <c r="D227">
        <v>-2918.5549999999998</v>
      </c>
      <c r="E227" t="s">
        <v>4</v>
      </c>
      <c r="F227" t="s">
        <v>65</v>
      </c>
      <c r="G227" t="s">
        <v>8</v>
      </c>
    </row>
    <row r="228" spans="1:7" x14ac:dyDescent="0.3">
      <c r="A228" t="s">
        <v>13</v>
      </c>
      <c r="B228" s="1">
        <v>45961</v>
      </c>
      <c r="C228">
        <v>320002</v>
      </c>
      <c r="D228">
        <v>28656.797999999999</v>
      </c>
      <c r="E228" t="s">
        <v>4</v>
      </c>
      <c r="F228" t="s">
        <v>46</v>
      </c>
      <c r="G228" t="s">
        <v>8</v>
      </c>
    </row>
    <row r="229" spans="1:7" x14ac:dyDescent="0.3">
      <c r="A229" t="s">
        <v>13</v>
      </c>
      <c r="B229" s="1">
        <v>45961</v>
      </c>
      <c r="C229">
        <v>320003</v>
      </c>
      <c r="D229">
        <v>246044.64300000001</v>
      </c>
      <c r="E229" t="s">
        <v>4</v>
      </c>
      <c r="F229" t="s">
        <v>46</v>
      </c>
      <c r="G229" t="s">
        <v>8</v>
      </c>
    </row>
    <row r="230" spans="1:7" x14ac:dyDescent="0.3">
      <c r="A230" t="s">
        <v>13</v>
      </c>
      <c r="B230" s="1">
        <v>45961</v>
      </c>
      <c r="C230">
        <v>320004</v>
      </c>
      <c r="D230">
        <v>426.09100000000001</v>
      </c>
      <c r="E230" t="s">
        <v>4</v>
      </c>
      <c r="F230" t="s">
        <v>46</v>
      </c>
      <c r="G230" t="s">
        <v>8</v>
      </c>
    </row>
    <row r="231" spans="1:7" x14ac:dyDescent="0.3">
      <c r="A231" t="s">
        <v>13</v>
      </c>
      <c r="B231" s="1">
        <v>45961</v>
      </c>
      <c r="C231">
        <v>320019</v>
      </c>
      <c r="D231">
        <v>21.984000000000002</v>
      </c>
      <c r="E231" t="s">
        <v>4</v>
      </c>
      <c r="F231" t="s">
        <v>46</v>
      </c>
      <c r="G231" t="s">
        <v>8</v>
      </c>
    </row>
    <row r="232" spans="1:7" x14ac:dyDescent="0.3">
      <c r="A232" t="s">
        <v>13</v>
      </c>
      <c r="B232" s="1">
        <v>45961</v>
      </c>
      <c r="C232">
        <v>320023</v>
      </c>
      <c r="D232">
        <v>-26.381</v>
      </c>
      <c r="E232" t="s">
        <v>4</v>
      </c>
      <c r="F232" t="s">
        <v>46</v>
      </c>
      <c r="G232" t="s">
        <v>8</v>
      </c>
    </row>
    <row r="233" spans="1:7" x14ac:dyDescent="0.3">
      <c r="A233" t="s">
        <v>13</v>
      </c>
      <c r="B233" s="1">
        <v>45961</v>
      </c>
      <c r="C233">
        <v>321002</v>
      </c>
      <c r="D233">
        <v>-89651.441000000006</v>
      </c>
      <c r="E233" t="s">
        <v>4</v>
      </c>
      <c r="F233" t="s">
        <v>46</v>
      </c>
      <c r="G233" t="s">
        <v>8</v>
      </c>
    </row>
    <row r="234" spans="1:7" x14ac:dyDescent="0.3">
      <c r="A234" t="s">
        <v>13</v>
      </c>
      <c r="B234" s="1">
        <v>45961</v>
      </c>
      <c r="C234">
        <v>321029</v>
      </c>
      <c r="D234">
        <v>1981.335</v>
      </c>
      <c r="E234" t="s">
        <v>4</v>
      </c>
      <c r="F234" t="s">
        <v>46</v>
      </c>
      <c r="G234" t="s">
        <v>8</v>
      </c>
    </row>
    <row r="235" spans="1:7" x14ac:dyDescent="0.3">
      <c r="A235" t="s">
        <v>13</v>
      </c>
      <c r="B235" s="1">
        <v>45961</v>
      </c>
      <c r="C235">
        <v>331017</v>
      </c>
      <c r="D235">
        <v>-22820.34</v>
      </c>
      <c r="E235" t="s">
        <v>4</v>
      </c>
      <c r="F235" t="s">
        <v>43</v>
      </c>
      <c r="G235" t="s">
        <v>8</v>
      </c>
    </row>
    <row r="236" spans="1:7" x14ac:dyDescent="0.3">
      <c r="A236" t="s">
        <v>13</v>
      </c>
      <c r="B236" s="1">
        <v>45961</v>
      </c>
      <c r="C236">
        <v>340112</v>
      </c>
      <c r="D236">
        <v>245719.14799999999</v>
      </c>
      <c r="E236" t="s">
        <v>4</v>
      </c>
      <c r="F236" t="s">
        <v>47</v>
      </c>
      <c r="G236" t="s">
        <v>8</v>
      </c>
    </row>
    <row r="237" spans="1:7" x14ac:dyDescent="0.3">
      <c r="A237" t="s">
        <v>13</v>
      </c>
      <c r="B237" s="1">
        <v>45961</v>
      </c>
      <c r="C237">
        <v>340113</v>
      </c>
      <c r="D237">
        <v>12643066.573000001</v>
      </c>
      <c r="E237" t="s">
        <v>4</v>
      </c>
      <c r="F237" t="s">
        <v>47</v>
      </c>
      <c r="G237" t="s">
        <v>8</v>
      </c>
    </row>
    <row r="238" spans="1:7" x14ac:dyDescent="0.3">
      <c r="A238" t="s">
        <v>13</v>
      </c>
      <c r="B238" s="1">
        <v>45961</v>
      </c>
      <c r="C238">
        <v>340114</v>
      </c>
      <c r="D238">
        <v>-12146514.393999999</v>
      </c>
      <c r="E238" t="s">
        <v>4</v>
      </c>
      <c r="F238" t="s">
        <v>47</v>
      </c>
      <c r="G238" t="s">
        <v>8</v>
      </c>
    </row>
    <row r="239" spans="1:7" x14ac:dyDescent="0.3">
      <c r="A239" t="s">
        <v>13</v>
      </c>
      <c r="B239" s="1">
        <v>45961</v>
      </c>
      <c r="C239">
        <v>340122</v>
      </c>
      <c r="D239">
        <v>1815.3130000000001</v>
      </c>
      <c r="E239" t="s">
        <v>4</v>
      </c>
      <c r="F239" t="s">
        <v>47</v>
      </c>
      <c r="G239" t="s">
        <v>8</v>
      </c>
    </row>
    <row r="240" spans="1:7" x14ac:dyDescent="0.3">
      <c r="A240" t="s">
        <v>13</v>
      </c>
      <c r="B240" s="1">
        <v>45961</v>
      </c>
      <c r="C240">
        <v>340123</v>
      </c>
      <c r="D240">
        <v>8383.6759999999995</v>
      </c>
      <c r="E240" t="s">
        <v>4</v>
      </c>
      <c r="F240" t="s">
        <v>47</v>
      </c>
      <c r="G240" t="s">
        <v>8</v>
      </c>
    </row>
    <row r="241" spans="1:7" x14ac:dyDescent="0.3">
      <c r="A241" t="s">
        <v>13</v>
      </c>
      <c r="B241" s="1">
        <v>45961</v>
      </c>
      <c r="C241">
        <v>340124</v>
      </c>
      <c r="D241">
        <v>-10198.989</v>
      </c>
      <c r="E241" t="s">
        <v>4</v>
      </c>
      <c r="F241" t="s">
        <v>47</v>
      </c>
      <c r="G241" t="s">
        <v>8</v>
      </c>
    </row>
    <row r="242" spans="1:7" x14ac:dyDescent="0.3">
      <c r="A242" t="s">
        <v>13</v>
      </c>
      <c r="B242" s="1">
        <v>45961</v>
      </c>
      <c r="C242">
        <v>350003</v>
      </c>
      <c r="D242">
        <v>-296.25099999999998</v>
      </c>
      <c r="E242" t="s">
        <v>4</v>
      </c>
      <c r="F242" t="s">
        <v>49</v>
      </c>
      <c r="G242" t="s">
        <v>8</v>
      </c>
    </row>
    <row r="243" spans="1:7" x14ac:dyDescent="0.3">
      <c r="A243" t="s">
        <v>13</v>
      </c>
      <c r="B243" s="1">
        <v>45961</v>
      </c>
      <c r="C243">
        <v>350031</v>
      </c>
      <c r="D243">
        <v>493.762</v>
      </c>
      <c r="E243" t="s">
        <v>4</v>
      </c>
      <c r="F243" t="s">
        <v>43</v>
      </c>
      <c r="G243" t="s">
        <v>8</v>
      </c>
    </row>
    <row r="244" spans="1:7" x14ac:dyDescent="0.3">
      <c r="A244" t="s">
        <v>13</v>
      </c>
      <c r="B244" s="1">
        <v>45961</v>
      </c>
      <c r="C244">
        <v>352002</v>
      </c>
      <c r="D244">
        <v>182.57499999999999</v>
      </c>
      <c r="E244" t="s">
        <v>4</v>
      </c>
      <c r="F244" t="s">
        <v>48</v>
      </c>
      <c r="G244" t="s">
        <v>8</v>
      </c>
    </row>
    <row r="245" spans="1:7" x14ac:dyDescent="0.3">
      <c r="A245" t="s">
        <v>13</v>
      </c>
      <c r="B245" s="1">
        <v>45961</v>
      </c>
      <c r="C245">
        <v>354015</v>
      </c>
      <c r="D245">
        <v>97.453999999999994</v>
      </c>
      <c r="E245" t="s">
        <v>4</v>
      </c>
      <c r="F245" t="s">
        <v>46</v>
      </c>
      <c r="G245" t="s">
        <v>8</v>
      </c>
    </row>
    <row r="246" spans="1:7" x14ac:dyDescent="0.3">
      <c r="A246" t="s">
        <v>13</v>
      </c>
      <c r="B246" s="1">
        <v>45961</v>
      </c>
      <c r="C246">
        <v>355009</v>
      </c>
      <c r="D246">
        <v>51087.021000000001</v>
      </c>
      <c r="E246" t="s">
        <v>4</v>
      </c>
      <c r="F246" t="s">
        <v>49</v>
      </c>
      <c r="G246" t="s">
        <v>8</v>
      </c>
    </row>
    <row r="247" spans="1:7" x14ac:dyDescent="0.3">
      <c r="A247" t="s">
        <v>13</v>
      </c>
      <c r="B247" s="1">
        <v>45961</v>
      </c>
      <c r="C247">
        <v>355017</v>
      </c>
      <c r="D247">
        <v>82757.577000000005</v>
      </c>
      <c r="E247" t="s">
        <v>4</v>
      </c>
      <c r="F247" t="s">
        <v>49</v>
      </c>
      <c r="G247" t="s">
        <v>8</v>
      </c>
    </row>
    <row r="248" spans="1:7" x14ac:dyDescent="0.3">
      <c r="A248" t="s">
        <v>13</v>
      </c>
      <c r="B248" s="1">
        <v>45961</v>
      </c>
      <c r="C248">
        <v>372004</v>
      </c>
      <c r="D248">
        <v>497432.75799999997</v>
      </c>
      <c r="E248" t="s">
        <v>4</v>
      </c>
      <c r="F248" t="s">
        <v>45</v>
      </c>
      <c r="G248" t="s">
        <v>8</v>
      </c>
    </row>
    <row r="249" spans="1:7" x14ac:dyDescent="0.3">
      <c r="A249" t="s">
        <v>13</v>
      </c>
      <c r="B249" s="1">
        <v>45961</v>
      </c>
      <c r="C249">
        <v>400002</v>
      </c>
      <c r="D249">
        <v>-705.524</v>
      </c>
      <c r="E249" t="s">
        <v>6</v>
      </c>
      <c r="F249" t="s">
        <v>50</v>
      </c>
      <c r="G249" t="s">
        <v>8</v>
      </c>
    </row>
    <row r="250" spans="1:7" x14ac:dyDescent="0.3">
      <c r="A250" t="s">
        <v>13</v>
      </c>
      <c r="B250" s="1">
        <v>45961</v>
      </c>
      <c r="C250">
        <v>400004</v>
      </c>
      <c r="D250">
        <v>-103027.568</v>
      </c>
      <c r="E250" t="s">
        <v>6</v>
      </c>
      <c r="F250" t="s">
        <v>50</v>
      </c>
      <c r="G250" t="s">
        <v>8</v>
      </c>
    </row>
    <row r="251" spans="1:7" x14ac:dyDescent="0.3">
      <c r="A251" t="s">
        <v>13</v>
      </c>
      <c r="B251" s="1">
        <v>45961</v>
      </c>
      <c r="C251">
        <v>410002</v>
      </c>
      <c r="D251">
        <v>41601.315999999999</v>
      </c>
      <c r="E251" t="s">
        <v>6</v>
      </c>
      <c r="F251" t="s">
        <v>51</v>
      </c>
      <c r="G251" t="s">
        <v>8</v>
      </c>
    </row>
    <row r="252" spans="1:7" x14ac:dyDescent="0.3">
      <c r="A252" t="s">
        <v>13</v>
      </c>
      <c r="B252" s="1">
        <v>45961</v>
      </c>
      <c r="C252">
        <v>410037</v>
      </c>
      <c r="D252">
        <v>-9465.8109999999997</v>
      </c>
      <c r="E252" t="s">
        <v>6</v>
      </c>
      <c r="F252" t="s">
        <v>51</v>
      </c>
      <c r="G252" t="s">
        <v>8</v>
      </c>
    </row>
    <row r="253" spans="1:7" x14ac:dyDescent="0.3">
      <c r="A253" t="s">
        <v>13</v>
      </c>
      <c r="B253" s="1">
        <v>45961</v>
      </c>
      <c r="C253">
        <v>415002</v>
      </c>
      <c r="D253">
        <v>-276220.63400000002</v>
      </c>
      <c r="E253" t="s">
        <v>6</v>
      </c>
      <c r="F253" t="s">
        <v>50</v>
      </c>
      <c r="G253" t="s">
        <v>8</v>
      </c>
    </row>
    <row r="254" spans="1:7" x14ac:dyDescent="0.3">
      <c r="A254" t="s">
        <v>13</v>
      </c>
      <c r="B254" s="1">
        <v>45961</v>
      </c>
      <c r="C254">
        <v>415003</v>
      </c>
      <c r="D254">
        <v>-1343.1389999999999</v>
      </c>
      <c r="E254" t="s">
        <v>6</v>
      </c>
      <c r="F254" t="s">
        <v>50</v>
      </c>
      <c r="G254" t="s">
        <v>8</v>
      </c>
    </row>
    <row r="255" spans="1:7" x14ac:dyDescent="0.3">
      <c r="A255" t="s">
        <v>13</v>
      </c>
      <c r="B255" s="1">
        <v>45961</v>
      </c>
      <c r="C255">
        <v>415004</v>
      </c>
      <c r="D255">
        <v>-470686.30499999999</v>
      </c>
      <c r="E255" t="s">
        <v>6</v>
      </c>
      <c r="F255" t="s">
        <v>50</v>
      </c>
      <c r="G255" t="s">
        <v>8</v>
      </c>
    </row>
    <row r="256" spans="1:7" x14ac:dyDescent="0.3">
      <c r="A256" t="s">
        <v>13</v>
      </c>
      <c r="B256" s="1">
        <v>45961</v>
      </c>
      <c r="C256">
        <v>421002</v>
      </c>
      <c r="D256">
        <v>-6603.8969999999999</v>
      </c>
      <c r="E256" t="s">
        <v>6</v>
      </c>
      <c r="F256" t="s">
        <v>52</v>
      </c>
      <c r="G256" t="s">
        <v>8</v>
      </c>
    </row>
    <row r="257" spans="1:7" x14ac:dyDescent="0.3">
      <c r="A257" t="s">
        <v>13</v>
      </c>
      <c r="B257" s="1">
        <v>45961</v>
      </c>
      <c r="C257">
        <v>421003</v>
      </c>
      <c r="D257">
        <v>5784.652</v>
      </c>
      <c r="E257" t="s">
        <v>6</v>
      </c>
      <c r="F257" t="s">
        <v>52</v>
      </c>
      <c r="G257" t="s">
        <v>8</v>
      </c>
    </row>
    <row r="258" spans="1:7" x14ac:dyDescent="0.3">
      <c r="A258" t="s">
        <v>13</v>
      </c>
      <c r="B258" s="1">
        <v>45961</v>
      </c>
      <c r="C258">
        <v>421007</v>
      </c>
      <c r="D258">
        <v>339.16199999999998</v>
      </c>
      <c r="E258" t="s">
        <v>6</v>
      </c>
      <c r="F258" t="s">
        <v>52</v>
      </c>
      <c r="G258" t="s">
        <v>8</v>
      </c>
    </row>
    <row r="259" spans="1:7" x14ac:dyDescent="0.3">
      <c r="A259" t="s">
        <v>13</v>
      </c>
      <c r="B259" s="1">
        <v>45961</v>
      </c>
      <c r="C259">
        <v>510002</v>
      </c>
      <c r="D259">
        <v>10440.328</v>
      </c>
      <c r="E259" t="s">
        <v>6</v>
      </c>
      <c r="F259" t="s">
        <v>53</v>
      </c>
      <c r="G259" t="s">
        <v>8</v>
      </c>
    </row>
    <row r="260" spans="1:7" x14ac:dyDescent="0.3">
      <c r="A260" t="s">
        <v>13</v>
      </c>
      <c r="B260" s="1">
        <v>45961</v>
      </c>
      <c r="C260">
        <v>510005</v>
      </c>
      <c r="D260">
        <v>1200.2</v>
      </c>
      <c r="E260" t="s">
        <v>6</v>
      </c>
      <c r="F260" t="s">
        <v>53</v>
      </c>
      <c r="G260" t="s">
        <v>8</v>
      </c>
    </row>
    <row r="261" spans="1:7" x14ac:dyDescent="0.3">
      <c r="A261" t="s">
        <v>13</v>
      </c>
      <c r="B261" s="1">
        <v>45961</v>
      </c>
      <c r="C261">
        <v>510007</v>
      </c>
      <c r="D261">
        <v>1173.098</v>
      </c>
      <c r="E261" t="s">
        <v>6</v>
      </c>
      <c r="F261" t="s">
        <v>53</v>
      </c>
      <c r="G261" t="s">
        <v>8</v>
      </c>
    </row>
    <row r="262" spans="1:7" x14ac:dyDescent="0.3">
      <c r="A262" t="s">
        <v>13</v>
      </c>
      <c r="B262" s="1">
        <v>45961</v>
      </c>
      <c r="C262">
        <v>510015</v>
      </c>
      <c r="D262">
        <v>30748.455000000002</v>
      </c>
      <c r="E262" t="s">
        <v>6</v>
      </c>
      <c r="F262" t="s">
        <v>53</v>
      </c>
      <c r="G262" t="s">
        <v>8</v>
      </c>
    </row>
    <row r="263" spans="1:7" x14ac:dyDescent="0.3">
      <c r="A263" t="s">
        <v>13</v>
      </c>
      <c r="B263" s="1">
        <v>45961</v>
      </c>
      <c r="C263">
        <v>510048</v>
      </c>
      <c r="D263">
        <v>476.82799999999997</v>
      </c>
      <c r="E263" t="s">
        <v>6</v>
      </c>
      <c r="F263" t="s">
        <v>61</v>
      </c>
      <c r="G263" t="s">
        <v>8</v>
      </c>
    </row>
    <row r="264" spans="1:7" x14ac:dyDescent="0.3">
      <c r="A264" t="s">
        <v>13</v>
      </c>
      <c r="B264" s="1">
        <v>45961</v>
      </c>
      <c r="C264">
        <v>510062</v>
      </c>
      <c r="D264">
        <v>1497.864</v>
      </c>
      <c r="E264" t="s">
        <v>6</v>
      </c>
      <c r="F264" t="s">
        <v>53</v>
      </c>
      <c r="G264" t="s">
        <v>8</v>
      </c>
    </row>
    <row r="265" spans="1:7" x14ac:dyDescent="0.3">
      <c r="A265" t="s">
        <v>13</v>
      </c>
      <c r="B265" s="1">
        <v>45961</v>
      </c>
      <c r="C265">
        <v>510064</v>
      </c>
      <c r="D265">
        <v>2185.2950000000001</v>
      </c>
      <c r="E265" t="s">
        <v>6</v>
      </c>
      <c r="F265" t="s">
        <v>53</v>
      </c>
      <c r="G265" t="s">
        <v>8</v>
      </c>
    </row>
    <row r="266" spans="1:7" x14ac:dyDescent="0.3">
      <c r="A266" t="s">
        <v>13</v>
      </c>
      <c r="B266" s="1">
        <v>45961</v>
      </c>
      <c r="C266">
        <v>510065</v>
      </c>
      <c r="D266">
        <v>1621.961</v>
      </c>
      <c r="E266" t="s">
        <v>6</v>
      </c>
      <c r="F266" t="s">
        <v>53</v>
      </c>
      <c r="G266" t="s">
        <v>8</v>
      </c>
    </row>
    <row r="267" spans="1:7" x14ac:dyDescent="0.3">
      <c r="A267" t="s">
        <v>13</v>
      </c>
      <c r="B267" s="1">
        <v>45961</v>
      </c>
      <c r="C267">
        <v>520020</v>
      </c>
      <c r="D267">
        <v>195.30799999999999</v>
      </c>
      <c r="E267" t="s">
        <v>6</v>
      </c>
      <c r="F267" t="s">
        <v>53</v>
      </c>
      <c r="G267" t="s">
        <v>8</v>
      </c>
    </row>
    <row r="268" spans="1:7" x14ac:dyDescent="0.3">
      <c r="A268" t="s">
        <v>13</v>
      </c>
      <c r="B268" s="1">
        <v>45961</v>
      </c>
      <c r="C268">
        <v>520021</v>
      </c>
      <c r="D268">
        <v>28.298999999999999</v>
      </c>
      <c r="E268" t="s">
        <v>6</v>
      </c>
      <c r="F268" t="s">
        <v>60</v>
      </c>
      <c r="G268" t="s">
        <v>8</v>
      </c>
    </row>
    <row r="269" spans="1:7" x14ac:dyDescent="0.3">
      <c r="A269" t="s">
        <v>13</v>
      </c>
      <c r="B269" s="1">
        <v>45961</v>
      </c>
      <c r="C269">
        <v>541003</v>
      </c>
      <c r="D269">
        <v>2572.11</v>
      </c>
      <c r="E269" t="s">
        <v>6</v>
      </c>
      <c r="F269" t="s">
        <v>61</v>
      </c>
      <c r="G269" t="s">
        <v>8</v>
      </c>
    </row>
    <row r="270" spans="1:7" x14ac:dyDescent="0.3">
      <c r="A270" t="s">
        <v>13</v>
      </c>
      <c r="B270" s="1">
        <v>45961</v>
      </c>
      <c r="C270">
        <v>541004</v>
      </c>
      <c r="D270">
        <v>170.7</v>
      </c>
      <c r="E270" t="s">
        <v>6</v>
      </c>
      <c r="F270" t="s">
        <v>61</v>
      </c>
      <c r="G270" t="s">
        <v>8</v>
      </c>
    </row>
    <row r="271" spans="1:7" x14ac:dyDescent="0.3">
      <c r="A271" t="s">
        <v>13</v>
      </c>
      <c r="B271" s="1">
        <v>45961</v>
      </c>
      <c r="C271">
        <v>541008</v>
      </c>
      <c r="D271">
        <v>2809.6889999999999</v>
      </c>
      <c r="E271" t="s">
        <v>6</v>
      </c>
      <c r="F271" t="s">
        <v>61</v>
      </c>
      <c r="G271" t="s">
        <v>8</v>
      </c>
    </row>
    <row r="272" spans="1:7" x14ac:dyDescent="0.3">
      <c r="A272" t="s">
        <v>13</v>
      </c>
      <c r="B272" s="1">
        <v>45961</v>
      </c>
      <c r="C272">
        <v>541009</v>
      </c>
      <c r="D272">
        <v>29.872</v>
      </c>
      <c r="E272" t="s">
        <v>6</v>
      </c>
      <c r="F272" t="s">
        <v>61</v>
      </c>
      <c r="G272" t="s">
        <v>8</v>
      </c>
    </row>
    <row r="273" spans="1:7" x14ac:dyDescent="0.3">
      <c r="A273" t="s">
        <v>13</v>
      </c>
      <c r="B273" s="1">
        <v>45961</v>
      </c>
      <c r="C273">
        <v>541010</v>
      </c>
      <c r="D273">
        <v>786.83</v>
      </c>
      <c r="E273" t="s">
        <v>6</v>
      </c>
      <c r="F273" t="s">
        <v>61</v>
      </c>
      <c r="G273" t="s">
        <v>8</v>
      </c>
    </row>
    <row r="274" spans="1:7" x14ac:dyDescent="0.3">
      <c r="A274" t="s">
        <v>13</v>
      </c>
      <c r="B274" s="1">
        <v>45961</v>
      </c>
      <c r="C274">
        <v>541013</v>
      </c>
      <c r="D274">
        <v>97.906999999999996</v>
      </c>
      <c r="E274" t="s">
        <v>6</v>
      </c>
      <c r="F274" t="s">
        <v>61</v>
      </c>
      <c r="G274" t="s">
        <v>8</v>
      </c>
    </row>
    <row r="275" spans="1:7" x14ac:dyDescent="0.3">
      <c r="A275" t="s">
        <v>13</v>
      </c>
      <c r="B275" s="1">
        <v>45961</v>
      </c>
      <c r="C275">
        <v>544006</v>
      </c>
      <c r="D275">
        <v>536.36800000000005</v>
      </c>
      <c r="E275" t="s">
        <v>6</v>
      </c>
      <c r="F275" t="s">
        <v>61</v>
      </c>
      <c r="G275" t="s">
        <v>8</v>
      </c>
    </row>
    <row r="276" spans="1:7" x14ac:dyDescent="0.3">
      <c r="A276" t="s">
        <v>13</v>
      </c>
      <c r="B276" s="1">
        <v>45961</v>
      </c>
      <c r="C276">
        <v>546002</v>
      </c>
      <c r="D276">
        <v>372914.022</v>
      </c>
      <c r="E276" t="s">
        <v>6</v>
      </c>
      <c r="F276" t="s">
        <v>51</v>
      </c>
      <c r="G276" t="s">
        <v>8</v>
      </c>
    </row>
    <row r="277" spans="1:7" x14ac:dyDescent="0.3">
      <c r="A277" t="s">
        <v>13</v>
      </c>
      <c r="B277" s="1">
        <v>45961</v>
      </c>
      <c r="C277">
        <v>546013</v>
      </c>
      <c r="D277">
        <v>1505.3969999999999</v>
      </c>
      <c r="E277" t="s">
        <v>6</v>
      </c>
      <c r="F277" t="s">
        <v>51</v>
      </c>
      <c r="G277" t="s">
        <v>8</v>
      </c>
    </row>
    <row r="278" spans="1:7" x14ac:dyDescent="0.3">
      <c r="A278" t="s">
        <v>13</v>
      </c>
      <c r="B278" s="1">
        <v>45961</v>
      </c>
      <c r="C278">
        <v>546024</v>
      </c>
      <c r="D278">
        <v>10988.656999999999</v>
      </c>
      <c r="E278" t="s">
        <v>6</v>
      </c>
      <c r="F278" t="s">
        <v>51</v>
      </c>
      <c r="G278" t="s">
        <v>8</v>
      </c>
    </row>
    <row r="279" spans="1:7" x14ac:dyDescent="0.3">
      <c r="A279" t="s">
        <v>13</v>
      </c>
      <c r="B279" s="1">
        <v>45961</v>
      </c>
      <c r="C279">
        <v>546035</v>
      </c>
      <c r="D279">
        <v>10548.263999999999</v>
      </c>
      <c r="E279" t="s">
        <v>6</v>
      </c>
      <c r="F279" t="s">
        <v>51</v>
      </c>
      <c r="G279" t="s">
        <v>8</v>
      </c>
    </row>
    <row r="280" spans="1:7" x14ac:dyDescent="0.3">
      <c r="A280" t="s">
        <v>13</v>
      </c>
      <c r="B280" s="1">
        <v>45961</v>
      </c>
      <c r="C280">
        <v>546040</v>
      </c>
      <c r="D280">
        <v>459.59399999999999</v>
      </c>
      <c r="E280" t="s">
        <v>6</v>
      </c>
      <c r="F280" t="s">
        <v>51</v>
      </c>
      <c r="G280" t="s">
        <v>8</v>
      </c>
    </row>
    <row r="281" spans="1:7" x14ac:dyDescent="0.3">
      <c r="A281" t="s">
        <v>13</v>
      </c>
      <c r="B281" s="1">
        <v>45961</v>
      </c>
      <c r="C281">
        <v>546044</v>
      </c>
      <c r="D281">
        <v>1456.6469999999999</v>
      </c>
      <c r="E281" t="s">
        <v>6</v>
      </c>
      <c r="F281" t="s">
        <v>51</v>
      </c>
      <c r="G281" t="s">
        <v>8</v>
      </c>
    </row>
    <row r="282" spans="1:7" x14ac:dyDescent="0.3">
      <c r="A282" t="s">
        <v>13</v>
      </c>
      <c r="B282" s="1">
        <v>45961</v>
      </c>
      <c r="C282">
        <v>546045</v>
      </c>
      <c r="D282">
        <v>2031.9059999999999</v>
      </c>
      <c r="E282" t="s">
        <v>6</v>
      </c>
      <c r="F282" t="s">
        <v>51</v>
      </c>
      <c r="G282" t="s">
        <v>8</v>
      </c>
    </row>
    <row r="283" spans="1:7" x14ac:dyDescent="0.3">
      <c r="A283" t="s">
        <v>13</v>
      </c>
      <c r="B283" s="1">
        <v>45961</v>
      </c>
      <c r="C283">
        <v>546046</v>
      </c>
      <c r="D283">
        <v>18362.455000000002</v>
      </c>
      <c r="E283" t="s">
        <v>6</v>
      </c>
      <c r="F283" t="s">
        <v>51</v>
      </c>
      <c r="G283" t="s">
        <v>8</v>
      </c>
    </row>
    <row r="284" spans="1:7" x14ac:dyDescent="0.3">
      <c r="A284" t="s">
        <v>13</v>
      </c>
      <c r="B284" s="1">
        <v>45961</v>
      </c>
      <c r="C284">
        <v>547002</v>
      </c>
      <c r="D284">
        <v>325104.94</v>
      </c>
      <c r="E284" t="s">
        <v>6</v>
      </c>
      <c r="F284" t="s">
        <v>54</v>
      </c>
      <c r="G284" t="s">
        <v>8</v>
      </c>
    </row>
    <row r="285" spans="1:7" x14ac:dyDescent="0.3">
      <c r="A285" t="s">
        <v>13</v>
      </c>
      <c r="B285" s="1">
        <v>45961</v>
      </c>
      <c r="C285">
        <v>547006</v>
      </c>
      <c r="D285">
        <v>6095.9269999999997</v>
      </c>
      <c r="E285" t="s">
        <v>6</v>
      </c>
      <c r="F285" t="s">
        <v>54</v>
      </c>
      <c r="G285" t="s">
        <v>8</v>
      </c>
    </row>
    <row r="286" spans="1:7" x14ac:dyDescent="0.3">
      <c r="A286" t="s">
        <v>13</v>
      </c>
      <c r="B286" s="1">
        <v>45961</v>
      </c>
      <c r="C286">
        <v>547011</v>
      </c>
      <c r="D286">
        <v>5494.4679999999998</v>
      </c>
      <c r="E286" t="s">
        <v>6</v>
      </c>
      <c r="F286" t="s">
        <v>54</v>
      </c>
      <c r="G286" t="s">
        <v>8</v>
      </c>
    </row>
    <row r="287" spans="1:7" x14ac:dyDescent="0.3">
      <c r="A287" t="s">
        <v>13</v>
      </c>
      <c r="B287" s="1">
        <v>45961</v>
      </c>
      <c r="C287">
        <v>552502</v>
      </c>
      <c r="D287">
        <v>1114.451</v>
      </c>
      <c r="E287" t="s">
        <v>6</v>
      </c>
      <c r="F287" t="s">
        <v>55</v>
      </c>
      <c r="G287" t="s">
        <v>8</v>
      </c>
    </row>
    <row r="288" spans="1:7" x14ac:dyDescent="0.3">
      <c r="A288" t="s">
        <v>13</v>
      </c>
      <c r="B288" s="1">
        <v>45961</v>
      </c>
      <c r="C288">
        <v>554005</v>
      </c>
      <c r="D288">
        <v>106.291</v>
      </c>
      <c r="E288" t="s">
        <v>6</v>
      </c>
      <c r="F288" t="s">
        <v>55</v>
      </c>
      <c r="G288" t="s">
        <v>8</v>
      </c>
    </row>
    <row r="289" spans="1:7" x14ac:dyDescent="0.3">
      <c r="A289" t="s">
        <v>13</v>
      </c>
      <c r="B289" s="1">
        <v>45961</v>
      </c>
      <c r="C289">
        <v>555508</v>
      </c>
      <c r="D289">
        <v>544.42999999999995</v>
      </c>
      <c r="E289" t="s">
        <v>6</v>
      </c>
      <c r="F289" t="s">
        <v>55</v>
      </c>
      <c r="G289" t="s">
        <v>8</v>
      </c>
    </row>
    <row r="290" spans="1:7" x14ac:dyDescent="0.3">
      <c r="A290" t="s">
        <v>13</v>
      </c>
      <c r="B290" s="1">
        <v>45961</v>
      </c>
      <c r="C290">
        <v>556002</v>
      </c>
      <c r="D290">
        <v>124.905</v>
      </c>
      <c r="E290" t="s">
        <v>6</v>
      </c>
      <c r="F290" t="s">
        <v>60</v>
      </c>
      <c r="G290" t="s">
        <v>8</v>
      </c>
    </row>
    <row r="291" spans="1:7" x14ac:dyDescent="0.3">
      <c r="A291" t="s">
        <v>13</v>
      </c>
      <c r="B291" s="1">
        <v>45961</v>
      </c>
      <c r="C291">
        <v>556004</v>
      </c>
      <c r="D291">
        <v>9.6059999999999999</v>
      </c>
      <c r="E291" t="s">
        <v>6</v>
      </c>
      <c r="F291" t="s">
        <v>55</v>
      </c>
      <c r="G291" t="s">
        <v>8</v>
      </c>
    </row>
    <row r="292" spans="1:7" x14ac:dyDescent="0.3">
      <c r="A292" t="s">
        <v>13</v>
      </c>
      <c r="B292" s="1">
        <v>45961</v>
      </c>
      <c r="C292">
        <v>557002</v>
      </c>
      <c r="D292">
        <v>10081.512000000001</v>
      </c>
      <c r="E292" t="s">
        <v>6</v>
      </c>
      <c r="F292" t="s">
        <v>56</v>
      </c>
      <c r="G292" t="s">
        <v>8</v>
      </c>
    </row>
    <row r="293" spans="1:7" x14ac:dyDescent="0.3">
      <c r="A293" t="s">
        <v>13</v>
      </c>
      <c r="B293" s="1">
        <v>45961</v>
      </c>
      <c r="C293">
        <v>558011</v>
      </c>
      <c r="D293">
        <v>117.997</v>
      </c>
      <c r="E293" t="s">
        <v>6</v>
      </c>
      <c r="F293" t="s">
        <v>57</v>
      </c>
      <c r="G293" t="s">
        <v>8</v>
      </c>
    </row>
    <row r="294" spans="1:7" x14ac:dyDescent="0.3">
      <c r="A294" t="s">
        <v>13</v>
      </c>
      <c r="B294" s="1">
        <v>45961</v>
      </c>
      <c r="C294">
        <v>559002</v>
      </c>
      <c r="D294">
        <v>13.726000000000001</v>
      </c>
      <c r="E294" t="s">
        <v>6</v>
      </c>
      <c r="F294" t="s">
        <v>60</v>
      </c>
      <c r="G294" t="s">
        <v>8</v>
      </c>
    </row>
    <row r="295" spans="1:7" x14ac:dyDescent="0.3">
      <c r="A295" t="s">
        <v>13</v>
      </c>
      <c r="B295" s="1">
        <v>45961</v>
      </c>
      <c r="C295">
        <v>560008</v>
      </c>
      <c r="D295">
        <v>-660.61</v>
      </c>
      <c r="E295" t="s">
        <v>6</v>
      </c>
      <c r="F295" t="s">
        <v>56</v>
      </c>
      <c r="G295" t="s">
        <v>8</v>
      </c>
    </row>
    <row r="296" spans="1:7" x14ac:dyDescent="0.3">
      <c r="A296" t="s">
        <v>13</v>
      </c>
      <c r="B296" s="1">
        <v>45961</v>
      </c>
      <c r="C296">
        <v>564004</v>
      </c>
      <c r="D296">
        <v>2452.1419999999998</v>
      </c>
      <c r="E296" t="s">
        <v>6</v>
      </c>
      <c r="F296" t="s">
        <v>51</v>
      </c>
      <c r="G296" t="s">
        <v>8</v>
      </c>
    </row>
    <row r="297" spans="1:7" x14ac:dyDescent="0.3">
      <c r="A297" t="s">
        <v>13</v>
      </c>
      <c r="B297" s="1">
        <v>45961</v>
      </c>
      <c r="C297">
        <v>564006</v>
      </c>
      <c r="D297">
        <v>0.38900000000000001</v>
      </c>
      <c r="E297" t="s">
        <v>6</v>
      </c>
      <c r="F297" t="s">
        <v>57</v>
      </c>
      <c r="G297" t="s">
        <v>8</v>
      </c>
    </row>
    <row r="298" spans="1:7" x14ac:dyDescent="0.3">
      <c r="A298" t="s">
        <v>13</v>
      </c>
      <c r="B298" s="1">
        <v>45961</v>
      </c>
      <c r="C298">
        <v>564008</v>
      </c>
      <c r="D298">
        <v>29.745999999999999</v>
      </c>
      <c r="E298" t="s">
        <v>6</v>
      </c>
      <c r="F298" t="s">
        <v>55</v>
      </c>
      <c r="G298" t="s">
        <v>8</v>
      </c>
    </row>
    <row r="299" spans="1:7" x14ac:dyDescent="0.3">
      <c r="A299" t="s">
        <v>13</v>
      </c>
      <c r="B299" s="1">
        <v>45961</v>
      </c>
      <c r="C299">
        <v>564020</v>
      </c>
      <c r="D299">
        <v>2234.2130000000002</v>
      </c>
      <c r="E299" t="s">
        <v>6</v>
      </c>
      <c r="F299" t="s">
        <v>57</v>
      </c>
      <c r="G299" t="s">
        <v>8</v>
      </c>
    </row>
    <row r="300" spans="1:7" x14ac:dyDescent="0.3">
      <c r="A300" t="s">
        <v>13</v>
      </c>
      <c r="B300" s="1">
        <v>45961</v>
      </c>
      <c r="C300">
        <v>564021</v>
      </c>
      <c r="D300">
        <v>135.58500000000001</v>
      </c>
      <c r="E300" t="s">
        <v>6</v>
      </c>
      <c r="F300" t="s">
        <v>57</v>
      </c>
      <c r="G300" t="s">
        <v>8</v>
      </c>
    </row>
    <row r="301" spans="1:7" x14ac:dyDescent="0.3">
      <c r="A301" t="s">
        <v>13</v>
      </c>
      <c r="B301" s="1">
        <v>45961</v>
      </c>
      <c r="C301">
        <v>570002</v>
      </c>
      <c r="D301">
        <v>182.041</v>
      </c>
      <c r="E301" t="s">
        <v>6</v>
      </c>
      <c r="F301" t="s">
        <v>66</v>
      </c>
      <c r="G301" t="s">
        <v>8</v>
      </c>
    </row>
    <row r="302" spans="1:7" x14ac:dyDescent="0.3">
      <c r="A302" t="s">
        <v>14</v>
      </c>
      <c r="B302" s="1">
        <v>45961</v>
      </c>
      <c r="C302">
        <v>210002</v>
      </c>
      <c r="D302">
        <v>-3172.3420000000001</v>
      </c>
      <c r="E302" t="s">
        <v>4</v>
      </c>
      <c r="F302" t="s">
        <v>42</v>
      </c>
      <c r="G302" t="s">
        <v>8</v>
      </c>
    </row>
    <row r="303" spans="1:7" x14ac:dyDescent="0.3">
      <c r="A303" t="s">
        <v>14</v>
      </c>
      <c r="B303" s="1">
        <v>45961</v>
      </c>
      <c r="C303">
        <v>220006</v>
      </c>
      <c r="D303">
        <v>67939.755999999994</v>
      </c>
      <c r="E303" t="s">
        <v>4</v>
      </c>
      <c r="F303" t="s">
        <v>42</v>
      </c>
      <c r="G303" t="s">
        <v>8</v>
      </c>
    </row>
    <row r="304" spans="1:7" x14ac:dyDescent="0.3">
      <c r="A304" t="s">
        <v>14</v>
      </c>
      <c r="B304" s="1">
        <v>45961</v>
      </c>
      <c r="C304">
        <v>220011</v>
      </c>
      <c r="D304">
        <v>-27726.399000000001</v>
      </c>
      <c r="E304" t="s">
        <v>4</v>
      </c>
      <c r="F304" t="s">
        <v>42</v>
      </c>
      <c r="G304" t="s">
        <v>8</v>
      </c>
    </row>
    <row r="305" spans="1:7" x14ac:dyDescent="0.3">
      <c r="A305" t="s">
        <v>14</v>
      </c>
      <c r="B305" s="1">
        <v>45961</v>
      </c>
      <c r="C305">
        <v>240002</v>
      </c>
      <c r="D305">
        <v>5066.0240000000003</v>
      </c>
      <c r="E305" t="s">
        <v>4</v>
      </c>
      <c r="F305" t="s">
        <v>43</v>
      </c>
      <c r="G305" t="s">
        <v>8</v>
      </c>
    </row>
    <row r="306" spans="1:7" x14ac:dyDescent="0.3">
      <c r="A306" t="s">
        <v>14</v>
      </c>
      <c r="B306" s="1">
        <v>45961</v>
      </c>
      <c r="C306">
        <v>240003</v>
      </c>
      <c r="D306">
        <v>-45.859000000000002</v>
      </c>
      <c r="E306" t="s">
        <v>4</v>
      </c>
      <c r="F306" t="s">
        <v>43</v>
      </c>
      <c r="G306" t="s">
        <v>8</v>
      </c>
    </row>
    <row r="307" spans="1:7" x14ac:dyDescent="0.3">
      <c r="A307" t="s">
        <v>14</v>
      </c>
      <c r="B307" s="1">
        <v>45961</v>
      </c>
      <c r="C307">
        <v>240009</v>
      </c>
      <c r="D307">
        <v>-4981.82</v>
      </c>
      <c r="E307" t="s">
        <v>4</v>
      </c>
      <c r="F307" t="s">
        <v>43</v>
      </c>
      <c r="G307" t="s">
        <v>8</v>
      </c>
    </row>
    <row r="308" spans="1:7" x14ac:dyDescent="0.3">
      <c r="A308" t="s">
        <v>14</v>
      </c>
      <c r="B308" s="1">
        <v>45961</v>
      </c>
      <c r="C308">
        <v>242003</v>
      </c>
      <c r="D308">
        <v>-169724.40599999999</v>
      </c>
      <c r="E308" t="s">
        <v>4</v>
      </c>
      <c r="F308" t="s">
        <v>43</v>
      </c>
      <c r="G308" t="s">
        <v>8</v>
      </c>
    </row>
    <row r="309" spans="1:7" x14ac:dyDescent="0.3">
      <c r="A309" t="s">
        <v>14</v>
      </c>
      <c r="B309" s="1">
        <v>45961</v>
      </c>
      <c r="C309">
        <v>242011</v>
      </c>
      <c r="D309">
        <v>-11362.715</v>
      </c>
      <c r="E309" t="s">
        <v>4</v>
      </c>
      <c r="F309" t="s">
        <v>43</v>
      </c>
      <c r="G309" t="s">
        <v>8</v>
      </c>
    </row>
    <row r="310" spans="1:7" x14ac:dyDescent="0.3">
      <c r="A310" t="s">
        <v>14</v>
      </c>
      <c r="B310" s="1">
        <v>45961</v>
      </c>
      <c r="C310">
        <v>242013</v>
      </c>
      <c r="D310">
        <v>-9698.7489999999998</v>
      </c>
      <c r="E310" t="s">
        <v>4</v>
      </c>
      <c r="F310" t="s">
        <v>43</v>
      </c>
      <c r="G310" t="s">
        <v>8</v>
      </c>
    </row>
    <row r="311" spans="1:7" x14ac:dyDescent="0.3">
      <c r="A311" t="s">
        <v>14</v>
      </c>
      <c r="B311" s="1">
        <v>45961</v>
      </c>
      <c r="C311">
        <v>242014</v>
      </c>
      <c r="D311">
        <v>-28743.754000000001</v>
      </c>
      <c r="E311" t="s">
        <v>4</v>
      </c>
      <c r="F311" t="s">
        <v>43</v>
      </c>
      <c r="G311" t="s">
        <v>8</v>
      </c>
    </row>
    <row r="312" spans="1:7" x14ac:dyDescent="0.3">
      <c r="A312" t="s">
        <v>14</v>
      </c>
      <c r="B312" s="1">
        <v>45961</v>
      </c>
      <c r="C312">
        <v>242027</v>
      </c>
      <c r="D312">
        <v>-14924.509</v>
      </c>
      <c r="E312" t="s">
        <v>4</v>
      </c>
      <c r="F312" t="s">
        <v>43</v>
      </c>
      <c r="G312" t="s">
        <v>8</v>
      </c>
    </row>
    <row r="313" spans="1:7" x14ac:dyDescent="0.3">
      <c r="A313" t="s">
        <v>14</v>
      </c>
      <c r="B313" s="1">
        <v>45961</v>
      </c>
      <c r="C313">
        <v>242041</v>
      </c>
      <c r="D313">
        <v>-3816.0410000000002</v>
      </c>
      <c r="E313" t="s">
        <v>4</v>
      </c>
      <c r="F313" t="s">
        <v>43</v>
      </c>
      <c r="G313" t="s">
        <v>8</v>
      </c>
    </row>
    <row r="314" spans="1:7" x14ac:dyDescent="0.3">
      <c r="A314" t="s">
        <v>14</v>
      </c>
      <c r="B314" s="1">
        <v>45961</v>
      </c>
      <c r="C314">
        <v>243002</v>
      </c>
      <c r="D314">
        <v>-9476.4449999999997</v>
      </c>
      <c r="E314" t="s">
        <v>4</v>
      </c>
      <c r="F314" t="s">
        <v>43</v>
      </c>
      <c r="G314" t="s">
        <v>8</v>
      </c>
    </row>
    <row r="315" spans="1:7" x14ac:dyDescent="0.3">
      <c r="A315" t="s">
        <v>14</v>
      </c>
      <c r="B315" s="1">
        <v>45961</v>
      </c>
      <c r="C315">
        <v>243010</v>
      </c>
      <c r="D315">
        <v>-852.726</v>
      </c>
      <c r="E315" t="s">
        <v>4</v>
      </c>
      <c r="F315" t="s">
        <v>43</v>
      </c>
      <c r="G315" t="s">
        <v>8</v>
      </c>
    </row>
    <row r="316" spans="1:7" x14ac:dyDescent="0.3">
      <c r="A316" t="s">
        <v>14</v>
      </c>
      <c r="B316" s="1">
        <v>45961</v>
      </c>
      <c r="C316">
        <v>245010</v>
      </c>
      <c r="D316">
        <v>-4136.3500000000004</v>
      </c>
      <c r="E316" t="s">
        <v>4</v>
      </c>
      <c r="F316" t="s">
        <v>44</v>
      </c>
      <c r="G316" t="s">
        <v>8</v>
      </c>
    </row>
    <row r="317" spans="1:7" x14ac:dyDescent="0.3">
      <c r="A317" t="s">
        <v>14</v>
      </c>
      <c r="B317" s="1">
        <v>45961</v>
      </c>
      <c r="C317">
        <v>245056</v>
      </c>
      <c r="D317">
        <v>-296.11</v>
      </c>
      <c r="E317" t="s">
        <v>4</v>
      </c>
      <c r="F317" t="s">
        <v>49</v>
      </c>
      <c r="G317" t="s">
        <v>8</v>
      </c>
    </row>
    <row r="318" spans="1:7" x14ac:dyDescent="0.3">
      <c r="A318" t="s">
        <v>14</v>
      </c>
      <c r="B318" s="1">
        <v>45961</v>
      </c>
      <c r="C318">
        <v>245062</v>
      </c>
      <c r="D318">
        <v>-1475.0119999999999</v>
      </c>
      <c r="E318" t="s">
        <v>4</v>
      </c>
      <c r="F318" t="s">
        <v>43</v>
      </c>
      <c r="G318" t="s">
        <v>8</v>
      </c>
    </row>
    <row r="319" spans="1:7" x14ac:dyDescent="0.3">
      <c r="A319" t="s">
        <v>14</v>
      </c>
      <c r="B319" s="1">
        <v>45961</v>
      </c>
      <c r="C319">
        <v>250003</v>
      </c>
      <c r="D319">
        <v>-17511.062000000002</v>
      </c>
      <c r="E319" t="s">
        <v>4</v>
      </c>
      <c r="F319" t="s">
        <v>45</v>
      </c>
      <c r="G319" t="s">
        <v>8</v>
      </c>
    </row>
    <row r="320" spans="1:7" x14ac:dyDescent="0.3">
      <c r="A320" t="s">
        <v>14</v>
      </c>
      <c r="B320" s="1">
        <v>45961</v>
      </c>
      <c r="C320">
        <v>251002</v>
      </c>
      <c r="D320">
        <v>-2812.7150000000001</v>
      </c>
      <c r="E320" t="s">
        <v>4</v>
      </c>
      <c r="F320" t="s">
        <v>45</v>
      </c>
      <c r="G320" t="s">
        <v>8</v>
      </c>
    </row>
    <row r="321" spans="1:7" x14ac:dyDescent="0.3">
      <c r="A321" t="s">
        <v>14</v>
      </c>
      <c r="B321" s="1">
        <v>45961</v>
      </c>
      <c r="C321">
        <v>257005</v>
      </c>
      <c r="D321">
        <v>10438.665999999999</v>
      </c>
      <c r="E321" t="s">
        <v>4</v>
      </c>
      <c r="F321" t="s">
        <v>45</v>
      </c>
      <c r="G321" t="s">
        <v>8</v>
      </c>
    </row>
    <row r="322" spans="1:7" x14ac:dyDescent="0.3">
      <c r="A322" t="s">
        <v>14</v>
      </c>
      <c r="B322" s="1">
        <v>45961</v>
      </c>
      <c r="C322">
        <v>257008</v>
      </c>
      <c r="D322">
        <v>-1056.9549999999999</v>
      </c>
      <c r="E322" t="s">
        <v>4</v>
      </c>
      <c r="F322" t="s">
        <v>45</v>
      </c>
      <c r="G322" t="s">
        <v>8</v>
      </c>
    </row>
    <row r="323" spans="1:7" x14ac:dyDescent="0.3">
      <c r="A323" t="s">
        <v>14</v>
      </c>
      <c r="B323" s="1">
        <v>45961</v>
      </c>
      <c r="C323">
        <v>257014</v>
      </c>
      <c r="D323">
        <v>-1197.3409999999999</v>
      </c>
      <c r="E323" t="s">
        <v>4</v>
      </c>
      <c r="F323" t="s">
        <v>45</v>
      </c>
      <c r="G323" t="s">
        <v>8</v>
      </c>
    </row>
    <row r="324" spans="1:7" x14ac:dyDescent="0.3">
      <c r="A324" t="s">
        <v>14</v>
      </c>
      <c r="B324" s="1">
        <v>45961</v>
      </c>
      <c r="C324">
        <v>257030</v>
      </c>
      <c r="D324">
        <v>-13148.775</v>
      </c>
      <c r="E324" t="s">
        <v>4</v>
      </c>
      <c r="F324" t="s">
        <v>45</v>
      </c>
      <c r="G324" t="s">
        <v>8</v>
      </c>
    </row>
    <row r="325" spans="1:7" x14ac:dyDescent="0.3">
      <c r="A325" t="s">
        <v>14</v>
      </c>
      <c r="B325" s="1">
        <v>45961</v>
      </c>
      <c r="C325">
        <v>260004</v>
      </c>
      <c r="D325">
        <v>-4610.4650000000001</v>
      </c>
      <c r="E325" t="s">
        <v>4</v>
      </c>
      <c r="F325" t="s">
        <v>45</v>
      </c>
      <c r="G325" t="s">
        <v>8</v>
      </c>
    </row>
    <row r="326" spans="1:7" x14ac:dyDescent="0.3">
      <c r="A326" t="s">
        <v>14</v>
      </c>
      <c r="B326" s="1">
        <v>45961</v>
      </c>
      <c r="C326">
        <v>270027</v>
      </c>
      <c r="D326">
        <v>-21955.274000000001</v>
      </c>
      <c r="E326" t="s">
        <v>4</v>
      </c>
      <c r="F326" t="s">
        <v>58</v>
      </c>
      <c r="G326" t="s">
        <v>8</v>
      </c>
    </row>
    <row r="327" spans="1:7" x14ac:dyDescent="0.3">
      <c r="A327" t="s">
        <v>14</v>
      </c>
      <c r="B327" s="1">
        <v>45961</v>
      </c>
      <c r="C327">
        <v>300004</v>
      </c>
      <c r="D327">
        <v>2063.4319999999998</v>
      </c>
      <c r="E327" t="s">
        <v>4</v>
      </c>
      <c r="F327" t="s">
        <v>65</v>
      </c>
      <c r="G327" t="s">
        <v>8</v>
      </c>
    </row>
    <row r="328" spans="1:7" x14ac:dyDescent="0.3">
      <c r="A328" t="s">
        <v>14</v>
      </c>
      <c r="B328" s="1">
        <v>45961</v>
      </c>
      <c r="C328">
        <v>300013</v>
      </c>
      <c r="D328">
        <v>8261.7309999999998</v>
      </c>
      <c r="E328" t="s">
        <v>4</v>
      </c>
      <c r="F328" t="s">
        <v>65</v>
      </c>
      <c r="G328" t="s">
        <v>8</v>
      </c>
    </row>
    <row r="329" spans="1:7" x14ac:dyDescent="0.3">
      <c r="A329" t="s">
        <v>14</v>
      </c>
      <c r="B329" s="1">
        <v>45961</v>
      </c>
      <c r="C329">
        <v>300014</v>
      </c>
      <c r="D329">
        <v>935.95500000000004</v>
      </c>
      <c r="E329" t="s">
        <v>4</v>
      </c>
      <c r="F329" t="s">
        <v>65</v>
      </c>
      <c r="G329" t="s">
        <v>8</v>
      </c>
    </row>
    <row r="330" spans="1:7" x14ac:dyDescent="0.3">
      <c r="A330" t="s">
        <v>14</v>
      </c>
      <c r="B330" s="1">
        <v>45961</v>
      </c>
      <c r="C330">
        <v>300504</v>
      </c>
      <c r="D330">
        <v>-2063.4319999999998</v>
      </c>
      <c r="E330" t="s">
        <v>4</v>
      </c>
      <c r="F330" t="s">
        <v>65</v>
      </c>
      <c r="G330" t="s">
        <v>8</v>
      </c>
    </row>
    <row r="331" spans="1:7" x14ac:dyDescent="0.3">
      <c r="A331" t="s">
        <v>14</v>
      </c>
      <c r="B331" s="1">
        <v>45961</v>
      </c>
      <c r="C331">
        <v>300513</v>
      </c>
      <c r="D331">
        <v>-8157.3689999999997</v>
      </c>
      <c r="E331" t="s">
        <v>4</v>
      </c>
      <c r="F331" t="s">
        <v>65</v>
      </c>
      <c r="G331" t="s">
        <v>8</v>
      </c>
    </row>
    <row r="332" spans="1:7" x14ac:dyDescent="0.3">
      <c r="A332" t="s">
        <v>14</v>
      </c>
      <c r="B332" s="1">
        <v>45961</v>
      </c>
      <c r="C332">
        <v>300514</v>
      </c>
      <c r="D332">
        <v>-832.64499999999998</v>
      </c>
      <c r="E332" t="s">
        <v>4</v>
      </c>
      <c r="F332" t="s">
        <v>65</v>
      </c>
      <c r="G332" t="s">
        <v>8</v>
      </c>
    </row>
    <row r="333" spans="1:7" x14ac:dyDescent="0.3">
      <c r="A333" t="s">
        <v>14</v>
      </c>
      <c r="B333" s="1">
        <v>45961</v>
      </c>
      <c r="C333">
        <v>301004</v>
      </c>
      <c r="D333">
        <v>4134.4669999999996</v>
      </c>
      <c r="E333" t="s">
        <v>4</v>
      </c>
      <c r="F333" t="s">
        <v>65</v>
      </c>
      <c r="G333" t="s">
        <v>8</v>
      </c>
    </row>
    <row r="334" spans="1:7" x14ac:dyDescent="0.3">
      <c r="A334" t="s">
        <v>14</v>
      </c>
      <c r="B334" s="1">
        <v>45961</v>
      </c>
      <c r="C334">
        <v>301504</v>
      </c>
      <c r="D334">
        <v>-4062.884</v>
      </c>
      <c r="E334" t="s">
        <v>4</v>
      </c>
      <c r="F334" t="s">
        <v>65</v>
      </c>
      <c r="G334" t="s">
        <v>8</v>
      </c>
    </row>
    <row r="335" spans="1:7" x14ac:dyDescent="0.3">
      <c r="A335" t="s">
        <v>14</v>
      </c>
      <c r="B335" s="1">
        <v>45961</v>
      </c>
      <c r="C335">
        <v>320002</v>
      </c>
      <c r="D335">
        <v>106109.67</v>
      </c>
      <c r="E335" t="s">
        <v>4</v>
      </c>
      <c r="F335" t="s">
        <v>46</v>
      </c>
      <c r="G335" t="s">
        <v>8</v>
      </c>
    </row>
    <row r="336" spans="1:7" x14ac:dyDescent="0.3">
      <c r="A336" t="s">
        <v>14</v>
      </c>
      <c r="B336" s="1">
        <v>45961</v>
      </c>
      <c r="C336">
        <v>320003</v>
      </c>
      <c r="D336">
        <v>141624.05100000001</v>
      </c>
      <c r="E336" t="s">
        <v>4</v>
      </c>
      <c r="F336" t="s">
        <v>46</v>
      </c>
      <c r="G336" t="s">
        <v>8</v>
      </c>
    </row>
    <row r="337" spans="1:7" x14ac:dyDescent="0.3">
      <c r="A337" t="s">
        <v>14</v>
      </c>
      <c r="B337" s="1">
        <v>45961</v>
      </c>
      <c r="C337">
        <v>320004</v>
      </c>
      <c r="D337">
        <v>1020.343</v>
      </c>
      <c r="E337" t="s">
        <v>4</v>
      </c>
      <c r="F337" t="s">
        <v>46</v>
      </c>
      <c r="G337" t="s">
        <v>8</v>
      </c>
    </row>
    <row r="338" spans="1:7" x14ac:dyDescent="0.3">
      <c r="A338" t="s">
        <v>14</v>
      </c>
      <c r="B338" s="1">
        <v>45961</v>
      </c>
      <c r="C338">
        <v>320023</v>
      </c>
      <c r="D338">
        <v>-55569.726000000002</v>
      </c>
      <c r="E338" t="s">
        <v>4</v>
      </c>
      <c r="F338" t="s">
        <v>46</v>
      </c>
      <c r="G338" t="s">
        <v>8</v>
      </c>
    </row>
    <row r="339" spans="1:7" x14ac:dyDescent="0.3">
      <c r="A339" t="s">
        <v>14</v>
      </c>
      <c r="B339" s="1">
        <v>45961</v>
      </c>
      <c r="C339">
        <v>320025</v>
      </c>
      <c r="D339">
        <v>16095.599</v>
      </c>
      <c r="E339" t="s">
        <v>4</v>
      </c>
      <c r="F339" t="s">
        <v>46</v>
      </c>
      <c r="G339" t="s">
        <v>8</v>
      </c>
    </row>
    <row r="340" spans="1:7" x14ac:dyDescent="0.3">
      <c r="A340" t="s">
        <v>14</v>
      </c>
      <c r="B340" s="1">
        <v>45961</v>
      </c>
      <c r="C340">
        <v>321002</v>
      </c>
      <c r="D340">
        <v>4948.7830000000004</v>
      </c>
      <c r="E340" t="s">
        <v>4</v>
      </c>
      <c r="F340" t="s">
        <v>46</v>
      </c>
      <c r="G340" t="s">
        <v>8</v>
      </c>
    </row>
    <row r="341" spans="1:7" x14ac:dyDescent="0.3">
      <c r="A341" t="s">
        <v>14</v>
      </c>
      <c r="B341" s="1">
        <v>45961</v>
      </c>
      <c r="C341">
        <v>321004</v>
      </c>
      <c r="D341">
        <v>5871.73</v>
      </c>
      <c r="E341" t="s">
        <v>4</v>
      </c>
      <c r="F341" t="s">
        <v>46</v>
      </c>
      <c r="G341" t="s">
        <v>8</v>
      </c>
    </row>
    <row r="342" spans="1:7" x14ac:dyDescent="0.3">
      <c r="A342" t="s">
        <v>14</v>
      </c>
      <c r="B342" s="1">
        <v>45961</v>
      </c>
      <c r="C342">
        <v>321014</v>
      </c>
      <c r="D342">
        <v>125.714</v>
      </c>
      <c r="E342" t="s">
        <v>4</v>
      </c>
      <c r="F342" t="s">
        <v>46</v>
      </c>
      <c r="G342" t="s">
        <v>8</v>
      </c>
    </row>
    <row r="343" spans="1:7" x14ac:dyDescent="0.3">
      <c r="A343" t="s">
        <v>14</v>
      </c>
      <c r="B343" s="1">
        <v>45961</v>
      </c>
      <c r="C343">
        <v>321025</v>
      </c>
      <c r="D343">
        <v>3460.1979999999999</v>
      </c>
      <c r="E343" t="s">
        <v>4</v>
      </c>
      <c r="F343" t="s">
        <v>46</v>
      </c>
      <c r="G343" t="s">
        <v>8</v>
      </c>
    </row>
    <row r="344" spans="1:7" x14ac:dyDescent="0.3">
      <c r="A344" t="s">
        <v>14</v>
      </c>
      <c r="B344" s="1">
        <v>45961</v>
      </c>
      <c r="C344">
        <v>321028</v>
      </c>
      <c r="D344">
        <v>3320.97</v>
      </c>
      <c r="E344" t="s">
        <v>4</v>
      </c>
      <c r="F344" t="s">
        <v>46</v>
      </c>
      <c r="G344" t="s">
        <v>8</v>
      </c>
    </row>
    <row r="345" spans="1:7" x14ac:dyDescent="0.3">
      <c r="A345" t="s">
        <v>14</v>
      </c>
      <c r="B345" s="1">
        <v>45961</v>
      </c>
      <c r="C345">
        <v>321029</v>
      </c>
      <c r="D345">
        <v>1551.806</v>
      </c>
      <c r="E345" t="s">
        <v>4</v>
      </c>
      <c r="F345" t="s">
        <v>46</v>
      </c>
      <c r="G345" t="s">
        <v>8</v>
      </c>
    </row>
    <row r="346" spans="1:7" x14ac:dyDescent="0.3">
      <c r="A346" t="s">
        <v>14</v>
      </c>
      <c r="B346" s="1">
        <v>45961</v>
      </c>
      <c r="C346">
        <v>330097</v>
      </c>
      <c r="D346">
        <v>-832.67600000000004</v>
      </c>
      <c r="E346" t="s">
        <v>4</v>
      </c>
      <c r="F346" t="s">
        <v>43</v>
      </c>
      <c r="G346" t="s">
        <v>8</v>
      </c>
    </row>
    <row r="347" spans="1:7" x14ac:dyDescent="0.3">
      <c r="A347" t="s">
        <v>14</v>
      </c>
      <c r="B347" s="1">
        <v>45961</v>
      </c>
      <c r="C347">
        <v>340057</v>
      </c>
      <c r="D347">
        <v>81983.831999999995</v>
      </c>
      <c r="E347" t="s">
        <v>4</v>
      </c>
      <c r="F347" t="s">
        <v>47</v>
      </c>
      <c r="G347" t="s">
        <v>8</v>
      </c>
    </row>
    <row r="348" spans="1:7" x14ac:dyDescent="0.3">
      <c r="A348" t="s">
        <v>14</v>
      </c>
      <c r="B348" s="1">
        <v>45961</v>
      </c>
      <c r="C348">
        <v>350002</v>
      </c>
      <c r="D348">
        <v>1308.528</v>
      </c>
      <c r="E348" t="s">
        <v>4</v>
      </c>
      <c r="F348" t="s">
        <v>49</v>
      </c>
      <c r="G348" t="s">
        <v>8</v>
      </c>
    </row>
    <row r="349" spans="1:7" x14ac:dyDescent="0.3">
      <c r="A349" t="s">
        <v>14</v>
      </c>
      <c r="B349" s="1">
        <v>45961</v>
      </c>
      <c r="C349">
        <v>350003</v>
      </c>
      <c r="D349">
        <v>538.89300000000003</v>
      </c>
      <c r="E349" t="s">
        <v>4</v>
      </c>
      <c r="F349" t="s">
        <v>49</v>
      </c>
      <c r="G349" t="s">
        <v>8</v>
      </c>
    </row>
    <row r="350" spans="1:7" x14ac:dyDescent="0.3">
      <c r="A350" t="s">
        <v>14</v>
      </c>
      <c r="B350" s="1">
        <v>45961</v>
      </c>
      <c r="C350">
        <v>350031</v>
      </c>
      <c r="D350">
        <v>4981.82</v>
      </c>
      <c r="E350" t="s">
        <v>4</v>
      </c>
      <c r="F350" t="s">
        <v>43</v>
      </c>
      <c r="G350" t="s">
        <v>8</v>
      </c>
    </row>
    <row r="351" spans="1:7" x14ac:dyDescent="0.3">
      <c r="A351" t="s">
        <v>14</v>
      </c>
      <c r="B351" s="1">
        <v>45961</v>
      </c>
      <c r="C351">
        <v>350034</v>
      </c>
      <c r="D351">
        <v>296.11</v>
      </c>
      <c r="E351" t="s">
        <v>4</v>
      </c>
      <c r="F351" t="s">
        <v>49</v>
      </c>
      <c r="G351" t="s">
        <v>8</v>
      </c>
    </row>
    <row r="352" spans="1:7" x14ac:dyDescent="0.3">
      <c r="A352" t="s">
        <v>14</v>
      </c>
      <c r="B352" s="1">
        <v>45961</v>
      </c>
      <c r="C352">
        <v>352002</v>
      </c>
      <c r="D352">
        <v>1334.952</v>
      </c>
      <c r="E352" t="s">
        <v>4</v>
      </c>
      <c r="F352" t="s">
        <v>48</v>
      </c>
      <c r="G352" t="s">
        <v>8</v>
      </c>
    </row>
    <row r="353" spans="1:7" x14ac:dyDescent="0.3">
      <c r="A353" t="s">
        <v>14</v>
      </c>
      <c r="B353" s="1">
        <v>45961</v>
      </c>
      <c r="C353">
        <v>354014</v>
      </c>
      <c r="D353">
        <v>14590.745000000001</v>
      </c>
      <c r="E353" t="s">
        <v>4</v>
      </c>
      <c r="F353" t="s">
        <v>46</v>
      </c>
      <c r="G353" t="s">
        <v>8</v>
      </c>
    </row>
    <row r="354" spans="1:7" x14ac:dyDescent="0.3">
      <c r="A354" t="s">
        <v>14</v>
      </c>
      <c r="B354" s="1">
        <v>45961</v>
      </c>
      <c r="C354">
        <v>354015</v>
      </c>
      <c r="D354">
        <v>4272.9260000000004</v>
      </c>
      <c r="E354" t="s">
        <v>4</v>
      </c>
      <c r="F354" t="s">
        <v>46</v>
      </c>
      <c r="G354" t="s">
        <v>8</v>
      </c>
    </row>
    <row r="355" spans="1:7" x14ac:dyDescent="0.3">
      <c r="A355" t="s">
        <v>14</v>
      </c>
      <c r="B355" s="1">
        <v>45961</v>
      </c>
      <c r="C355">
        <v>355018</v>
      </c>
      <c r="D355">
        <v>1658.431</v>
      </c>
      <c r="E355" t="s">
        <v>4</v>
      </c>
      <c r="F355" t="s">
        <v>49</v>
      </c>
      <c r="G355" t="s">
        <v>8</v>
      </c>
    </row>
    <row r="356" spans="1:7" x14ac:dyDescent="0.3">
      <c r="A356" t="s">
        <v>14</v>
      </c>
      <c r="B356" s="1">
        <v>45961</v>
      </c>
      <c r="C356">
        <v>360026</v>
      </c>
      <c r="D356">
        <v>3703.2660000000001</v>
      </c>
      <c r="E356" t="s">
        <v>4</v>
      </c>
      <c r="F356" t="s">
        <v>58</v>
      </c>
      <c r="G356" t="s">
        <v>8</v>
      </c>
    </row>
    <row r="357" spans="1:7" x14ac:dyDescent="0.3">
      <c r="A357" t="s">
        <v>14</v>
      </c>
      <c r="B357" s="1">
        <v>45961</v>
      </c>
      <c r="C357">
        <v>360028</v>
      </c>
      <c r="D357">
        <v>1851.4490000000001</v>
      </c>
      <c r="E357" t="s">
        <v>4</v>
      </c>
      <c r="F357" t="s">
        <v>58</v>
      </c>
      <c r="G357" t="s">
        <v>8</v>
      </c>
    </row>
    <row r="358" spans="1:7" x14ac:dyDescent="0.3">
      <c r="A358" t="s">
        <v>14</v>
      </c>
      <c r="B358" s="1">
        <v>45961</v>
      </c>
      <c r="C358">
        <v>360032</v>
      </c>
      <c r="D358">
        <v>1156.8399999999999</v>
      </c>
      <c r="E358" t="s">
        <v>4</v>
      </c>
      <c r="F358" t="s">
        <v>58</v>
      </c>
      <c r="G358" t="s">
        <v>8</v>
      </c>
    </row>
    <row r="359" spans="1:7" x14ac:dyDescent="0.3">
      <c r="A359" t="s">
        <v>14</v>
      </c>
      <c r="B359" s="1">
        <v>45961</v>
      </c>
      <c r="C359">
        <v>372004</v>
      </c>
      <c r="D359">
        <v>-1469.9970000000001</v>
      </c>
      <c r="E359" t="s">
        <v>4</v>
      </c>
      <c r="F359" t="s">
        <v>45</v>
      </c>
      <c r="G359" t="s">
        <v>8</v>
      </c>
    </row>
    <row r="360" spans="1:7" x14ac:dyDescent="0.3">
      <c r="A360" t="s">
        <v>14</v>
      </c>
      <c r="B360" s="1">
        <v>45961</v>
      </c>
      <c r="C360">
        <v>400002</v>
      </c>
      <c r="D360">
        <v>-12861.221</v>
      </c>
      <c r="E360" t="s">
        <v>6</v>
      </c>
      <c r="F360" t="s">
        <v>50</v>
      </c>
      <c r="G360" t="s">
        <v>8</v>
      </c>
    </row>
    <row r="361" spans="1:7" x14ac:dyDescent="0.3">
      <c r="A361" t="s">
        <v>14</v>
      </c>
      <c r="B361" s="1">
        <v>45961</v>
      </c>
      <c r="C361">
        <v>400004</v>
      </c>
      <c r="D361">
        <v>-153757.07199999999</v>
      </c>
      <c r="E361" t="s">
        <v>6</v>
      </c>
      <c r="F361" t="s">
        <v>50</v>
      </c>
      <c r="G361" t="s">
        <v>8</v>
      </c>
    </row>
    <row r="362" spans="1:7" x14ac:dyDescent="0.3">
      <c r="A362" t="s">
        <v>14</v>
      </c>
      <c r="B362" s="1">
        <v>45961</v>
      </c>
      <c r="C362">
        <v>400008</v>
      </c>
      <c r="D362">
        <v>-1185.626</v>
      </c>
      <c r="E362" t="s">
        <v>6</v>
      </c>
      <c r="F362" t="s">
        <v>50</v>
      </c>
      <c r="G362" t="s">
        <v>8</v>
      </c>
    </row>
    <row r="363" spans="1:7" x14ac:dyDescent="0.3">
      <c r="A363" t="s">
        <v>14</v>
      </c>
      <c r="B363" s="1">
        <v>45961</v>
      </c>
      <c r="C363">
        <v>410002</v>
      </c>
      <c r="D363">
        <v>-4902.442</v>
      </c>
      <c r="E363" t="s">
        <v>6</v>
      </c>
      <c r="F363" t="s">
        <v>51</v>
      </c>
      <c r="G363" t="s">
        <v>8</v>
      </c>
    </row>
    <row r="364" spans="1:7" x14ac:dyDescent="0.3">
      <c r="A364" t="s">
        <v>14</v>
      </c>
      <c r="B364" s="1">
        <v>45961</v>
      </c>
      <c r="C364">
        <v>410005</v>
      </c>
      <c r="D364">
        <v>-10988.656999999999</v>
      </c>
      <c r="E364" t="s">
        <v>6</v>
      </c>
      <c r="F364" t="s">
        <v>51</v>
      </c>
      <c r="G364" t="s">
        <v>8</v>
      </c>
    </row>
    <row r="365" spans="1:7" x14ac:dyDescent="0.3">
      <c r="A365" t="s">
        <v>14</v>
      </c>
      <c r="B365" s="1">
        <v>45961</v>
      </c>
      <c r="C365">
        <v>410009</v>
      </c>
      <c r="D365">
        <v>-4912.2359999999999</v>
      </c>
      <c r="E365" t="s">
        <v>6</v>
      </c>
      <c r="F365" t="s">
        <v>51</v>
      </c>
      <c r="G365" t="s">
        <v>8</v>
      </c>
    </row>
    <row r="366" spans="1:7" x14ac:dyDescent="0.3">
      <c r="A366" t="s">
        <v>14</v>
      </c>
      <c r="B366" s="1">
        <v>45961</v>
      </c>
      <c r="C366">
        <v>410032</v>
      </c>
      <c r="D366">
        <v>-2026.56</v>
      </c>
      <c r="E366" t="s">
        <v>6</v>
      </c>
      <c r="F366" t="s">
        <v>51</v>
      </c>
      <c r="G366" t="s">
        <v>8</v>
      </c>
    </row>
    <row r="367" spans="1:7" x14ac:dyDescent="0.3">
      <c r="A367" t="s">
        <v>14</v>
      </c>
      <c r="B367" s="1">
        <v>45961</v>
      </c>
      <c r="C367">
        <v>410036</v>
      </c>
      <c r="D367">
        <v>-6464.24</v>
      </c>
      <c r="E367" t="s">
        <v>6</v>
      </c>
      <c r="F367" t="s">
        <v>51</v>
      </c>
      <c r="G367" t="s">
        <v>8</v>
      </c>
    </row>
    <row r="368" spans="1:7" x14ac:dyDescent="0.3">
      <c r="A368" t="s">
        <v>14</v>
      </c>
      <c r="B368" s="1">
        <v>45961</v>
      </c>
      <c r="C368">
        <v>410037</v>
      </c>
      <c r="D368">
        <v>-5152.03</v>
      </c>
      <c r="E368" t="s">
        <v>6</v>
      </c>
      <c r="F368" t="s">
        <v>51</v>
      </c>
      <c r="G368" t="s">
        <v>8</v>
      </c>
    </row>
    <row r="369" spans="1:7" x14ac:dyDescent="0.3">
      <c r="A369" t="s">
        <v>14</v>
      </c>
      <c r="B369" s="1">
        <v>45961</v>
      </c>
      <c r="C369">
        <v>415002</v>
      </c>
      <c r="D369">
        <v>-56832.857000000004</v>
      </c>
      <c r="E369" t="s">
        <v>6</v>
      </c>
      <c r="F369" t="s">
        <v>50</v>
      </c>
      <c r="G369" t="s">
        <v>8</v>
      </c>
    </row>
    <row r="370" spans="1:7" x14ac:dyDescent="0.3">
      <c r="A370" t="s">
        <v>14</v>
      </c>
      <c r="B370" s="1">
        <v>45961</v>
      </c>
      <c r="C370">
        <v>415004</v>
      </c>
      <c r="D370">
        <v>-194696.32199999999</v>
      </c>
      <c r="E370" t="s">
        <v>6</v>
      </c>
      <c r="F370" t="s">
        <v>50</v>
      </c>
      <c r="G370" t="s">
        <v>8</v>
      </c>
    </row>
    <row r="371" spans="1:7" x14ac:dyDescent="0.3">
      <c r="A371" t="s">
        <v>14</v>
      </c>
      <c r="B371" s="1">
        <v>45961</v>
      </c>
      <c r="C371">
        <v>421002</v>
      </c>
      <c r="D371">
        <v>-2880.3980000000001</v>
      </c>
      <c r="E371" t="s">
        <v>6</v>
      </c>
      <c r="F371" t="s">
        <v>52</v>
      </c>
      <c r="G371" t="s">
        <v>8</v>
      </c>
    </row>
    <row r="372" spans="1:7" x14ac:dyDescent="0.3">
      <c r="A372" t="s">
        <v>14</v>
      </c>
      <c r="B372" s="1">
        <v>45961</v>
      </c>
      <c r="C372">
        <v>421003</v>
      </c>
      <c r="D372">
        <v>-11069.804</v>
      </c>
      <c r="E372" t="s">
        <v>6</v>
      </c>
      <c r="F372" t="s">
        <v>52</v>
      </c>
      <c r="G372" t="s">
        <v>8</v>
      </c>
    </row>
    <row r="373" spans="1:7" x14ac:dyDescent="0.3">
      <c r="A373" t="s">
        <v>14</v>
      </c>
      <c r="B373" s="1">
        <v>45961</v>
      </c>
      <c r="C373">
        <v>421007</v>
      </c>
      <c r="D373">
        <v>-1716.998</v>
      </c>
      <c r="E373" t="s">
        <v>6</v>
      </c>
      <c r="F373" t="s">
        <v>52</v>
      </c>
      <c r="G373" t="s">
        <v>8</v>
      </c>
    </row>
    <row r="374" spans="1:7" x14ac:dyDescent="0.3">
      <c r="A374" t="s">
        <v>14</v>
      </c>
      <c r="B374" s="1">
        <v>45961</v>
      </c>
      <c r="C374">
        <v>510002</v>
      </c>
      <c r="D374">
        <v>49951.442999999999</v>
      </c>
      <c r="E374" t="s">
        <v>6</v>
      </c>
      <c r="F374" t="s">
        <v>53</v>
      </c>
      <c r="G374" t="s">
        <v>8</v>
      </c>
    </row>
    <row r="375" spans="1:7" x14ac:dyDescent="0.3">
      <c r="A375" t="s">
        <v>14</v>
      </c>
      <c r="B375" s="1">
        <v>45961</v>
      </c>
      <c r="C375">
        <v>510005</v>
      </c>
      <c r="D375">
        <v>645.37</v>
      </c>
      <c r="E375" t="s">
        <v>6</v>
      </c>
      <c r="F375" t="s">
        <v>53</v>
      </c>
      <c r="G375" t="s">
        <v>8</v>
      </c>
    </row>
    <row r="376" spans="1:7" x14ac:dyDescent="0.3">
      <c r="A376" t="s">
        <v>14</v>
      </c>
      <c r="B376" s="1">
        <v>45961</v>
      </c>
      <c r="C376">
        <v>510007</v>
      </c>
      <c r="D376">
        <v>-525.76099999999997</v>
      </c>
      <c r="E376" t="s">
        <v>6</v>
      </c>
      <c r="F376" t="s">
        <v>53</v>
      </c>
      <c r="G376" t="s">
        <v>8</v>
      </c>
    </row>
    <row r="377" spans="1:7" x14ac:dyDescent="0.3">
      <c r="A377" t="s">
        <v>14</v>
      </c>
      <c r="B377" s="1">
        <v>45961</v>
      </c>
      <c r="C377">
        <v>510015</v>
      </c>
      <c r="D377">
        <v>9508.6090000000004</v>
      </c>
      <c r="E377" t="s">
        <v>6</v>
      </c>
      <c r="F377" t="s">
        <v>53</v>
      </c>
      <c r="G377" t="s">
        <v>8</v>
      </c>
    </row>
    <row r="378" spans="1:7" x14ac:dyDescent="0.3">
      <c r="A378" t="s">
        <v>14</v>
      </c>
      <c r="B378" s="1">
        <v>45961</v>
      </c>
      <c r="C378">
        <v>510062</v>
      </c>
      <c r="D378">
        <v>1553.1310000000001</v>
      </c>
      <c r="E378" t="s">
        <v>6</v>
      </c>
      <c r="F378" t="s">
        <v>53</v>
      </c>
      <c r="G378" t="s">
        <v>8</v>
      </c>
    </row>
    <row r="379" spans="1:7" x14ac:dyDescent="0.3">
      <c r="A379" t="s">
        <v>14</v>
      </c>
      <c r="B379" s="1">
        <v>45961</v>
      </c>
      <c r="C379">
        <v>520020</v>
      </c>
      <c r="D379">
        <v>46.718000000000004</v>
      </c>
      <c r="E379" t="s">
        <v>6</v>
      </c>
      <c r="F379" t="s">
        <v>53</v>
      </c>
      <c r="G379" t="s">
        <v>8</v>
      </c>
    </row>
    <row r="380" spans="1:7" x14ac:dyDescent="0.3">
      <c r="A380" t="s">
        <v>14</v>
      </c>
      <c r="B380" s="1">
        <v>45961</v>
      </c>
      <c r="C380">
        <v>530012</v>
      </c>
      <c r="D380">
        <v>-9943.1740000000009</v>
      </c>
      <c r="E380" t="s">
        <v>6</v>
      </c>
      <c r="F380" t="s">
        <v>53</v>
      </c>
      <c r="G380" t="s">
        <v>8</v>
      </c>
    </row>
    <row r="381" spans="1:7" x14ac:dyDescent="0.3">
      <c r="A381" t="s">
        <v>14</v>
      </c>
      <c r="B381" s="1">
        <v>45961</v>
      </c>
      <c r="C381">
        <v>541008</v>
      </c>
      <c r="D381">
        <v>174.792</v>
      </c>
      <c r="E381" t="s">
        <v>6</v>
      </c>
      <c r="F381" t="s">
        <v>61</v>
      </c>
      <c r="G381" t="s">
        <v>8</v>
      </c>
    </row>
    <row r="382" spans="1:7" x14ac:dyDescent="0.3">
      <c r="A382" t="s">
        <v>14</v>
      </c>
      <c r="B382" s="1">
        <v>45961</v>
      </c>
      <c r="C382">
        <v>541009</v>
      </c>
      <c r="D382">
        <v>234.36600000000001</v>
      </c>
      <c r="E382" t="s">
        <v>6</v>
      </c>
      <c r="F382" t="s">
        <v>61</v>
      </c>
      <c r="G382" t="s">
        <v>8</v>
      </c>
    </row>
    <row r="383" spans="1:7" x14ac:dyDescent="0.3">
      <c r="A383" t="s">
        <v>14</v>
      </c>
      <c r="B383" s="1">
        <v>45961</v>
      </c>
      <c r="C383">
        <v>541010</v>
      </c>
      <c r="D383">
        <v>544.221</v>
      </c>
      <c r="E383" t="s">
        <v>6</v>
      </c>
      <c r="F383" t="s">
        <v>61</v>
      </c>
      <c r="G383" t="s">
        <v>8</v>
      </c>
    </row>
    <row r="384" spans="1:7" x14ac:dyDescent="0.3">
      <c r="A384" t="s">
        <v>14</v>
      </c>
      <c r="B384" s="1">
        <v>45961</v>
      </c>
      <c r="C384">
        <v>544003</v>
      </c>
      <c r="D384">
        <v>59.44</v>
      </c>
      <c r="E384" t="s">
        <v>6</v>
      </c>
      <c r="F384" t="s">
        <v>61</v>
      </c>
      <c r="G384" t="s">
        <v>8</v>
      </c>
    </row>
    <row r="385" spans="1:7" x14ac:dyDescent="0.3">
      <c r="A385" t="s">
        <v>14</v>
      </c>
      <c r="B385" s="1">
        <v>45961</v>
      </c>
      <c r="C385">
        <v>544006</v>
      </c>
      <c r="D385">
        <v>-4798.7879999999996</v>
      </c>
      <c r="E385" t="s">
        <v>6</v>
      </c>
      <c r="F385" t="s">
        <v>61</v>
      </c>
      <c r="G385" t="s">
        <v>8</v>
      </c>
    </row>
    <row r="386" spans="1:7" x14ac:dyDescent="0.3">
      <c r="A386" t="s">
        <v>14</v>
      </c>
      <c r="B386" s="1">
        <v>45961</v>
      </c>
      <c r="C386">
        <v>546002</v>
      </c>
      <c r="D386">
        <v>306638.96600000001</v>
      </c>
      <c r="E386" t="s">
        <v>6</v>
      </c>
      <c r="F386" t="s">
        <v>51</v>
      </c>
      <c r="G386" t="s">
        <v>8</v>
      </c>
    </row>
    <row r="387" spans="1:7" x14ac:dyDescent="0.3">
      <c r="A387" t="s">
        <v>14</v>
      </c>
      <c r="B387" s="1">
        <v>45961</v>
      </c>
      <c r="C387">
        <v>546008</v>
      </c>
      <c r="D387">
        <v>6761.6909999999998</v>
      </c>
      <c r="E387" t="s">
        <v>6</v>
      </c>
      <c r="F387" t="s">
        <v>51</v>
      </c>
      <c r="G387" t="s">
        <v>8</v>
      </c>
    </row>
    <row r="388" spans="1:7" x14ac:dyDescent="0.3">
      <c r="A388" t="s">
        <v>14</v>
      </c>
      <c r="B388" s="1">
        <v>45961</v>
      </c>
      <c r="C388">
        <v>546013</v>
      </c>
      <c r="D388">
        <v>11475.01</v>
      </c>
      <c r="E388" t="s">
        <v>6</v>
      </c>
      <c r="F388" t="s">
        <v>51</v>
      </c>
      <c r="G388" t="s">
        <v>8</v>
      </c>
    </row>
    <row r="389" spans="1:7" x14ac:dyDescent="0.3">
      <c r="A389" t="s">
        <v>14</v>
      </c>
      <c r="B389" s="1">
        <v>45961</v>
      </c>
      <c r="C389">
        <v>546035</v>
      </c>
      <c r="D389">
        <v>2912.1819999999998</v>
      </c>
      <c r="E389" t="s">
        <v>6</v>
      </c>
      <c r="F389" t="s">
        <v>51</v>
      </c>
      <c r="G389" t="s">
        <v>8</v>
      </c>
    </row>
    <row r="390" spans="1:7" x14ac:dyDescent="0.3">
      <c r="A390" t="s">
        <v>14</v>
      </c>
      <c r="B390" s="1">
        <v>45961</v>
      </c>
      <c r="C390">
        <v>547002</v>
      </c>
      <c r="D390">
        <v>-1357.2860000000001</v>
      </c>
      <c r="E390" t="s">
        <v>6</v>
      </c>
      <c r="F390" t="s">
        <v>54</v>
      </c>
      <c r="G390" t="s">
        <v>8</v>
      </c>
    </row>
    <row r="391" spans="1:7" x14ac:dyDescent="0.3">
      <c r="A391" t="s">
        <v>14</v>
      </c>
      <c r="B391" s="1">
        <v>45961</v>
      </c>
      <c r="C391">
        <v>550003</v>
      </c>
      <c r="D391">
        <v>-2361.8780000000002</v>
      </c>
      <c r="E391" t="s">
        <v>6</v>
      </c>
      <c r="F391" t="s">
        <v>62</v>
      </c>
      <c r="G391" t="s">
        <v>8</v>
      </c>
    </row>
    <row r="392" spans="1:7" x14ac:dyDescent="0.3">
      <c r="A392" t="s">
        <v>14</v>
      </c>
      <c r="B392" s="1">
        <v>45961</v>
      </c>
      <c r="C392">
        <v>551003</v>
      </c>
      <c r="D392">
        <v>2608.125</v>
      </c>
      <c r="E392" t="s">
        <v>6</v>
      </c>
      <c r="F392" t="s">
        <v>63</v>
      </c>
      <c r="G392" t="s">
        <v>8</v>
      </c>
    </row>
    <row r="393" spans="1:7" x14ac:dyDescent="0.3">
      <c r="A393" t="s">
        <v>14</v>
      </c>
      <c r="B393" s="1">
        <v>45961</v>
      </c>
      <c r="C393">
        <v>552502</v>
      </c>
      <c r="D393">
        <v>397.22399999999999</v>
      </c>
      <c r="E393" t="s">
        <v>6</v>
      </c>
      <c r="F393" t="s">
        <v>55</v>
      </c>
      <c r="G393" t="s">
        <v>8</v>
      </c>
    </row>
    <row r="394" spans="1:7" x14ac:dyDescent="0.3">
      <c r="A394" t="s">
        <v>14</v>
      </c>
      <c r="B394" s="1">
        <v>45961</v>
      </c>
      <c r="C394">
        <v>554005</v>
      </c>
      <c r="D394">
        <v>715.05700000000002</v>
      </c>
      <c r="E394" t="s">
        <v>6</v>
      </c>
      <c r="F394" t="s">
        <v>55</v>
      </c>
      <c r="G394" t="s">
        <v>8</v>
      </c>
    </row>
    <row r="395" spans="1:7" x14ac:dyDescent="0.3">
      <c r="A395" t="s">
        <v>14</v>
      </c>
      <c r="B395" s="1">
        <v>45961</v>
      </c>
      <c r="C395">
        <v>554008</v>
      </c>
      <c r="D395">
        <v>88.991</v>
      </c>
      <c r="E395" t="s">
        <v>6</v>
      </c>
      <c r="F395" t="s">
        <v>55</v>
      </c>
      <c r="G395" t="s">
        <v>8</v>
      </c>
    </row>
    <row r="396" spans="1:7" x14ac:dyDescent="0.3">
      <c r="A396" t="s">
        <v>14</v>
      </c>
      <c r="B396" s="1">
        <v>45961</v>
      </c>
      <c r="C396">
        <v>555004</v>
      </c>
      <c r="D396">
        <v>92.846999999999994</v>
      </c>
      <c r="E396" t="s">
        <v>6</v>
      </c>
      <c r="F396" t="s">
        <v>55</v>
      </c>
      <c r="G396" t="s">
        <v>8</v>
      </c>
    </row>
    <row r="397" spans="1:7" x14ac:dyDescent="0.3">
      <c r="A397" t="s">
        <v>14</v>
      </c>
      <c r="B397" s="1">
        <v>45961</v>
      </c>
      <c r="C397">
        <v>555007</v>
      </c>
      <c r="D397">
        <v>240.81800000000001</v>
      </c>
      <c r="E397" t="s">
        <v>6</v>
      </c>
      <c r="F397" t="s">
        <v>55</v>
      </c>
      <c r="G397" t="s">
        <v>8</v>
      </c>
    </row>
    <row r="398" spans="1:7" x14ac:dyDescent="0.3">
      <c r="A398" t="s">
        <v>14</v>
      </c>
      <c r="B398" s="1">
        <v>45961</v>
      </c>
      <c r="C398">
        <v>555508</v>
      </c>
      <c r="D398">
        <v>55.095999999999997</v>
      </c>
      <c r="E398" t="s">
        <v>6</v>
      </c>
      <c r="F398" t="s">
        <v>55</v>
      </c>
      <c r="G398" t="s">
        <v>8</v>
      </c>
    </row>
    <row r="399" spans="1:7" x14ac:dyDescent="0.3">
      <c r="A399" t="s">
        <v>14</v>
      </c>
      <c r="B399" s="1">
        <v>45961</v>
      </c>
      <c r="C399">
        <v>556002</v>
      </c>
      <c r="D399">
        <v>591.61699999999996</v>
      </c>
      <c r="E399" t="s">
        <v>6</v>
      </c>
      <c r="F399" t="s">
        <v>60</v>
      </c>
      <c r="G399" t="s">
        <v>8</v>
      </c>
    </row>
    <row r="400" spans="1:7" x14ac:dyDescent="0.3">
      <c r="A400" t="s">
        <v>14</v>
      </c>
      <c r="B400" s="1">
        <v>45961</v>
      </c>
      <c r="C400">
        <v>556003</v>
      </c>
      <c r="D400">
        <v>20.852</v>
      </c>
      <c r="E400" t="s">
        <v>6</v>
      </c>
      <c r="F400" t="s">
        <v>55</v>
      </c>
      <c r="G400" t="s">
        <v>8</v>
      </c>
    </row>
    <row r="401" spans="1:7" x14ac:dyDescent="0.3">
      <c r="A401" t="s">
        <v>14</v>
      </c>
      <c r="B401" s="1">
        <v>45961</v>
      </c>
      <c r="C401">
        <v>556004</v>
      </c>
      <c r="D401">
        <v>11.214</v>
      </c>
      <c r="E401" t="s">
        <v>6</v>
      </c>
      <c r="F401" t="s">
        <v>55</v>
      </c>
      <c r="G401" t="s">
        <v>8</v>
      </c>
    </row>
    <row r="402" spans="1:7" x14ac:dyDescent="0.3">
      <c r="A402" t="s">
        <v>14</v>
      </c>
      <c r="B402" s="1">
        <v>45961</v>
      </c>
      <c r="C402">
        <v>557002</v>
      </c>
      <c r="D402">
        <v>3903.7269999999999</v>
      </c>
      <c r="E402" t="s">
        <v>6</v>
      </c>
      <c r="F402" t="s">
        <v>56</v>
      </c>
      <c r="G402" t="s">
        <v>8</v>
      </c>
    </row>
    <row r="403" spans="1:7" x14ac:dyDescent="0.3">
      <c r="A403" t="s">
        <v>14</v>
      </c>
      <c r="B403" s="1">
        <v>45961</v>
      </c>
      <c r="C403">
        <v>557003</v>
      </c>
      <c r="D403">
        <v>777.45299999999997</v>
      </c>
      <c r="E403" t="s">
        <v>6</v>
      </c>
      <c r="F403" t="s">
        <v>56</v>
      </c>
      <c r="G403" t="s">
        <v>8</v>
      </c>
    </row>
    <row r="404" spans="1:7" x14ac:dyDescent="0.3">
      <c r="A404" t="s">
        <v>14</v>
      </c>
      <c r="B404" s="1">
        <v>45961</v>
      </c>
      <c r="C404">
        <v>558011</v>
      </c>
      <c r="D404">
        <v>130.62299999999999</v>
      </c>
      <c r="E404" t="s">
        <v>6</v>
      </c>
      <c r="F404" t="s">
        <v>57</v>
      </c>
      <c r="G404" t="s">
        <v>8</v>
      </c>
    </row>
    <row r="405" spans="1:7" x14ac:dyDescent="0.3">
      <c r="A405" t="s">
        <v>14</v>
      </c>
      <c r="B405" s="1">
        <v>45961</v>
      </c>
      <c r="C405">
        <v>558012</v>
      </c>
      <c r="D405">
        <v>7.056</v>
      </c>
      <c r="E405" t="s">
        <v>6</v>
      </c>
      <c r="F405" t="s">
        <v>60</v>
      </c>
      <c r="G405" t="s">
        <v>8</v>
      </c>
    </row>
    <row r="406" spans="1:7" x14ac:dyDescent="0.3">
      <c r="A406" t="s">
        <v>14</v>
      </c>
      <c r="B406" s="1">
        <v>45961</v>
      </c>
      <c r="C406">
        <v>563002</v>
      </c>
      <c r="D406">
        <v>-776.28300000000002</v>
      </c>
      <c r="E406" t="s">
        <v>6</v>
      </c>
      <c r="F406" t="s">
        <v>57</v>
      </c>
      <c r="G406" t="s">
        <v>8</v>
      </c>
    </row>
    <row r="407" spans="1:7" x14ac:dyDescent="0.3">
      <c r="A407" t="s">
        <v>14</v>
      </c>
      <c r="B407" s="1">
        <v>45961</v>
      </c>
      <c r="C407">
        <v>564004</v>
      </c>
      <c r="D407">
        <v>2993.5479999999998</v>
      </c>
      <c r="E407" t="s">
        <v>6</v>
      </c>
      <c r="F407" t="s">
        <v>51</v>
      </c>
      <c r="G407" t="s">
        <v>8</v>
      </c>
    </row>
    <row r="408" spans="1:7" x14ac:dyDescent="0.3">
      <c r="A408" t="s">
        <v>14</v>
      </c>
      <c r="B408" s="1">
        <v>45961</v>
      </c>
      <c r="C408">
        <v>564006</v>
      </c>
      <c r="D408">
        <v>5.7000000000000002E-2</v>
      </c>
      <c r="E408" t="s">
        <v>6</v>
      </c>
      <c r="F408" t="s">
        <v>57</v>
      </c>
      <c r="G408" t="s">
        <v>8</v>
      </c>
    </row>
    <row r="409" spans="1:7" x14ac:dyDescent="0.3">
      <c r="A409" t="s">
        <v>14</v>
      </c>
      <c r="B409" s="1">
        <v>45961</v>
      </c>
      <c r="C409">
        <v>564007</v>
      </c>
      <c r="D409">
        <v>-513.61400000000003</v>
      </c>
      <c r="E409" t="s">
        <v>6</v>
      </c>
      <c r="F409" t="s">
        <v>57</v>
      </c>
      <c r="G409" t="s">
        <v>8</v>
      </c>
    </row>
    <row r="410" spans="1:7" x14ac:dyDescent="0.3">
      <c r="A410" t="s">
        <v>14</v>
      </c>
      <c r="B410" s="1">
        <v>45961</v>
      </c>
      <c r="C410">
        <v>564008</v>
      </c>
      <c r="D410">
        <v>337.56299999999999</v>
      </c>
      <c r="E410" t="s">
        <v>6</v>
      </c>
      <c r="F410" t="s">
        <v>55</v>
      </c>
      <c r="G410" t="s">
        <v>8</v>
      </c>
    </row>
    <row r="411" spans="1:7" x14ac:dyDescent="0.3">
      <c r="A411" t="s">
        <v>14</v>
      </c>
      <c r="B411" s="1">
        <v>45961</v>
      </c>
      <c r="C411">
        <v>564020</v>
      </c>
      <c r="D411">
        <v>1029.248</v>
      </c>
      <c r="E411" t="s">
        <v>6</v>
      </c>
      <c r="F411" t="s">
        <v>57</v>
      </c>
      <c r="G411" t="s">
        <v>8</v>
      </c>
    </row>
    <row r="412" spans="1:7" x14ac:dyDescent="0.3">
      <c r="A412" t="s">
        <v>14</v>
      </c>
      <c r="B412" s="1">
        <v>45961</v>
      </c>
      <c r="C412">
        <v>564021</v>
      </c>
      <c r="D412">
        <v>11.308999999999999</v>
      </c>
      <c r="E412" t="s">
        <v>6</v>
      </c>
      <c r="F412" t="s">
        <v>57</v>
      </c>
      <c r="G412" t="s">
        <v>8</v>
      </c>
    </row>
    <row r="413" spans="1:7" x14ac:dyDescent="0.3">
      <c r="A413" t="s">
        <v>14</v>
      </c>
      <c r="B413" s="1">
        <v>45961</v>
      </c>
      <c r="C413">
        <v>564023</v>
      </c>
      <c r="D413">
        <v>242.68899999999999</v>
      </c>
      <c r="E413" t="s">
        <v>6</v>
      </c>
      <c r="F413" t="s">
        <v>67</v>
      </c>
      <c r="G413" t="s">
        <v>8</v>
      </c>
    </row>
    <row r="414" spans="1:7" x14ac:dyDescent="0.3">
      <c r="A414" t="s">
        <v>14</v>
      </c>
      <c r="B414" s="1">
        <v>45961</v>
      </c>
      <c r="C414">
        <v>570002</v>
      </c>
      <c r="D414">
        <v>186.78100000000001</v>
      </c>
      <c r="E414" t="s">
        <v>6</v>
      </c>
      <c r="F414" t="s">
        <v>66</v>
      </c>
      <c r="G414" t="s">
        <v>8</v>
      </c>
    </row>
    <row r="415" spans="1:7" x14ac:dyDescent="0.3">
      <c r="A415" t="s">
        <v>14</v>
      </c>
      <c r="B415" s="1">
        <v>45961</v>
      </c>
      <c r="C415">
        <v>580002</v>
      </c>
      <c r="D415">
        <v>21800.019</v>
      </c>
      <c r="E415" t="s">
        <v>6</v>
      </c>
      <c r="F415" t="s">
        <v>64</v>
      </c>
      <c r="G415" t="s">
        <v>8</v>
      </c>
    </row>
    <row r="416" spans="1:7" x14ac:dyDescent="0.3">
      <c r="A416" t="s">
        <v>14</v>
      </c>
      <c r="B416" s="1">
        <v>45961</v>
      </c>
      <c r="C416">
        <v>580005</v>
      </c>
      <c r="D416">
        <v>-11426.864</v>
      </c>
      <c r="E416" t="s">
        <v>6</v>
      </c>
      <c r="F416" t="s">
        <v>64</v>
      </c>
      <c r="G416" t="s">
        <v>8</v>
      </c>
    </row>
    <row r="417" spans="1:7" x14ac:dyDescent="0.3">
      <c r="A417" t="s">
        <v>15</v>
      </c>
      <c r="B417" s="1">
        <v>45961</v>
      </c>
      <c r="C417">
        <v>210002</v>
      </c>
      <c r="D417">
        <v>-846271.40300000005</v>
      </c>
      <c r="E417" t="s">
        <v>4</v>
      </c>
      <c r="F417" t="s">
        <v>42</v>
      </c>
      <c r="G417" t="s">
        <v>5</v>
      </c>
    </row>
    <row r="418" spans="1:7" x14ac:dyDescent="0.3">
      <c r="A418" t="s">
        <v>15</v>
      </c>
      <c r="B418" s="1">
        <v>45961</v>
      </c>
      <c r="C418">
        <v>220005</v>
      </c>
      <c r="D418">
        <v>-1027661.057</v>
      </c>
      <c r="E418" t="s">
        <v>4</v>
      </c>
      <c r="F418" t="s">
        <v>42</v>
      </c>
      <c r="G418" t="s">
        <v>5</v>
      </c>
    </row>
    <row r="419" spans="1:7" x14ac:dyDescent="0.3">
      <c r="A419" t="s">
        <v>15</v>
      </c>
      <c r="B419" s="1">
        <v>45961</v>
      </c>
      <c r="C419">
        <v>220006</v>
      </c>
      <c r="D419">
        <v>-13990284.411</v>
      </c>
      <c r="E419" t="s">
        <v>4</v>
      </c>
      <c r="F419" t="s">
        <v>42</v>
      </c>
      <c r="G419" t="s">
        <v>5</v>
      </c>
    </row>
    <row r="420" spans="1:7" x14ac:dyDescent="0.3">
      <c r="A420" t="s">
        <v>15</v>
      </c>
      <c r="B420" s="1">
        <v>45961</v>
      </c>
      <c r="C420">
        <v>220008</v>
      </c>
      <c r="D420">
        <v>-79666.899999999994</v>
      </c>
      <c r="E420" t="s">
        <v>4</v>
      </c>
      <c r="F420" t="s">
        <v>42</v>
      </c>
      <c r="G420" t="s">
        <v>5</v>
      </c>
    </row>
    <row r="421" spans="1:7" x14ac:dyDescent="0.3">
      <c r="A421" t="s">
        <v>15</v>
      </c>
      <c r="B421" s="1">
        <v>45961</v>
      </c>
      <c r="C421">
        <v>220010</v>
      </c>
      <c r="D421">
        <v>419438.28399999999</v>
      </c>
      <c r="E421" t="s">
        <v>4</v>
      </c>
      <c r="F421" t="s">
        <v>42</v>
      </c>
      <c r="G421" t="s">
        <v>5</v>
      </c>
    </row>
    <row r="422" spans="1:7" x14ac:dyDescent="0.3">
      <c r="A422" t="s">
        <v>15</v>
      </c>
      <c r="B422" s="1">
        <v>45961</v>
      </c>
      <c r="C422">
        <v>220012</v>
      </c>
      <c r="D422">
        <v>-86180</v>
      </c>
      <c r="E422" t="s">
        <v>4</v>
      </c>
      <c r="F422" t="s">
        <v>42</v>
      </c>
      <c r="G422" t="s">
        <v>5</v>
      </c>
    </row>
    <row r="423" spans="1:7" x14ac:dyDescent="0.3">
      <c r="A423" t="s">
        <v>15</v>
      </c>
      <c r="B423" s="1">
        <v>45961</v>
      </c>
      <c r="C423">
        <v>220013</v>
      </c>
      <c r="D423">
        <v>-465271.44199999998</v>
      </c>
      <c r="E423" t="s">
        <v>4</v>
      </c>
      <c r="F423" t="s">
        <v>42</v>
      </c>
      <c r="G423" t="s">
        <v>5</v>
      </c>
    </row>
    <row r="424" spans="1:7" x14ac:dyDescent="0.3">
      <c r="A424" t="s">
        <v>15</v>
      </c>
      <c r="B424" s="1">
        <v>45961</v>
      </c>
      <c r="C424">
        <v>220014</v>
      </c>
      <c r="D424">
        <v>227805.83499999999</v>
      </c>
      <c r="E424" t="s">
        <v>4</v>
      </c>
      <c r="F424" t="s">
        <v>42</v>
      </c>
      <c r="G424" t="s">
        <v>5</v>
      </c>
    </row>
    <row r="425" spans="1:7" x14ac:dyDescent="0.3">
      <c r="A425" t="s">
        <v>15</v>
      </c>
      <c r="B425" s="1">
        <v>45961</v>
      </c>
      <c r="C425">
        <v>220015</v>
      </c>
      <c r="D425">
        <v>-66849.388000000006</v>
      </c>
      <c r="E425" t="s">
        <v>4</v>
      </c>
      <c r="F425" t="s">
        <v>42</v>
      </c>
      <c r="G425" t="s">
        <v>5</v>
      </c>
    </row>
    <row r="426" spans="1:7" x14ac:dyDescent="0.3">
      <c r="A426" t="s">
        <v>15</v>
      </c>
      <c r="B426" s="1">
        <v>45961</v>
      </c>
      <c r="C426">
        <v>234003</v>
      </c>
      <c r="D426">
        <v>-1562424.2169999999</v>
      </c>
      <c r="E426" t="s">
        <v>4</v>
      </c>
      <c r="F426" t="s">
        <v>43</v>
      </c>
      <c r="G426" t="s">
        <v>5</v>
      </c>
    </row>
    <row r="427" spans="1:7" x14ac:dyDescent="0.3">
      <c r="A427" t="s">
        <v>15</v>
      </c>
      <c r="B427" s="1">
        <v>45961</v>
      </c>
      <c r="C427">
        <v>234004</v>
      </c>
      <c r="D427">
        <v>-6306.7370000000001</v>
      </c>
      <c r="E427" t="s">
        <v>4</v>
      </c>
      <c r="F427" t="s">
        <v>43</v>
      </c>
      <c r="G427" t="s">
        <v>5</v>
      </c>
    </row>
    <row r="428" spans="1:7" x14ac:dyDescent="0.3">
      <c r="A428" t="s">
        <v>15</v>
      </c>
      <c r="B428" s="1">
        <v>45961</v>
      </c>
      <c r="C428">
        <v>240002</v>
      </c>
      <c r="D428">
        <v>-38741.036</v>
      </c>
      <c r="E428" t="s">
        <v>4</v>
      </c>
      <c r="F428" t="s">
        <v>43</v>
      </c>
      <c r="G428" t="s">
        <v>5</v>
      </c>
    </row>
    <row r="429" spans="1:7" x14ac:dyDescent="0.3">
      <c r="A429" t="s">
        <v>15</v>
      </c>
      <c r="B429" s="1">
        <v>45961</v>
      </c>
      <c r="C429">
        <v>240003</v>
      </c>
      <c r="D429">
        <v>358.38499999999999</v>
      </c>
      <c r="E429" t="s">
        <v>4</v>
      </c>
      <c r="F429" t="s">
        <v>43</v>
      </c>
      <c r="G429" t="s">
        <v>5</v>
      </c>
    </row>
    <row r="430" spans="1:7" x14ac:dyDescent="0.3">
      <c r="A430" t="s">
        <v>15</v>
      </c>
      <c r="B430" s="1">
        <v>45961</v>
      </c>
      <c r="C430">
        <v>240005</v>
      </c>
      <c r="D430">
        <v>-4314.1790000000001</v>
      </c>
      <c r="E430" t="s">
        <v>4</v>
      </c>
      <c r="F430" t="s">
        <v>49</v>
      </c>
      <c r="G430" t="s">
        <v>5</v>
      </c>
    </row>
    <row r="431" spans="1:7" x14ac:dyDescent="0.3">
      <c r="A431" t="s">
        <v>15</v>
      </c>
      <c r="B431" s="1">
        <v>45961</v>
      </c>
      <c r="C431">
        <v>240009</v>
      </c>
      <c r="D431">
        <v>-1972.885</v>
      </c>
      <c r="E431" t="s">
        <v>4</v>
      </c>
      <c r="F431" t="s">
        <v>43</v>
      </c>
      <c r="G431" t="s">
        <v>5</v>
      </c>
    </row>
    <row r="432" spans="1:7" x14ac:dyDescent="0.3">
      <c r="A432" t="s">
        <v>15</v>
      </c>
      <c r="B432" s="1">
        <v>45961</v>
      </c>
      <c r="C432">
        <v>240010</v>
      </c>
      <c r="D432">
        <v>-4980.1840000000002</v>
      </c>
      <c r="E432" t="s">
        <v>4</v>
      </c>
      <c r="F432" t="s">
        <v>43</v>
      </c>
      <c r="G432" t="s">
        <v>5</v>
      </c>
    </row>
    <row r="433" spans="1:7" x14ac:dyDescent="0.3">
      <c r="A433" t="s">
        <v>15</v>
      </c>
      <c r="B433" s="1">
        <v>45961</v>
      </c>
      <c r="C433">
        <v>240011</v>
      </c>
      <c r="D433">
        <v>-6474.009</v>
      </c>
      <c r="E433" t="s">
        <v>4</v>
      </c>
      <c r="F433" t="s">
        <v>43</v>
      </c>
      <c r="G433" t="s">
        <v>5</v>
      </c>
    </row>
    <row r="434" spans="1:7" x14ac:dyDescent="0.3">
      <c r="A434" t="s">
        <v>15</v>
      </c>
      <c r="B434" s="1">
        <v>45961</v>
      </c>
      <c r="C434">
        <v>242018</v>
      </c>
      <c r="D434">
        <v>-20503.05</v>
      </c>
      <c r="E434" t="s">
        <v>4</v>
      </c>
      <c r="F434" t="s">
        <v>43</v>
      </c>
      <c r="G434" t="s">
        <v>5</v>
      </c>
    </row>
    <row r="435" spans="1:7" x14ac:dyDescent="0.3">
      <c r="A435" t="s">
        <v>15</v>
      </c>
      <c r="B435" s="1">
        <v>45961</v>
      </c>
      <c r="C435">
        <v>242041</v>
      </c>
      <c r="D435">
        <v>-1922.8219999999999</v>
      </c>
      <c r="E435" t="s">
        <v>4</v>
      </c>
      <c r="F435" t="s">
        <v>43</v>
      </c>
      <c r="G435" t="s">
        <v>5</v>
      </c>
    </row>
    <row r="436" spans="1:7" x14ac:dyDescent="0.3">
      <c r="A436" t="s">
        <v>15</v>
      </c>
      <c r="B436" s="1">
        <v>45961</v>
      </c>
      <c r="C436">
        <v>243002</v>
      </c>
      <c r="D436">
        <v>-1006674.519</v>
      </c>
      <c r="E436" t="s">
        <v>4</v>
      </c>
      <c r="F436" t="s">
        <v>43</v>
      </c>
      <c r="G436" t="s">
        <v>5</v>
      </c>
    </row>
    <row r="437" spans="1:7" x14ac:dyDescent="0.3">
      <c r="A437" t="s">
        <v>15</v>
      </c>
      <c r="B437" s="1">
        <v>45961</v>
      </c>
      <c r="C437">
        <v>243003</v>
      </c>
      <c r="D437">
        <v>-66579.941999999995</v>
      </c>
      <c r="E437" t="s">
        <v>4</v>
      </c>
      <c r="F437" t="s">
        <v>43</v>
      </c>
      <c r="G437" t="s">
        <v>5</v>
      </c>
    </row>
    <row r="438" spans="1:7" x14ac:dyDescent="0.3">
      <c r="A438" t="s">
        <v>15</v>
      </c>
      <c r="B438" s="1">
        <v>45961</v>
      </c>
      <c r="C438">
        <v>243004</v>
      </c>
      <c r="D438">
        <v>-72629.373000000007</v>
      </c>
      <c r="E438" t="s">
        <v>4</v>
      </c>
      <c r="F438" t="s">
        <v>43</v>
      </c>
      <c r="G438" t="s">
        <v>5</v>
      </c>
    </row>
    <row r="439" spans="1:7" x14ac:dyDescent="0.3">
      <c r="A439" t="s">
        <v>15</v>
      </c>
      <c r="B439" s="1">
        <v>45961</v>
      </c>
      <c r="C439">
        <v>243005</v>
      </c>
      <c r="D439">
        <v>-14918.761</v>
      </c>
      <c r="E439" t="s">
        <v>4</v>
      </c>
      <c r="F439" t="s">
        <v>43</v>
      </c>
      <c r="G439" t="s">
        <v>5</v>
      </c>
    </row>
    <row r="440" spans="1:7" x14ac:dyDescent="0.3">
      <c r="A440" t="s">
        <v>15</v>
      </c>
      <c r="B440" s="1">
        <v>45961</v>
      </c>
      <c r="C440">
        <v>243009</v>
      </c>
      <c r="D440">
        <v>-22215.107</v>
      </c>
      <c r="E440" t="s">
        <v>4</v>
      </c>
      <c r="F440" t="s">
        <v>43</v>
      </c>
      <c r="G440" t="s">
        <v>5</v>
      </c>
    </row>
    <row r="441" spans="1:7" x14ac:dyDescent="0.3">
      <c r="A441" t="s">
        <v>15</v>
      </c>
      <c r="B441" s="1">
        <v>45961</v>
      </c>
      <c r="C441">
        <v>243010</v>
      </c>
      <c r="D441">
        <v>-70607.266000000003</v>
      </c>
      <c r="E441" t="s">
        <v>4</v>
      </c>
      <c r="F441" t="s">
        <v>43</v>
      </c>
      <c r="G441" t="s">
        <v>5</v>
      </c>
    </row>
    <row r="442" spans="1:7" x14ac:dyDescent="0.3">
      <c r="A442" t="s">
        <v>15</v>
      </c>
      <c r="B442" s="1">
        <v>45961</v>
      </c>
      <c r="C442">
        <v>245002</v>
      </c>
      <c r="D442">
        <v>-1571.087</v>
      </c>
      <c r="E442" t="s">
        <v>4</v>
      </c>
      <c r="F442" t="s">
        <v>43</v>
      </c>
      <c r="G442" t="s">
        <v>5</v>
      </c>
    </row>
    <row r="443" spans="1:7" x14ac:dyDescent="0.3">
      <c r="A443" t="s">
        <v>15</v>
      </c>
      <c r="B443" s="1">
        <v>45961</v>
      </c>
      <c r="C443">
        <v>245004</v>
      </c>
      <c r="D443">
        <v>555.10799999999995</v>
      </c>
      <c r="E443" t="s">
        <v>4</v>
      </c>
      <c r="F443" t="s">
        <v>43</v>
      </c>
      <c r="G443" t="s">
        <v>5</v>
      </c>
    </row>
    <row r="444" spans="1:7" x14ac:dyDescent="0.3">
      <c r="A444" t="s">
        <v>15</v>
      </c>
      <c r="B444" s="1">
        <v>45961</v>
      </c>
      <c r="C444">
        <v>245006</v>
      </c>
      <c r="D444">
        <v>-12.659000000000001</v>
      </c>
      <c r="E444" t="s">
        <v>4</v>
      </c>
      <c r="F444" t="s">
        <v>43</v>
      </c>
      <c r="G444" t="s">
        <v>5</v>
      </c>
    </row>
    <row r="445" spans="1:7" x14ac:dyDescent="0.3">
      <c r="A445" t="s">
        <v>15</v>
      </c>
      <c r="B445" s="1">
        <v>45961</v>
      </c>
      <c r="C445">
        <v>245010</v>
      </c>
      <c r="D445">
        <v>-427128.473</v>
      </c>
      <c r="E445" t="s">
        <v>4</v>
      </c>
      <c r="F445" t="s">
        <v>44</v>
      </c>
      <c r="G445" t="s">
        <v>5</v>
      </c>
    </row>
    <row r="446" spans="1:7" x14ac:dyDescent="0.3">
      <c r="A446" t="s">
        <v>15</v>
      </c>
      <c r="B446" s="1">
        <v>45961</v>
      </c>
      <c r="C446">
        <v>245015</v>
      </c>
      <c r="D446">
        <v>-19225.666000000001</v>
      </c>
      <c r="E446" t="s">
        <v>4</v>
      </c>
      <c r="F446" t="s">
        <v>43</v>
      </c>
      <c r="G446" t="s">
        <v>5</v>
      </c>
    </row>
    <row r="447" spans="1:7" x14ac:dyDescent="0.3">
      <c r="A447" t="s">
        <v>15</v>
      </c>
      <c r="B447" s="1">
        <v>45961</v>
      </c>
      <c r="C447">
        <v>245017</v>
      </c>
      <c r="D447">
        <v>-7418.1469999999999</v>
      </c>
      <c r="E447" t="s">
        <v>4</v>
      </c>
      <c r="F447" t="s">
        <v>43</v>
      </c>
      <c r="G447" t="s">
        <v>5</v>
      </c>
    </row>
    <row r="448" spans="1:7" x14ac:dyDescent="0.3">
      <c r="A448" t="s">
        <v>15</v>
      </c>
      <c r="B448" s="1">
        <v>45961</v>
      </c>
      <c r="C448">
        <v>245018</v>
      </c>
      <c r="D448">
        <v>-96739.085999999996</v>
      </c>
      <c r="E448" t="s">
        <v>4</v>
      </c>
      <c r="F448" t="s">
        <v>43</v>
      </c>
      <c r="G448" t="s">
        <v>5</v>
      </c>
    </row>
    <row r="449" spans="1:7" x14ac:dyDescent="0.3">
      <c r="A449" t="s">
        <v>15</v>
      </c>
      <c r="B449" s="1">
        <v>45961</v>
      </c>
      <c r="C449">
        <v>245020</v>
      </c>
      <c r="D449">
        <v>-5606.61</v>
      </c>
      <c r="E449" t="s">
        <v>4</v>
      </c>
      <c r="F449" t="s">
        <v>44</v>
      </c>
      <c r="G449" t="s">
        <v>5</v>
      </c>
    </row>
    <row r="450" spans="1:7" x14ac:dyDescent="0.3">
      <c r="A450" t="s">
        <v>15</v>
      </c>
      <c r="B450" s="1">
        <v>45961</v>
      </c>
      <c r="C450">
        <v>245038</v>
      </c>
      <c r="D450">
        <v>-9108.7099999999991</v>
      </c>
      <c r="E450" t="s">
        <v>4</v>
      </c>
      <c r="F450" t="s">
        <v>45</v>
      </c>
      <c r="G450" t="s">
        <v>5</v>
      </c>
    </row>
    <row r="451" spans="1:7" x14ac:dyDescent="0.3">
      <c r="A451" t="s">
        <v>15</v>
      </c>
      <c r="B451" s="1">
        <v>45961</v>
      </c>
      <c r="C451">
        <v>245041</v>
      </c>
      <c r="D451">
        <v>-57111.898999999998</v>
      </c>
      <c r="E451" t="s">
        <v>4</v>
      </c>
      <c r="F451" t="s">
        <v>43</v>
      </c>
      <c r="G451" t="s">
        <v>5</v>
      </c>
    </row>
    <row r="452" spans="1:7" x14ac:dyDescent="0.3">
      <c r="A452" t="s">
        <v>15</v>
      </c>
      <c r="B452" s="1">
        <v>45961</v>
      </c>
      <c r="C452">
        <v>245050</v>
      </c>
      <c r="D452">
        <v>-59571.28</v>
      </c>
      <c r="E452" t="s">
        <v>4</v>
      </c>
      <c r="F452" t="s">
        <v>43</v>
      </c>
      <c r="G452" t="s">
        <v>5</v>
      </c>
    </row>
    <row r="453" spans="1:7" x14ac:dyDescent="0.3">
      <c r="A453" t="s">
        <v>15</v>
      </c>
      <c r="B453" s="1">
        <v>45961</v>
      </c>
      <c r="C453">
        <v>245055</v>
      </c>
      <c r="D453">
        <v>-27389.027999999998</v>
      </c>
      <c r="E453" t="s">
        <v>4</v>
      </c>
      <c r="F453" t="s">
        <v>43</v>
      </c>
      <c r="G453" t="s">
        <v>5</v>
      </c>
    </row>
    <row r="454" spans="1:7" x14ac:dyDescent="0.3">
      <c r="A454" t="s">
        <v>15</v>
      </c>
      <c r="B454" s="1">
        <v>45961</v>
      </c>
      <c r="C454">
        <v>245056</v>
      </c>
      <c r="D454">
        <v>-9094.16</v>
      </c>
      <c r="E454" t="s">
        <v>4</v>
      </c>
      <c r="F454" t="s">
        <v>49</v>
      </c>
      <c r="G454" t="s">
        <v>5</v>
      </c>
    </row>
    <row r="455" spans="1:7" x14ac:dyDescent="0.3">
      <c r="A455" t="s">
        <v>15</v>
      </c>
      <c r="B455" s="1">
        <v>45961</v>
      </c>
      <c r="C455">
        <v>245057</v>
      </c>
      <c r="D455">
        <v>-45341.881000000001</v>
      </c>
      <c r="E455" t="s">
        <v>4</v>
      </c>
      <c r="F455" t="s">
        <v>43</v>
      </c>
      <c r="G455" t="s">
        <v>5</v>
      </c>
    </row>
    <row r="456" spans="1:7" x14ac:dyDescent="0.3">
      <c r="A456" t="s">
        <v>15</v>
      </c>
      <c r="B456" s="1">
        <v>45961</v>
      </c>
      <c r="C456">
        <v>245059</v>
      </c>
      <c r="D456">
        <v>-29435.241000000002</v>
      </c>
      <c r="E456" t="s">
        <v>4</v>
      </c>
      <c r="F456" t="s">
        <v>43</v>
      </c>
      <c r="G456" t="s">
        <v>5</v>
      </c>
    </row>
    <row r="457" spans="1:7" x14ac:dyDescent="0.3">
      <c r="A457" t="s">
        <v>15</v>
      </c>
      <c r="B457" s="1">
        <v>45961</v>
      </c>
      <c r="C457">
        <v>245061</v>
      </c>
      <c r="D457">
        <v>-9632.1849999999995</v>
      </c>
      <c r="E457" t="s">
        <v>4</v>
      </c>
      <c r="F457" t="s">
        <v>43</v>
      </c>
      <c r="G457" t="s">
        <v>5</v>
      </c>
    </row>
    <row r="458" spans="1:7" x14ac:dyDescent="0.3">
      <c r="A458" t="s">
        <v>15</v>
      </c>
      <c r="B458" s="1">
        <v>45961</v>
      </c>
      <c r="C458">
        <v>245062</v>
      </c>
      <c r="D458">
        <v>-589554.44099999999</v>
      </c>
      <c r="E458" t="s">
        <v>4</v>
      </c>
      <c r="F458" t="s">
        <v>43</v>
      </c>
      <c r="G458" t="s">
        <v>5</v>
      </c>
    </row>
    <row r="459" spans="1:7" x14ac:dyDescent="0.3">
      <c r="A459" t="s">
        <v>15</v>
      </c>
      <c r="B459" s="1">
        <v>45961</v>
      </c>
      <c r="C459">
        <v>249002</v>
      </c>
      <c r="D459">
        <v>-996699.01699999999</v>
      </c>
      <c r="E459" t="s">
        <v>4</v>
      </c>
      <c r="F459" t="s">
        <v>44</v>
      </c>
      <c r="G459" t="s">
        <v>5</v>
      </c>
    </row>
    <row r="460" spans="1:7" x14ac:dyDescent="0.3">
      <c r="A460" t="s">
        <v>15</v>
      </c>
      <c r="B460" s="1">
        <v>45961</v>
      </c>
      <c r="C460">
        <v>249003</v>
      </c>
      <c r="D460">
        <v>-71998.902000000002</v>
      </c>
      <c r="E460" t="s">
        <v>4</v>
      </c>
      <c r="F460" t="s">
        <v>44</v>
      </c>
      <c r="G460" t="s">
        <v>5</v>
      </c>
    </row>
    <row r="461" spans="1:7" x14ac:dyDescent="0.3">
      <c r="A461" t="s">
        <v>15</v>
      </c>
      <c r="B461" s="1">
        <v>45961</v>
      </c>
      <c r="C461">
        <v>249004</v>
      </c>
      <c r="D461">
        <v>11088.313</v>
      </c>
      <c r="E461" t="s">
        <v>4</v>
      </c>
      <c r="F461" t="s">
        <v>44</v>
      </c>
      <c r="G461" t="s">
        <v>5</v>
      </c>
    </row>
    <row r="462" spans="1:7" x14ac:dyDescent="0.3">
      <c r="A462" t="s">
        <v>15</v>
      </c>
      <c r="B462" s="1">
        <v>45961</v>
      </c>
      <c r="C462">
        <v>250003</v>
      </c>
      <c r="D462">
        <v>-19324.817999999999</v>
      </c>
      <c r="E462" t="s">
        <v>4</v>
      </c>
      <c r="F462" t="s">
        <v>45</v>
      </c>
      <c r="G462" t="s">
        <v>5</v>
      </c>
    </row>
    <row r="463" spans="1:7" x14ac:dyDescent="0.3">
      <c r="A463" t="s">
        <v>15</v>
      </c>
      <c r="B463" s="1">
        <v>45961</v>
      </c>
      <c r="C463">
        <v>250009</v>
      </c>
      <c r="D463">
        <v>-669.6</v>
      </c>
      <c r="E463" t="s">
        <v>4</v>
      </c>
      <c r="F463" t="s">
        <v>43</v>
      </c>
      <c r="G463" t="s">
        <v>5</v>
      </c>
    </row>
    <row r="464" spans="1:7" x14ac:dyDescent="0.3">
      <c r="A464" t="s">
        <v>15</v>
      </c>
      <c r="B464" s="1">
        <v>45961</v>
      </c>
      <c r="C464">
        <v>250015</v>
      </c>
      <c r="D464">
        <v>-56974.432999999997</v>
      </c>
      <c r="E464" t="s">
        <v>4</v>
      </c>
      <c r="F464" t="s">
        <v>43</v>
      </c>
      <c r="G464" t="s">
        <v>5</v>
      </c>
    </row>
    <row r="465" spans="1:7" x14ac:dyDescent="0.3">
      <c r="A465" t="s">
        <v>15</v>
      </c>
      <c r="B465" s="1">
        <v>45961</v>
      </c>
      <c r="C465">
        <v>250017</v>
      </c>
      <c r="D465">
        <v>411681.17499999999</v>
      </c>
      <c r="E465" t="s">
        <v>4</v>
      </c>
      <c r="F465" t="s">
        <v>44</v>
      </c>
      <c r="G465" t="s">
        <v>5</v>
      </c>
    </row>
    <row r="466" spans="1:7" x14ac:dyDescent="0.3">
      <c r="A466" t="s">
        <v>15</v>
      </c>
      <c r="B466" s="1">
        <v>45961</v>
      </c>
      <c r="C466">
        <v>250019</v>
      </c>
      <c r="D466">
        <v>-1550</v>
      </c>
      <c r="E466" t="s">
        <v>4</v>
      </c>
      <c r="F466" t="s">
        <v>45</v>
      </c>
      <c r="G466" t="s">
        <v>5</v>
      </c>
    </row>
    <row r="467" spans="1:7" x14ac:dyDescent="0.3">
      <c r="A467" t="s">
        <v>15</v>
      </c>
      <c r="B467" s="1">
        <v>45961</v>
      </c>
      <c r="C467">
        <v>250020</v>
      </c>
      <c r="D467">
        <v>-6873.482</v>
      </c>
      <c r="E467" t="s">
        <v>4</v>
      </c>
      <c r="F467" t="s">
        <v>45</v>
      </c>
      <c r="G467" t="s">
        <v>5</v>
      </c>
    </row>
    <row r="468" spans="1:7" x14ac:dyDescent="0.3">
      <c r="A468" t="s">
        <v>15</v>
      </c>
      <c r="B468" s="1">
        <v>45961</v>
      </c>
      <c r="C468">
        <v>250021</v>
      </c>
      <c r="D468">
        <v>-42674.612000000001</v>
      </c>
      <c r="E468" t="s">
        <v>4</v>
      </c>
      <c r="F468" t="s">
        <v>45</v>
      </c>
      <c r="G468" t="s">
        <v>5</v>
      </c>
    </row>
    <row r="469" spans="1:7" x14ac:dyDescent="0.3">
      <c r="A469" t="s">
        <v>15</v>
      </c>
      <c r="B469" s="1">
        <v>45961</v>
      </c>
      <c r="C469">
        <v>250022</v>
      </c>
      <c r="D469">
        <v>38059.332000000002</v>
      </c>
      <c r="E469" t="s">
        <v>4</v>
      </c>
      <c r="F469" t="s">
        <v>45</v>
      </c>
      <c r="G469" t="s">
        <v>5</v>
      </c>
    </row>
    <row r="470" spans="1:7" x14ac:dyDescent="0.3">
      <c r="A470" t="s">
        <v>15</v>
      </c>
      <c r="B470" s="1">
        <v>45961</v>
      </c>
      <c r="C470">
        <v>251002</v>
      </c>
      <c r="D470">
        <v>-2719.2109999999998</v>
      </c>
      <c r="E470" t="s">
        <v>4</v>
      </c>
      <c r="F470" t="s">
        <v>45</v>
      </c>
      <c r="G470" t="s">
        <v>5</v>
      </c>
    </row>
    <row r="471" spans="1:7" x14ac:dyDescent="0.3">
      <c r="A471" t="s">
        <v>15</v>
      </c>
      <c r="B471" s="1">
        <v>45961</v>
      </c>
      <c r="C471">
        <v>251003</v>
      </c>
      <c r="D471">
        <v>-4207.7839999999997</v>
      </c>
      <c r="E471" t="s">
        <v>4</v>
      </c>
      <c r="F471" t="s">
        <v>45</v>
      </c>
      <c r="G471" t="s">
        <v>5</v>
      </c>
    </row>
    <row r="472" spans="1:7" x14ac:dyDescent="0.3">
      <c r="A472" t="s">
        <v>15</v>
      </c>
      <c r="B472" s="1">
        <v>45961</v>
      </c>
      <c r="C472">
        <v>255008</v>
      </c>
      <c r="D472">
        <v>-2747.308</v>
      </c>
      <c r="E472" t="s">
        <v>4</v>
      </c>
      <c r="F472" t="s">
        <v>43</v>
      </c>
      <c r="G472" t="s">
        <v>5</v>
      </c>
    </row>
    <row r="473" spans="1:7" x14ac:dyDescent="0.3">
      <c r="A473" t="s">
        <v>15</v>
      </c>
      <c r="B473" s="1">
        <v>45961</v>
      </c>
      <c r="C473">
        <v>255009</v>
      </c>
      <c r="D473">
        <v>-1051.903</v>
      </c>
      <c r="E473" t="s">
        <v>4</v>
      </c>
      <c r="F473" t="s">
        <v>43</v>
      </c>
      <c r="G473" t="s">
        <v>5</v>
      </c>
    </row>
    <row r="474" spans="1:7" x14ac:dyDescent="0.3">
      <c r="A474" t="s">
        <v>15</v>
      </c>
      <c r="B474" s="1">
        <v>45961</v>
      </c>
      <c r="C474">
        <v>255010</v>
      </c>
      <c r="D474">
        <v>-960.47900000000004</v>
      </c>
      <c r="E474" t="s">
        <v>4</v>
      </c>
      <c r="F474" t="s">
        <v>43</v>
      </c>
      <c r="G474" t="s">
        <v>5</v>
      </c>
    </row>
    <row r="475" spans="1:7" x14ac:dyDescent="0.3">
      <c r="A475" t="s">
        <v>15</v>
      </c>
      <c r="B475" s="1">
        <v>45961</v>
      </c>
      <c r="C475">
        <v>255011</v>
      </c>
      <c r="D475">
        <v>-1830.6990000000001</v>
      </c>
      <c r="E475" t="s">
        <v>4</v>
      </c>
      <c r="F475" t="s">
        <v>43</v>
      </c>
      <c r="G475" t="s">
        <v>5</v>
      </c>
    </row>
    <row r="476" spans="1:7" x14ac:dyDescent="0.3">
      <c r="A476" t="s">
        <v>15</v>
      </c>
      <c r="B476" s="1">
        <v>45961</v>
      </c>
      <c r="C476">
        <v>255012</v>
      </c>
      <c r="D476">
        <v>-1141.8989999999999</v>
      </c>
      <c r="E476" t="s">
        <v>4</v>
      </c>
      <c r="F476" t="s">
        <v>43</v>
      </c>
      <c r="G476" t="s">
        <v>5</v>
      </c>
    </row>
    <row r="477" spans="1:7" x14ac:dyDescent="0.3">
      <c r="A477" t="s">
        <v>15</v>
      </c>
      <c r="B477" s="1">
        <v>45961</v>
      </c>
      <c r="C477">
        <v>255015</v>
      </c>
      <c r="D477">
        <v>-1015.917</v>
      </c>
      <c r="E477" t="s">
        <v>4</v>
      </c>
      <c r="F477" t="s">
        <v>43</v>
      </c>
      <c r="G477" t="s">
        <v>5</v>
      </c>
    </row>
    <row r="478" spans="1:7" x14ac:dyDescent="0.3">
      <c r="A478" t="s">
        <v>15</v>
      </c>
      <c r="B478" s="1">
        <v>45961</v>
      </c>
      <c r="C478">
        <v>255016</v>
      </c>
      <c r="D478">
        <v>-596.66300000000001</v>
      </c>
      <c r="E478" t="s">
        <v>4</v>
      </c>
      <c r="F478" t="s">
        <v>43</v>
      </c>
      <c r="G478" t="s">
        <v>5</v>
      </c>
    </row>
    <row r="479" spans="1:7" x14ac:dyDescent="0.3">
      <c r="A479" t="s">
        <v>15</v>
      </c>
      <c r="B479" s="1">
        <v>45961</v>
      </c>
      <c r="C479">
        <v>255017</v>
      </c>
      <c r="D479">
        <v>-570.14599999999996</v>
      </c>
      <c r="E479" t="s">
        <v>4</v>
      </c>
      <c r="F479" t="s">
        <v>43</v>
      </c>
      <c r="G479" t="s">
        <v>5</v>
      </c>
    </row>
    <row r="480" spans="1:7" x14ac:dyDescent="0.3">
      <c r="A480" t="s">
        <v>15</v>
      </c>
      <c r="B480" s="1">
        <v>45961</v>
      </c>
      <c r="C480">
        <v>255018</v>
      </c>
      <c r="D480">
        <v>-569.62</v>
      </c>
      <c r="E480" t="s">
        <v>4</v>
      </c>
      <c r="F480" t="s">
        <v>43</v>
      </c>
      <c r="G480" t="s">
        <v>5</v>
      </c>
    </row>
    <row r="481" spans="1:7" x14ac:dyDescent="0.3">
      <c r="A481" t="s">
        <v>15</v>
      </c>
      <c r="B481" s="1">
        <v>45961</v>
      </c>
      <c r="C481">
        <v>255019</v>
      </c>
      <c r="D481">
        <v>-1198.9839999999999</v>
      </c>
      <c r="E481" t="s">
        <v>4</v>
      </c>
      <c r="F481" t="s">
        <v>43</v>
      </c>
      <c r="G481" t="s">
        <v>5</v>
      </c>
    </row>
    <row r="482" spans="1:7" x14ac:dyDescent="0.3">
      <c r="A482" t="s">
        <v>15</v>
      </c>
      <c r="B482" s="1">
        <v>45961</v>
      </c>
      <c r="C482">
        <v>255020</v>
      </c>
      <c r="D482">
        <v>-858.92899999999997</v>
      </c>
      <c r="E482" t="s">
        <v>4</v>
      </c>
      <c r="F482" t="s">
        <v>43</v>
      </c>
      <c r="G482" t="s">
        <v>5</v>
      </c>
    </row>
    <row r="483" spans="1:7" x14ac:dyDescent="0.3">
      <c r="A483" t="s">
        <v>15</v>
      </c>
      <c r="B483" s="1">
        <v>45961</v>
      </c>
      <c r="C483">
        <v>255021</v>
      </c>
      <c r="D483">
        <v>-889.64099999999996</v>
      </c>
      <c r="E483" t="s">
        <v>4</v>
      </c>
      <c r="F483" t="s">
        <v>43</v>
      </c>
      <c r="G483" t="s">
        <v>5</v>
      </c>
    </row>
    <row r="484" spans="1:7" x14ac:dyDescent="0.3">
      <c r="A484" t="s">
        <v>15</v>
      </c>
      <c r="B484" s="1">
        <v>45961</v>
      </c>
      <c r="C484">
        <v>257002</v>
      </c>
      <c r="D484">
        <v>-129.62100000000001</v>
      </c>
      <c r="E484" t="s">
        <v>4</v>
      </c>
      <c r="F484" t="s">
        <v>45</v>
      </c>
      <c r="G484" t="s">
        <v>5</v>
      </c>
    </row>
    <row r="485" spans="1:7" x14ac:dyDescent="0.3">
      <c r="A485" t="s">
        <v>15</v>
      </c>
      <c r="B485" s="1">
        <v>45961</v>
      </c>
      <c r="C485">
        <v>257003</v>
      </c>
      <c r="D485">
        <v>-2708.7240000000002</v>
      </c>
      <c r="E485" t="s">
        <v>4</v>
      </c>
      <c r="F485" t="s">
        <v>45</v>
      </c>
      <c r="G485" t="s">
        <v>5</v>
      </c>
    </row>
    <row r="486" spans="1:7" x14ac:dyDescent="0.3">
      <c r="A486" t="s">
        <v>15</v>
      </c>
      <c r="B486" s="1">
        <v>45961</v>
      </c>
      <c r="C486">
        <v>257005</v>
      </c>
      <c r="D486">
        <v>-172851.37400000001</v>
      </c>
      <c r="E486" t="s">
        <v>4</v>
      </c>
      <c r="F486" t="s">
        <v>45</v>
      </c>
      <c r="G486" t="s">
        <v>5</v>
      </c>
    </row>
    <row r="487" spans="1:7" x14ac:dyDescent="0.3">
      <c r="A487" t="s">
        <v>15</v>
      </c>
      <c r="B487" s="1">
        <v>45961</v>
      </c>
      <c r="C487">
        <v>257014</v>
      </c>
      <c r="D487">
        <v>-358759.71</v>
      </c>
      <c r="E487" t="s">
        <v>4</v>
      </c>
      <c r="F487" t="s">
        <v>45</v>
      </c>
      <c r="G487" t="s">
        <v>5</v>
      </c>
    </row>
    <row r="488" spans="1:7" x14ac:dyDescent="0.3">
      <c r="A488" t="s">
        <v>15</v>
      </c>
      <c r="B488" s="1">
        <v>45961</v>
      </c>
      <c r="C488">
        <v>257015</v>
      </c>
      <c r="D488">
        <v>-13582.821</v>
      </c>
      <c r="E488" t="s">
        <v>4</v>
      </c>
      <c r="F488" t="s">
        <v>45</v>
      </c>
      <c r="G488" t="s">
        <v>5</v>
      </c>
    </row>
    <row r="489" spans="1:7" x14ac:dyDescent="0.3">
      <c r="A489" t="s">
        <v>15</v>
      </c>
      <c r="B489" s="1">
        <v>45961</v>
      </c>
      <c r="C489">
        <v>257016</v>
      </c>
      <c r="D489">
        <v>-623.81799999999998</v>
      </c>
      <c r="E489" t="s">
        <v>4</v>
      </c>
      <c r="F489" t="s">
        <v>45</v>
      </c>
      <c r="G489" t="s">
        <v>5</v>
      </c>
    </row>
    <row r="490" spans="1:7" x14ac:dyDescent="0.3">
      <c r="A490" t="s">
        <v>15</v>
      </c>
      <c r="B490" s="1">
        <v>45961</v>
      </c>
      <c r="C490">
        <v>257018</v>
      </c>
      <c r="D490">
        <v>-4699.268</v>
      </c>
      <c r="E490" t="s">
        <v>4</v>
      </c>
      <c r="F490" t="s">
        <v>45</v>
      </c>
      <c r="G490" t="s">
        <v>5</v>
      </c>
    </row>
    <row r="491" spans="1:7" x14ac:dyDescent="0.3">
      <c r="A491" t="s">
        <v>15</v>
      </c>
      <c r="B491" s="1">
        <v>45961</v>
      </c>
      <c r="C491">
        <v>257028</v>
      </c>
      <c r="D491">
        <v>-105.277</v>
      </c>
      <c r="E491" t="s">
        <v>4</v>
      </c>
      <c r="F491" t="s">
        <v>45</v>
      </c>
      <c r="G491" t="s">
        <v>5</v>
      </c>
    </row>
    <row r="492" spans="1:7" x14ac:dyDescent="0.3">
      <c r="A492" t="s">
        <v>15</v>
      </c>
      <c r="B492" s="1">
        <v>45961</v>
      </c>
      <c r="C492">
        <v>257030</v>
      </c>
      <c r="D492">
        <v>-669.99300000000005</v>
      </c>
      <c r="E492" t="s">
        <v>4</v>
      </c>
      <c r="F492" t="s">
        <v>45</v>
      </c>
      <c r="G492" t="s">
        <v>5</v>
      </c>
    </row>
    <row r="493" spans="1:7" x14ac:dyDescent="0.3">
      <c r="A493" t="s">
        <v>15</v>
      </c>
      <c r="B493" s="1">
        <v>45961</v>
      </c>
      <c r="C493">
        <v>257035</v>
      </c>
      <c r="D493">
        <v>1E-3</v>
      </c>
      <c r="E493" t="s">
        <v>4</v>
      </c>
      <c r="F493" t="s">
        <v>45</v>
      </c>
      <c r="G493" t="s">
        <v>5</v>
      </c>
    </row>
    <row r="494" spans="1:7" x14ac:dyDescent="0.3">
      <c r="A494" t="s">
        <v>15</v>
      </c>
      <c r="B494" s="1">
        <v>45961</v>
      </c>
      <c r="C494">
        <v>257038</v>
      </c>
      <c r="D494">
        <v>-22.37</v>
      </c>
      <c r="E494" t="s">
        <v>4</v>
      </c>
      <c r="F494" t="s">
        <v>45</v>
      </c>
      <c r="G494" t="s">
        <v>5</v>
      </c>
    </row>
    <row r="495" spans="1:7" x14ac:dyDescent="0.3">
      <c r="A495" t="s">
        <v>15</v>
      </c>
      <c r="B495" s="1">
        <v>45961</v>
      </c>
      <c r="C495">
        <v>261014</v>
      </c>
      <c r="D495">
        <v>3165.6129999999998</v>
      </c>
      <c r="E495" t="s">
        <v>4</v>
      </c>
      <c r="F495" t="s">
        <v>45</v>
      </c>
      <c r="G495" t="s">
        <v>5</v>
      </c>
    </row>
    <row r="496" spans="1:7" x14ac:dyDescent="0.3">
      <c r="A496" t="s">
        <v>15</v>
      </c>
      <c r="B496" s="1">
        <v>45961</v>
      </c>
      <c r="C496">
        <v>261015</v>
      </c>
      <c r="D496">
        <v>0.70099999999999996</v>
      </c>
      <c r="E496" t="s">
        <v>4</v>
      </c>
      <c r="F496" t="s">
        <v>45</v>
      </c>
      <c r="G496" t="s">
        <v>5</v>
      </c>
    </row>
    <row r="497" spans="1:7" x14ac:dyDescent="0.3">
      <c r="A497" t="s">
        <v>15</v>
      </c>
      <c r="B497" s="1">
        <v>45961</v>
      </c>
      <c r="C497">
        <v>261016</v>
      </c>
      <c r="D497">
        <v>0.35</v>
      </c>
      <c r="E497" t="s">
        <v>4</v>
      </c>
      <c r="F497" t="s">
        <v>45</v>
      </c>
      <c r="G497" t="s">
        <v>5</v>
      </c>
    </row>
    <row r="498" spans="1:7" x14ac:dyDescent="0.3">
      <c r="A498" t="s">
        <v>15</v>
      </c>
      <c r="B498" s="1">
        <v>45961</v>
      </c>
      <c r="C498">
        <v>261017</v>
      </c>
      <c r="D498">
        <v>2.3809999999999998</v>
      </c>
      <c r="E498" t="s">
        <v>4</v>
      </c>
      <c r="F498" t="s">
        <v>45</v>
      </c>
      <c r="G498" t="s">
        <v>5</v>
      </c>
    </row>
    <row r="499" spans="1:7" x14ac:dyDescent="0.3">
      <c r="A499" t="s">
        <v>15</v>
      </c>
      <c r="B499" s="1">
        <v>45961</v>
      </c>
      <c r="C499">
        <v>261019</v>
      </c>
      <c r="D499">
        <v>628.71199999999999</v>
      </c>
      <c r="E499" t="s">
        <v>4</v>
      </c>
      <c r="F499" t="s">
        <v>45</v>
      </c>
      <c r="G499" t="s">
        <v>5</v>
      </c>
    </row>
    <row r="500" spans="1:7" x14ac:dyDescent="0.3">
      <c r="A500" t="s">
        <v>15</v>
      </c>
      <c r="B500" s="1">
        <v>45961</v>
      </c>
      <c r="C500">
        <v>261023</v>
      </c>
      <c r="D500">
        <v>17603.915000000001</v>
      </c>
      <c r="E500" t="s">
        <v>4</v>
      </c>
      <c r="F500" t="s">
        <v>45</v>
      </c>
      <c r="G500" t="s">
        <v>5</v>
      </c>
    </row>
    <row r="501" spans="1:7" x14ac:dyDescent="0.3">
      <c r="A501" t="s">
        <v>15</v>
      </c>
      <c r="B501" s="1">
        <v>45961</v>
      </c>
      <c r="C501">
        <v>261024</v>
      </c>
      <c r="D501">
        <v>628.71199999999999</v>
      </c>
      <c r="E501" t="s">
        <v>4</v>
      </c>
      <c r="F501" t="s">
        <v>45</v>
      </c>
      <c r="G501" t="s">
        <v>5</v>
      </c>
    </row>
    <row r="502" spans="1:7" x14ac:dyDescent="0.3">
      <c r="A502" t="s">
        <v>15</v>
      </c>
      <c r="B502" s="1">
        <v>45961</v>
      </c>
      <c r="C502">
        <v>263006</v>
      </c>
      <c r="D502">
        <v>-98427.778000000006</v>
      </c>
      <c r="E502" t="s">
        <v>4</v>
      </c>
      <c r="F502" t="s">
        <v>45</v>
      </c>
      <c r="G502" t="s">
        <v>5</v>
      </c>
    </row>
    <row r="503" spans="1:7" x14ac:dyDescent="0.3">
      <c r="A503" t="s">
        <v>15</v>
      </c>
      <c r="B503" s="1">
        <v>45961</v>
      </c>
      <c r="C503">
        <v>263007</v>
      </c>
      <c r="D503">
        <v>-82077.122000000003</v>
      </c>
      <c r="E503" t="s">
        <v>4</v>
      </c>
      <c r="F503" t="s">
        <v>45</v>
      </c>
      <c r="G503" t="s">
        <v>5</v>
      </c>
    </row>
    <row r="504" spans="1:7" x14ac:dyDescent="0.3">
      <c r="A504" t="s">
        <v>15</v>
      </c>
      <c r="B504" s="1">
        <v>45961</v>
      </c>
      <c r="C504">
        <v>263008</v>
      </c>
      <c r="D504">
        <v>-224198.84400000001</v>
      </c>
      <c r="E504" t="s">
        <v>4</v>
      </c>
      <c r="F504" t="s">
        <v>45</v>
      </c>
      <c r="G504" t="s">
        <v>5</v>
      </c>
    </row>
    <row r="505" spans="1:7" x14ac:dyDescent="0.3">
      <c r="A505" t="s">
        <v>15</v>
      </c>
      <c r="B505" s="1">
        <v>45961</v>
      </c>
      <c r="C505">
        <v>263010</v>
      </c>
      <c r="D505">
        <v>-1022.831</v>
      </c>
      <c r="E505" t="s">
        <v>4</v>
      </c>
      <c r="F505" t="s">
        <v>45</v>
      </c>
      <c r="G505" t="s">
        <v>5</v>
      </c>
    </row>
    <row r="506" spans="1:7" x14ac:dyDescent="0.3">
      <c r="A506" t="s">
        <v>15</v>
      </c>
      <c r="B506" s="1">
        <v>45961</v>
      </c>
      <c r="C506">
        <v>263012</v>
      </c>
      <c r="D506">
        <v>-150.846</v>
      </c>
      <c r="E506" t="s">
        <v>4</v>
      </c>
      <c r="F506" t="s">
        <v>45</v>
      </c>
      <c r="G506" t="s">
        <v>5</v>
      </c>
    </row>
    <row r="507" spans="1:7" x14ac:dyDescent="0.3">
      <c r="A507" t="s">
        <v>15</v>
      </c>
      <c r="B507" s="1">
        <v>45961</v>
      </c>
      <c r="C507">
        <v>263013</v>
      </c>
      <c r="D507">
        <v>-150.846</v>
      </c>
      <c r="E507" t="s">
        <v>4</v>
      </c>
      <c r="F507" t="s">
        <v>45</v>
      </c>
      <c r="G507" t="s">
        <v>5</v>
      </c>
    </row>
    <row r="508" spans="1:7" x14ac:dyDescent="0.3">
      <c r="A508" t="s">
        <v>15</v>
      </c>
      <c r="B508" s="1">
        <v>45961</v>
      </c>
      <c r="C508">
        <v>263014</v>
      </c>
      <c r="D508">
        <v>-847.18</v>
      </c>
      <c r="E508" t="s">
        <v>4</v>
      </c>
      <c r="F508" t="s">
        <v>45</v>
      </c>
      <c r="G508" t="s">
        <v>5</v>
      </c>
    </row>
    <row r="509" spans="1:7" x14ac:dyDescent="0.3">
      <c r="A509" t="s">
        <v>15</v>
      </c>
      <c r="B509" s="1">
        <v>45961</v>
      </c>
      <c r="C509">
        <v>270003</v>
      </c>
      <c r="D509">
        <v>-6238.777</v>
      </c>
      <c r="E509" t="s">
        <v>4</v>
      </c>
      <c r="F509" t="s">
        <v>58</v>
      </c>
      <c r="G509" t="s">
        <v>5</v>
      </c>
    </row>
    <row r="510" spans="1:7" x14ac:dyDescent="0.3">
      <c r="A510" t="s">
        <v>15</v>
      </c>
      <c r="B510" s="1">
        <v>45961</v>
      </c>
      <c r="C510">
        <v>270005</v>
      </c>
      <c r="D510">
        <v>-44268.635999999999</v>
      </c>
      <c r="E510" t="s">
        <v>4</v>
      </c>
      <c r="F510" t="s">
        <v>58</v>
      </c>
      <c r="G510" t="s">
        <v>5</v>
      </c>
    </row>
    <row r="511" spans="1:7" x14ac:dyDescent="0.3">
      <c r="A511" t="s">
        <v>15</v>
      </c>
      <c r="B511" s="1">
        <v>45961</v>
      </c>
      <c r="C511">
        <v>270007</v>
      </c>
      <c r="D511">
        <v>-32285.670999999998</v>
      </c>
      <c r="E511" t="s">
        <v>4</v>
      </c>
      <c r="F511" t="s">
        <v>58</v>
      </c>
      <c r="G511" t="s">
        <v>5</v>
      </c>
    </row>
    <row r="512" spans="1:7" x14ac:dyDescent="0.3">
      <c r="A512" t="s">
        <v>15</v>
      </c>
      <c r="B512" s="1">
        <v>45961</v>
      </c>
      <c r="C512">
        <v>270009</v>
      </c>
      <c r="D512">
        <v>-1725.5920000000001</v>
      </c>
      <c r="E512" t="s">
        <v>4</v>
      </c>
      <c r="F512" t="s">
        <v>58</v>
      </c>
      <c r="G512" t="s">
        <v>5</v>
      </c>
    </row>
    <row r="513" spans="1:7" x14ac:dyDescent="0.3">
      <c r="A513" t="s">
        <v>15</v>
      </c>
      <c r="B513" s="1">
        <v>45961</v>
      </c>
      <c r="C513">
        <v>270011</v>
      </c>
      <c r="D513">
        <v>-607.17700000000002</v>
      </c>
      <c r="E513" t="s">
        <v>4</v>
      </c>
      <c r="F513" t="s">
        <v>58</v>
      </c>
      <c r="G513" t="s">
        <v>5</v>
      </c>
    </row>
    <row r="514" spans="1:7" x14ac:dyDescent="0.3">
      <c r="A514" t="s">
        <v>15</v>
      </c>
      <c r="B514" s="1">
        <v>45961</v>
      </c>
      <c r="C514">
        <v>270012</v>
      </c>
      <c r="D514">
        <v>-666.05399999999997</v>
      </c>
      <c r="E514" t="s">
        <v>4</v>
      </c>
      <c r="F514" t="s">
        <v>58</v>
      </c>
      <c r="G514" t="s">
        <v>5</v>
      </c>
    </row>
    <row r="515" spans="1:7" x14ac:dyDescent="0.3">
      <c r="A515" t="s">
        <v>15</v>
      </c>
      <c r="B515" s="1">
        <v>45961</v>
      </c>
      <c r="C515">
        <v>270016</v>
      </c>
      <c r="D515">
        <v>-556.70000000000005</v>
      </c>
      <c r="E515" t="s">
        <v>4</v>
      </c>
      <c r="F515" t="s">
        <v>58</v>
      </c>
      <c r="G515" t="s">
        <v>5</v>
      </c>
    </row>
    <row r="516" spans="1:7" x14ac:dyDescent="0.3">
      <c r="A516" t="s">
        <v>15</v>
      </c>
      <c r="B516" s="1">
        <v>45961</v>
      </c>
      <c r="C516">
        <v>270018</v>
      </c>
      <c r="D516">
        <v>-5731.09</v>
      </c>
      <c r="E516" t="s">
        <v>4</v>
      </c>
      <c r="F516" t="s">
        <v>58</v>
      </c>
      <c r="G516" t="s">
        <v>5</v>
      </c>
    </row>
    <row r="517" spans="1:7" x14ac:dyDescent="0.3">
      <c r="A517" t="s">
        <v>15</v>
      </c>
      <c r="B517" s="1">
        <v>45961</v>
      </c>
      <c r="C517">
        <v>270020</v>
      </c>
      <c r="D517">
        <v>-619848.52300000004</v>
      </c>
      <c r="E517" t="s">
        <v>4</v>
      </c>
      <c r="F517" t="s">
        <v>58</v>
      </c>
      <c r="G517" t="s">
        <v>5</v>
      </c>
    </row>
    <row r="518" spans="1:7" x14ac:dyDescent="0.3">
      <c r="A518" t="s">
        <v>15</v>
      </c>
      <c r="B518" s="1">
        <v>45961</v>
      </c>
      <c r="C518">
        <v>270021</v>
      </c>
      <c r="D518">
        <v>-4424.2290000000003</v>
      </c>
      <c r="E518" t="s">
        <v>4</v>
      </c>
      <c r="F518" t="s">
        <v>58</v>
      </c>
      <c r="G518" t="s">
        <v>5</v>
      </c>
    </row>
    <row r="519" spans="1:7" x14ac:dyDescent="0.3">
      <c r="A519" t="s">
        <v>15</v>
      </c>
      <c r="B519" s="1">
        <v>45961</v>
      </c>
      <c r="C519">
        <v>270024</v>
      </c>
      <c r="D519">
        <v>-378953.07500000001</v>
      </c>
      <c r="E519" t="s">
        <v>4</v>
      </c>
      <c r="F519" t="s">
        <v>58</v>
      </c>
      <c r="G519" t="s">
        <v>5</v>
      </c>
    </row>
    <row r="520" spans="1:7" x14ac:dyDescent="0.3">
      <c r="A520" t="s">
        <v>15</v>
      </c>
      <c r="B520" s="1">
        <v>45961</v>
      </c>
      <c r="C520">
        <v>270025</v>
      </c>
      <c r="D520">
        <v>-319374.87599999999</v>
      </c>
      <c r="E520" t="s">
        <v>4</v>
      </c>
      <c r="F520" t="s">
        <v>58</v>
      </c>
      <c r="G520" t="s">
        <v>5</v>
      </c>
    </row>
    <row r="521" spans="1:7" x14ac:dyDescent="0.3">
      <c r="A521" t="s">
        <v>15</v>
      </c>
      <c r="B521" s="1">
        <v>45961</v>
      </c>
      <c r="C521">
        <v>270026</v>
      </c>
      <c r="D521">
        <v>-1445042.3529999999</v>
      </c>
      <c r="E521" t="s">
        <v>4</v>
      </c>
      <c r="F521" t="s">
        <v>58</v>
      </c>
      <c r="G521" t="s">
        <v>5</v>
      </c>
    </row>
    <row r="522" spans="1:7" x14ac:dyDescent="0.3">
      <c r="A522" t="s">
        <v>15</v>
      </c>
      <c r="B522" s="1">
        <v>45961</v>
      </c>
      <c r="C522">
        <v>270027</v>
      </c>
      <c r="D522">
        <v>-666756.1</v>
      </c>
      <c r="E522" t="s">
        <v>4</v>
      </c>
      <c r="F522" t="s">
        <v>58</v>
      </c>
      <c r="G522" t="s">
        <v>5</v>
      </c>
    </row>
    <row r="523" spans="1:7" x14ac:dyDescent="0.3">
      <c r="A523" t="s">
        <v>15</v>
      </c>
      <c r="B523" s="1">
        <v>45961</v>
      </c>
      <c r="C523">
        <v>275002</v>
      </c>
      <c r="D523">
        <v>57203.267999999996</v>
      </c>
      <c r="E523" t="s">
        <v>4</v>
      </c>
      <c r="F523" t="s">
        <v>58</v>
      </c>
      <c r="G523" t="s">
        <v>5</v>
      </c>
    </row>
    <row r="524" spans="1:7" x14ac:dyDescent="0.3">
      <c r="A524" t="s">
        <v>15</v>
      </c>
      <c r="B524" s="1">
        <v>45961</v>
      </c>
      <c r="C524">
        <v>300002</v>
      </c>
      <c r="D524">
        <v>123858.61500000001</v>
      </c>
      <c r="E524" t="s">
        <v>4</v>
      </c>
      <c r="F524" t="s">
        <v>65</v>
      </c>
      <c r="G524" t="s">
        <v>5</v>
      </c>
    </row>
    <row r="525" spans="1:7" x14ac:dyDescent="0.3">
      <c r="A525" t="s">
        <v>15</v>
      </c>
      <c r="B525" s="1">
        <v>45961</v>
      </c>
      <c r="C525">
        <v>300003</v>
      </c>
      <c r="D525">
        <v>1124519.148</v>
      </c>
      <c r="E525" t="s">
        <v>4</v>
      </c>
      <c r="F525" t="s">
        <v>65</v>
      </c>
      <c r="G525" t="s">
        <v>5</v>
      </c>
    </row>
    <row r="526" spans="1:7" x14ac:dyDescent="0.3">
      <c r="A526" t="s">
        <v>15</v>
      </c>
      <c r="B526" s="1">
        <v>45961</v>
      </c>
      <c r="C526">
        <v>300004</v>
      </c>
      <c r="D526">
        <v>1035144.361</v>
      </c>
      <c r="E526" t="s">
        <v>4</v>
      </c>
      <c r="F526" t="s">
        <v>65</v>
      </c>
      <c r="G526" t="s">
        <v>5</v>
      </c>
    </row>
    <row r="527" spans="1:7" x14ac:dyDescent="0.3">
      <c r="A527" t="s">
        <v>15</v>
      </c>
      <c r="B527" s="1">
        <v>45961</v>
      </c>
      <c r="C527">
        <v>300005</v>
      </c>
      <c r="D527">
        <v>462806.33299999998</v>
      </c>
      <c r="E527" t="s">
        <v>4</v>
      </c>
      <c r="F527" t="s">
        <v>65</v>
      </c>
      <c r="G527" t="s">
        <v>5</v>
      </c>
    </row>
    <row r="528" spans="1:7" x14ac:dyDescent="0.3">
      <c r="A528" t="s">
        <v>15</v>
      </c>
      <c r="B528" s="1">
        <v>45961</v>
      </c>
      <c r="C528">
        <v>300006</v>
      </c>
      <c r="D528">
        <v>4073.0129999999999</v>
      </c>
      <c r="E528" t="s">
        <v>4</v>
      </c>
      <c r="F528" t="s">
        <v>65</v>
      </c>
      <c r="G528" t="s">
        <v>5</v>
      </c>
    </row>
    <row r="529" spans="1:7" x14ac:dyDescent="0.3">
      <c r="A529" t="s">
        <v>15</v>
      </c>
      <c r="B529" s="1">
        <v>45961</v>
      </c>
      <c r="C529">
        <v>300008</v>
      </c>
      <c r="D529">
        <v>1605354.165</v>
      </c>
      <c r="E529" t="s">
        <v>4</v>
      </c>
      <c r="F529" t="s">
        <v>65</v>
      </c>
      <c r="G529" t="s">
        <v>5</v>
      </c>
    </row>
    <row r="530" spans="1:7" x14ac:dyDescent="0.3">
      <c r="A530" t="s">
        <v>15</v>
      </c>
      <c r="B530" s="1">
        <v>45961</v>
      </c>
      <c r="C530">
        <v>300009</v>
      </c>
      <c r="D530">
        <v>271633.37699999998</v>
      </c>
      <c r="E530" t="s">
        <v>4</v>
      </c>
      <c r="F530" t="s">
        <v>65</v>
      </c>
      <c r="G530" t="s">
        <v>5</v>
      </c>
    </row>
    <row r="531" spans="1:7" x14ac:dyDescent="0.3">
      <c r="A531" t="s">
        <v>15</v>
      </c>
      <c r="B531" s="1">
        <v>45961</v>
      </c>
      <c r="C531">
        <v>300010</v>
      </c>
      <c r="D531">
        <v>17031.667000000001</v>
      </c>
      <c r="E531" t="s">
        <v>4</v>
      </c>
      <c r="F531" t="s">
        <v>65</v>
      </c>
      <c r="G531" t="s">
        <v>5</v>
      </c>
    </row>
    <row r="532" spans="1:7" x14ac:dyDescent="0.3">
      <c r="A532" t="s">
        <v>15</v>
      </c>
      <c r="B532" s="1">
        <v>45961</v>
      </c>
      <c r="C532">
        <v>300011</v>
      </c>
      <c r="D532">
        <v>22336.388999999999</v>
      </c>
      <c r="E532" t="s">
        <v>4</v>
      </c>
      <c r="F532" t="s">
        <v>65</v>
      </c>
      <c r="G532" t="s">
        <v>5</v>
      </c>
    </row>
    <row r="533" spans="1:7" x14ac:dyDescent="0.3">
      <c r="A533" t="s">
        <v>15</v>
      </c>
      <c r="B533" s="1">
        <v>45961</v>
      </c>
      <c r="C533">
        <v>300012</v>
      </c>
      <c r="D533">
        <v>1754718.7520000001</v>
      </c>
      <c r="E533" t="s">
        <v>4</v>
      </c>
      <c r="F533" t="s">
        <v>65</v>
      </c>
      <c r="G533" t="s">
        <v>5</v>
      </c>
    </row>
    <row r="534" spans="1:7" x14ac:dyDescent="0.3">
      <c r="A534" t="s">
        <v>15</v>
      </c>
      <c r="B534" s="1">
        <v>45961</v>
      </c>
      <c r="C534">
        <v>300014</v>
      </c>
      <c r="D534">
        <v>1482029.45</v>
      </c>
      <c r="E534" t="s">
        <v>4</v>
      </c>
      <c r="F534" t="s">
        <v>65</v>
      </c>
      <c r="G534" t="s">
        <v>5</v>
      </c>
    </row>
    <row r="535" spans="1:7" x14ac:dyDescent="0.3">
      <c r="A535" t="s">
        <v>15</v>
      </c>
      <c r="B535" s="1">
        <v>45961</v>
      </c>
      <c r="C535">
        <v>300502</v>
      </c>
      <c r="D535">
        <v>-35702.44</v>
      </c>
      <c r="E535" t="s">
        <v>4</v>
      </c>
      <c r="F535" t="s">
        <v>65</v>
      </c>
      <c r="G535" t="s">
        <v>5</v>
      </c>
    </row>
    <row r="536" spans="1:7" x14ac:dyDescent="0.3">
      <c r="A536" t="s">
        <v>15</v>
      </c>
      <c r="B536" s="1">
        <v>45961</v>
      </c>
      <c r="C536">
        <v>300503</v>
      </c>
      <c r="D536">
        <v>-769879.59499999997</v>
      </c>
      <c r="E536" t="s">
        <v>4</v>
      </c>
      <c r="F536" t="s">
        <v>65</v>
      </c>
      <c r="G536" t="s">
        <v>5</v>
      </c>
    </row>
    <row r="537" spans="1:7" x14ac:dyDescent="0.3">
      <c r="A537" t="s">
        <v>15</v>
      </c>
      <c r="B537" s="1">
        <v>45961</v>
      </c>
      <c r="C537">
        <v>300504</v>
      </c>
      <c r="D537">
        <v>-784449.08200000005</v>
      </c>
      <c r="E537" t="s">
        <v>4</v>
      </c>
      <c r="F537" t="s">
        <v>65</v>
      </c>
      <c r="G537" t="s">
        <v>5</v>
      </c>
    </row>
    <row r="538" spans="1:7" x14ac:dyDescent="0.3">
      <c r="A538" t="s">
        <v>15</v>
      </c>
      <c r="B538" s="1">
        <v>45961</v>
      </c>
      <c r="C538">
        <v>300505</v>
      </c>
      <c r="D538">
        <v>-438008.93300000002</v>
      </c>
      <c r="E538" t="s">
        <v>4</v>
      </c>
      <c r="F538" t="s">
        <v>65</v>
      </c>
      <c r="G538" t="s">
        <v>5</v>
      </c>
    </row>
    <row r="539" spans="1:7" x14ac:dyDescent="0.3">
      <c r="A539" t="s">
        <v>15</v>
      </c>
      <c r="B539" s="1">
        <v>45961</v>
      </c>
      <c r="C539">
        <v>300506</v>
      </c>
      <c r="D539">
        <v>-511.07900000000001</v>
      </c>
      <c r="E539" t="s">
        <v>4</v>
      </c>
      <c r="F539" t="s">
        <v>65</v>
      </c>
      <c r="G539" t="s">
        <v>5</v>
      </c>
    </row>
    <row r="540" spans="1:7" x14ac:dyDescent="0.3">
      <c r="A540" t="s">
        <v>15</v>
      </c>
      <c r="B540" s="1">
        <v>45961</v>
      </c>
      <c r="C540">
        <v>300508</v>
      </c>
      <c r="D540">
        <v>-725052.58799999999</v>
      </c>
      <c r="E540" t="s">
        <v>4</v>
      </c>
      <c r="F540" t="s">
        <v>65</v>
      </c>
      <c r="G540" t="s">
        <v>5</v>
      </c>
    </row>
    <row r="541" spans="1:7" x14ac:dyDescent="0.3">
      <c r="A541" t="s">
        <v>15</v>
      </c>
      <c r="B541" s="1">
        <v>45961</v>
      </c>
      <c r="C541">
        <v>300509</v>
      </c>
      <c r="D541">
        <v>-251156.658</v>
      </c>
      <c r="E541" t="s">
        <v>4</v>
      </c>
      <c r="F541" t="s">
        <v>65</v>
      </c>
      <c r="G541" t="s">
        <v>5</v>
      </c>
    </row>
    <row r="542" spans="1:7" x14ac:dyDescent="0.3">
      <c r="A542" t="s">
        <v>15</v>
      </c>
      <c r="B542" s="1">
        <v>45961</v>
      </c>
      <c r="C542">
        <v>300510</v>
      </c>
      <c r="D542">
        <v>-16858.637999999999</v>
      </c>
      <c r="E542" t="s">
        <v>4</v>
      </c>
      <c r="F542" t="s">
        <v>65</v>
      </c>
      <c r="G542" t="s">
        <v>5</v>
      </c>
    </row>
    <row r="543" spans="1:7" x14ac:dyDescent="0.3">
      <c r="A543" t="s">
        <v>15</v>
      </c>
      <c r="B543" s="1">
        <v>45961</v>
      </c>
      <c r="C543">
        <v>300511</v>
      </c>
      <c r="D543">
        <v>-21664.723000000002</v>
      </c>
      <c r="E543" t="s">
        <v>4</v>
      </c>
      <c r="F543" t="s">
        <v>65</v>
      </c>
      <c r="G543" t="s">
        <v>5</v>
      </c>
    </row>
    <row r="544" spans="1:7" x14ac:dyDescent="0.3">
      <c r="A544" t="s">
        <v>15</v>
      </c>
      <c r="B544" s="1">
        <v>45961</v>
      </c>
      <c r="C544">
        <v>300512</v>
      </c>
      <c r="D544">
        <v>-1514375.513</v>
      </c>
      <c r="E544" t="s">
        <v>4</v>
      </c>
      <c r="F544" t="s">
        <v>65</v>
      </c>
      <c r="G544" t="s">
        <v>5</v>
      </c>
    </row>
    <row r="545" spans="1:7" x14ac:dyDescent="0.3">
      <c r="A545" t="s">
        <v>15</v>
      </c>
      <c r="B545" s="1">
        <v>45961</v>
      </c>
      <c r="C545">
        <v>300514</v>
      </c>
      <c r="D545">
        <v>-1035751.796</v>
      </c>
      <c r="E545" t="s">
        <v>4</v>
      </c>
      <c r="F545" t="s">
        <v>65</v>
      </c>
      <c r="G545" t="s">
        <v>5</v>
      </c>
    </row>
    <row r="546" spans="1:7" x14ac:dyDescent="0.3">
      <c r="A546" t="s">
        <v>15</v>
      </c>
      <c r="B546" s="1">
        <v>45961</v>
      </c>
      <c r="C546">
        <v>301002</v>
      </c>
      <c r="D546">
        <v>126927.077</v>
      </c>
      <c r="E546" t="s">
        <v>4</v>
      </c>
      <c r="F546" t="s">
        <v>68</v>
      </c>
      <c r="G546" t="s">
        <v>5</v>
      </c>
    </row>
    <row r="547" spans="1:7" x14ac:dyDescent="0.3">
      <c r="A547" t="s">
        <v>15</v>
      </c>
      <c r="B547" s="1">
        <v>45961</v>
      </c>
      <c r="C547">
        <v>301004</v>
      </c>
      <c r="D547">
        <v>1967526.5</v>
      </c>
      <c r="E547" t="s">
        <v>4</v>
      </c>
      <c r="F547" t="s">
        <v>65</v>
      </c>
      <c r="G547" t="s">
        <v>5</v>
      </c>
    </row>
    <row r="548" spans="1:7" x14ac:dyDescent="0.3">
      <c r="A548" t="s">
        <v>15</v>
      </c>
      <c r="B548" s="1">
        <v>45961</v>
      </c>
      <c r="C548">
        <v>301502</v>
      </c>
      <c r="D548">
        <v>-126927.07399999999</v>
      </c>
      <c r="E548" t="s">
        <v>4</v>
      </c>
      <c r="F548" t="s">
        <v>68</v>
      </c>
      <c r="G548" t="s">
        <v>5</v>
      </c>
    </row>
    <row r="549" spans="1:7" x14ac:dyDescent="0.3">
      <c r="A549" t="s">
        <v>15</v>
      </c>
      <c r="B549" s="1">
        <v>45961</v>
      </c>
      <c r="C549">
        <v>301504</v>
      </c>
      <c r="D549">
        <v>-1860088.439</v>
      </c>
      <c r="E549" t="s">
        <v>4</v>
      </c>
      <c r="F549" t="s">
        <v>65</v>
      </c>
      <c r="G549" t="s">
        <v>5</v>
      </c>
    </row>
    <row r="550" spans="1:7" x14ac:dyDescent="0.3">
      <c r="A550" t="s">
        <v>15</v>
      </c>
      <c r="B550" s="1">
        <v>45961</v>
      </c>
      <c r="C550">
        <v>303002</v>
      </c>
      <c r="D550">
        <v>80772.035999999993</v>
      </c>
      <c r="E550" t="s">
        <v>4</v>
      </c>
      <c r="F550" t="s">
        <v>65</v>
      </c>
      <c r="G550" t="s">
        <v>5</v>
      </c>
    </row>
    <row r="551" spans="1:7" x14ac:dyDescent="0.3">
      <c r="A551" t="s">
        <v>15</v>
      </c>
      <c r="B551" s="1">
        <v>45961</v>
      </c>
      <c r="C551">
        <v>303003</v>
      </c>
      <c r="D551">
        <v>30705.811000000002</v>
      </c>
      <c r="E551" t="s">
        <v>4</v>
      </c>
      <c r="F551" t="s">
        <v>65</v>
      </c>
      <c r="G551" t="s">
        <v>5</v>
      </c>
    </row>
    <row r="552" spans="1:7" x14ac:dyDescent="0.3">
      <c r="A552" t="s">
        <v>15</v>
      </c>
      <c r="B552" s="1">
        <v>45961</v>
      </c>
      <c r="C552">
        <v>304002</v>
      </c>
      <c r="D552">
        <v>2554290.2080000001</v>
      </c>
      <c r="E552" t="s">
        <v>4</v>
      </c>
      <c r="F552" t="s">
        <v>65</v>
      </c>
      <c r="G552" t="s">
        <v>5</v>
      </c>
    </row>
    <row r="553" spans="1:7" x14ac:dyDescent="0.3">
      <c r="A553" t="s">
        <v>15</v>
      </c>
      <c r="B553" s="1">
        <v>45961</v>
      </c>
      <c r="C553">
        <v>304502</v>
      </c>
      <c r="D553">
        <v>-1222329.807</v>
      </c>
      <c r="E553" t="s">
        <v>4</v>
      </c>
      <c r="F553" t="s">
        <v>65</v>
      </c>
      <c r="G553" t="s">
        <v>5</v>
      </c>
    </row>
    <row r="554" spans="1:7" x14ac:dyDescent="0.3">
      <c r="A554" t="s">
        <v>15</v>
      </c>
      <c r="B554" s="1">
        <v>45961</v>
      </c>
      <c r="C554">
        <v>310002</v>
      </c>
      <c r="D554">
        <v>4196708.7220000001</v>
      </c>
      <c r="E554" t="s">
        <v>4</v>
      </c>
      <c r="F554" t="s">
        <v>42</v>
      </c>
      <c r="G554" t="s">
        <v>5</v>
      </c>
    </row>
    <row r="555" spans="1:7" x14ac:dyDescent="0.3">
      <c r="A555" t="s">
        <v>15</v>
      </c>
      <c r="B555" s="1">
        <v>45961</v>
      </c>
      <c r="C555">
        <v>310004</v>
      </c>
      <c r="D555">
        <v>127099.955</v>
      </c>
      <c r="E555" t="s">
        <v>4</v>
      </c>
      <c r="F555" t="s">
        <v>42</v>
      </c>
      <c r="G555" t="s">
        <v>5</v>
      </c>
    </row>
    <row r="556" spans="1:7" x14ac:dyDescent="0.3">
      <c r="A556" t="s">
        <v>15</v>
      </c>
      <c r="B556" s="1">
        <v>45961</v>
      </c>
      <c r="C556">
        <v>310005</v>
      </c>
      <c r="D556">
        <v>138903.25</v>
      </c>
      <c r="E556" t="s">
        <v>4</v>
      </c>
      <c r="F556" t="s">
        <v>42</v>
      </c>
      <c r="G556" t="s">
        <v>5</v>
      </c>
    </row>
    <row r="557" spans="1:7" x14ac:dyDescent="0.3">
      <c r="A557" t="s">
        <v>15</v>
      </c>
      <c r="B557" s="1">
        <v>45961</v>
      </c>
      <c r="C557">
        <v>310007</v>
      </c>
      <c r="D557">
        <v>334751.18699999998</v>
      </c>
      <c r="E557" t="s">
        <v>4</v>
      </c>
      <c r="F557" t="s">
        <v>42</v>
      </c>
      <c r="G557" t="s">
        <v>5</v>
      </c>
    </row>
    <row r="558" spans="1:7" x14ac:dyDescent="0.3">
      <c r="A558" t="s">
        <v>15</v>
      </c>
      <c r="B558" s="1">
        <v>45961</v>
      </c>
      <c r="C558">
        <v>310016</v>
      </c>
      <c r="D558">
        <v>727512.65</v>
      </c>
      <c r="E558" t="s">
        <v>4</v>
      </c>
      <c r="F558" t="s">
        <v>42</v>
      </c>
      <c r="G558" t="s">
        <v>5</v>
      </c>
    </row>
    <row r="559" spans="1:7" x14ac:dyDescent="0.3">
      <c r="A559" t="s">
        <v>15</v>
      </c>
      <c r="B559" s="1">
        <v>45961</v>
      </c>
      <c r="C559">
        <v>310017</v>
      </c>
      <c r="D559">
        <v>39387.707000000002</v>
      </c>
      <c r="E559" t="s">
        <v>4</v>
      </c>
      <c r="F559" t="s">
        <v>42</v>
      </c>
      <c r="G559" t="s">
        <v>5</v>
      </c>
    </row>
    <row r="560" spans="1:7" x14ac:dyDescent="0.3">
      <c r="A560" t="s">
        <v>15</v>
      </c>
      <c r="B560" s="1">
        <v>45961</v>
      </c>
      <c r="C560">
        <v>310021</v>
      </c>
      <c r="D560">
        <v>63.031999999999996</v>
      </c>
      <c r="E560" t="s">
        <v>4</v>
      </c>
      <c r="F560" t="s">
        <v>42</v>
      </c>
      <c r="G560" t="s">
        <v>5</v>
      </c>
    </row>
    <row r="561" spans="1:7" x14ac:dyDescent="0.3">
      <c r="A561" t="s">
        <v>15</v>
      </c>
      <c r="B561" s="1">
        <v>45961</v>
      </c>
      <c r="C561">
        <v>310031</v>
      </c>
      <c r="D561">
        <v>73609.5</v>
      </c>
      <c r="E561" t="s">
        <v>4</v>
      </c>
      <c r="F561" t="s">
        <v>42</v>
      </c>
      <c r="G561" t="s">
        <v>5</v>
      </c>
    </row>
    <row r="562" spans="1:7" x14ac:dyDescent="0.3">
      <c r="A562" t="s">
        <v>15</v>
      </c>
      <c r="B562" s="1">
        <v>45961</v>
      </c>
      <c r="C562">
        <v>310034</v>
      </c>
      <c r="D562">
        <v>3.9E-2</v>
      </c>
      <c r="E562" t="s">
        <v>4</v>
      </c>
      <c r="F562" t="s">
        <v>42</v>
      </c>
      <c r="G562" t="s">
        <v>5</v>
      </c>
    </row>
    <row r="563" spans="1:7" x14ac:dyDescent="0.3">
      <c r="A563" t="s">
        <v>15</v>
      </c>
      <c r="B563" s="1">
        <v>45961</v>
      </c>
      <c r="C563">
        <v>310036</v>
      </c>
      <c r="D563">
        <v>40145.775000000001</v>
      </c>
      <c r="E563" t="s">
        <v>4</v>
      </c>
      <c r="F563" t="s">
        <v>42</v>
      </c>
      <c r="G563" t="s">
        <v>5</v>
      </c>
    </row>
    <row r="564" spans="1:7" x14ac:dyDescent="0.3">
      <c r="A564" t="s">
        <v>15</v>
      </c>
      <c r="B564" s="1">
        <v>45961</v>
      </c>
      <c r="C564">
        <v>315003</v>
      </c>
      <c r="D564">
        <v>686080.02</v>
      </c>
      <c r="E564" t="s">
        <v>4</v>
      </c>
      <c r="F564" t="s">
        <v>47</v>
      </c>
      <c r="G564" t="s">
        <v>5</v>
      </c>
    </row>
    <row r="565" spans="1:7" x14ac:dyDescent="0.3">
      <c r="A565" t="s">
        <v>15</v>
      </c>
      <c r="B565" s="1">
        <v>45961</v>
      </c>
      <c r="C565">
        <v>315004</v>
      </c>
      <c r="D565">
        <v>310236.86300000001</v>
      </c>
      <c r="E565" t="s">
        <v>4</v>
      </c>
      <c r="F565" t="s">
        <v>47</v>
      </c>
      <c r="G565" t="s">
        <v>5</v>
      </c>
    </row>
    <row r="566" spans="1:7" x14ac:dyDescent="0.3">
      <c r="A566" t="s">
        <v>15</v>
      </c>
      <c r="B566" s="1">
        <v>45961</v>
      </c>
      <c r="C566">
        <v>315010</v>
      </c>
      <c r="D566">
        <v>312476.00099999999</v>
      </c>
      <c r="E566" t="s">
        <v>4</v>
      </c>
      <c r="F566" t="s">
        <v>47</v>
      </c>
      <c r="G566" t="s">
        <v>5</v>
      </c>
    </row>
    <row r="567" spans="1:7" x14ac:dyDescent="0.3">
      <c r="A567" t="s">
        <v>15</v>
      </c>
      <c r="B567" s="1">
        <v>45961</v>
      </c>
      <c r="C567">
        <v>315011</v>
      </c>
      <c r="D567">
        <v>793362.745</v>
      </c>
      <c r="E567" t="s">
        <v>4</v>
      </c>
      <c r="F567" t="s">
        <v>47</v>
      </c>
      <c r="G567" t="s">
        <v>5</v>
      </c>
    </row>
    <row r="568" spans="1:7" x14ac:dyDescent="0.3">
      <c r="A568" t="s">
        <v>15</v>
      </c>
      <c r="B568" s="1">
        <v>45961</v>
      </c>
      <c r="C568">
        <v>315012</v>
      </c>
      <c r="D568">
        <v>646575.24600000004</v>
      </c>
      <c r="E568" t="s">
        <v>4</v>
      </c>
      <c r="F568" t="s">
        <v>47</v>
      </c>
      <c r="G568" t="s">
        <v>5</v>
      </c>
    </row>
    <row r="569" spans="1:7" x14ac:dyDescent="0.3">
      <c r="A569" t="s">
        <v>15</v>
      </c>
      <c r="B569" s="1">
        <v>45961</v>
      </c>
      <c r="C569">
        <v>315013</v>
      </c>
      <c r="D569">
        <v>375059.85700000002</v>
      </c>
      <c r="E569" t="s">
        <v>4</v>
      </c>
      <c r="F569" t="s">
        <v>47</v>
      </c>
      <c r="G569" t="s">
        <v>5</v>
      </c>
    </row>
    <row r="570" spans="1:7" x14ac:dyDescent="0.3">
      <c r="A570" t="s">
        <v>15</v>
      </c>
      <c r="B570" s="1">
        <v>45961</v>
      </c>
      <c r="C570">
        <v>315016</v>
      </c>
      <c r="D570">
        <v>312564.92700000003</v>
      </c>
      <c r="E570" t="s">
        <v>4</v>
      </c>
      <c r="F570" t="s">
        <v>47</v>
      </c>
      <c r="G570" t="s">
        <v>5</v>
      </c>
    </row>
    <row r="571" spans="1:7" x14ac:dyDescent="0.3">
      <c r="A571" t="s">
        <v>15</v>
      </c>
      <c r="B571" s="1">
        <v>45961</v>
      </c>
      <c r="C571">
        <v>315017</v>
      </c>
      <c r="D571">
        <v>61996.9</v>
      </c>
      <c r="E571" t="s">
        <v>4</v>
      </c>
      <c r="F571" t="s">
        <v>47</v>
      </c>
      <c r="G571" t="s">
        <v>5</v>
      </c>
    </row>
    <row r="572" spans="1:7" x14ac:dyDescent="0.3">
      <c r="A572" t="s">
        <v>15</v>
      </c>
      <c r="B572" s="1">
        <v>45961</v>
      </c>
      <c r="C572">
        <v>316002</v>
      </c>
      <c r="D572">
        <v>155259.005</v>
      </c>
      <c r="E572" t="s">
        <v>4</v>
      </c>
      <c r="F572" t="s">
        <v>47</v>
      </c>
      <c r="G572" t="s">
        <v>5</v>
      </c>
    </row>
    <row r="573" spans="1:7" x14ac:dyDescent="0.3">
      <c r="A573" t="s">
        <v>15</v>
      </c>
      <c r="B573" s="1">
        <v>45961</v>
      </c>
      <c r="C573">
        <v>316003</v>
      </c>
      <c r="D573">
        <v>308953.74800000002</v>
      </c>
      <c r="E573" t="s">
        <v>4</v>
      </c>
      <c r="F573" t="s">
        <v>47</v>
      </c>
      <c r="G573" t="s">
        <v>5</v>
      </c>
    </row>
    <row r="574" spans="1:7" x14ac:dyDescent="0.3">
      <c r="A574" t="s">
        <v>15</v>
      </c>
      <c r="B574" s="1">
        <v>45961</v>
      </c>
      <c r="C574">
        <v>316004</v>
      </c>
      <c r="D574">
        <v>155000.155</v>
      </c>
      <c r="E574" t="s">
        <v>4</v>
      </c>
      <c r="F574" t="s">
        <v>47</v>
      </c>
      <c r="G574" t="s">
        <v>5</v>
      </c>
    </row>
    <row r="575" spans="1:7" x14ac:dyDescent="0.3">
      <c r="A575" t="s">
        <v>15</v>
      </c>
      <c r="B575" s="1">
        <v>45961</v>
      </c>
      <c r="C575">
        <v>316005</v>
      </c>
      <c r="D575">
        <v>312774.511</v>
      </c>
      <c r="E575" t="s">
        <v>4</v>
      </c>
      <c r="F575" t="s">
        <v>47</v>
      </c>
      <c r="G575" t="s">
        <v>5</v>
      </c>
    </row>
    <row r="576" spans="1:7" x14ac:dyDescent="0.3">
      <c r="A576" t="s">
        <v>15</v>
      </c>
      <c r="B576" s="1">
        <v>45961</v>
      </c>
      <c r="C576">
        <v>320002</v>
      </c>
      <c r="D576">
        <v>76092.203999999998</v>
      </c>
      <c r="E576" t="s">
        <v>4</v>
      </c>
      <c r="F576" t="s">
        <v>46</v>
      </c>
      <c r="G576" t="s">
        <v>5</v>
      </c>
    </row>
    <row r="577" spans="1:7" x14ac:dyDescent="0.3">
      <c r="A577" t="s">
        <v>15</v>
      </c>
      <c r="B577" s="1">
        <v>45961</v>
      </c>
      <c r="C577">
        <v>320003</v>
      </c>
      <c r="D577">
        <v>1341449.3219999999</v>
      </c>
      <c r="E577" t="s">
        <v>4</v>
      </c>
      <c r="F577" t="s">
        <v>46</v>
      </c>
      <c r="G577" t="s">
        <v>5</v>
      </c>
    </row>
    <row r="578" spans="1:7" x14ac:dyDescent="0.3">
      <c r="A578" t="s">
        <v>15</v>
      </c>
      <c r="B578" s="1">
        <v>45961</v>
      </c>
      <c r="C578">
        <v>320004</v>
      </c>
      <c r="D578">
        <v>-79.212999999999994</v>
      </c>
      <c r="E578" t="s">
        <v>4</v>
      </c>
      <c r="F578" t="s">
        <v>46</v>
      </c>
      <c r="G578" t="s">
        <v>5</v>
      </c>
    </row>
    <row r="579" spans="1:7" x14ac:dyDescent="0.3">
      <c r="A579" t="s">
        <v>15</v>
      </c>
      <c r="B579" s="1">
        <v>45961</v>
      </c>
      <c r="C579">
        <v>320006</v>
      </c>
      <c r="D579">
        <v>-308.25</v>
      </c>
      <c r="E579" t="s">
        <v>4</v>
      </c>
      <c r="F579" t="s">
        <v>46</v>
      </c>
      <c r="G579" t="s">
        <v>5</v>
      </c>
    </row>
    <row r="580" spans="1:7" x14ac:dyDescent="0.3">
      <c r="A580" t="s">
        <v>15</v>
      </c>
      <c r="B580" s="1">
        <v>45961</v>
      </c>
      <c r="C580">
        <v>320008</v>
      </c>
      <c r="D580">
        <v>-363.93099999999998</v>
      </c>
      <c r="E580" t="s">
        <v>4</v>
      </c>
      <c r="F580" t="s">
        <v>46</v>
      </c>
      <c r="G580" t="s">
        <v>5</v>
      </c>
    </row>
    <row r="581" spans="1:7" x14ac:dyDescent="0.3">
      <c r="A581" t="s">
        <v>15</v>
      </c>
      <c r="B581" s="1">
        <v>45961</v>
      </c>
      <c r="C581">
        <v>320010</v>
      </c>
      <c r="D581">
        <v>-86829.293000000005</v>
      </c>
      <c r="E581" t="s">
        <v>4</v>
      </c>
      <c r="F581" t="s">
        <v>46</v>
      </c>
      <c r="G581" t="s">
        <v>5</v>
      </c>
    </row>
    <row r="582" spans="1:7" x14ac:dyDescent="0.3">
      <c r="A582" t="s">
        <v>15</v>
      </c>
      <c r="B582" s="1">
        <v>45961</v>
      </c>
      <c r="C582">
        <v>320013</v>
      </c>
      <c r="D582">
        <v>-37274.137999999999</v>
      </c>
      <c r="E582" t="s">
        <v>4</v>
      </c>
      <c r="F582" t="s">
        <v>46</v>
      </c>
      <c r="G582" t="s">
        <v>5</v>
      </c>
    </row>
    <row r="583" spans="1:7" x14ac:dyDescent="0.3">
      <c r="A583" t="s">
        <v>15</v>
      </c>
      <c r="B583" s="1">
        <v>45961</v>
      </c>
      <c r="C583">
        <v>320016</v>
      </c>
      <c r="D583">
        <v>-29814.712</v>
      </c>
      <c r="E583" t="s">
        <v>4</v>
      </c>
      <c r="F583" t="s">
        <v>46</v>
      </c>
      <c r="G583" t="s">
        <v>5</v>
      </c>
    </row>
    <row r="584" spans="1:7" x14ac:dyDescent="0.3">
      <c r="A584" t="s">
        <v>15</v>
      </c>
      <c r="B584" s="1">
        <v>45961</v>
      </c>
      <c r="C584">
        <v>320017</v>
      </c>
      <c r="D584">
        <v>1657.6880000000001</v>
      </c>
      <c r="E584" t="s">
        <v>4</v>
      </c>
      <c r="F584" t="s">
        <v>46</v>
      </c>
      <c r="G584" t="s">
        <v>5</v>
      </c>
    </row>
    <row r="585" spans="1:7" x14ac:dyDescent="0.3">
      <c r="A585" t="s">
        <v>15</v>
      </c>
      <c r="B585" s="1">
        <v>45961</v>
      </c>
      <c r="C585">
        <v>320018</v>
      </c>
      <c r="D585">
        <v>-1195.779</v>
      </c>
      <c r="E585" t="s">
        <v>4</v>
      </c>
      <c r="F585" t="s">
        <v>46</v>
      </c>
      <c r="G585" t="s">
        <v>5</v>
      </c>
    </row>
    <row r="586" spans="1:7" x14ac:dyDescent="0.3">
      <c r="A586" t="s">
        <v>15</v>
      </c>
      <c r="B586" s="1">
        <v>45961</v>
      </c>
      <c r="C586">
        <v>320019</v>
      </c>
      <c r="D586">
        <v>-21.984000000000002</v>
      </c>
      <c r="E586" t="s">
        <v>4</v>
      </c>
      <c r="F586" t="s">
        <v>46</v>
      </c>
      <c r="G586" t="s">
        <v>5</v>
      </c>
    </row>
    <row r="587" spans="1:7" x14ac:dyDescent="0.3">
      <c r="A587" t="s">
        <v>15</v>
      </c>
      <c r="B587" s="1">
        <v>45961</v>
      </c>
      <c r="C587">
        <v>320020</v>
      </c>
      <c r="D587">
        <v>-2500.4859999999999</v>
      </c>
      <c r="E587" t="s">
        <v>4</v>
      </c>
      <c r="F587" t="s">
        <v>46</v>
      </c>
      <c r="G587" t="s">
        <v>5</v>
      </c>
    </row>
    <row r="588" spans="1:7" x14ac:dyDescent="0.3">
      <c r="A588" t="s">
        <v>15</v>
      </c>
      <c r="B588" s="1">
        <v>45961</v>
      </c>
      <c r="C588">
        <v>320023</v>
      </c>
      <c r="D588">
        <v>-165781.50099999999</v>
      </c>
      <c r="E588" t="s">
        <v>4</v>
      </c>
      <c r="F588" t="s">
        <v>46</v>
      </c>
      <c r="G588" t="s">
        <v>5</v>
      </c>
    </row>
    <row r="589" spans="1:7" x14ac:dyDescent="0.3">
      <c r="A589" t="s">
        <v>15</v>
      </c>
      <c r="B589" s="1">
        <v>45961</v>
      </c>
      <c r="C589">
        <v>320024</v>
      </c>
      <c r="D589">
        <v>25402.562000000002</v>
      </c>
      <c r="E589" t="s">
        <v>4</v>
      </c>
      <c r="F589" t="s">
        <v>46</v>
      </c>
      <c r="G589" t="s">
        <v>5</v>
      </c>
    </row>
    <row r="590" spans="1:7" x14ac:dyDescent="0.3">
      <c r="A590" t="s">
        <v>15</v>
      </c>
      <c r="B590" s="1">
        <v>45961</v>
      </c>
      <c r="C590">
        <v>320025</v>
      </c>
      <c r="D590">
        <v>-16089.098</v>
      </c>
      <c r="E590" t="s">
        <v>4</v>
      </c>
      <c r="F590" t="s">
        <v>46</v>
      </c>
      <c r="G590" t="s">
        <v>5</v>
      </c>
    </row>
    <row r="591" spans="1:7" x14ac:dyDescent="0.3">
      <c r="A591" t="s">
        <v>15</v>
      </c>
      <c r="B591" s="1">
        <v>45961</v>
      </c>
      <c r="C591">
        <v>321002</v>
      </c>
      <c r="D591">
        <v>962631.73300000001</v>
      </c>
      <c r="E591" t="s">
        <v>4</v>
      </c>
      <c r="F591" t="s">
        <v>46</v>
      </c>
      <c r="G591" t="s">
        <v>5</v>
      </c>
    </row>
    <row r="592" spans="1:7" x14ac:dyDescent="0.3">
      <c r="A592" t="s">
        <v>15</v>
      </c>
      <c r="B592" s="1">
        <v>45961</v>
      </c>
      <c r="C592">
        <v>321004</v>
      </c>
      <c r="D592">
        <v>48695.635000000002</v>
      </c>
      <c r="E592" t="s">
        <v>4</v>
      </c>
      <c r="F592" t="s">
        <v>46</v>
      </c>
      <c r="G592" t="s">
        <v>5</v>
      </c>
    </row>
    <row r="593" spans="1:7" x14ac:dyDescent="0.3">
      <c r="A593" t="s">
        <v>15</v>
      </c>
      <c r="B593" s="1">
        <v>45961</v>
      </c>
      <c r="C593">
        <v>321010</v>
      </c>
      <c r="D593">
        <v>-84977.476999999999</v>
      </c>
      <c r="E593" t="s">
        <v>4</v>
      </c>
      <c r="F593" t="s">
        <v>46</v>
      </c>
      <c r="G593" t="s">
        <v>5</v>
      </c>
    </row>
    <row r="594" spans="1:7" x14ac:dyDescent="0.3">
      <c r="A594" t="s">
        <v>15</v>
      </c>
      <c r="B594" s="1">
        <v>45961</v>
      </c>
      <c r="C594">
        <v>321012</v>
      </c>
      <c r="D594">
        <v>288405.18699999998</v>
      </c>
      <c r="E594" t="s">
        <v>4</v>
      </c>
      <c r="F594" t="s">
        <v>46</v>
      </c>
      <c r="G594" t="s">
        <v>5</v>
      </c>
    </row>
    <row r="595" spans="1:7" x14ac:dyDescent="0.3">
      <c r="A595" t="s">
        <v>15</v>
      </c>
      <c r="B595" s="1">
        <v>45961</v>
      </c>
      <c r="C595">
        <v>321013</v>
      </c>
      <c r="D595">
        <v>646089.96699999995</v>
      </c>
      <c r="E595" t="s">
        <v>4</v>
      </c>
      <c r="F595" t="s">
        <v>46</v>
      </c>
      <c r="G595" t="s">
        <v>5</v>
      </c>
    </row>
    <row r="596" spans="1:7" x14ac:dyDescent="0.3">
      <c r="A596" t="s">
        <v>15</v>
      </c>
      <c r="B596" s="1">
        <v>45961</v>
      </c>
      <c r="C596">
        <v>321014</v>
      </c>
      <c r="D596">
        <v>63415.97</v>
      </c>
      <c r="E596" t="s">
        <v>4</v>
      </c>
      <c r="F596" t="s">
        <v>46</v>
      </c>
      <c r="G596" t="s">
        <v>5</v>
      </c>
    </row>
    <row r="597" spans="1:7" x14ac:dyDescent="0.3">
      <c r="A597" t="s">
        <v>15</v>
      </c>
      <c r="B597" s="1">
        <v>45961</v>
      </c>
      <c r="C597">
        <v>321017</v>
      </c>
      <c r="D597">
        <v>4254.4040000000005</v>
      </c>
      <c r="E597" t="s">
        <v>4</v>
      </c>
      <c r="F597" t="s">
        <v>46</v>
      </c>
      <c r="G597" t="s">
        <v>5</v>
      </c>
    </row>
    <row r="598" spans="1:7" x14ac:dyDescent="0.3">
      <c r="A598" t="s">
        <v>15</v>
      </c>
      <c r="B598" s="1">
        <v>45961</v>
      </c>
      <c r="C598">
        <v>321018</v>
      </c>
      <c r="D598">
        <v>2682.4929999999999</v>
      </c>
      <c r="E598" t="s">
        <v>4</v>
      </c>
      <c r="F598" t="s">
        <v>46</v>
      </c>
      <c r="G598" t="s">
        <v>5</v>
      </c>
    </row>
    <row r="599" spans="1:7" x14ac:dyDescent="0.3">
      <c r="A599" t="s">
        <v>15</v>
      </c>
      <c r="B599" s="1">
        <v>45961</v>
      </c>
      <c r="C599">
        <v>321021</v>
      </c>
      <c r="D599">
        <v>168085.35699999999</v>
      </c>
      <c r="E599" t="s">
        <v>4</v>
      </c>
      <c r="F599" t="s">
        <v>46</v>
      </c>
      <c r="G599" t="s">
        <v>5</v>
      </c>
    </row>
    <row r="600" spans="1:7" x14ac:dyDescent="0.3">
      <c r="A600" t="s">
        <v>15</v>
      </c>
      <c r="B600" s="1">
        <v>45961</v>
      </c>
      <c r="C600">
        <v>321025</v>
      </c>
      <c r="D600">
        <v>703348.94700000004</v>
      </c>
      <c r="E600" t="s">
        <v>4</v>
      </c>
      <c r="F600" t="s">
        <v>46</v>
      </c>
      <c r="G600" t="s">
        <v>5</v>
      </c>
    </row>
    <row r="601" spans="1:7" x14ac:dyDescent="0.3">
      <c r="A601" t="s">
        <v>15</v>
      </c>
      <c r="B601" s="1">
        <v>45961</v>
      </c>
      <c r="C601">
        <v>321027</v>
      </c>
      <c r="D601">
        <v>58578.875999999997</v>
      </c>
      <c r="E601" t="s">
        <v>4</v>
      </c>
      <c r="F601" t="s">
        <v>46</v>
      </c>
      <c r="G601" t="s">
        <v>5</v>
      </c>
    </row>
    <row r="602" spans="1:7" x14ac:dyDescent="0.3">
      <c r="A602" t="s">
        <v>15</v>
      </c>
      <c r="B602" s="1">
        <v>45961</v>
      </c>
      <c r="C602">
        <v>321028</v>
      </c>
      <c r="D602">
        <v>240624.986</v>
      </c>
      <c r="E602" t="s">
        <v>4</v>
      </c>
      <c r="F602" t="s">
        <v>46</v>
      </c>
      <c r="G602" t="s">
        <v>5</v>
      </c>
    </row>
    <row r="603" spans="1:7" x14ac:dyDescent="0.3">
      <c r="A603" t="s">
        <v>15</v>
      </c>
      <c r="B603" s="1">
        <v>45961</v>
      </c>
      <c r="C603">
        <v>321029</v>
      </c>
      <c r="D603">
        <v>-26126.963</v>
      </c>
      <c r="E603" t="s">
        <v>4</v>
      </c>
      <c r="F603" t="s">
        <v>46</v>
      </c>
      <c r="G603" t="s">
        <v>5</v>
      </c>
    </row>
    <row r="604" spans="1:7" x14ac:dyDescent="0.3">
      <c r="A604" t="s">
        <v>15</v>
      </c>
      <c r="B604" s="1">
        <v>45961</v>
      </c>
      <c r="C604">
        <v>321030</v>
      </c>
      <c r="D604">
        <v>79787.55</v>
      </c>
      <c r="E604" t="s">
        <v>4</v>
      </c>
      <c r="F604" t="s">
        <v>46</v>
      </c>
      <c r="G604" t="s">
        <v>5</v>
      </c>
    </row>
    <row r="605" spans="1:7" x14ac:dyDescent="0.3">
      <c r="A605" t="s">
        <v>15</v>
      </c>
      <c r="B605" s="1">
        <v>45961</v>
      </c>
      <c r="C605">
        <v>321031</v>
      </c>
      <c r="D605">
        <v>296466.20500000002</v>
      </c>
      <c r="E605" t="s">
        <v>4</v>
      </c>
      <c r="F605" t="s">
        <v>46</v>
      </c>
      <c r="G605" t="s">
        <v>5</v>
      </c>
    </row>
    <row r="606" spans="1:7" x14ac:dyDescent="0.3">
      <c r="A606" t="s">
        <v>15</v>
      </c>
      <c r="B606" s="1">
        <v>45961</v>
      </c>
      <c r="C606">
        <v>321038</v>
      </c>
      <c r="D606">
        <v>853.577</v>
      </c>
      <c r="E606" t="s">
        <v>4</v>
      </c>
      <c r="F606" t="s">
        <v>46</v>
      </c>
      <c r="G606" t="s">
        <v>5</v>
      </c>
    </row>
    <row r="607" spans="1:7" x14ac:dyDescent="0.3">
      <c r="A607" t="s">
        <v>15</v>
      </c>
      <c r="B607" s="1">
        <v>45961</v>
      </c>
      <c r="C607">
        <v>321041</v>
      </c>
      <c r="D607">
        <v>30537.995999999999</v>
      </c>
      <c r="E607" t="s">
        <v>4</v>
      </c>
      <c r="F607" t="s">
        <v>46</v>
      </c>
      <c r="G607" t="s">
        <v>5</v>
      </c>
    </row>
    <row r="608" spans="1:7" x14ac:dyDescent="0.3">
      <c r="A608" t="s">
        <v>15</v>
      </c>
      <c r="B608" s="1">
        <v>45961</v>
      </c>
      <c r="C608">
        <v>321042</v>
      </c>
      <c r="D608">
        <v>61435.288999999997</v>
      </c>
      <c r="E608" t="s">
        <v>4</v>
      </c>
      <c r="F608" t="s">
        <v>46</v>
      </c>
      <c r="G608" t="s">
        <v>5</v>
      </c>
    </row>
    <row r="609" spans="1:7" x14ac:dyDescent="0.3">
      <c r="A609" t="s">
        <v>15</v>
      </c>
      <c r="B609" s="1">
        <v>45961</v>
      </c>
      <c r="C609">
        <v>321045</v>
      </c>
      <c r="D609">
        <v>28931.952000000001</v>
      </c>
      <c r="E609" t="s">
        <v>4</v>
      </c>
      <c r="F609" t="s">
        <v>46</v>
      </c>
      <c r="G609" t="s">
        <v>5</v>
      </c>
    </row>
    <row r="610" spans="1:7" x14ac:dyDescent="0.3">
      <c r="A610" t="s">
        <v>15</v>
      </c>
      <c r="B610" s="1">
        <v>45961</v>
      </c>
      <c r="C610">
        <v>330002</v>
      </c>
      <c r="D610">
        <v>34310.095999999998</v>
      </c>
      <c r="E610" t="s">
        <v>4</v>
      </c>
      <c r="F610" t="s">
        <v>43</v>
      </c>
      <c r="G610" t="s">
        <v>5</v>
      </c>
    </row>
    <row r="611" spans="1:7" x14ac:dyDescent="0.3">
      <c r="A611" t="s">
        <v>15</v>
      </c>
      <c r="B611" s="1">
        <v>45961</v>
      </c>
      <c r="C611">
        <v>330019</v>
      </c>
      <c r="D611">
        <v>-22239.883999999998</v>
      </c>
      <c r="E611" t="s">
        <v>4</v>
      </c>
      <c r="F611" t="s">
        <v>43</v>
      </c>
      <c r="G611" t="s">
        <v>5</v>
      </c>
    </row>
    <row r="612" spans="1:7" x14ac:dyDescent="0.3">
      <c r="A612" t="s">
        <v>15</v>
      </c>
      <c r="B612" s="1">
        <v>45961</v>
      </c>
      <c r="C612">
        <v>330020</v>
      </c>
      <c r="D612">
        <v>-15.79</v>
      </c>
      <c r="E612" t="s">
        <v>4</v>
      </c>
      <c r="F612" t="s">
        <v>43</v>
      </c>
      <c r="G612" t="s">
        <v>5</v>
      </c>
    </row>
    <row r="613" spans="1:7" x14ac:dyDescent="0.3">
      <c r="A613" t="s">
        <v>15</v>
      </c>
      <c r="B613" s="1">
        <v>45961</v>
      </c>
      <c r="C613">
        <v>330033</v>
      </c>
      <c r="D613">
        <v>32.384999999999998</v>
      </c>
      <c r="E613" t="s">
        <v>4</v>
      </c>
      <c r="F613" t="s">
        <v>43</v>
      </c>
      <c r="G613" t="s">
        <v>5</v>
      </c>
    </row>
    <row r="614" spans="1:7" x14ac:dyDescent="0.3">
      <c r="A614" t="s">
        <v>15</v>
      </c>
      <c r="B614" s="1">
        <v>45961</v>
      </c>
      <c r="C614">
        <v>330044</v>
      </c>
      <c r="D614">
        <v>-2025.098</v>
      </c>
      <c r="E614" t="s">
        <v>4</v>
      </c>
      <c r="F614" t="s">
        <v>43</v>
      </c>
      <c r="G614" t="s">
        <v>5</v>
      </c>
    </row>
    <row r="615" spans="1:7" x14ac:dyDescent="0.3">
      <c r="A615" t="s">
        <v>15</v>
      </c>
      <c r="B615" s="1">
        <v>45961</v>
      </c>
      <c r="C615">
        <v>330051</v>
      </c>
      <c r="D615">
        <v>11928.112999999999</v>
      </c>
      <c r="E615" t="s">
        <v>4</v>
      </c>
      <c r="F615" t="s">
        <v>43</v>
      </c>
      <c r="G615" t="s">
        <v>5</v>
      </c>
    </row>
    <row r="616" spans="1:7" x14ac:dyDescent="0.3">
      <c r="A616" t="s">
        <v>15</v>
      </c>
      <c r="B616" s="1">
        <v>45961</v>
      </c>
      <c r="C616">
        <v>330052</v>
      </c>
      <c r="D616">
        <v>1298.57</v>
      </c>
      <c r="E616" t="s">
        <v>4</v>
      </c>
      <c r="F616" t="s">
        <v>43</v>
      </c>
      <c r="G616" t="s">
        <v>5</v>
      </c>
    </row>
    <row r="617" spans="1:7" x14ac:dyDescent="0.3">
      <c r="A617" t="s">
        <v>15</v>
      </c>
      <c r="B617" s="1">
        <v>45961</v>
      </c>
      <c r="C617">
        <v>330054</v>
      </c>
      <c r="D617">
        <v>-150.83699999999999</v>
      </c>
      <c r="E617" t="s">
        <v>4</v>
      </c>
      <c r="F617" t="s">
        <v>43</v>
      </c>
      <c r="G617" t="s">
        <v>5</v>
      </c>
    </row>
    <row r="618" spans="1:7" x14ac:dyDescent="0.3">
      <c r="A618" t="s">
        <v>15</v>
      </c>
      <c r="B618" s="1">
        <v>45961</v>
      </c>
      <c r="C618">
        <v>330055</v>
      </c>
      <c r="D618">
        <v>-134.07900000000001</v>
      </c>
      <c r="E618" t="s">
        <v>4</v>
      </c>
      <c r="F618" t="s">
        <v>43</v>
      </c>
      <c r="G618" t="s">
        <v>5</v>
      </c>
    </row>
    <row r="619" spans="1:7" x14ac:dyDescent="0.3">
      <c r="A619" t="s">
        <v>15</v>
      </c>
      <c r="B619" s="1">
        <v>45961</v>
      </c>
      <c r="C619">
        <v>330091</v>
      </c>
      <c r="D619">
        <v>19398.833999999999</v>
      </c>
      <c r="E619" t="s">
        <v>4</v>
      </c>
      <c r="F619" t="s">
        <v>43</v>
      </c>
      <c r="G619" t="s">
        <v>5</v>
      </c>
    </row>
    <row r="620" spans="1:7" x14ac:dyDescent="0.3">
      <c r="A620" t="s">
        <v>15</v>
      </c>
      <c r="B620" s="1">
        <v>45961</v>
      </c>
      <c r="C620">
        <v>330097</v>
      </c>
      <c r="D620">
        <v>832.67600000000004</v>
      </c>
      <c r="E620" t="s">
        <v>4</v>
      </c>
      <c r="F620" t="s">
        <v>43</v>
      </c>
      <c r="G620" t="s">
        <v>5</v>
      </c>
    </row>
    <row r="621" spans="1:7" x14ac:dyDescent="0.3">
      <c r="A621" t="s">
        <v>15</v>
      </c>
      <c r="B621" s="1">
        <v>45961</v>
      </c>
      <c r="C621">
        <v>330107</v>
      </c>
      <c r="D621">
        <v>540.34199999999998</v>
      </c>
      <c r="E621" t="s">
        <v>4</v>
      </c>
      <c r="F621" t="s">
        <v>43</v>
      </c>
      <c r="G621" t="s">
        <v>5</v>
      </c>
    </row>
    <row r="622" spans="1:7" x14ac:dyDescent="0.3">
      <c r="A622" t="s">
        <v>15</v>
      </c>
      <c r="B622" s="1">
        <v>45961</v>
      </c>
      <c r="C622">
        <v>330126</v>
      </c>
      <c r="D622">
        <v>1273.0409999999999</v>
      </c>
      <c r="E622" t="s">
        <v>4</v>
      </c>
      <c r="F622" t="s">
        <v>43</v>
      </c>
      <c r="G622" t="s">
        <v>5</v>
      </c>
    </row>
    <row r="623" spans="1:7" x14ac:dyDescent="0.3">
      <c r="A623" t="s">
        <v>15</v>
      </c>
      <c r="B623" s="1">
        <v>45961</v>
      </c>
      <c r="C623">
        <v>330129</v>
      </c>
      <c r="D623">
        <v>50836.805</v>
      </c>
      <c r="E623" t="s">
        <v>4</v>
      </c>
      <c r="F623" t="s">
        <v>43</v>
      </c>
      <c r="G623" t="s">
        <v>5</v>
      </c>
    </row>
    <row r="624" spans="1:7" x14ac:dyDescent="0.3">
      <c r="A624" t="s">
        <v>15</v>
      </c>
      <c r="B624" s="1">
        <v>45961</v>
      </c>
      <c r="C624">
        <v>330130</v>
      </c>
      <c r="D624">
        <v>39785.582000000002</v>
      </c>
      <c r="E624" t="s">
        <v>4</v>
      </c>
      <c r="F624" t="s">
        <v>43</v>
      </c>
      <c r="G624" t="s">
        <v>5</v>
      </c>
    </row>
    <row r="625" spans="1:7" x14ac:dyDescent="0.3">
      <c r="A625" t="s">
        <v>15</v>
      </c>
      <c r="B625" s="1">
        <v>45961</v>
      </c>
      <c r="C625">
        <v>330131</v>
      </c>
      <c r="D625">
        <v>-42221.809000000001</v>
      </c>
      <c r="E625" t="s">
        <v>4</v>
      </c>
      <c r="F625" t="s">
        <v>43</v>
      </c>
      <c r="G625" t="s">
        <v>5</v>
      </c>
    </row>
    <row r="626" spans="1:7" x14ac:dyDescent="0.3">
      <c r="A626" t="s">
        <v>15</v>
      </c>
      <c r="B626" s="1">
        <v>45961</v>
      </c>
      <c r="C626">
        <v>330132</v>
      </c>
      <c r="D626">
        <v>9484.8449999999993</v>
      </c>
      <c r="E626" t="s">
        <v>4</v>
      </c>
      <c r="F626" t="s">
        <v>43</v>
      </c>
      <c r="G626" t="s">
        <v>5</v>
      </c>
    </row>
    <row r="627" spans="1:7" x14ac:dyDescent="0.3">
      <c r="A627" t="s">
        <v>15</v>
      </c>
      <c r="B627" s="1">
        <v>45961</v>
      </c>
      <c r="C627">
        <v>330137</v>
      </c>
      <c r="D627">
        <v>5163.558</v>
      </c>
      <c r="E627" t="s">
        <v>4</v>
      </c>
      <c r="F627" t="s">
        <v>43</v>
      </c>
      <c r="G627" t="s">
        <v>5</v>
      </c>
    </row>
    <row r="628" spans="1:7" x14ac:dyDescent="0.3">
      <c r="A628" t="s">
        <v>15</v>
      </c>
      <c r="B628" s="1">
        <v>45961</v>
      </c>
      <c r="C628">
        <v>340003</v>
      </c>
      <c r="D628">
        <v>27.684000000000001</v>
      </c>
      <c r="E628" t="s">
        <v>4</v>
      </c>
      <c r="F628" t="s">
        <v>47</v>
      </c>
      <c r="G628" t="s">
        <v>5</v>
      </c>
    </row>
    <row r="629" spans="1:7" x14ac:dyDescent="0.3">
      <c r="A629" t="s">
        <v>15</v>
      </c>
      <c r="B629" s="1">
        <v>45961</v>
      </c>
      <c r="C629">
        <v>340004</v>
      </c>
      <c r="D629">
        <v>3905.19</v>
      </c>
      <c r="E629" t="s">
        <v>4</v>
      </c>
      <c r="F629" t="s">
        <v>47</v>
      </c>
      <c r="G629" t="s">
        <v>5</v>
      </c>
    </row>
    <row r="630" spans="1:7" x14ac:dyDescent="0.3">
      <c r="A630" t="s">
        <v>15</v>
      </c>
      <c r="B630" s="1">
        <v>45961</v>
      </c>
      <c r="C630">
        <v>340006</v>
      </c>
      <c r="D630">
        <v>4127418.446</v>
      </c>
      <c r="E630" t="s">
        <v>4</v>
      </c>
      <c r="F630" t="s">
        <v>47</v>
      </c>
      <c r="G630" t="s">
        <v>5</v>
      </c>
    </row>
    <row r="631" spans="1:7" x14ac:dyDescent="0.3">
      <c r="A631" t="s">
        <v>15</v>
      </c>
      <c r="B631" s="1">
        <v>45961</v>
      </c>
      <c r="C631">
        <v>340012</v>
      </c>
      <c r="D631">
        <v>909155.58700000006</v>
      </c>
      <c r="E631" t="s">
        <v>4</v>
      </c>
      <c r="F631" t="s">
        <v>47</v>
      </c>
      <c r="G631" t="s">
        <v>5</v>
      </c>
    </row>
    <row r="632" spans="1:7" x14ac:dyDescent="0.3">
      <c r="A632" t="s">
        <v>15</v>
      </c>
      <c r="B632" s="1">
        <v>45961</v>
      </c>
      <c r="C632">
        <v>340013</v>
      </c>
      <c r="D632">
        <v>121090036.353</v>
      </c>
      <c r="E632" t="s">
        <v>4</v>
      </c>
      <c r="F632" t="s">
        <v>47</v>
      </c>
      <c r="G632" t="s">
        <v>5</v>
      </c>
    </row>
    <row r="633" spans="1:7" x14ac:dyDescent="0.3">
      <c r="A633" t="s">
        <v>15</v>
      </c>
      <c r="B633" s="1">
        <v>45961</v>
      </c>
      <c r="C633">
        <v>340014</v>
      </c>
      <c r="D633">
        <v>-121991585.226</v>
      </c>
      <c r="E633" t="s">
        <v>4</v>
      </c>
      <c r="F633" t="s">
        <v>47</v>
      </c>
      <c r="G633" t="s">
        <v>5</v>
      </c>
    </row>
    <row r="634" spans="1:7" x14ac:dyDescent="0.3">
      <c r="A634" t="s">
        <v>15</v>
      </c>
      <c r="B634" s="1">
        <v>45961</v>
      </c>
      <c r="C634">
        <v>340022</v>
      </c>
      <c r="D634">
        <v>817727.701</v>
      </c>
      <c r="E634" t="s">
        <v>4</v>
      </c>
      <c r="F634" t="s">
        <v>47</v>
      </c>
      <c r="G634" t="s">
        <v>5</v>
      </c>
    </row>
    <row r="635" spans="1:7" x14ac:dyDescent="0.3">
      <c r="A635" t="s">
        <v>15</v>
      </c>
      <c r="B635" s="1">
        <v>45961</v>
      </c>
      <c r="C635">
        <v>340023</v>
      </c>
      <c r="D635">
        <v>33452.457000000002</v>
      </c>
      <c r="E635" t="s">
        <v>4</v>
      </c>
      <c r="F635" t="s">
        <v>47</v>
      </c>
      <c r="G635" t="s">
        <v>5</v>
      </c>
    </row>
    <row r="636" spans="1:7" x14ac:dyDescent="0.3">
      <c r="A636" t="s">
        <v>15</v>
      </c>
      <c r="B636" s="1">
        <v>45961</v>
      </c>
      <c r="C636">
        <v>340024</v>
      </c>
      <c r="D636">
        <v>-851180.15800000005</v>
      </c>
      <c r="E636" t="s">
        <v>4</v>
      </c>
      <c r="F636" t="s">
        <v>47</v>
      </c>
      <c r="G636" t="s">
        <v>5</v>
      </c>
    </row>
    <row r="637" spans="1:7" x14ac:dyDescent="0.3">
      <c r="A637" t="s">
        <v>15</v>
      </c>
      <c r="B637" s="1">
        <v>45961</v>
      </c>
      <c r="C637">
        <v>340029</v>
      </c>
      <c r="D637">
        <v>187.33699999999999</v>
      </c>
      <c r="E637" t="s">
        <v>4</v>
      </c>
      <c r="F637" t="s">
        <v>47</v>
      </c>
      <c r="G637" t="s">
        <v>5</v>
      </c>
    </row>
    <row r="638" spans="1:7" x14ac:dyDescent="0.3">
      <c r="A638" t="s">
        <v>15</v>
      </c>
      <c r="B638" s="1">
        <v>45961</v>
      </c>
      <c r="C638">
        <v>340033</v>
      </c>
      <c r="D638">
        <v>164.06</v>
      </c>
      <c r="E638" t="s">
        <v>4</v>
      </c>
      <c r="F638" t="s">
        <v>47</v>
      </c>
      <c r="G638" t="s">
        <v>5</v>
      </c>
    </row>
    <row r="639" spans="1:7" x14ac:dyDescent="0.3">
      <c r="A639" t="s">
        <v>15</v>
      </c>
      <c r="B639" s="1">
        <v>45961</v>
      </c>
      <c r="C639">
        <v>340038</v>
      </c>
      <c r="D639">
        <v>1757.0360000000001</v>
      </c>
      <c r="E639" t="s">
        <v>4</v>
      </c>
      <c r="F639" t="s">
        <v>47</v>
      </c>
      <c r="G639" t="s">
        <v>5</v>
      </c>
    </row>
    <row r="640" spans="1:7" x14ac:dyDescent="0.3">
      <c r="A640" t="s">
        <v>15</v>
      </c>
      <c r="B640" s="1">
        <v>45961</v>
      </c>
      <c r="C640">
        <v>340055</v>
      </c>
      <c r="D640">
        <v>63.481999999999999</v>
      </c>
      <c r="E640" t="s">
        <v>4</v>
      </c>
      <c r="F640" t="s">
        <v>47</v>
      </c>
      <c r="G640" t="s">
        <v>5</v>
      </c>
    </row>
    <row r="641" spans="1:7" x14ac:dyDescent="0.3">
      <c r="A641" t="s">
        <v>15</v>
      </c>
      <c r="B641" s="1">
        <v>45961</v>
      </c>
      <c r="C641">
        <v>340056</v>
      </c>
      <c r="D641">
        <v>1200.933</v>
      </c>
      <c r="E641" t="s">
        <v>4</v>
      </c>
      <c r="F641" t="s">
        <v>47</v>
      </c>
      <c r="G641" t="s">
        <v>5</v>
      </c>
    </row>
    <row r="642" spans="1:7" x14ac:dyDescent="0.3">
      <c r="A642" t="s">
        <v>15</v>
      </c>
      <c r="B642" s="1">
        <v>45961</v>
      </c>
      <c r="C642">
        <v>340058</v>
      </c>
      <c r="D642">
        <v>114170.952</v>
      </c>
      <c r="E642" t="s">
        <v>4</v>
      </c>
      <c r="F642" t="s">
        <v>47</v>
      </c>
      <c r="G642" t="s">
        <v>5</v>
      </c>
    </row>
    <row r="643" spans="1:7" x14ac:dyDescent="0.3">
      <c r="A643" t="s">
        <v>15</v>
      </c>
      <c r="B643" s="1">
        <v>45961</v>
      </c>
      <c r="C643">
        <v>340060</v>
      </c>
      <c r="D643">
        <v>1603.6379999999999</v>
      </c>
      <c r="E643" t="s">
        <v>4</v>
      </c>
      <c r="F643" t="s">
        <v>47</v>
      </c>
      <c r="G643" t="s">
        <v>5</v>
      </c>
    </row>
    <row r="644" spans="1:7" x14ac:dyDescent="0.3">
      <c r="A644" t="s">
        <v>15</v>
      </c>
      <c r="B644" s="1">
        <v>45961</v>
      </c>
      <c r="C644">
        <v>340070</v>
      </c>
      <c r="D644">
        <v>11997.505999999999</v>
      </c>
      <c r="E644" t="s">
        <v>4</v>
      </c>
      <c r="F644" t="s">
        <v>47</v>
      </c>
      <c r="G644" t="s">
        <v>5</v>
      </c>
    </row>
    <row r="645" spans="1:7" x14ac:dyDescent="0.3">
      <c r="A645" t="s">
        <v>15</v>
      </c>
      <c r="B645" s="1">
        <v>45961</v>
      </c>
      <c r="C645">
        <v>340076</v>
      </c>
      <c r="D645">
        <v>6.7000000000000004E-2</v>
      </c>
      <c r="E645" t="s">
        <v>4</v>
      </c>
      <c r="F645" t="s">
        <v>47</v>
      </c>
      <c r="G645" t="s">
        <v>5</v>
      </c>
    </row>
    <row r="646" spans="1:7" x14ac:dyDescent="0.3">
      <c r="A646" t="s">
        <v>15</v>
      </c>
      <c r="B646" s="1">
        <v>45961</v>
      </c>
      <c r="C646">
        <v>340089</v>
      </c>
      <c r="D646">
        <v>2.7919999999999998</v>
      </c>
      <c r="E646" t="s">
        <v>4</v>
      </c>
      <c r="F646" t="s">
        <v>47</v>
      </c>
      <c r="G646" t="s">
        <v>5</v>
      </c>
    </row>
    <row r="647" spans="1:7" x14ac:dyDescent="0.3">
      <c r="A647" t="s">
        <v>15</v>
      </c>
      <c r="B647" s="1">
        <v>45961</v>
      </c>
      <c r="C647">
        <v>340126</v>
      </c>
      <c r="D647">
        <v>-1940.8589999999999</v>
      </c>
      <c r="E647" t="s">
        <v>4</v>
      </c>
      <c r="F647" t="s">
        <v>47</v>
      </c>
      <c r="G647" t="s">
        <v>5</v>
      </c>
    </row>
    <row r="648" spans="1:7" x14ac:dyDescent="0.3">
      <c r="A648" t="s">
        <v>15</v>
      </c>
      <c r="B648" s="1">
        <v>45961</v>
      </c>
      <c r="C648">
        <v>340135</v>
      </c>
      <c r="D648">
        <v>10535704.897</v>
      </c>
      <c r="E648" t="s">
        <v>4</v>
      </c>
      <c r="F648" t="s">
        <v>47</v>
      </c>
      <c r="G648" t="s">
        <v>5</v>
      </c>
    </row>
    <row r="649" spans="1:7" x14ac:dyDescent="0.3">
      <c r="A649" t="s">
        <v>15</v>
      </c>
      <c r="B649" s="1">
        <v>45961</v>
      </c>
      <c r="C649">
        <v>340136</v>
      </c>
      <c r="D649">
        <v>-10514960.313999999</v>
      </c>
      <c r="E649" t="s">
        <v>4</v>
      </c>
      <c r="F649" t="s">
        <v>47</v>
      </c>
      <c r="G649" t="s">
        <v>5</v>
      </c>
    </row>
    <row r="650" spans="1:7" x14ac:dyDescent="0.3">
      <c r="A650" t="s">
        <v>15</v>
      </c>
      <c r="B650" s="1">
        <v>45961</v>
      </c>
      <c r="C650">
        <v>340137</v>
      </c>
      <c r="D650">
        <v>267375</v>
      </c>
      <c r="E650" t="s">
        <v>4</v>
      </c>
      <c r="F650" t="s">
        <v>47</v>
      </c>
      <c r="G650" t="s">
        <v>5</v>
      </c>
    </row>
    <row r="651" spans="1:7" x14ac:dyDescent="0.3">
      <c r="A651" t="s">
        <v>15</v>
      </c>
      <c r="B651" s="1">
        <v>45961</v>
      </c>
      <c r="C651">
        <v>340138</v>
      </c>
      <c r="D651">
        <v>-4838052.1069999998</v>
      </c>
      <c r="E651" t="s">
        <v>4</v>
      </c>
      <c r="F651" t="s">
        <v>47</v>
      </c>
      <c r="G651" t="s">
        <v>5</v>
      </c>
    </row>
    <row r="652" spans="1:7" x14ac:dyDescent="0.3">
      <c r="A652" t="s">
        <v>15</v>
      </c>
      <c r="B652" s="1">
        <v>45961</v>
      </c>
      <c r="C652">
        <v>340268</v>
      </c>
      <c r="D652">
        <v>965231.40899999999</v>
      </c>
      <c r="E652" t="s">
        <v>4</v>
      </c>
      <c r="F652" t="s">
        <v>47</v>
      </c>
      <c r="G652" t="s">
        <v>5</v>
      </c>
    </row>
    <row r="653" spans="1:7" x14ac:dyDescent="0.3">
      <c r="A653" t="s">
        <v>15</v>
      </c>
      <c r="B653" s="1">
        <v>45961</v>
      </c>
      <c r="C653">
        <v>340269</v>
      </c>
      <c r="D653">
        <v>3417207.7769999998</v>
      </c>
      <c r="E653" t="s">
        <v>4</v>
      </c>
      <c r="F653" t="s">
        <v>47</v>
      </c>
      <c r="G653" t="s">
        <v>5</v>
      </c>
    </row>
    <row r="654" spans="1:7" x14ac:dyDescent="0.3">
      <c r="A654" t="s">
        <v>15</v>
      </c>
      <c r="B654" s="1">
        <v>45961</v>
      </c>
      <c r="C654">
        <v>340270</v>
      </c>
      <c r="D654">
        <v>-4381792.7189999996</v>
      </c>
      <c r="E654" t="s">
        <v>4</v>
      </c>
      <c r="F654" t="s">
        <v>47</v>
      </c>
      <c r="G654" t="s">
        <v>5</v>
      </c>
    </row>
    <row r="655" spans="1:7" x14ac:dyDescent="0.3">
      <c r="A655" t="s">
        <v>15</v>
      </c>
      <c r="B655" s="1">
        <v>45961</v>
      </c>
      <c r="C655">
        <v>340274</v>
      </c>
      <c r="D655">
        <v>304949.625</v>
      </c>
      <c r="E655" t="s">
        <v>4</v>
      </c>
      <c r="F655" t="s">
        <v>47</v>
      </c>
      <c r="G655" t="s">
        <v>5</v>
      </c>
    </row>
    <row r="656" spans="1:7" x14ac:dyDescent="0.3">
      <c r="A656" t="s">
        <v>15</v>
      </c>
      <c r="B656" s="1">
        <v>45961</v>
      </c>
      <c r="C656">
        <v>340275</v>
      </c>
      <c r="D656">
        <v>52523206.728</v>
      </c>
      <c r="E656" t="s">
        <v>4</v>
      </c>
      <c r="F656" t="s">
        <v>47</v>
      </c>
      <c r="G656" t="s">
        <v>5</v>
      </c>
    </row>
    <row r="657" spans="1:7" x14ac:dyDescent="0.3">
      <c r="A657" t="s">
        <v>15</v>
      </c>
      <c r="B657" s="1">
        <v>45961</v>
      </c>
      <c r="C657">
        <v>340276</v>
      </c>
      <c r="D657">
        <v>-52772746.564999998</v>
      </c>
      <c r="E657" t="s">
        <v>4</v>
      </c>
      <c r="F657" t="s">
        <v>47</v>
      </c>
      <c r="G657" t="s">
        <v>5</v>
      </c>
    </row>
    <row r="658" spans="1:7" x14ac:dyDescent="0.3">
      <c r="A658" t="s">
        <v>15</v>
      </c>
      <c r="B658" s="1">
        <v>45961</v>
      </c>
      <c r="C658">
        <v>340286</v>
      </c>
      <c r="D658">
        <v>1834.83</v>
      </c>
      <c r="E658" t="s">
        <v>4</v>
      </c>
      <c r="F658" t="s">
        <v>47</v>
      </c>
      <c r="G658" t="s">
        <v>5</v>
      </c>
    </row>
    <row r="659" spans="1:7" x14ac:dyDescent="0.3">
      <c r="A659" t="s">
        <v>15</v>
      </c>
      <c r="B659" s="1">
        <v>45961</v>
      </c>
      <c r="C659">
        <v>340289</v>
      </c>
      <c r="D659">
        <v>630.23500000000001</v>
      </c>
      <c r="E659" t="s">
        <v>4</v>
      </c>
      <c r="F659" t="s">
        <v>47</v>
      </c>
      <c r="G659" t="s">
        <v>5</v>
      </c>
    </row>
    <row r="660" spans="1:7" x14ac:dyDescent="0.3">
      <c r="A660" t="s">
        <v>15</v>
      </c>
      <c r="B660" s="1">
        <v>45961</v>
      </c>
      <c r="C660">
        <v>340299</v>
      </c>
      <c r="D660">
        <v>10391513.767999999</v>
      </c>
      <c r="E660" t="s">
        <v>4</v>
      </c>
      <c r="F660" t="s">
        <v>47</v>
      </c>
      <c r="G660" t="s">
        <v>5</v>
      </c>
    </row>
    <row r="661" spans="1:7" x14ac:dyDescent="0.3">
      <c r="A661" t="s">
        <v>15</v>
      </c>
      <c r="B661" s="1">
        <v>45961</v>
      </c>
      <c r="C661">
        <v>340300</v>
      </c>
      <c r="D661">
        <v>-9931207.9710000008</v>
      </c>
      <c r="E661" t="s">
        <v>4</v>
      </c>
      <c r="F661" t="s">
        <v>47</v>
      </c>
      <c r="G661" t="s">
        <v>5</v>
      </c>
    </row>
    <row r="662" spans="1:7" x14ac:dyDescent="0.3">
      <c r="A662" t="s">
        <v>15</v>
      </c>
      <c r="B662" s="1">
        <v>45961</v>
      </c>
      <c r="C662">
        <v>340301</v>
      </c>
      <c r="D662">
        <v>182341.372</v>
      </c>
      <c r="E662" t="s">
        <v>4</v>
      </c>
      <c r="F662" t="s">
        <v>47</v>
      </c>
      <c r="G662" t="s">
        <v>5</v>
      </c>
    </row>
    <row r="663" spans="1:7" x14ac:dyDescent="0.3">
      <c r="A663" t="s">
        <v>15</v>
      </c>
      <c r="B663" s="1">
        <v>45961</v>
      </c>
      <c r="C663">
        <v>340302</v>
      </c>
      <c r="D663">
        <v>-185186.614</v>
      </c>
      <c r="E663" t="s">
        <v>4</v>
      </c>
      <c r="F663" t="s">
        <v>47</v>
      </c>
      <c r="G663" t="s">
        <v>5</v>
      </c>
    </row>
    <row r="664" spans="1:7" x14ac:dyDescent="0.3">
      <c r="A664" t="s">
        <v>15</v>
      </c>
      <c r="B664" s="1">
        <v>45961</v>
      </c>
      <c r="C664">
        <v>340303</v>
      </c>
      <c r="D664">
        <v>239519.23199999999</v>
      </c>
      <c r="E664" t="s">
        <v>4</v>
      </c>
      <c r="F664" t="s">
        <v>47</v>
      </c>
      <c r="G664" t="s">
        <v>5</v>
      </c>
    </row>
    <row r="665" spans="1:7" x14ac:dyDescent="0.3">
      <c r="A665" t="s">
        <v>15</v>
      </c>
      <c r="B665" s="1">
        <v>45961</v>
      </c>
      <c r="C665">
        <v>340304</v>
      </c>
      <c r="D665">
        <v>-235744.90599999999</v>
      </c>
      <c r="E665" t="s">
        <v>4</v>
      </c>
      <c r="F665" t="s">
        <v>47</v>
      </c>
      <c r="G665" t="s">
        <v>5</v>
      </c>
    </row>
    <row r="666" spans="1:7" x14ac:dyDescent="0.3">
      <c r="A666" t="s">
        <v>15</v>
      </c>
      <c r="B666" s="1">
        <v>45961</v>
      </c>
      <c r="C666">
        <v>340305</v>
      </c>
      <c r="D666">
        <v>79568.535999999993</v>
      </c>
      <c r="E666" t="s">
        <v>4</v>
      </c>
      <c r="F666" t="s">
        <v>47</v>
      </c>
      <c r="G666" t="s">
        <v>5</v>
      </c>
    </row>
    <row r="667" spans="1:7" x14ac:dyDescent="0.3">
      <c r="A667" t="s">
        <v>15</v>
      </c>
      <c r="B667" s="1">
        <v>45961</v>
      </c>
      <c r="C667">
        <v>340306</v>
      </c>
      <c r="D667">
        <v>-81468.434999999998</v>
      </c>
      <c r="E667" t="s">
        <v>4</v>
      </c>
      <c r="F667" t="s">
        <v>47</v>
      </c>
      <c r="G667" t="s">
        <v>5</v>
      </c>
    </row>
    <row r="668" spans="1:7" x14ac:dyDescent="0.3">
      <c r="A668" t="s">
        <v>15</v>
      </c>
      <c r="B668" s="1">
        <v>45961</v>
      </c>
      <c r="C668">
        <v>340307</v>
      </c>
      <c r="D668">
        <v>1565110.5249999999</v>
      </c>
      <c r="E668" t="s">
        <v>4</v>
      </c>
      <c r="F668" t="s">
        <v>47</v>
      </c>
      <c r="G668" t="s">
        <v>5</v>
      </c>
    </row>
    <row r="669" spans="1:7" x14ac:dyDescent="0.3">
      <c r="A669" t="s">
        <v>15</v>
      </c>
      <c r="B669" s="1">
        <v>45961</v>
      </c>
      <c r="C669">
        <v>340308</v>
      </c>
      <c r="D669">
        <v>-1651009.429</v>
      </c>
      <c r="E669" t="s">
        <v>4</v>
      </c>
      <c r="F669" t="s">
        <v>47</v>
      </c>
      <c r="G669" t="s">
        <v>5</v>
      </c>
    </row>
    <row r="670" spans="1:7" x14ac:dyDescent="0.3">
      <c r="A670" t="s">
        <v>15</v>
      </c>
      <c r="B670" s="1">
        <v>45961</v>
      </c>
      <c r="C670">
        <v>340309</v>
      </c>
      <c r="D670">
        <v>1.141</v>
      </c>
      <c r="E670" t="s">
        <v>4</v>
      </c>
      <c r="F670" t="s">
        <v>47</v>
      </c>
      <c r="G670" t="s">
        <v>5</v>
      </c>
    </row>
    <row r="671" spans="1:7" x14ac:dyDescent="0.3">
      <c r="A671" t="s">
        <v>15</v>
      </c>
      <c r="B671" s="1">
        <v>45961</v>
      </c>
      <c r="C671">
        <v>340310</v>
      </c>
      <c r="D671">
        <v>-24.887</v>
      </c>
      <c r="E671" t="s">
        <v>4</v>
      </c>
      <c r="F671" t="s">
        <v>47</v>
      </c>
      <c r="G671" t="s">
        <v>5</v>
      </c>
    </row>
    <row r="672" spans="1:7" x14ac:dyDescent="0.3">
      <c r="A672" t="s">
        <v>15</v>
      </c>
      <c r="B672" s="1">
        <v>45961</v>
      </c>
      <c r="C672">
        <v>340311</v>
      </c>
      <c r="D672">
        <v>3531799.574</v>
      </c>
      <c r="E672" t="s">
        <v>4</v>
      </c>
      <c r="F672" t="s">
        <v>47</v>
      </c>
      <c r="G672" t="s">
        <v>5</v>
      </c>
    </row>
    <row r="673" spans="1:7" x14ac:dyDescent="0.3">
      <c r="A673" t="s">
        <v>15</v>
      </c>
      <c r="B673" s="1">
        <v>45961</v>
      </c>
      <c r="C673">
        <v>340312</v>
      </c>
      <c r="D673">
        <v>-3538773.9169999999</v>
      </c>
      <c r="E673" t="s">
        <v>4</v>
      </c>
      <c r="F673" t="s">
        <v>47</v>
      </c>
      <c r="G673" t="s">
        <v>5</v>
      </c>
    </row>
    <row r="674" spans="1:7" x14ac:dyDescent="0.3">
      <c r="A674" t="s">
        <v>15</v>
      </c>
      <c r="B674" s="1">
        <v>45961</v>
      </c>
      <c r="C674">
        <v>340321</v>
      </c>
      <c r="D674">
        <v>155</v>
      </c>
      <c r="E674" t="s">
        <v>4</v>
      </c>
      <c r="F674" t="s">
        <v>47</v>
      </c>
      <c r="G674" t="s">
        <v>5</v>
      </c>
    </row>
    <row r="675" spans="1:7" x14ac:dyDescent="0.3">
      <c r="A675" t="s">
        <v>15</v>
      </c>
      <c r="B675" s="1">
        <v>45961</v>
      </c>
      <c r="C675">
        <v>345004</v>
      </c>
      <c r="D675">
        <v>3420.7170000000001</v>
      </c>
      <c r="E675" t="s">
        <v>4</v>
      </c>
      <c r="F675" t="s">
        <v>47</v>
      </c>
      <c r="G675" t="s">
        <v>5</v>
      </c>
    </row>
    <row r="676" spans="1:7" x14ac:dyDescent="0.3">
      <c r="A676" t="s">
        <v>15</v>
      </c>
      <c r="B676" s="1">
        <v>45961</v>
      </c>
      <c r="C676">
        <v>345005</v>
      </c>
      <c r="D676">
        <v>114099.432</v>
      </c>
      <c r="E676" t="s">
        <v>4</v>
      </c>
      <c r="F676" t="s">
        <v>47</v>
      </c>
      <c r="G676" t="s">
        <v>5</v>
      </c>
    </row>
    <row r="677" spans="1:7" x14ac:dyDescent="0.3">
      <c r="A677" t="s">
        <v>15</v>
      </c>
      <c r="B677" s="1">
        <v>45961</v>
      </c>
      <c r="C677">
        <v>345006</v>
      </c>
      <c r="D677">
        <v>1790.037</v>
      </c>
      <c r="E677" t="s">
        <v>4</v>
      </c>
      <c r="F677" t="s">
        <v>47</v>
      </c>
      <c r="G677" t="s">
        <v>5</v>
      </c>
    </row>
    <row r="678" spans="1:7" x14ac:dyDescent="0.3">
      <c r="A678" t="s">
        <v>15</v>
      </c>
      <c r="B678" s="1">
        <v>45961</v>
      </c>
      <c r="C678">
        <v>345011</v>
      </c>
      <c r="D678">
        <v>2480</v>
      </c>
      <c r="E678" t="s">
        <v>4</v>
      </c>
      <c r="F678" t="s">
        <v>47</v>
      </c>
      <c r="G678" t="s">
        <v>5</v>
      </c>
    </row>
    <row r="679" spans="1:7" x14ac:dyDescent="0.3">
      <c r="A679" t="s">
        <v>15</v>
      </c>
      <c r="B679" s="1">
        <v>45961</v>
      </c>
      <c r="C679">
        <v>348007</v>
      </c>
      <c r="D679">
        <v>2747.308</v>
      </c>
      <c r="E679" t="s">
        <v>4</v>
      </c>
      <c r="F679" t="s">
        <v>47</v>
      </c>
      <c r="G679" t="s">
        <v>5</v>
      </c>
    </row>
    <row r="680" spans="1:7" x14ac:dyDescent="0.3">
      <c r="A680" t="s">
        <v>15</v>
      </c>
      <c r="B680" s="1">
        <v>45961</v>
      </c>
      <c r="C680">
        <v>348008</v>
      </c>
      <c r="D680">
        <v>1051.903</v>
      </c>
      <c r="E680" t="s">
        <v>4</v>
      </c>
      <c r="F680" t="s">
        <v>47</v>
      </c>
      <c r="G680" t="s">
        <v>5</v>
      </c>
    </row>
    <row r="681" spans="1:7" x14ac:dyDescent="0.3">
      <c r="A681" t="s">
        <v>15</v>
      </c>
      <c r="B681" s="1">
        <v>45961</v>
      </c>
      <c r="C681">
        <v>348009</v>
      </c>
      <c r="D681">
        <v>960.47900000000004</v>
      </c>
      <c r="E681" t="s">
        <v>4</v>
      </c>
      <c r="F681" t="s">
        <v>47</v>
      </c>
      <c r="G681" t="s">
        <v>5</v>
      </c>
    </row>
    <row r="682" spans="1:7" x14ac:dyDescent="0.3">
      <c r="A682" t="s">
        <v>15</v>
      </c>
      <c r="B682" s="1">
        <v>45961</v>
      </c>
      <c r="C682">
        <v>348010</v>
      </c>
      <c r="D682">
        <v>1830.6990000000001</v>
      </c>
      <c r="E682" t="s">
        <v>4</v>
      </c>
      <c r="F682" t="s">
        <v>47</v>
      </c>
      <c r="G682" t="s">
        <v>5</v>
      </c>
    </row>
    <row r="683" spans="1:7" x14ac:dyDescent="0.3">
      <c r="A683" t="s">
        <v>15</v>
      </c>
      <c r="B683" s="1">
        <v>45961</v>
      </c>
      <c r="C683">
        <v>348011</v>
      </c>
      <c r="D683">
        <v>1141.8989999999999</v>
      </c>
      <c r="E683" t="s">
        <v>4</v>
      </c>
      <c r="F683" t="s">
        <v>47</v>
      </c>
      <c r="G683" t="s">
        <v>5</v>
      </c>
    </row>
    <row r="684" spans="1:7" x14ac:dyDescent="0.3">
      <c r="A684" t="s">
        <v>15</v>
      </c>
      <c r="B684" s="1">
        <v>45961</v>
      </c>
      <c r="C684">
        <v>348014</v>
      </c>
      <c r="D684">
        <v>1015.917</v>
      </c>
      <c r="E684" t="s">
        <v>4</v>
      </c>
      <c r="F684" t="s">
        <v>47</v>
      </c>
      <c r="G684" t="s">
        <v>5</v>
      </c>
    </row>
    <row r="685" spans="1:7" x14ac:dyDescent="0.3">
      <c r="A685" t="s">
        <v>15</v>
      </c>
      <c r="B685" s="1">
        <v>45961</v>
      </c>
      <c r="C685">
        <v>348015</v>
      </c>
      <c r="D685">
        <v>596.66300000000001</v>
      </c>
      <c r="E685" t="s">
        <v>4</v>
      </c>
      <c r="F685" t="s">
        <v>47</v>
      </c>
      <c r="G685" t="s">
        <v>5</v>
      </c>
    </row>
    <row r="686" spans="1:7" x14ac:dyDescent="0.3">
      <c r="A686" t="s">
        <v>15</v>
      </c>
      <c r="B686" s="1">
        <v>45961</v>
      </c>
      <c r="C686">
        <v>348016</v>
      </c>
      <c r="D686">
        <v>570.14599999999996</v>
      </c>
      <c r="E686" t="s">
        <v>4</v>
      </c>
      <c r="F686" t="s">
        <v>47</v>
      </c>
      <c r="G686" t="s">
        <v>5</v>
      </c>
    </row>
    <row r="687" spans="1:7" x14ac:dyDescent="0.3">
      <c r="A687" t="s">
        <v>15</v>
      </c>
      <c r="B687" s="1">
        <v>45961</v>
      </c>
      <c r="C687">
        <v>348017</v>
      </c>
      <c r="D687">
        <v>569.62</v>
      </c>
      <c r="E687" t="s">
        <v>4</v>
      </c>
      <c r="F687" t="s">
        <v>47</v>
      </c>
      <c r="G687" t="s">
        <v>5</v>
      </c>
    </row>
    <row r="688" spans="1:7" x14ac:dyDescent="0.3">
      <c r="A688" t="s">
        <v>15</v>
      </c>
      <c r="B688" s="1">
        <v>45961</v>
      </c>
      <c r="C688">
        <v>348018</v>
      </c>
      <c r="D688">
        <v>1198.9839999999999</v>
      </c>
      <c r="E688" t="s">
        <v>4</v>
      </c>
      <c r="F688" t="s">
        <v>47</v>
      </c>
      <c r="G688" t="s">
        <v>5</v>
      </c>
    </row>
    <row r="689" spans="1:7" x14ac:dyDescent="0.3">
      <c r="A689" t="s">
        <v>15</v>
      </c>
      <c r="B689" s="1">
        <v>45961</v>
      </c>
      <c r="C689">
        <v>348019</v>
      </c>
      <c r="D689">
        <v>858.93</v>
      </c>
      <c r="E689" t="s">
        <v>4</v>
      </c>
      <c r="F689" t="s">
        <v>47</v>
      </c>
      <c r="G689" t="s">
        <v>5</v>
      </c>
    </row>
    <row r="690" spans="1:7" x14ac:dyDescent="0.3">
      <c r="A690" t="s">
        <v>15</v>
      </c>
      <c r="B690" s="1">
        <v>45961</v>
      </c>
      <c r="C690">
        <v>348020</v>
      </c>
      <c r="D690">
        <v>23250</v>
      </c>
      <c r="E690" t="s">
        <v>4</v>
      </c>
      <c r="F690" t="s">
        <v>47</v>
      </c>
      <c r="G690" t="s">
        <v>5</v>
      </c>
    </row>
    <row r="691" spans="1:7" x14ac:dyDescent="0.3">
      <c r="A691" t="s">
        <v>15</v>
      </c>
      <c r="B691" s="1">
        <v>45961</v>
      </c>
      <c r="C691">
        <v>348021</v>
      </c>
      <c r="D691">
        <v>889.64099999999996</v>
      </c>
      <c r="E691" t="s">
        <v>4</v>
      </c>
      <c r="F691" t="s">
        <v>47</v>
      </c>
      <c r="G691" t="s">
        <v>5</v>
      </c>
    </row>
    <row r="692" spans="1:7" x14ac:dyDescent="0.3">
      <c r="A692" t="s">
        <v>15</v>
      </c>
      <c r="B692" s="1">
        <v>45961</v>
      </c>
      <c r="C692">
        <v>348022</v>
      </c>
      <c r="D692">
        <v>634703.55299999996</v>
      </c>
      <c r="E692" t="s">
        <v>4</v>
      </c>
      <c r="F692" t="s">
        <v>47</v>
      </c>
      <c r="G692" t="s">
        <v>5</v>
      </c>
    </row>
    <row r="693" spans="1:7" x14ac:dyDescent="0.3">
      <c r="A693" t="s">
        <v>15</v>
      </c>
      <c r="B693" s="1">
        <v>45961</v>
      </c>
      <c r="C693">
        <v>350002</v>
      </c>
      <c r="D693">
        <v>4499.7979999999998</v>
      </c>
      <c r="E693" t="s">
        <v>4</v>
      </c>
      <c r="F693" t="s">
        <v>49</v>
      </c>
      <c r="G693" t="s">
        <v>5</v>
      </c>
    </row>
    <row r="694" spans="1:7" x14ac:dyDescent="0.3">
      <c r="A694" t="s">
        <v>15</v>
      </c>
      <c r="B694" s="1">
        <v>45961</v>
      </c>
      <c r="C694">
        <v>350003</v>
      </c>
      <c r="D694">
        <v>50035.120999999999</v>
      </c>
      <c r="E694" t="s">
        <v>4</v>
      </c>
      <c r="F694" t="s">
        <v>49</v>
      </c>
      <c r="G694" t="s">
        <v>5</v>
      </c>
    </row>
    <row r="695" spans="1:7" x14ac:dyDescent="0.3">
      <c r="A695" t="s">
        <v>15</v>
      </c>
      <c r="B695" s="1">
        <v>45961</v>
      </c>
      <c r="C695">
        <v>350006</v>
      </c>
      <c r="D695">
        <v>378898.08</v>
      </c>
      <c r="E695" t="s">
        <v>4</v>
      </c>
      <c r="F695" t="s">
        <v>43</v>
      </c>
      <c r="G695" t="s">
        <v>5</v>
      </c>
    </row>
    <row r="696" spans="1:7" x14ac:dyDescent="0.3">
      <c r="A696" t="s">
        <v>15</v>
      </c>
      <c r="B696" s="1">
        <v>45961</v>
      </c>
      <c r="C696">
        <v>350007</v>
      </c>
      <c r="D696">
        <v>16.917000000000002</v>
      </c>
      <c r="E696" t="s">
        <v>4</v>
      </c>
      <c r="F696" t="s">
        <v>49</v>
      </c>
      <c r="G696" t="s">
        <v>5</v>
      </c>
    </row>
    <row r="697" spans="1:7" x14ac:dyDescent="0.3">
      <c r="A697" t="s">
        <v>15</v>
      </c>
      <c r="B697" s="1">
        <v>45961</v>
      </c>
      <c r="C697">
        <v>350012</v>
      </c>
      <c r="D697">
        <v>-198866.75599999999</v>
      </c>
      <c r="E697" t="s">
        <v>4</v>
      </c>
      <c r="F697" t="s">
        <v>49</v>
      </c>
      <c r="G697" t="s">
        <v>5</v>
      </c>
    </row>
    <row r="698" spans="1:7" x14ac:dyDescent="0.3">
      <c r="A698" t="s">
        <v>15</v>
      </c>
      <c r="B698" s="1">
        <v>45961</v>
      </c>
      <c r="C698">
        <v>350031</v>
      </c>
      <c r="D698">
        <v>-62408.510999999999</v>
      </c>
      <c r="E698" t="s">
        <v>4</v>
      </c>
      <c r="F698" t="s">
        <v>43</v>
      </c>
      <c r="G698" t="s">
        <v>5</v>
      </c>
    </row>
    <row r="699" spans="1:7" x14ac:dyDescent="0.3">
      <c r="A699" t="s">
        <v>15</v>
      </c>
      <c r="B699" s="1">
        <v>45961</v>
      </c>
      <c r="C699">
        <v>350034</v>
      </c>
      <c r="D699">
        <v>9094.16</v>
      </c>
      <c r="E699" t="s">
        <v>4</v>
      </c>
      <c r="F699" t="s">
        <v>49</v>
      </c>
      <c r="G699" t="s">
        <v>5</v>
      </c>
    </row>
    <row r="700" spans="1:7" x14ac:dyDescent="0.3">
      <c r="A700" t="s">
        <v>15</v>
      </c>
      <c r="B700" s="1">
        <v>45961</v>
      </c>
      <c r="C700">
        <v>350035</v>
      </c>
      <c r="D700">
        <v>198928.764</v>
      </c>
      <c r="E700" t="s">
        <v>4</v>
      </c>
      <c r="F700" t="s">
        <v>49</v>
      </c>
      <c r="G700" t="s">
        <v>5</v>
      </c>
    </row>
    <row r="701" spans="1:7" x14ac:dyDescent="0.3">
      <c r="A701" t="s">
        <v>15</v>
      </c>
      <c r="B701" s="1">
        <v>45961</v>
      </c>
      <c r="C701">
        <v>352002</v>
      </c>
      <c r="D701">
        <v>281556.217</v>
      </c>
      <c r="E701" t="s">
        <v>4</v>
      </c>
      <c r="F701" t="s">
        <v>48</v>
      </c>
      <c r="G701" t="s">
        <v>5</v>
      </c>
    </row>
    <row r="702" spans="1:7" x14ac:dyDescent="0.3">
      <c r="A702" t="s">
        <v>15</v>
      </c>
      <c r="B702" s="1">
        <v>45961</v>
      </c>
      <c r="C702">
        <v>352003</v>
      </c>
      <c r="D702">
        <v>14161.718999999999</v>
      </c>
      <c r="E702" t="s">
        <v>4</v>
      </c>
      <c r="F702" t="s">
        <v>48</v>
      </c>
      <c r="G702" t="s">
        <v>5</v>
      </c>
    </row>
    <row r="703" spans="1:7" x14ac:dyDescent="0.3">
      <c r="A703" t="s">
        <v>15</v>
      </c>
      <c r="B703" s="1">
        <v>45961</v>
      </c>
      <c r="C703">
        <v>352005</v>
      </c>
      <c r="D703">
        <v>-14228.74</v>
      </c>
      <c r="E703" t="s">
        <v>4</v>
      </c>
      <c r="F703" t="s">
        <v>48</v>
      </c>
      <c r="G703" t="s">
        <v>5</v>
      </c>
    </row>
    <row r="704" spans="1:7" x14ac:dyDescent="0.3">
      <c r="A704" t="s">
        <v>15</v>
      </c>
      <c r="B704" s="1">
        <v>45961</v>
      </c>
      <c r="C704">
        <v>352006</v>
      </c>
      <c r="D704">
        <v>-46252.192999999999</v>
      </c>
      <c r="E704" t="s">
        <v>4</v>
      </c>
      <c r="F704" t="s">
        <v>48</v>
      </c>
      <c r="G704" t="s">
        <v>5</v>
      </c>
    </row>
    <row r="705" spans="1:7" x14ac:dyDescent="0.3">
      <c r="A705" t="s">
        <v>15</v>
      </c>
      <c r="B705" s="1">
        <v>45961</v>
      </c>
      <c r="C705">
        <v>354008</v>
      </c>
      <c r="D705">
        <v>-537256.97400000005</v>
      </c>
      <c r="E705" t="s">
        <v>4</v>
      </c>
      <c r="F705" t="s">
        <v>46</v>
      </c>
      <c r="G705" t="s">
        <v>5</v>
      </c>
    </row>
    <row r="706" spans="1:7" x14ac:dyDescent="0.3">
      <c r="A706" t="s">
        <v>15</v>
      </c>
      <c r="B706" s="1">
        <v>45961</v>
      </c>
      <c r="C706">
        <v>354010</v>
      </c>
      <c r="D706">
        <v>56974.432999999997</v>
      </c>
      <c r="E706" t="s">
        <v>4</v>
      </c>
      <c r="F706" t="s">
        <v>43</v>
      </c>
      <c r="G706" t="s">
        <v>5</v>
      </c>
    </row>
    <row r="707" spans="1:7" x14ac:dyDescent="0.3">
      <c r="A707" t="s">
        <v>15</v>
      </c>
      <c r="B707" s="1">
        <v>45961</v>
      </c>
      <c r="C707">
        <v>354011</v>
      </c>
      <c r="D707">
        <v>-18529.080000000002</v>
      </c>
      <c r="E707" t="s">
        <v>4</v>
      </c>
      <c r="F707" t="s">
        <v>46</v>
      </c>
      <c r="G707" t="s">
        <v>5</v>
      </c>
    </row>
    <row r="708" spans="1:7" x14ac:dyDescent="0.3">
      <c r="A708" t="s">
        <v>15</v>
      </c>
      <c r="B708" s="1">
        <v>45961</v>
      </c>
      <c r="C708">
        <v>354012</v>
      </c>
      <c r="D708">
        <v>51646.582000000002</v>
      </c>
      <c r="E708" t="s">
        <v>4</v>
      </c>
      <c r="F708" t="s">
        <v>46</v>
      </c>
      <c r="G708" t="s">
        <v>5</v>
      </c>
    </row>
    <row r="709" spans="1:7" x14ac:dyDescent="0.3">
      <c r="A709" t="s">
        <v>15</v>
      </c>
      <c r="B709" s="1">
        <v>45961</v>
      </c>
      <c r="C709">
        <v>354014</v>
      </c>
      <c r="D709">
        <v>213017.967</v>
      </c>
      <c r="E709" t="s">
        <v>4</v>
      </c>
      <c r="F709" t="s">
        <v>46</v>
      </c>
      <c r="G709" t="s">
        <v>5</v>
      </c>
    </row>
    <row r="710" spans="1:7" x14ac:dyDescent="0.3">
      <c r="A710" t="s">
        <v>15</v>
      </c>
      <c r="B710" s="1">
        <v>45961</v>
      </c>
      <c r="C710">
        <v>354015</v>
      </c>
      <c r="D710">
        <v>6659.4260000000004</v>
      </c>
      <c r="E710" t="s">
        <v>4</v>
      </c>
      <c r="F710" t="s">
        <v>46</v>
      </c>
      <c r="G710" t="s">
        <v>5</v>
      </c>
    </row>
    <row r="711" spans="1:7" x14ac:dyDescent="0.3">
      <c r="A711" t="s">
        <v>15</v>
      </c>
      <c r="B711" s="1">
        <v>45961</v>
      </c>
      <c r="C711">
        <v>355002</v>
      </c>
      <c r="D711">
        <v>449574.348</v>
      </c>
      <c r="E711" t="s">
        <v>4</v>
      </c>
      <c r="F711" t="s">
        <v>49</v>
      </c>
      <c r="G711" t="s">
        <v>5</v>
      </c>
    </row>
    <row r="712" spans="1:7" x14ac:dyDescent="0.3">
      <c r="A712" t="s">
        <v>15</v>
      </c>
      <c r="B712" s="1">
        <v>45961</v>
      </c>
      <c r="C712">
        <v>355009</v>
      </c>
      <c r="D712">
        <v>-9716.8379999999997</v>
      </c>
      <c r="E712" t="s">
        <v>4</v>
      </c>
      <c r="F712" t="s">
        <v>49</v>
      </c>
      <c r="G712" t="s">
        <v>5</v>
      </c>
    </row>
    <row r="713" spans="1:7" x14ac:dyDescent="0.3">
      <c r="A713" t="s">
        <v>15</v>
      </c>
      <c r="B713" s="1">
        <v>45961</v>
      </c>
      <c r="C713">
        <v>355014</v>
      </c>
      <c r="D713">
        <v>20448.471000000001</v>
      </c>
      <c r="E713" t="s">
        <v>4</v>
      </c>
      <c r="F713" t="s">
        <v>49</v>
      </c>
      <c r="G713" t="s">
        <v>5</v>
      </c>
    </row>
    <row r="714" spans="1:7" x14ac:dyDescent="0.3">
      <c r="A714" t="s">
        <v>15</v>
      </c>
      <c r="B714" s="1">
        <v>45961</v>
      </c>
      <c r="C714">
        <v>355015</v>
      </c>
      <c r="D714">
        <v>178975.61499999999</v>
      </c>
      <c r="E714" t="s">
        <v>4</v>
      </c>
      <c r="F714" t="s">
        <v>49</v>
      </c>
      <c r="G714" t="s">
        <v>5</v>
      </c>
    </row>
    <row r="715" spans="1:7" x14ac:dyDescent="0.3">
      <c r="A715" t="s">
        <v>15</v>
      </c>
      <c r="B715" s="1">
        <v>45961</v>
      </c>
      <c r="C715">
        <v>355017</v>
      </c>
      <c r="D715">
        <v>48072.110999999997</v>
      </c>
      <c r="E715" t="s">
        <v>4</v>
      </c>
      <c r="F715" t="s">
        <v>49</v>
      </c>
      <c r="G715" t="s">
        <v>5</v>
      </c>
    </row>
    <row r="716" spans="1:7" x14ac:dyDescent="0.3">
      <c r="A716" t="s">
        <v>15</v>
      </c>
      <c r="B716" s="1">
        <v>45961</v>
      </c>
      <c r="C716">
        <v>355018</v>
      </c>
      <c r="D716">
        <v>80678.672999999995</v>
      </c>
      <c r="E716" t="s">
        <v>4</v>
      </c>
      <c r="F716" t="s">
        <v>49</v>
      </c>
      <c r="G716" t="s">
        <v>5</v>
      </c>
    </row>
    <row r="717" spans="1:7" x14ac:dyDescent="0.3">
      <c r="A717" t="s">
        <v>15</v>
      </c>
      <c r="B717" s="1">
        <v>45961</v>
      </c>
      <c r="C717">
        <v>356002</v>
      </c>
      <c r="D717">
        <v>7245.3959999999997</v>
      </c>
      <c r="E717" t="s">
        <v>4</v>
      </c>
      <c r="F717" t="s">
        <v>48</v>
      </c>
      <c r="G717" t="s">
        <v>5</v>
      </c>
    </row>
    <row r="718" spans="1:7" x14ac:dyDescent="0.3">
      <c r="A718" t="s">
        <v>15</v>
      </c>
      <c r="B718" s="1">
        <v>45961</v>
      </c>
      <c r="C718">
        <v>356003</v>
      </c>
      <c r="D718">
        <v>-476645.94400000002</v>
      </c>
      <c r="E718" t="s">
        <v>4</v>
      </c>
      <c r="F718" t="s">
        <v>48</v>
      </c>
      <c r="G718" t="s">
        <v>5</v>
      </c>
    </row>
    <row r="719" spans="1:7" x14ac:dyDescent="0.3">
      <c r="A719" t="s">
        <v>15</v>
      </c>
      <c r="B719" s="1">
        <v>45961</v>
      </c>
      <c r="C719">
        <v>356004</v>
      </c>
      <c r="D719">
        <v>21042.007000000001</v>
      </c>
      <c r="E719" t="s">
        <v>4</v>
      </c>
      <c r="F719" t="s">
        <v>48</v>
      </c>
      <c r="G719" t="s">
        <v>5</v>
      </c>
    </row>
    <row r="720" spans="1:7" x14ac:dyDescent="0.3">
      <c r="A720" t="s">
        <v>15</v>
      </c>
      <c r="B720" s="1">
        <v>45961</v>
      </c>
      <c r="C720">
        <v>356005</v>
      </c>
      <c r="D720">
        <v>2227.1080000000002</v>
      </c>
      <c r="E720" t="s">
        <v>4</v>
      </c>
      <c r="F720" t="s">
        <v>48</v>
      </c>
      <c r="G720" t="s">
        <v>5</v>
      </c>
    </row>
    <row r="721" spans="1:7" x14ac:dyDescent="0.3">
      <c r="A721" t="s">
        <v>15</v>
      </c>
      <c r="B721" s="1">
        <v>45961</v>
      </c>
      <c r="C721">
        <v>360003</v>
      </c>
      <c r="D721">
        <v>4351.6270000000004</v>
      </c>
      <c r="E721" t="s">
        <v>4</v>
      </c>
      <c r="F721" t="s">
        <v>58</v>
      </c>
      <c r="G721" t="s">
        <v>5</v>
      </c>
    </row>
    <row r="722" spans="1:7" x14ac:dyDescent="0.3">
      <c r="A722" t="s">
        <v>15</v>
      </c>
      <c r="B722" s="1">
        <v>45961</v>
      </c>
      <c r="C722">
        <v>360005</v>
      </c>
      <c r="D722">
        <v>46653.572999999997</v>
      </c>
      <c r="E722" t="s">
        <v>4</v>
      </c>
      <c r="F722" t="s">
        <v>58</v>
      </c>
      <c r="G722" t="s">
        <v>5</v>
      </c>
    </row>
    <row r="723" spans="1:7" x14ac:dyDescent="0.3">
      <c r="A723" t="s">
        <v>15</v>
      </c>
      <c r="B723" s="1">
        <v>45961</v>
      </c>
      <c r="C723">
        <v>360009</v>
      </c>
      <c r="D723">
        <v>40429.805999999997</v>
      </c>
      <c r="E723" t="s">
        <v>4</v>
      </c>
      <c r="F723" t="s">
        <v>58</v>
      </c>
      <c r="G723" t="s">
        <v>5</v>
      </c>
    </row>
    <row r="724" spans="1:7" x14ac:dyDescent="0.3">
      <c r="A724" t="s">
        <v>15</v>
      </c>
      <c r="B724" s="1">
        <v>45961</v>
      </c>
      <c r="C724">
        <v>360013</v>
      </c>
      <c r="D724">
        <v>59455.959000000003</v>
      </c>
      <c r="E724" t="s">
        <v>4</v>
      </c>
      <c r="F724" t="s">
        <v>58</v>
      </c>
      <c r="G724" t="s">
        <v>5</v>
      </c>
    </row>
    <row r="725" spans="1:7" x14ac:dyDescent="0.3">
      <c r="A725" t="s">
        <v>15</v>
      </c>
      <c r="B725" s="1">
        <v>45961</v>
      </c>
      <c r="C725">
        <v>360016</v>
      </c>
      <c r="D725">
        <v>10108.454</v>
      </c>
      <c r="E725" t="s">
        <v>4</v>
      </c>
      <c r="F725" t="s">
        <v>58</v>
      </c>
      <c r="G725" t="s">
        <v>5</v>
      </c>
    </row>
    <row r="726" spans="1:7" x14ac:dyDescent="0.3">
      <c r="A726" t="s">
        <v>15</v>
      </c>
      <c r="B726" s="1">
        <v>45961</v>
      </c>
      <c r="C726">
        <v>360017</v>
      </c>
      <c r="D726">
        <v>71672.911999999997</v>
      </c>
      <c r="E726" t="s">
        <v>4</v>
      </c>
      <c r="F726" t="s">
        <v>58</v>
      </c>
      <c r="G726" t="s">
        <v>5</v>
      </c>
    </row>
    <row r="727" spans="1:7" x14ac:dyDescent="0.3">
      <c r="A727" t="s">
        <v>15</v>
      </c>
      <c r="B727" s="1">
        <v>45961</v>
      </c>
      <c r="C727">
        <v>360019</v>
      </c>
      <c r="D727">
        <v>1147</v>
      </c>
      <c r="E727" t="s">
        <v>4</v>
      </c>
      <c r="F727" t="s">
        <v>58</v>
      </c>
      <c r="G727" t="s">
        <v>5</v>
      </c>
    </row>
    <row r="728" spans="1:7" x14ac:dyDescent="0.3">
      <c r="A728" t="s">
        <v>15</v>
      </c>
      <c r="B728" s="1">
        <v>45961</v>
      </c>
      <c r="C728">
        <v>360030</v>
      </c>
      <c r="D728">
        <v>1082055</v>
      </c>
      <c r="E728" t="s">
        <v>4</v>
      </c>
      <c r="F728" t="s">
        <v>58</v>
      </c>
      <c r="G728" t="s">
        <v>5</v>
      </c>
    </row>
    <row r="729" spans="1:7" x14ac:dyDescent="0.3">
      <c r="A729" t="s">
        <v>15</v>
      </c>
      <c r="B729" s="1">
        <v>45961</v>
      </c>
      <c r="C729">
        <v>360031</v>
      </c>
      <c r="D729">
        <v>673.58500000000004</v>
      </c>
      <c r="E729" t="s">
        <v>4</v>
      </c>
      <c r="F729" t="s">
        <v>58</v>
      </c>
      <c r="G729" t="s">
        <v>5</v>
      </c>
    </row>
    <row r="730" spans="1:7" x14ac:dyDescent="0.3">
      <c r="A730" t="s">
        <v>15</v>
      </c>
      <c r="B730" s="1">
        <v>45961</v>
      </c>
      <c r="C730">
        <v>360032</v>
      </c>
      <c r="D730">
        <v>573500</v>
      </c>
      <c r="E730" t="s">
        <v>4</v>
      </c>
      <c r="F730" t="s">
        <v>58</v>
      </c>
      <c r="G730" t="s">
        <v>5</v>
      </c>
    </row>
    <row r="731" spans="1:7" x14ac:dyDescent="0.3">
      <c r="A731" t="s">
        <v>15</v>
      </c>
      <c r="B731" s="1">
        <v>45961</v>
      </c>
      <c r="C731">
        <v>360033</v>
      </c>
      <c r="D731">
        <v>12789.679</v>
      </c>
      <c r="E731" t="s">
        <v>4</v>
      </c>
      <c r="F731" t="s">
        <v>58</v>
      </c>
      <c r="G731" t="s">
        <v>5</v>
      </c>
    </row>
    <row r="732" spans="1:7" x14ac:dyDescent="0.3">
      <c r="A732" t="s">
        <v>15</v>
      </c>
      <c r="B732" s="1">
        <v>45961</v>
      </c>
      <c r="C732">
        <v>362006</v>
      </c>
      <c r="D732">
        <v>-1E-3</v>
      </c>
      <c r="E732" t="s">
        <v>4</v>
      </c>
      <c r="F732" t="s">
        <v>58</v>
      </c>
      <c r="G732" t="s">
        <v>5</v>
      </c>
    </row>
    <row r="733" spans="1:7" x14ac:dyDescent="0.3">
      <c r="A733" t="s">
        <v>15</v>
      </c>
      <c r="B733" s="1">
        <v>45961</v>
      </c>
      <c r="C733">
        <v>362007</v>
      </c>
      <c r="D733">
        <v>18564.174999999999</v>
      </c>
      <c r="E733" t="s">
        <v>4</v>
      </c>
      <c r="F733" t="s">
        <v>58</v>
      </c>
      <c r="G733" t="s">
        <v>5</v>
      </c>
    </row>
    <row r="734" spans="1:7" x14ac:dyDescent="0.3">
      <c r="A734" t="s">
        <v>15</v>
      </c>
      <c r="B734" s="1">
        <v>45961</v>
      </c>
      <c r="C734">
        <v>362012</v>
      </c>
      <c r="D734">
        <v>-1E-3</v>
      </c>
      <c r="E734" t="s">
        <v>4</v>
      </c>
      <c r="F734" t="s">
        <v>58</v>
      </c>
      <c r="G734" t="s">
        <v>5</v>
      </c>
    </row>
    <row r="735" spans="1:7" x14ac:dyDescent="0.3">
      <c r="A735" t="s">
        <v>15</v>
      </c>
      <c r="B735" s="1">
        <v>45961</v>
      </c>
      <c r="C735">
        <v>362015</v>
      </c>
      <c r="D735">
        <v>491310.32400000002</v>
      </c>
      <c r="E735" t="s">
        <v>4</v>
      </c>
      <c r="F735" t="s">
        <v>58</v>
      </c>
      <c r="G735" t="s">
        <v>5</v>
      </c>
    </row>
    <row r="736" spans="1:7" x14ac:dyDescent="0.3">
      <c r="A736" t="s">
        <v>15</v>
      </c>
      <c r="B736" s="1">
        <v>45961</v>
      </c>
      <c r="C736">
        <v>362016</v>
      </c>
      <c r="D736">
        <v>391286.77799999999</v>
      </c>
      <c r="E736" t="s">
        <v>4</v>
      </c>
      <c r="F736" t="s">
        <v>58</v>
      </c>
      <c r="G736" t="s">
        <v>5</v>
      </c>
    </row>
    <row r="737" spans="1:7" x14ac:dyDescent="0.3">
      <c r="A737" t="s">
        <v>15</v>
      </c>
      <c r="B737" s="1">
        <v>45961</v>
      </c>
      <c r="C737">
        <v>362017</v>
      </c>
      <c r="D737">
        <v>351758.04399999999</v>
      </c>
      <c r="E737" t="s">
        <v>4</v>
      </c>
      <c r="F737" t="s">
        <v>58</v>
      </c>
      <c r="G737" t="s">
        <v>5</v>
      </c>
    </row>
    <row r="738" spans="1:7" x14ac:dyDescent="0.3">
      <c r="A738" t="s">
        <v>15</v>
      </c>
      <c r="B738" s="1">
        <v>45961</v>
      </c>
      <c r="C738">
        <v>362018</v>
      </c>
      <c r="D738">
        <v>314537.89600000001</v>
      </c>
      <c r="E738" t="s">
        <v>4</v>
      </c>
      <c r="F738" t="s">
        <v>58</v>
      </c>
      <c r="G738" t="s">
        <v>5</v>
      </c>
    </row>
    <row r="739" spans="1:7" x14ac:dyDescent="0.3">
      <c r="A739" t="s">
        <v>15</v>
      </c>
      <c r="B739" s="1">
        <v>45961</v>
      </c>
      <c r="C739">
        <v>362019</v>
      </c>
      <c r="D739">
        <v>85523.676999999996</v>
      </c>
      <c r="E739" t="s">
        <v>4</v>
      </c>
      <c r="F739" t="s">
        <v>58</v>
      </c>
      <c r="G739" t="s">
        <v>5</v>
      </c>
    </row>
    <row r="740" spans="1:7" x14ac:dyDescent="0.3">
      <c r="A740" t="s">
        <v>15</v>
      </c>
      <c r="B740" s="1">
        <v>45961</v>
      </c>
      <c r="C740">
        <v>364502</v>
      </c>
      <c r="D740">
        <v>639521.20700000005</v>
      </c>
      <c r="E740" t="s">
        <v>4</v>
      </c>
      <c r="F740" t="s">
        <v>58</v>
      </c>
      <c r="G740" t="s">
        <v>5</v>
      </c>
    </row>
    <row r="741" spans="1:7" x14ac:dyDescent="0.3">
      <c r="A741" t="s">
        <v>15</v>
      </c>
      <c r="B741" s="1">
        <v>45961</v>
      </c>
      <c r="C741">
        <v>365002</v>
      </c>
      <c r="D741">
        <v>41.548999999999999</v>
      </c>
      <c r="E741" t="s">
        <v>4</v>
      </c>
      <c r="F741" t="s">
        <v>45</v>
      </c>
      <c r="G741" t="s">
        <v>5</v>
      </c>
    </row>
    <row r="742" spans="1:7" x14ac:dyDescent="0.3">
      <c r="A742" t="s">
        <v>15</v>
      </c>
      <c r="B742" s="1">
        <v>45961</v>
      </c>
      <c r="C742">
        <v>365003</v>
      </c>
      <c r="D742">
        <v>47496.978999999999</v>
      </c>
      <c r="E742" t="s">
        <v>4</v>
      </c>
      <c r="F742" t="s">
        <v>45</v>
      </c>
      <c r="G742" t="s">
        <v>5</v>
      </c>
    </row>
    <row r="743" spans="1:7" x14ac:dyDescent="0.3">
      <c r="A743" t="s">
        <v>15</v>
      </c>
      <c r="B743" s="1">
        <v>45961</v>
      </c>
      <c r="C743">
        <v>365004</v>
      </c>
      <c r="D743">
        <v>199042.69200000001</v>
      </c>
      <c r="E743" t="s">
        <v>4</v>
      </c>
      <c r="F743" t="s">
        <v>45</v>
      </c>
      <c r="G743" t="s">
        <v>5</v>
      </c>
    </row>
    <row r="744" spans="1:7" x14ac:dyDescent="0.3">
      <c r="A744" t="s">
        <v>15</v>
      </c>
      <c r="B744" s="1">
        <v>45961</v>
      </c>
      <c r="C744">
        <v>365005</v>
      </c>
      <c r="D744">
        <v>41.548999999999999</v>
      </c>
      <c r="E744" t="s">
        <v>4</v>
      </c>
      <c r="F744" t="s">
        <v>45</v>
      </c>
      <c r="G744" t="s">
        <v>5</v>
      </c>
    </row>
    <row r="745" spans="1:7" x14ac:dyDescent="0.3">
      <c r="A745" t="s">
        <v>15</v>
      </c>
      <c r="B745" s="1">
        <v>45961</v>
      </c>
      <c r="C745">
        <v>365006</v>
      </c>
      <c r="D745">
        <v>47341.489000000001</v>
      </c>
      <c r="E745" t="s">
        <v>4</v>
      </c>
      <c r="F745" t="s">
        <v>45</v>
      </c>
      <c r="G745" t="s">
        <v>5</v>
      </c>
    </row>
    <row r="746" spans="1:7" x14ac:dyDescent="0.3">
      <c r="A746" t="s">
        <v>15</v>
      </c>
      <c r="B746" s="1">
        <v>45961</v>
      </c>
      <c r="C746">
        <v>365007</v>
      </c>
      <c r="D746">
        <v>169892.092</v>
      </c>
      <c r="E746" t="s">
        <v>4</v>
      </c>
      <c r="F746" t="s">
        <v>45</v>
      </c>
      <c r="G746" t="s">
        <v>5</v>
      </c>
    </row>
    <row r="747" spans="1:7" x14ac:dyDescent="0.3">
      <c r="A747" t="s">
        <v>15</v>
      </c>
      <c r="B747" s="1">
        <v>45961</v>
      </c>
      <c r="C747">
        <v>365008</v>
      </c>
      <c r="D747">
        <v>1009.899</v>
      </c>
      <c r="E747" t="s">
        <v>4</v>
      </c>
      <c r="F747" t="s">
        <v>45</v>
      </c>
      <c r="G747" t="s">
        <v>5</v>
      </c>
    </row>
    <row r="748" spans="1:7" x14ac:dyDescent="0.3">
      <c r="A748" t="s">
        <v>15</v>
      </c>
      <c r="B748" s="1">
        <v>45961</v>
      </c>
      <c r="C748">
        <v>365009</v>
      </c>
      <c r="D748">
        <v>195580.91800000001</v>
      </c>
      <c r="E748" t="s">
        <v>4</v>
      </c>
      <c r="F748" t="s">
        <v>45</v>
      </c>
      <c r="G748" t="s">
        <v>5</v>
      </c>
    </row>
    <row r="749" spans="1:7" x14ac:dyDescent="0.3">
      <c r="A749" t="s">
        <v>15</v>
      </c>
      <c r="B749" s="1">
        <v>45961</v>
      </c>
      <c r="C749">
        <v>365010</v>
      </c>
      <c r="D749">
        <v>80442.395999999993</v>
      </c>
      <c r="E749" t="s">
        <v>4</v>
      </c>
      <c r="F749" t="s">
        <v>45</v>
      </c>
      <c r="G749" t="s">
        <v>5</v>
      </c>
    </row>
    <row r="750" spans="1:7" x14ac:dyDescent="0.3">
      <c r="A750" t="s">
        <v>15</v>
      </c>
      <c r="B750" s="1">
        <v>45961</v>
      </c>
      <c r="C750">
        <v>365020</v>
      </c>
      <c r="D750">
        <v>1871.473</v>
      </c>
      <c r="E750" t="s">
        <v>4</v>
      </c>
      <c r="F750" t="s">
        <v>45</v>
      </c>
      <c r="G750" t="s">
        <v>5</v>
      </c>
    </row>
    <row r="751" spans="1:7" x14ac:dyDescent="0.3">
      <c r="A751" t="s">
        <v>15</v>
      </c>
      <c r="B751" s="1">
        <v>45961</v>
      </c>
      <c r="C751">
        <v>365021</v>
      </c>
      <c r="D751">
        <v>396282.02500000002</v>
      </c>
      <c r="E751" t="s">
        <v>4</v>
      </c>
      <c r="F751" t="s">
        <v>45</v>
      </c>
      <c r="G751" t="s">
        <v>5</v>
      </c>
    </row>
    <row r="752" spans="1:7" x14ac:dyDescent="0.3">
      <c r="A752" t="s">
        <v>15</v>
      </c>
      <c r="B752" s="1">
        <v>45961</v>
      </c>
      <c r="C752">
        <v>370002</v>
      </c>
      <c r="D752">
        <v>54408.339</v>
      </c>
      <c r="E752" t="s">
        <v>4</v>
      </c>
      <c r="F752" t="s">
        <v>45</v>
      </c>
      <c r="G752" t="s">
        <v>5</v>
      </c>
    </row>
    <row r="753" spans="1:7" x14ac:dyDescent="0.3">
      <c r="A753" t="s">
        <v>15</v>
      </c>
      <c r="B753" s="1">
        <v>45961</v>
      </c>
      <c r="C753">
        <v>372008</v>
      </c>
      <c r="D753">
        <v>1162.0940000000001</v>
      </c>
      <c r="E753" t="s">
        <v>4</v>
      </c>
      <c r="F753" t="s">
        <v>45</v>
      </c>
      <c r="G753" t="s">
        <v>5</v>
      </c>
    </row>
    <row r="754" spans="1:7" x14ac:dyDescent="0.3">
      <c r="A754" t="s">
        <v>15</v>
      </c>
      <c r="B754" s="1">
        <v>45961</v>
      </c>
      <c r="C754">
        <v>400002</v>
      </c>
      <c r="D754">
        <v>-138621.973</v>
      </c>
      <c r="E754" t="s">
        <v>6</v>
      </c>
      <c r="F754" t="s">
        <v>50</v>
      </c>
      <c r="G754" t="s">
        <v>5</v>
      </c>
    </row>
    <row r="755" spans="1:7" x14ac:dyDescent="0.3">
      <c r="A755" t="s">
        <v>15</v>
      </c>
      <c r="B755" s="1">
        <v>45961</v>
      </c>
      <c r="C755">
        <v>410002</v>
      </c>
      <c r="D755">
        <v>-6299361.5329999998</v>
      </c>
      <c r="E755" t="s">
        <v>6</v>
      </c>
      <c r="F755" t="s">
        <v>51</v>
      </c>
      <c r="G755" t="s">
        <v>5</v>
      </c>
    </row>
    <row r="756" spans="1:7" x14ac:dyDescent="0.3">
      <c r="A756" t="s">
        <v>15</v>
      </c>
      <c r="B756" s="1">
        <v>45961</v>
      </c>
      <c r="C756">
        <v>410005</v>
      </c>
      <c r="D756">
        <v>-374606.43300000002</v>
      </c>
      <c r="E756" t="s">
        <v>6</v>
      </c>
      <c r="F756" t="s">
        <v>51</v>
      </c>
      <c r="G756" t="s">
        <v>5</v>
      </c>
    </row>
    <row r="757" spans="1:7" x14ac:dyDescent="0.3">
      <c r="A757" t="s">
        <v>15</v>
      </c>
      <c r="B757" s="1">
        <v>45961</v>
      </c>
      <c r="C757">
        <v>410006</v>
      </c>
      <c r="D757">
        <v>-1077145.6710000001</v>
      </c>
      <c r="E757" t="s">
        <v>6</v>
      </c>
      <c r="F757" t="s">
        <v>51</v>
      </c>
      <c r="G757" t="s">
        <v>5</v>
      </c>
    </row>
    <row r="758" spans="1:7" x14ac:dyDescent="0.3">
      <c r="A758" t="s">
        <v>15</v>
      </c>
      <c r="B758" s="1">
        <v>45961</v>
      </c>
      <c r="C758">
        <v>410008</v>
      </c>
      <c r="D758">
        <v>-38375.743999999999</v>
      </c>
      <c r="E758" t="s">
        <v>6</v>
      </c>
      <c r="F758" t="s">
        <v>51</v>
      </c>
      <c r="G758" t="s">
        <v>5</v>
      </c>
    </row>
    <row r="759" spans="1:7" x14ac:dyDescent="0.3">
      <c r="A759" t="s">
        <v>15</v>
      </c>
      <c r="B759" s="1">
        <v>45961</v>
      </c>
      <c r="C759">
        <v>410009</v>
      </c>
      <c r="D759">
        <v>-541347.53399999999</v>
      </c>
      <c r="E759" t="s">
        <v>6</v>
      </c>
      <c r="F759" t="s">
        <v>51</v>
      </c>
      <c r="G759" t="s">
        <v>5</v>
      </c>
    </row>
    <row r="760" spans="1:7" x14ac:dyDescent="0.3">
      <c r="A760" t="s">
        <v>15</v>
      </c>
      <c r="B760" s="1">
        <v>45961</v>
      </c>
      <c r="C760">
        <v>410015</v>
      </c>
      <c r="D760">
        <v>-468463.21</v>
      </c>
      <c r="E760" t="s">
        <v>6</v>
      </c>
      <c r="F760" t="s">
        <v>51</v>
      </c>
      <c r="G760" t="s">
        <v>5</v>
      </c>
    </row>
    <row r="761" spans="1:7" x14ac:dyDescent="0.3">
      <c r="A761" t="s">
        <v>15</v>
      </c>
      <c r="B761" s="1">
        <v>45961</v>
      </c>
      <c r="C761">
        <v>410016</v>
      </c>
      <c r="D761">
        <v>-19629</v>
      </c>
      <c r="E761" t="s">
        <v>6</v>
      </c>
      <c r="F761" t="s">
        <v>51</v>
      </c>
      <c r="G761" t="s">
        <v>5</v>
      </c>
    </row>
    <row r="762" spans="1:7" x14ac:dyDescent="0.3">
      <c r="A762" t="s">
        <v>15</v>
      </c>
      <c r="B762" s="1">
        <v>45961</v>
      </c>
      <c r="C762">
        <v>410018</v>
      </c>
      <c r="D762">
        <v>-305519.91700000002</v>
      </c>
      <c r="E762" t="s">
        <v>6</v>
      </c>
      <c r="F762" t="s">
        <v>51</v>
      </c>
      <c r="G762" t="s">
        <v>5</v>
      </c>
    </row>
    <row r="763" spans="1:7" x14ac:dyDescent="0.3">
      <c r="A763" t="s">
        <v>15</v>
      </c>
      <c r="B763" s="1">
        <v>45961</v>
      </c>
      <c r="C763">
        <v>410019</v>
      </c>
      <c r="D763">
        <v>-83070.331000000006</v>
      </c>
      <c r="E763" t="s">
        <v>6</v>
      </c>
      <c r="F763" t="s">
        <v>51</v>
      </c>
      <c r="G763" t="s">
        <v>5</v>
      </c>
    </row>
    <row r="764" spans="1:7" x14ac:dyDescent="0.3">
      <c r="A764" t="s">
        <v>15</v>
      </c>
      <c r="B764" s="1">
        <v>45961</v>
      </c>
      <c r="C764">
        <v>410032</v>
      </c>
      <c r="D764">
        <v>-630454.64300000004</v>
      </c>
      <c r="E764" t="s">
        <v>6</v>
      </c>
      <c r="F764" t="s">
        <v>51</v>
      </c>
      <c r="G764" t="s">
        <v>5</v>
      </c>
    </row>
    <row r="765" spans="1:7" x14ac:dyDescent="0.3">
      <c r="A765" t="s">
        <v>15</v>
      </c>
      <c r="B765" s="1">
        <v>45961</v>
      </c>
      <c r="C765">
        <v>410035</v>
      </c>
      <c r="D765">
        <v>-49202.042999999998</v>
      </c>
      <c r="E765" t="s">
        <v>6</v>
      </c>
      <c r="F765" t="s">
        <v>51</v>
      </c>
      <c r="G765" t="s">
        <v>5</v>
      </c>
    </row>
    <row r="766" spans="1:7" x14ac:dyDescent="0.3">
      <c r="A766" t="s">
        <v>15</v>
      </c>
      <c r="B766" s="1">
        <v>45961</v>
      </c>
      <c r="C766">
        <v>410036</v>
      </c>
      <c r="D766">
        <v>-526293.36600000004</v>
      </c>
      <c r="E766" t="s">
        <v>6</v>
      </c>
      <c r="F766" t="s">
        <v>51</v>
      </c>
      <c r="G766" t="s">
        <v>5</v>
      </c>
    </row>
    <row r="767" spans="1:7" x14ac:dyDescent="0.3">
      <c r="A767" t="s">
        <v>15</v>
      </c>
      <c r="B767" s="1">
        <v>45961</v>
      </c>
      <c r="C767">
        <v>410037</v>
      </c>
      <c r="D767">
        <v>-6475133.9129999997</v>
      </c>
      <c r="E767" t="s">
        <v>6</v>
      </c>
      <c r="F767" t="s">
        <v>51</v>
      </c>
      <c r="G767" t="s">
        <v>5</v>
      </c>
    </row>
    <row r="768" spans="1:7" x14ac:dyDescent="0.3">
      <c r="A768" t="s">
        <v>15</v>
      </c>
      <c r="B768" s="1">
        <v>45961</v>
      </c>
      <c r="C768">
        <v>410039</v>
      </c>
      <c r="D768">
        <v>-559360.32799999998</v>
      </c>
      <c r="E768" t="s">
        <v>6</v>
      </c>
      <c r="F768" t="s">
        <v>51</v>
      </c>
      <c r="G768" t="s">
        <v>5</v>
      </c>
    </row>
    <row r="769" spans="1:7" x14ac:dyDescent="0.3">
      <c r="A769" t="s">
        <v>15</v>
      </c>
      <c r="B769" s="1">
        <v>45961</v>
      </c>
      <c r="C769">
        <v>410040</v>
      </c>
      <c r="D769">
        <v>-103133.173</v>
      </c>
      <c r="E769" t="s">
        <v>6</v>
      </c>
      <c r="F769" t="s">
        <v>51</v>
      </c>
      <c r="G769" t="s">
        <v>5</v>
      </c>
    </row>
    <row r="770" spans="1:7" x14ac:dyDescent="0.3">
      <c r="A770" t="s">
        <v>15</v>
      </c>
      <c r="B770" s="1">
        <v>45961</v>
      </c>
      <c r="C770">
        <v>410046</v>
      </c>
      <c r="D770">
        <v>-15231.049000000001</v>
      </c>
      <c r="E770" t="s">
        <v>6</v>
      </c>
      <c r="F770" t="s">
        <v>51</v>
      </c>
      <c r="G770" t="s">
        <v>5</v>
      </c>
    </row>
    <row r="771" spans="1:7" x14ac:dyDescent="0.3">
      <c r="A771" t="s">
        <v>15</v>
      </c>
      <c r="B771" s="1">
        <v>45961</v>
      </c>
      <c r="C771">
        <v>410049</v>
      </c>
      <c r="D771">
        <v>-4571.7190000000001</v>
      </c>
      <c r="E771" t="s">
        <v>6</v>
      </c>
      <c r="F771" t="s">
        <v>51</v>
      </c>
      <c r="G771" t="s">
        <v>5</v>
      </c>
    </row>
    <row r="772" spans="1:7" x14ac:dyDescent="0.3">
      <c r="A772" t="s">
        <v>15</v>
      </c>
      <c r="B772" s="1">
        <v>45961</v>
      </c>
      <c r="C772">
        <v>414002</v>
      </c>
      <c r="D772">
        <v>185.172</v>
      </c>
      <c r="E772" t="s">
        <v>6</v>
      </c>
      <c r="F772" t="s">
        <v>51</v>
      </c>
      <c r="G772" t="s">
        <v>5</v>
      </c>
    </row>
    <row r="773" spans="1:7" x14ac:dyDescent="0.3">
      <c r="A773" t="s">
        <v>15</v>
      </c>
      <c r="B773" s="1">
        <v>45961</v>
      </c>
      <c r="C773">
        <v>414008</v>
      </c>
      <c r="D773">
        <v>0</v>
      </c>
      <c r="E773" t="s">
        <v>6</v>
      </c>
      <c r="F773" t="s">
        <v>51</v>
      </c>
      <c r="G773" t="s">
        <v>5</v>
      </c>
    </row>
    <row r="774" spans="1:7" x14ac:dyDescent="0.3">
      <c r="A774" t="s">
        <v>15</v>
      </c>
      <c r="B774" s="1">
        <v>45961</v>
      </c>
      <c r="C774">
        <v>414020</v>
      </c>
      <c r="D774">
        <v>46.93</v>
      </c>
      <c r="E774" t="s">
        <v>6</v>
      </c>
      <c r="F774" t="s">
        <v>51</v>
      </c>
      <c r="G774" t="s">
        <v>5</v>
      </c>
    </row>
    <row r="775" spans="1:7" x14ac:dyDescent="0.3">
      <c r="A775" t="s">
        <v>15</v>
      </c>
      <c r="B775" s="1">
        <v>45961</v>
      </c>
      <c r="C775">
        <v>415002</v>
      </c>
      <c r="D775">
        <v>-1993017.5379999999</v>
      </c>
      <c r="E775" t="s">
        <v>6</v>
      </c>
      <c r="F775" t="s">
        <v>50</v>
      </c>
      <c r="G775" t="s">
        <v>5</v>
      </c>
    </row>
    <row r="776" spans="1:7" x14ac:dyDescent="0.3">
      <c r="A776" t="s">
        <v>15</v>
      </c>
      <c r="B776" s="1">
        <v>45961</v>
      </c>
      <c r="C776">
        <v>415003</v>
      </c>
      <c r="D776">
        <v>-111.938</v>
      </c>
      <c r="E776" t="s">
        <v>6</v>
      </c>
      <c r="F776" t="s">
        <v>50</v>
      </c>
      <c r="G776" t="s">
        <v>5</v>
      </c>
    </row>
    <row r="777" spans="1:7" x14ac:dyDescent="0.3">
      <c r="A777" t="s">
        <v>15</v>
      </c>
      <c r="B777" s="1">
        <v>45961</v>
      </c>
      <c r="C777">
        <v>415008</v>
      </c>
      <c r="D777">
        <v>-355.875</v>
      </c>
      <c r="E777" t="s">
        <v>6</v>
      </c>
      <c r="F777" t="s">
        <v>50</v>
      </c>
      <c r="G777" t="s">
        <v>5</v>
      </c>
    </row>
    <row r="778" spans="1:7" x14ac:dyDescent="0.3">
      <c r="A778" t="s">
        <v>15</v>
      </c>
      <c r="B778" s="1">
        <v>45961</v>
      </c>
      <c r="C778">
        <v>420003</v>
      </c>
      <c r="D778">
        <v>-6997.1509999999998</v>
      </c>
      <c r="E778" t="s">
        <v>6</v>
      </c>
      <c r="F778" t="s">
        <v>52</v>
      </c>
      <c r="G778" t="s">
        <v>5</v>
      </c>
    </row>
    <row r="779" spans="1:7" x14ac:dyDescent="0.3">
      <c r="A779" t="s">
        <v>15</v>
      </c>
      <c r="B779" s="1">
        <v>45961</v>
      </c>
      <c r="C779">
        <v>420004</v>
      </c>
      <c r="D779">
        <v>-115936.766</v>
      </c>
      <c r="E779" t="s">
        <v>6</v>
      </c>
      <c r="F779" t="s">
        <v>52</v>
      </c>
      <c r="G779" t="s">
        <v>5</v>
      </c>
    </row>
    <row r="780" spans="1:7" x14ac:dyDescent="0.3">
      <c r="A780" t="s">
        <v>15</v>
      </c>
      <c r="B780" s="1">
        <v>45961</v>
      </c>
      <c r="C780">
        <v>420006</v>
      </c>
      <c r="D780">
        <v>-29600.01</v>
      </c>
      <c r="E780" t="s">
        <v>6</v>
      </c>
      <c r="F780" t="s">
        <v>52</v>
      </c>
      <c r="G780" t="s">
        <v>5</v>
      </c>
    </row>
    <row r="781" spans="1:7" x14ac:dyDescent="0.3">
      <c r="A781" t="s">
        <v>15</v>
      </c>
      <c r="B781" s="1">
        <v>45961</v>
      </c>
      <c r="C781">
        <v>420007</v>
      </c>
      <c r="D781">
        <v>-2206.4870000000001</v>
      </c>
      <c r="E781" t="s">
        <v>6</v>
      </c>
      <c r="F781" t="s">
        <v>52</v>
      </c>
      <c r="G781" t="s">
        <v>5</v>
      </c>
    </row>
    <row r="782" spans="1:7" x14ac:dyDescent="0.3">
      <c r="A782" t="s">
        <v>15</v>
      </c>
      <c r="B782" s="1">
        <v>45961</v>
      </c>
      <c r="C782">
        <v>421002</v>
      </c>
      <c r="D782">
        <v>56292.264000000003</v>
      </c>
      <c r="E782" t="s">
        <v>6</v>
      </c>
      <c r="F782" t="s">
        <v>52</v>
      </c>
      <c r="G782" t="s">
        <v>5</v>
      </c>
    </row>
    <row r="783" spans="1:7" x14ac:dyDescent="0.3">
      <c r="A783" t="s">
        <v>15</v>
      </c>
      <c r="B783" s="1">
        <v>45961</v>
      </c>
      <c r="C783">
        <v>421003</v>
      </c>
      <c r="D783">
        <v>36831.237999999998</v>
      </c>
      <c r="E783" t="s">
        <v>6</v>
      </c>
      <c r="F783" t="s">
        <v>52</v>
      </c>
      <c r="G783" t="s">
        <v>5</v>
      </c>
    </row>
    <row r="784" spans="1:7" x14ac:dyDescent="0.3">
      <c r="A784" t="s">
        <v>15</v>
      </c>
      <c r="B784" s="1">
        <v>45961</v>
      </c>
      <c r="C784">
        <v>421004</v>
      </c>
      <c r="D784">
        <v>-413.27300000000002</v>
      </c>
      <c r="E784" t="s">
        <v>6</v>
      </c>
      <c r="F784" t="s">
        <v>52</v>
      </c>
      <c r="G784" t="s">
        <v>5</v>
      </c>
    </row>
    <row r="785" spans="1:7" x14ac:dyDescent="0.3">
      <c r="A785" t="s">
        <v>15</v>
      </c>
      <c r="B785" s="1">
        <v>45961</v>
      </c>
      <c r="C785">
        <v>421007</v>
      </c>
      <c r="D785">
        <v>-45904.9</v>
      </c>
      <c r="E785" t="s">
        <v>6</v>
      </c>
      <c r="F785" t="s">
        <v>52</v>
      </c>
      <c r="G785" t="s">
        <v>5</v>
      </c>
    </row>
    <row r="786" spans="1:7" x14ac:dyDescent="0.3">
      <c r="A786" t="s">
        <v>15</v>
      </c>
      <c r="B786" s="1">
        <v>45961</v>
      </c>
      <c r="C786">
        <v>421008</v>
      </c>
      <c r="D786">
        <v>-116931.602</v>
      </c>
      <c r="E786" t="s">
        <v>6</v>
      </c>
      <c r="F786" t="s">
        <v>52</v>
      </c>
      <c r="G786" t="s">
        <v>5</v>
      </c>
    </row>
    <row r="787" spans="1:7" x14ac:dyDescent="0.3">
      <c r="A787" t="s">
        <v>15</v>
      </c>
      <c r="B787" s="1">
        <v>45961</v>
      </c>
      <c r="C787">
        <v>423002</v>
      </c>
      <c r="D787">
        <v>-1702.8040000000001</v>
      </c>
      <c r="E787" t="s">
        <v>6</v>
      </c>
      <c r="F787" t="s">
        <v>52</v>
      </c>
      <c r="G787" t="s">
        <v>5</v>
      </c>
    </row>
    <row r="788" spans="1:7" x14ac:dyDescent="0.3">
      <c r="A788" t="s">
        <v>15</v>
      </c>
      <c r="B788" s="1">
        <v>45961</v>
      </c>
      <c r="C788">
        <v>423005</v>
      </c>
      <c r="D788">
        <v>0</v>
      </c>
      <c r="E788" t="s">
        <v>6</v>
      </c>
      <c r="F788" t="s">
        <v>52</v>
      </c>
      <c r="G788" t="s">
        <v>5</v>
      </c>
    </row>
    <row r="789" spans="1:7" x14ac:dyDescent="0.3">
      <c r="A789" t="s">
        <v>15</v>
      </c>
      <c r="B789" s="1">
        <v>45961</v>
      </c>
      <c r="C789">
        <v>423011</v>
      </c>
      <c r="D789">
        <v>-10053.587</v>
      </c>
      <c r="E789" t="s">
        <v>6</v>
      </c>
      <c r="F789" t="s">
        <v>52</v>
      </c>
      <c r="G789" t="s">
        <v>5</v>
      </c>
    </row>
    <row r="790" spans="1:7" x14ac:dyDescent="0.3">
      <c r="A790" t="s">
        <v>15</v>
      </c>
      <c r="B790" s="1">
        <v>45961</v>
      </c>
      <c r="C790">
        <v>423012</v>
      </c>
      <c r="D790">
        <v>-78357.486000000004</v>
      </c>
      <c r="E790" t="s">
        <v>6</v>
      </c>
      <c r="F790" t="s">
        <v>52</v>
      </c>
      <c r="G790" t="s">
        <v>5</v>
      </c>
    </row>
    <row r="791" spans="1:7" x14ac:dyDescent="0.3">
      <c r="A791" t="s">
        <v>15</v>
      </c>
      <c r="B791" s="1">
        <v>45961</v>
      </c>
      <c r="C791">
        <v>510002</v>
      </c>
      <c r="D791">
        <v>4428236.5389999999</v>
      </c>
      <c r="E791" t="s">
        <v>6</v>
      </c>
      <c r="F791" t="s">
        <v>53</v>
      </c>
      <c r="G791" t="s">
        <v>5</v>
      </c>
    </row>
    <row r="792" spans="1:7" x14ac:dyDescent="0.3">
      <c r="A792" t="s">
        <v>15</v>
      </c>
      <c r="B792" s="1">
        <v>45961</v>
      </c>
      <c r="C792">
        <v>510003</v>
      </c>
      <c r="D792">
        <v>550849.89</v>
      </c>
      <c r="E792" t="s">
        <v>6</v>
      </c>
      <c r="F792" t="s">
        <v>53</v>
      </c>
      <c r="G792" t="s">
        <v>5</v>
      </c>
    </row>
    <row r="793" spans="1:7" x14ac:dyDescent="0.3">
      <c r="A793" t="s">
        <v>15</v>
      </c>
      <c r="B793" s="1">
        <v>45961</v>
      </c>
      <c r="C793">
        <v>510004</v>
      </c>
      <c r="D793">
        <v>7272930.6770000001</v>
      </c>
      <c r="E793" t="s">
        <v>6</v>
      </c>
      <c r="F793" t="s">
        <v>53</v>
      </c>
      <c r="G793" t="s">
        <v>5</v>
      </c>
    </row>
    <row r="794" spans="1:7" x14ac:dyDescent="0.3">
      <c r="A794" t="s">
        <v>15</v>
      </c>
      <c r="B794" s="1">
        <v>45961</v>
      </c>
      <c r="C794">
        <v>510005</v>
      </c>
      <c r="D794">
        <v>215968.88399999999</v>
      </c>
      <c r="E794" t="s">
        <v>6</v>
      </c>
      <c r="F794" t="s">
        <v>53</v>
      </c>
      <c r="G794" t="s">
        <v>5</v>
      </c>
    </row>
    <row r="795" spans="1:7" x14ac:dyDescent="0.3">
      <c r="A795" t="s">
        <v>15</v>
      </c>
      <c r="B795" s="1">
        <v>45961</v>
      </c>
      <c r="C795">
        <v>510006</v>
      </c>
      <c r="D795">
        <v>142857.73000000001</v>
      </c>
      <c r="E795" t="s">
        <v>6</v>
      </c>
      <c r="F795" t="s">
        <v>53</v>
      </c>
      <c r="G795" t="s">
        <v>5</v>
      </c>
    </row>
    <row r="796" spans="1:7" x14ac:dyDescent="0.3">
      <c r="A796" t="s">
        <v>15</v>
      </c>
      <c r="B796" s="1">
        <v>45961</v>
      </c>
      <c r="C796">
        <v>510007</v>
      </c>
      <c r="D796">
        <v>776125.02599999995</v>
      </c>
      <c r="E796" t="s">
        <v>6</v>
      </c>
      <c r="F796" t="s">
        <v>53</v>
      </c>
      <c r="G796" t="s">
        <v>5</v>
      </c>
    </row>
    <row r="797" spans="1:7" x14ac:dyDescent="0.3">
      <c r="A797" t="s">
        <v>15</v>
      </c>
      <c r="B797" s="1">
        <v>45961</v>
      </c>
      <c r="C797">
        <v>510009</v>
      </c>
      <c r="D797">
        <v>42296.370999999999</v>
      </c>
      <c r="E797" t="s">
        <v>6</v>
      </c>
      <c r="F797" t="s">
        <v>53</v>
      </c>
      <c r="G797" t="s">
        <v>5</v>
      </c>
    </row>
    <row r="798" spans="1:7" x14ac:dyDescent="0.3">
      <c r="A798" t="s">
        <v>15</v>
      </c>
      <c r="B798" s="1">
        <v>45961</v>
      </c>
      <c r="C798">
        <v>510011</v>
      </c>
      <c r="D798">
        <v>236331.079</v>
      </c>
      <c r="E798" t="s">
        <v>6</v>
      </c>
      <c r="F798" t="s">
        <v>53</v>
      </c>
      <c r="G798" t="s">
        <v>5</v>
      </c>
    </row>
    <row r="799" spans="1:7" x14ac:dyDescent="0.3">
      <c r="A799" t="s">
        <v>15</v>
      </c>
      <c r="B799" s="1">
        <v>45961</v>
      </c>
      <c r="C799">
        <v>510012</v>
      </c>
      <c r="D799">
        <v>91168.627999999997</v>
      </c>
      <c r="E799" t="s">
        <v>6</v>
      </c>
      <c r="F799" t="s">
        <v>53</v>
      </c>
      <c r="G799" t="s">
        <v>5</v>
      </c>
    </row>
    <row r="800" spans="1:7" x14ac:dyDescent="0.3">
      <c r="A800" t="s">
        <v>15</v>
      </c>
      <c r="B800" s="1">
        <v>45961</v>
      </c>
      <c r="C800">
        <v>510013</v>
      </c>
      <c r="D800">
        <v>-943.17200000000003</v>
      </c>
      <c r="E800" t="s">
        <v>6</v>
      </c>
      <c r="F800" t="s">
        <v>53</v>
      </c>
      <c r="G800" t="s">
        <v>5</v>
      </c>
    </row>
    <row r="801" spans="1:7" x14ac:dyDescent="0.3">
      <c r="A801" t="s">
        <v>15</v>
      </c>
      <c r="B801" s="1">
        <v>45961</v>
      </c>
      <c r="C801">
        <v>510018</v>
      </c>
      <c r="D801">
        <v>190021.79699999999</v>
      </c>
      <c r="E801" t="s">
        <v>6</v>
      </c>
      <c r="F801" t="s">
        <v>53</v>
      </c>
      <c r="G801" t="s">
        <v>5</v>
      </c>
    </row>
    <row r="802" spans="1:7" x14ac:dyDescent="0.3">
      <c r="A802" t="s">
        <v>15</v>
      </c>
      <c r="B802" s="1">
        <v>45961</v>
      </c>
      <c r="C802">
        <v>510021</v>
      </c>
      <c r="D802">
        <v>29188.037</v>
      </c>
      <c r="E802" t="s">
        <v>6</v>
      </c>
      <c r="F802" t="s">
        <v>53</v>
      </c>
      <c r="G802" t="s">
        <v>5</v>
      </c>
    </row>
    <row r="803" spans="1:7" x14ac:dyDescent="0.3">
      <c r="A803" t="s">
        <v>15</v>
      </c>
      <c r="B803" s="1">
        <v>45961</v>
      </c>
      <c r="C803">
        <v>510026</v>
      </c>
      <c r="D803">
        <v>64954.167999999998</v>
      </c>
      <c r="E803" t="s">
        <v>6</v>
      </c>
      <c r="F803" t="s">
        <v>53</v>
      </c>
      <c r="G803" t="s">
        <v>5</v>
      </c>
    </row>
    <row r="804" spans="1:7" x14ac:dyDescent="0.3">
      <c r="A804" t="s">
        <v>15</v>
      </c>
      <c r="B804" s="1">
        <v>45961</v>
      </c>
      <c r="C804">
        <v>510046</v>
      </c>
      <c r="D804">
        <v>15.048999999999999</v>
      </c>
      <c r="E804" t="s">
        <v>6</v>
      </c>
      <c r="F804" t="s">
        <v>53</v>
      </c>
      <c r="G804" t="s">
        <v>5</v>
      </c>
    </row>
    <row r="805" spans="1:7" x14ac:dyDescent="0.3">
      <c r="A805" t="s">
        <v>15</v>
      </c>
      <c r="B805" s="1">
        <v>45961</v>
      </c>
      <c r="C805">
        <v>510048</v>
      </c>
      <c r="D805">
        <v>20376.39</v>
      </c>
      <c r="E805" t="s">
        <v>6</v>
      </c>
      <c r="F805" t="s">
        <v>61</v>
      </c>
      <c r="G805" t="s">
        <v>5</v>
      </c>
    </row>
    <row r="806" spans="1:7" x14ac:dyDescent="0.3">
      <c r="A806" t="s">
        <v>15</v>
      </c>
      <c r="B806" s="1">
        <v>45961</v>
      </c>
      <c r="C806">
        <v>510049</v>
      </c>
      <c r="D806">
        <v>647.89200000000005</v>
      </c>
      <c r="E806" t="s">
        <v>6</v>
      </c>
      <c r="F806" t="s">
        <v>60</v>
      </c>
      <c r="G806" t="s">
        <v>5</v>
      </c>
    </row>
    <row r="807" spans="1:7" x14ac:dyDescent="0.3">
      <c r="A807" t="s">
        <v>15</v>
      </c>
      <c r="B807" s="1">
        <v>45961</v>
      </c>
      <c r="C807">
        <v>510057</v>
      </c>
      <c r="D807">
        <v>3340.9229999999998</v>
      </c>
      <c r="E807" t="s">
        <v>6</v>
      </c>
      <c r="F807" t="s">
        <v>53</v>
      </c>
      <c r="G807" t="s">
        <v>5</v>
      </c>
    </row>
    <row r="808" spans="1:7" x14ac:dyDescent="0.3">
      <c r="A808" t="s">
        <v>15</v>
      </c>
      <c r="B808" s="1">
        <v>45961</v>
      </c>
      <c r="C808">
        <v>510059</v>
      </c>
      <c r="D808">
        <v>13586.225</v>
      </c>
      <c r="E808" t="s">
        <v>6</v>
      </c>
      <c r="F808" t="s">
        <v>53</v>
      </c>
      <c r="G808" t="s">
        <v>5</v>
      </c>
    </row>
    <row r="809" spans="1:7" x14ac:dyDescent="0.3">
      <c r="A809" t="s">
        <v>15</v>
      </c>
      <c r="B809" s="1">
        <v>45961</v>
      </c>
      <c r="C809">
        <v>510060</v>
      </c>
      <c r="D809">
        <v>-116840.516</v>
      </c>
      <c r="E809" t="s">
        <v>6</v>
      </c>
      <c r="F809" t="s">
        <v>53</v>
      </c>
      <c r="G809" t="s">
        <v>5</v>
      </c>
    </row>
    <row r="810" spans="1:7" x14ac:dyDescent="0.3">
      <c r="A810" t="s">
        <v>15</v>
      </c>
      <c r="B810" s="1">
        <v>45961</v>
      </c>
      <c r="C810">
        <v>510062</v>
      </c>
      <c r="D810">
        <v>94711.732000000004</v>
      </c>
      <c r="E810" t="s">
        <v>6</v>
      </c>
      <c r="F810" t="s">
        <v>53</v>
      </c>
      <c r="G810" t="s">
        <v>5</v>
      </c>
    </row>
    <row r="811" spans="1:7" x14ac:dyDescent="0.3">
      <c r="A811" t="s">
        <v>15</v>
      </c>
      <c r="B811" s="1">
        <v>45961</v>
      </c>
      <c r="C811">
        <v>510063</v>
      </c>
      <c r="D811">
        <v>33694.603999999999</v>
      </c>
      <c r="E811" t="s">
        <v>6</v>
      </c>
      <c r="F811" t="s">
        <v>53</v>
      </c>
      <c r="G811" t="s">
        <v>5</v>
      </c>
    </row>
    <row r="812" spans="1:7" x14ac:dyDescent="0.3">
      <c r="A812" t="s">
        <v>15</v>
      </c>
      <c r="B812" s="1">
        <v>45961</v>
      </c>
      <c r="C812">
        <v>510064</v>
      </c>
      <c r="D812">
        <v>252046.348</v>
      </c>
      <c r="E812" t="s">
        <v>6</v>
      </c>
      <c r="F812" t="s">
        <v>53</v>
      </c>
      <c r="G812" t="s">
        <v>5</v>
      </c>
    </row>
    <row r="813" spans="1:7" x14ac:dyDescent="0.3">
      <c r="A813" t="s">
        <v>15</v>
      </c>
      <c r="B813" s="1">
        <v>45961</v>
      </c>
      <c r="C813">
        <v>520020</v>
      </c>
      <c r="D813">
        <v>22100.400000000001</v>
      </c>
      <c r="E813" t="s">
        <v>6</v>
      </c>
      <c r="F813" t="s">
        <v>53</v>
      </c>
      <c r="G813" t="s">
        <v>5</v>
      </c>
    </row>
    <row r="814" spans="1:7" x14ac:dyDescent="0.3">
      <c r="A814" t="s">
        <v>15</v>
      </c>
      <c r="B814" s="1">
        <v>45961</v>
      </c>
      <c r="C814">
        <v>520021</v>
      </c>
      <c r="D814">
        <v>4855.5079999999998</v>
      </c>
      <c r="E814" t="s">
        <v>6</v>
      </c>
      <c r="F814" t="s">
        <v>60</v>
      </c>
      <c r="G814" t="s">
        <v>5</v>
      </c>
    </row>
    <row r="815" spans="1:7" x14ac:dyDescent="0.3">
      <c r="A815" t="s">
        <v>15</v>
      </c>
      <c r="B815" s="1">
        <v>45961</v>
      </c>
      <c r="C815">
        <v>520022</v>
      </c>
      <c r="D815">
        <v>3243.4659999999999</v>
      </c>
      <c r="E815" t="s">
        <v>6</v>
      </c>
      <c r="F815" t="s">
        <v>53</v>
      </c>
      <c r="G815" t="s">
        <v>5</v>
      </c>
    </row>
    <row r="816" spans="1:7" x14ac:dyDescent="0.3">
      <c r="A816" t="s">
        <v>15</v>
      </c>
      <c r="B816" s="1">
        <v>45961</v>
      </c>
      <c r="C816">
        <v>520037</v>
      </c>
      <c r="D816">
        <v>15884.323</v>
      </c>
      <c r="E816" t="s">
        <v>6</v>
      </c>
      <c r="F816" t="s">
        <v>53</v>
      </c>
      <c r="G816" t="s">
        <v>5</v>
      </c>
    </row>
    <row r="817" spans="1:7" x14ac:dyDescent="0.3">
      <c r="A817" t="s">
        <v>15</v>
      </c>
      <c r="B817" s="1">
        <v>45961</v>
      </c>
      <c r="C817">
        <v>521002</v>
      </c>
      <c r="D817">
        <v>0</v>
      </c>
      <c r="E817" t="s">
        <v>6</v>
      </c>
      <c r="F817" t="s">
        <v>53</v>
      </c>
      <c r="G817" t="s">
        <v>5</v>
      </c>
    </row>
    <row r="818" spans="1:7" x14ac:dyDescent="0.3">
      <c r="A818" t="s">
        <v>15</v>
      </c>
      <c r="B818" s="1">
        <v>45961</v>
      </c>
      <c r="C818">
        <v>521003</v>
      </c>
      <c r="D818">
        <v>0</v>
      </c>
      <c r="E818" t="s">
        <v>6</v>
      </c>
      <c r="F818" t="s">
        <v>53</v>
      </c>
      <c r="G818" t="s">
        <v>5</v>
      </c>
    </row>
    <row r="819" spans="1:7" x14ac:dyDescent="0.3">
      <c r="A819" t="s">
        <v>15</v>
      </c>
      <c r="B819" s="1">
        <v>45961</v>
      </c>
      <c r="C819">
        <v>540004</v>
      </c>
      <c r="D819">
        <v>313.88600000000002</v>
      </c>
      <c r="E819" t="s">
        <v>6</v>
      </c>
      <c r="F819" t="s">
        <v>67</v>
      </c>
      <c r="G819" t="s">
        <v>5</v>
      </c>
    </row>
    <row r="820" spans="1:7" x14ac:dyDescent="0.3">
      <c r="A820" t="s">
        <v>15</v>
      </c>
      <c r="B820" s="1">
        <v>45961</v>
      </c>
      <c r="C820">
        <v>540008</v>
      </c>
      <c r="D820">
        <v>81481.804000000004</v>
      </c>
      <c r="E820" t="s">
        <v>6</v>
      </c>
      <c r="F820" t="s">
        <v>67</v>
      </c>
      <c r="G820" t="s">
        <v>5</v>
      </c>
    </row>
    <row r="821" spans="1:7" x14ac:dyDescent="0.3">
      <c r="A821" t="s">
        <v>15</v>
      </c>
      <c r="B821" s="1">
        <v>45961</v>
      </c>
      <c r="C821">
        <v>541003</v>
      </c>
      <c r="D821">
        <v>53086.83</v>
      </c>
      <c r="E821" t="s">
        <v>6</v>
      </c>
      <c r="F821" t="s">
        <v>61</v>
      </c>
      <c r="G821" t="s">
        <v>5</v>
      </c>
    </row>
    <row r="822" spans="1:7" x14ac:dyDescent="0.3">
      <c r="A822" t="s">
        <v>15</v>
      </c>
      <c r="B822" s="1">
        <v>45961</v>
      </c>
      <c r="C822">
        <v>541004</v>
      </c>
      <c r="D822">
        <v>9724.8169999999991</v>
      </c>
      <c r="E822" t="s">
        <v>6</v>
      </c>
      <c r="F822" t="s">
        <v>61</v>
      </c>
      <c r="G822" t="s">
        <v>5</v>
      </c>
    </row>
    <row r="823" spans="1:7" x14ac:dyDescent="0.3">
      <c r="A823" t="s">
        <v>15</v>
      </c>
      <c r="B823" s="1">
        <v>45961</v>
      </c>
      <c r="C823">
        <v>541008</v>
      </c>
      <c r="D823">
        <v>21819.945</v>
      </c>
      <c r="E823" t="s">
        <v>6</v>
      </c>
      <c r="F823" t="s">
        <v>61</v>
      </c>
      <c r="G823" t="s">
        <v>5</v>
      </c>
    </row>
    <row r="824" spans="1:7" x14ac:dyDescent="0.3">
      <c r="A824" t="s">
        <v>15</v>
      </c>
      <c r="B824" s="1">
        <v>45961</v>
      </c>
      <c r="C824">
        <v>541009</v>
      </c>
      <c r="D824">
        <v>-22712.238000000001</v>
      </c>
      <c r="E824" t="s">
        <v>6</v>
      </c>
      <c r="F824" t="s">
        <v>61</v>
      </c>
      <c r="G824" t="s">
        <v>5</v>
      </c>
    </row>
    <row r="825" spans="1:7" x14ac:dyDescent="0.3">
      <c r="A825" t="s">
        <v>15</v>
      </c>
      <c r="B825" s="1">
        <v>45961</v>
      </c>
      <c r="C825">
        <v>541010</v>
      </c>
      <c r="D825">
        <v>40623.410000000003</v>
      </c>
      <c r="E825" t="s">
        <v>6</v>
      </c>
      <c r="F825" t="s">
        <v>61</v>
      </c>
      <c r="G825" t="s">
        <v>5</v>
      </c>
    </row>
    <row r="826" spans="1:7" x14ac:dyDescent="0.3">
      <c r="A826" t="s">
        <v>15</v>
      </c>
      <c r="B826" s="1">
        <v>45961</v>
      </c>
      <c r="C826">
        <v>541013</v>
      </c>
      <c r="D826">
        <v>54969.302000000003</v>
      </c>
      <c r="E826" t="s">
        <v>6</v>
      </c>
      <c r="F826" t="s">
        <v>61</v>
      </c>
      <c r="G826" t="s">
        <v>5</v>
      </c>
    </row>
    <row r="827" spans="1:7" x14ac:dyDescent="0.3">
      <c r="A827" t="s">
        <v>15</v>
      </c>
      <c r="B827" s="1">
        <v>45961</v>
      </c>
      <c r="C827">
        <v>541021</v>
      </c>
      <c r="D827">
        <v>-26709.441999999999</v>
      </c>
      <c r="E827" t="s">
        <v>6</v>
      </c>
      <c r="F827" t="s">
        <v>61</v>
      </c>
      <c r="G827" t="s">
        <v>5</v>
      </c>
    </row>
    <row r="828" spans="1:7" x14ac:dyDescent="0.3">
      <c r="A828" t="s">
        <v>15</v>
      </c>
      <c r="B828" s="1">
        <v>45961</v>
      </c>
      <c r="C828">
        <v>541022</v>
      </c>
      <c r="D828">
        <v>1417.1410000000001</v>
      </c>
      <c r="E828" t="s">
        <v>6</v>
      </c>
      <c r="F828" t="s">
        <v>61</v>
      </c>
      <c r="G828" t="s">
        <v>5</v>
      </c>
    </row>
    <row r="829" spans="1:7" x14ac:dyDescent="0.3">
      <c r="A829" t="s">
        <v>15</v>
      </c>
      <c r="B829" s="1">
        <v>45961</v>
      </c>
      <c r="C829">
        <v>541023</v>
      </c>
      <c r="D829">
        <v>17091.875</v>
      </c>
      <c r="E829" t="s">
        <v>6</v>
      </c>
      <c r="F829" t="s">
        <v>61</v>
      </c>
      <c r="G829" t="s">
        <v>5</v>
      </c>
    </row>
    <row r="830" spans="1:7" x14ac:dyDescent="0.3">
      <c r="A830" t="s">
        <v>15</v>
      </c>
      <c r="B830" s="1">
        <v>45961</v>
      </c>
      <c r="C830">
        <v>544002</v>
      </c>
      <c r="D830">
        <v>32268.31</v>
      </c>
      <c r="E830" t="s">
        <v>6</v>
      </c>
      <c r="F830" t="s">
        <v>61</v>
      </c>
      <c r="G830" t="s">
        <v>5</v>
      </c>
    </row>
    <row r="831" spans="1:7" x14ac:dyDescent="0.3">
      <c r="A831" t="s">
        <v>15</v>
      </c>
      <c r="B831" s="1">
        <v>45961</v>
      </c>
      <c r="C831">
        <v>544003</v>
      </c>
      <c r="D831">
        <v>14869.540999999999</v>
      </c>
      <c r="E831" t="s">
        <v>6</v>
      </c>
      <c r="F831" t="s">
        <v>61</v>
      </c>
      <c r="G831" t="s">
        <v>5</v>
      </c>
    </row>
    <row r="832" spans="1:7" x14ac:dyDescent="0.3">
      <c r="A832" t="s">
        <v>15</v>
      </c>
      <c r="B832" s="1">
        <v>45961</v>
      </c>
      <c r="C832">
        <v>544006</v>
      </c>
      <c r="D832">
        <v>2325.6379999999999</v>
      </c>
      <c r="E832" t="s">
        <v>6</v>
      </c>
      <c r="F832" t="s">
        <v>61</v>
      </c>
      <c r="G832" t="s">
        <v>5</v>
      </c>
    </row>
    <row r="833" spans="1:7" x14ac:dyDescent="0.3">
      <c r="A833" t="s">
        <v>15</v>
      </c>
      <c r="B833" s="1">
        <v>45961</v>
      </c>
      <c r="C833">
        <v>547002</v>
      </c>
      <c r="D833">
        <v>156176.58300000001</v>
      </c>
      <c r="E833" t="s">
        <v>6</v>
      </c>
      <c r="F833" t="s">
        <v>54</v>
      </c>
      <c r="G833" t="s">
        <v>5</v>
      </c>
    </row>
    <row r="834" spans="1:7" x14ac:dyDescent="0.3">
      <c r="A834" t="s">
        <v>15</v>
      </c>
      <c r="B834" s="1">
        <v>45961</v>
      </c>
      <c r="C834">
        <v>547006</v>
      </c>
      <c r="D834">
        <v>154141.54800000001</v>
      </c>
      <c r="E834" t="s">
        <v>6</v>
      </c>
      <c r="F834" t="s">
        <v>54</v>
      </c>
      <c r="G834" t="s">
        <v>5</v>
      </c>
    </row>
    <row r="835" spans="1:7" x14ac:dyDescent="0.3">
      <c r="A835" t="s">
        <v>15</v>
      </c>
      <c r="B835" s="1">
        <v>45961</v>
      </c>
      <c r="C835">
        <v>547011</v>
      </c>
      <c r="D835">
        <v>995.82399999999996</v>
      </c>
      <c r="E835" t="s">
        <v>6</v>
      </c>
      <c r="F835" t="s">
        <v>54</v>
      </c>
      <c r="G835" t="s">
        <v>5</v>
      </c>
    </row>
    <row r="836" spans="1:7" x14ac:dyDescent="0.3">
      <c r="A836" t="s">
        <v>15</v>
      </c>
      <c r="B836" s="1">
        <v>45961</v>
      </c>
      <c r="C836">
        <v>550002</v>
      </c>
      <c r="D836">
        <v>143520.99600000001</v>
      </c>
      <c r="E836" t="s">
        <v>6</v>
      </c>
      <c r="F836" t="s">
        <v>62</v>
      </c>
      <c r="G836" t="s">
        <v>5</v>
      </c>
    </row>
    <row r="837" spans="1:7" x14ac:dyDescent="0.3">
      <c r="A837" t="s">
        <v>15</v>
      </c>
      <c r="B837" s="1">
        <v>45961</v>
      </c>
      <c r="C837">
        <v>550003</v>
      </c>
      <c r="D837">
        <v>196127.253</v>
      </c>
      <c r="E837" t="s">
        <v>6</v>
      </c>
      <c r="F837" t="s">
        <v>62</v>
      </c>
      <c r="G837" t="s">
        <v>5</v>
      </c>
    </row>
    <row r="838" spans="1:7" x14ac:dyDescent="0.3">
      <c r="A838" t="s">
        <v>15</v>
      </c>
      <c r="B838" s="1">
        <v>45961</v>
      </c>
      <c r="C838">
        <v>550004</v>
      </c>
      <c r="D838">
        <v>8770.0159999999996</v>
      </c>
      <c r="E838" t="s">
        <v>6</v>
      </c>
      <c r="F838" t="s">
        <v>62</v>
      </c>
      <c r="G838" t="s">
        <v>5</v>
      </c>
    </row>
    <row r="839" spans="1:7" x14ac:dyDescent="0.3">
      <c r="A839" t="s">
        <v>15</v>
      </c>
      <c r="B839" s="1">
        <v>45961</v>
      </c>
      <c r="C839">
        <v>550007</v>
      </c>
      <c r="D839">
        <v>-556.30899999999997</v>
      </c>
      <c r="E839" t="s">
        <v>6</v>
      </c>
      <c r="F839" t="s">
        <v>62</v>
      </c>
      <c r="G839" t="s">
        <v>5</v>
      </c>
    </row>
    <row r="840" spans="1:7" x14ac:dyDescent="0.3">
      <c r="A840" t="s">
        <v>15</v>
      </c>
      <c r="B840" s="1">
        <v>45961</v>
      </c>
      <c r="C840">
        <v>551002</v>
      </c>
      <c r="D840">
        <v>27829.300999999999</v>
      </c>
      <c r="E840" t="s">
        <v>6</v>
      </c>
      <c r="F840" t="s">
        <v>63</v>
      </c>
      <c r="G840" t="s">
        <v>5</v>
      </c>
    </row>
    <row r="841" spans="1:7" x14ac:dyDescent="0.3">
      <c r="A841" t="s">
        <v>15</v>
      </c>
      <c r="B841" s="1">
        <v>45961</v>
      </c>
      <c r="C841">
        <v>551003</v>
      </c>
      <c r="D841">
        <v>323924.53499999997</v>
      </c>
      <c r="E841" t="s">
        <v>6</v>
      </c>
      <c r="F841" t="s">
        <v>63</v>
      </c>
      <c r="G841" t="s">
        <v>5</v>
      </c>
    </row>
    <row r="842" spans="1:7" x14ac:dyDescent="0.3">
      <c r="A842" t="s">
        <v>15</v>
      </c>
      <c r="B842" s="1">
        <v>45961</v>
      </c>
      <c r="C842">
        <v>551007</v>
      </c>
      <c r="D842">
        <v>186</v>
      </c>
      <c r="E842" t="s">
        <v>6</v>
      </c>
      <c r="F842" t="s">
        <v>63</v>
      </c>
      <c r="G842" t="s">
        <v>5</v>
      </c>
    </row>
    <row r="843" spans="1:7" x14ac:dyDescent="0.3">
      <c r="A843" t="s">
        <v>15</v>
      </c>
      <c r="B843" s="1">
        <v>45961</v>
      </c>
      <c r="C843">
        <v>551008</v>
      </c>
      <c r="D843">
        <v>33196.523000000001</v>
      </c>
      <c r="E843" t="s">
        <v>6</v>
      </c>
      <c r="F843" t="s">
        <v>63</v>
      </c>
      <c r="G843" t="s">
        <v>5</v>
      </c>
    </row>
    <row r="844" spans="1:7" x14ac:dyDescent="0.3">
      <c r="A844" t="s">
        <v>15</v>
      </c>
      <c r="B844" s="1">
        <v>45961</v>
      </c>
      <c r="C844">
        <v>551011</v>
      </c>
      <c r="D844">
        <v>4683.7070000000003</v>
      </c>
      <c r="E844" t="s">
        <v>6</v>
      </c>
      <c r="F844" t="s">
        <v>61</v>
      </c>
      <c r="G844" t="s">
        <v>5</v>
      </c>
    </row>
    <row r="845" spans="1:7" x14ac:dyDescent="0.3">
      <c r="A845" t="s">
        <v>15</v>
      </c>
      <c r="B845" s="1">
        <v>45961</v>
      </c>
      <c r="C845">
        <v>551012</v>
      </c>
      <c r="D845">
        <v>17534.806</v>
      </c>
      <c r="E845" t="s">
        <v>6</v>
      </c>
      <c r="F845" t="s">
        <v>63</v>
      </c>
      <c r="G845" t="s">
        <v>5</v>
      </c>
    </row>
    <row r="846" spans="1:7" x14ac:dyDescent="0.3">
      <c r="A846" t="s">
        <v>15</v>
      </c>
      <c r="B846" s="1">
        <v>45961</v>
      </c>
      <c r="C846">
        <v>551014</v>
      </c>
      <c r="D846">
        <v>20850.008000000002</v>
      </c>
      <c r="E846" t="s">
        <v>6</v>
      </c>
      <c r="F846" t="s">
        <v>63</v>
      </c>
      <c r="G846" t="s">
        <v>5</v>
      </c>
    </row>
    <row r="847" spans="1:7" x14ac:dyDescent="0.3">
      <c r="A847" t="s">
        <v>15</v>
      </c>
      <c r="B847" s="1">
        <v>45961</v>
      </c>
      <c r="C847">
        <v>552002</v>
      </c>
      <c r="D847">
        <v>65269.908000000003</v>
      </c>
      <c r="E847" t="s">
        <v>6</v>
      </c>
      <c r="F847" t="s">
        <v>55</v>
      </c>
      <c r="G847" t="s">
        <v>5</v>
      </c>
    </row>
    <row r="848" spans="1:7" x14ac:dyDescent="0.3">
      <c r="A848" t="s">
        <v>15</v>
      </c>
      <c r="B848" s="1">
        <v>45961</v>
      </c>
      <c r="C848">
        <v>552502</v>
      </c>
      <c r="D848">
        <v>-2843.183</v>
      </c>
      <c r="E848" t="s">
        <v>6</v>
      </c>
      <c r="F848" t="s">
        <v>55</v>
      </c>
      <c r="G848" t="s">
        <v>5</v>
      </c>
    </row>
    <row r="849" spans="1:7" x14ac:dyDescent="0.3">
      <c r="A849" t="s">
        <v>15</v>
      </c>
      <c r="B849" s="1">
        <v>45961</v>
      </c>
      <c r="C849">
        <v>552503</v>
      </c>
      <c r="D849">
        <v>4816.8639999999996</v>
      </c>
      <c r="E849" t="s">
        <v>6</v>
      </c>
      <c r="F849" t="s">
        <v>55</v>
      </c>
      <c r="G849" t="s">
        <v>5</v>
      </c>
    </row>
    <row r="850" spans="1:7" x14ac:dyDescent="0.3">
      <c r="A850" t="s">
        <v>15</v>
      </c>
      <c r="B850" s="1">
        <v>45961</v>
      </c>
      <c r="C850">
        <v>552504</v>
      </c>
      <c r="D850">
        <v>1561.9880000000001</v>
      </c>
      <c r="E850" t="s">
        <v>6</v>
      </c>
      <c r="F850" t="s">
        <v>55</v>
      </c>
      <c r="G850" t="s">
        <v>5</v>
      </c>
    </row>
    <row r="851" spans="1:7" x14ac:dyDescent="0.3">
      <c r="A851" t="s">
        <v>15</v>
      </c>
      <c r="B851" s="1">
        <v>45961</v>
      </c>
      <c r="C851">
        <v>554002</v>
      </c>
      <c r="D851">
        <v>55053.332999999999</v>
      </c>
      <c r="E851" t="s">
        <v>6</v>
      </c>
      <c r="F851" t="s">
        <v>55</v>
      </c>
      <c r="G851" t="s">
        <v>5</v>
      </c>
    </row>
    <row r="852" spans="1:7" x14ac:dyDescent="0.3">
      <c r="A852" t="s">
        <v>15</v>
      </c>
      <c r="B852" s="1">
        <v>45961</v>
      </c>
      <c r="C852">
        <v>554003</v>
      </c>
      <c r="D852">
        <v>53863.908000000003</v>
      </c>
      <c r="E852" t="s">
        <v>6</v>
      </c>
      <c r="F852" t="s">
        <v>55</v>
      </c>
      <c r="G852" t="s">
        <v>5</v>
      </c>
    </row>
    <row r="853" spans="1:7" x14ac:dyDescent="0.3">
      <c r="A853" t="s">
        <v>15</v>
      </c>
      <c r="B853" s="1">
        <v>45961</v>
      </c>
      <c r="C853">
        <v>554004</v>
      </c>
      <c r="D853">
        <v>48476.803</v>
      </c>
      <c r="E853" t="s">
        <v>6</v>
      </c>
      <c r="F853" t="s">
        <v>55</v>
      </c>
      <c r="G853" t="s">
        <v>5</v>
      </c>
    </row>
    <row r="854" spans="1:7" x14ac:dyDescent="0.3">
      <c r="A854" t="s">
        <v>15</v>
      </c>
      <c r="B854" s="1">
        <v>45961</v>
      </c>
      <c r="C854">
        <v>554005</v>
      </c>
      <c r="D854">
        <v>7027.2169999999996</v>
      </c>
      <c r="E854" t="s">
        <v>6</v>
      </c>
      <c r="F854" t="s">
        <v>55</v>
      </c>
      <c r="G854" t="s">
        <v>5</v>
      </c>
    </row>
    <row r="855" spans="1:7" x14ac:dyDescent="0.3">
      <c r="A855" t="s">
        <v>15</v>
      </c>
      <c r="B855" s="1">
        <v>45961</v>
      </c>
      <c r="C855">
        <v>554006</v>
      </c>
      <c r="D855">
        <v>4813.3490000000002</v>
      </c>
      <c r="E855" t="s">
        <v>6</v>
      </c>
      <c r="F855" t="s">
        <v>55</v>
      </c>
      <c r="G855" t="s">
        <v>5</v>
      </c>
    </row>
    <row r="856" spans="1:7" x14ac:dyDescent="0.3">
      <c r="A856" t="s">
        <v>15</v>
      </c>
      <c r="B856" s="1">
        <v>45961</v>
      </c>
      <c r="C856">
        <v>554007</v>
      </c>
      <c r="D856">
        <v>460333.45400000003</v>
      </c>
      <c r="E856" t="s">
        <v>6</v>
      </c>
      <c r="F856" t="s">
        <v>55</v>
      </c>
      <c r="G856" t="s">
        <v>5</v>
      </c>
    </row>
    <row r="857" spans="1:7" x14ac:dyDescent="0.3">
      <c r="A857" t="s">
        <v>15</v>
      </c>
      <c r="B857" s="1">
        <v>45961</v>
      </c>
      <c r="C857">
        <v>554008</v>
      </c>
      <c r="D857">
        <v>1755.1690000000001</v>
      </c>
      <c r="E857" t="s">
        <v>6</v>
      </c>
      <c r="F857" t="s">
        <v>55</v>
      </c>
      <c r="G857" t="s">
        <v>5</v>
      </c>
    </row>
    <row r="858" spans="1:7" x14ac:dyDescent="0.3">
      <c r="A858" t="s">
        <v>15</v>
      </c>
      <c r="B858" s="1">
        <v>45961</v>
      </c>
      <c r="C858">
        <v>555002</v>
      </c>
      <c r="D858">
        <v>182.48099999999999</v>
      </c>
      <c r="E858" t="s">
        <v>6</v>
      </c>
      <c r="F858" t="s">
        <v>55</v>
      </c>
      <c r="G858" t="s">
        <v>5</v>
      </c>
    </row>
    <row r="859" spans="1:7" x14ac:dyDescent="0.3">
      <c r="A859" t="s">
        <v>15</v>
      </c>
      <c r="B859" s="1">
        <v>45961</v>
      </c>
      <c r="C859">
        <v>555003</v>
      </c>
      <c r="D859">
        <v>76.016999999999996</v>
      </c>
      <c r="E859" t="s">
        <v>6</v>
      </c>
      <c r="F859" t="s">
        <v>55</v>
      </c>
      <c r="G859" t="s">
        <v>5</v>
      </c>
    </row>
    <row r="860" spans="1:7" x14ac:dyDescent="0.3">
      <c r="A860" t="s">
        <v>15</v>
      </c>
      <c r="B860" s="1">
        <v>45961</v>
      </c>
      <c r="C860">
        <v>555004</v>
      </c>
      <c r="D860">
        <v>58.546999999999997</v>
      </c>
      <c r="E860" t="s">
        <v>6</v>
      </c>
      <c r="F860" t="s">
        <v>55</v>
      </c>
      <c r="G860" t="s">
        <v>5</v>
      </c>
    </row>
    <row r="861" spans="1:7" x14ac:dyDescent="0.3">
      <c r="A861" t="s">
        <v>15</v>
      </c>
      <c r="B861" s="1">
        <v>45961</v>
      </c>
      <c r="C861">
        <v>555005</v>
      </c>
      <c r="D861">
        <v>2171.5239999999999</v>
      </c>
      <c r="E861" t="s">
        <v>6</v>
      </c>
      <c r="F861" t="s">
        <v>55</v>
      </c>
      <c r="G861" t="s">
        <v>5</v>
      </c>
    </row>
    <row r="862" spans="1:7" x14ac:dyDescent="0.3">
      <c r="A862" t="s">
        <v>15</v>
      </c>
      <c r="B862" s="1">
        <v>45961</v>
      </c>
      <c r="C862">
        <v>555007</v>
      </c>
      <c r="D862">
        <v>16873.359</v>
      </c>
      <c r="E862" t="s">
        <v>6</v>
      </c>
      <c r="F862" t="s">
        <v>55</v>
      </c>
      <c r="G862" t="s">
        <v>5</v>
      </c>
    </row>
    <row r="863" spans="1:7" x14ac:dyDescent="0.3">
      <c r="A863" t="s">
        <v>15</v>
      </c>
      <c r="B863" s="1">
        <v>45961</v>
      </c>
      <c r="C863">
        <v>555008</v>
      </c>
      <c r="D863">
        <v>1352.5429999999999</v>
      </c>
      <c r="E863" t="s">
        <v>6</v>
      </c>
      <c r="F863" t="s">
        <v>55</v>
      </c>
      <c r="G863" t="s">
        <v>5</v>
      </c>
    </row>
    <row r="864" spans="1:7" x14ac:dyDescent="0.3">
      <c r="A864" t="s">
        <v>15</v>
      </c>
      <c r="B864" s="1">
        <v>45961</v>
      </c>
      <c r="C864">
        <v>555009</v>
      </c>
      <c r="D864">
        <v>36321.864000000001</v>
      </c>
      <c r="E864" t="s">
        <v>6</v>
      </c>
      <c r="F864" t="s">
        <v>53</v>
      </c>
      <c r="G864" t="s">
        <v>5</v>
      </c>
    </row>
    <row r="865" spans="1:7" x14ac:dyDescent="0.3">
      <c r="A865" t="s">
        <v>15</v>
      </c>
      <c r="B865" s="1">
        <v>45961</v>
      </c>
      <c r="C865">
        <v>555010</v>
      </c>
      <c r="D865">
        <v>5022.6369999999997</v>
      </c>
      <c r="E865" t="s">
        <v>6</v>
      </c>
      <c r="F865" t="s">
        <v>55</v>
      </c>
      <c r="G865" t="s">
        <v>5</v>
      </c>
    </row>
    <row r="866" spans="1:7" x14ac:dyDescent="0.3">
      <c r="A866" t="s">
        <v>15</v>
      </c>
      <c r="B866" s="1">
        <v>45961</v>
      </c>
      <c r="C866">
        <v>555504</v>
      </c>
      <c r="D866">
        <v>2695.63</v>
      </c>
      <c r="E866" t="s">
        <v>6</v>
      </c>
      <c r="F866" t="s">
        <v>55</v>
      </c>
      <c r="G866" t="s">
        <v>5</v>
      </c>
    </row>
    <row r="867" spans="1:7" x14ac:dyDescent="0.3">
      <c r="A867" t="s">
        <v>15</v>
      </c>
      <c r="B867" s="1">
        <v>45961</v>
      </c>
      <c r="C867">
        <v>555508</v>
      </c>
      <c r="D867">
        <v>6180.2619999999997</v>
      </c>
      <c r="E867" t="s">
        <v>6</v>
      </c>
      <c r="F867" t="s">
        <v>55</v>
      </c>
      <c r="G867" t="s">
        <v>5</v>
      </c>
    </row>
    <row r="868" spans="1:7" x14ac:dyDescent="0.3">
      <c r="A868" t="s">
        <v>15</v>
      </c>
      <c r="B868" s="1">
        <v>45961</v>
      </c>
      <c r="C868">
        <v>555511</v>
      </c>
      <c r="D868">
        <v>2679.1190000000001</v>
      </c>
      <c r="E868" t="s">
        <v>6</v>
      </c>
      <c r="F868" t="s">
        <v>55</v>
      </c>
      <c r="G868" t="s">
        <v>5</v>
      </c>
    </row>
    <row r="869" spans="1:7" x14ac:dyDescent="0.3">
      <c r="A869" t="s">
        <v>15</v>
      </c>
      <c r="B869" s="1">
        <v>45961</v>
      </c>
      <c r="C869">
        <v>556002</v>
      </c>
      <c r="D869">
        <v>27364.080999999998</v>
      </c>
      <c r="E869" t="s">
        <v>6</v>
      </c>
      <c r="F869" t="s">
        <v>60</v>
      </c>
      <c r="G869" t="s">
        <v>5</v>
      </c>
    </row>
    <row r="870" spans="1:7" x14ac:dyDescent="0.3">
      <c r="A870" t="s">
        <v>15</v>
      </c>
      <c r="B870" s="1">
        <v>45961</v>
      </c>
      <c r="C870">
        <v>556003</v>
      </c>
      <c r="D870">
        <v>35921.529000000002</v>
      </c>
      <c r="E870" t="s">
        <v>6</v>
      </c>
      <c r="F870" t="s">
        <v>55</v>
      </c>
      <c r="G870" t="s">
        <v>5</v>
      </c>
    </row>
    <row r="871" spans="1:7" x14ac:dyDescent="0.3">
      <c r="A871" t="s">
        <v>15</v>
      </c>
      <c r="B871" s="1">
        <v>45961</v>
      </c>
      <c r="C871">
        <v>556004</v>
      </c>
      <c r="D871">
        <v>14883.712</v>
      </c>
      <c r="E871" t="s">
        <v>6</v>
      </c>
      <c r="F871" t="s">
        <v>55</v>
      </c>
      <c r="G871" t="s">
        <v>5</v>
      </c>
    </row>
    <row r="872" spans="1:7" x14ac:dyDescent="0.3">
      <c r="A872" t="s">
        <v>15</v>
      </c>
      <c r="B872" s="1">
        <v>45961</v>
      </c>
      <c r="C872">
        <v>557002</v>
      </c>
      <c r="D872">
        <v>729979.64899999998</v>
      </c>
      <c r="E872" t="s">
        <v>6</v>
      </c>
      <c r="F872" t="s">
        <v>56</v>
      </c>
      <c r="G872" t="s">
        <v>5</v>
      </c>
    </row>
    <row r="873" spans="1:7" x14ac:dyDescent="0.3">
      <c r="A873" t="s">
        <v>15</v>
      </c>
      <c r="B873" s="1">
        <v>45961</v>
      </c>
      <c r="C873">
        <v>557003</v>
      </c>
      <c r="D873">
        <v>14910.593999999999</v>
      </c>
      <c r="E873" t="s">
        <v>6</v>
      </c>
      <c r="F873" t="s">
        <v>56</v>
      </c>
      <c r="G873" t="s">
        <v>5</v>
      </c>
    </row>
    <row r="874" spans="1:7" x14ac:dyDescent="0.3">
      <c r="A874" t="s">
        <v>15</v>
      </c>
      <c r="B874" s="1">
        <v>45961</v>
      </c>
      <c r="C874">
        <v>557006</v>
      </c>
      <c r="D874">
        <v>6355</v>
      </c>
      <c r="E874" t="s">
        <v>6</v>
      </c>
      <c r="F874" t="s">
        <v>56</v>
      </c>
      <c r="G874" t="s">
        <v>5</v>
      </c>
    </row>
    <row r="875" spans="1:7" x14ac:dyDescent="0.3">
      <c r="A875" t="s">
        <v>15</v>
      </c>
      <c r="B875" s="1">
        <v>45961</v>
      </c>
      <c r="C875">
        <v>557008</v>
      </c>
      <c r="D875">
        <v>133.833</v>
      </c>
      <c r="E875" t="s">
        <v>6</v>
      </c>
      <c r="F875" t="s">
        <v>56</v>
      </c>
      <c r="G875" t="s">
        <v>5</v>
      </c>
    </row>
    <row r="876" spans="1:7" x14ac:dyDescent="0.3">
      <c r="A876" t="s">
        <v>15</v>
      </c>
      <c r="B876" s="1">
        <v>45961</v>
      </c>
      <c r="C876">
        <v>558003</v>
      </c>
      <c r="D876">
        <v>13237.522999999999</v>
      </c>
      <c r="E876" t="s">
        <v>6</v>
      </c>
      <c r="F876" t="s">
        <v>57</v>
      </c>
      <c r="G876" t="s">
        <v>5</v>
      </c>
    </row>
    <row r="877" spans="1:7" x14ac:dyDescent="0.3">
      <c r="A877" t="s">
        <v>15</v>
      </c>
      <c r="B877" s="1">
        <v>45961</v>
      </c>
      <c r="C877">
        <v>558006</v>
      </c>
      <c r="D877">
        <v>66819.520000000004</v>
      </c>
      <c r="E877" t="s">
        <v>6</v>
      </c>
      <c r="F877" t="s">
        <v>57</v>
      </c>
      <c r="G877" t="s">
        <v>5</v>
      </c>
    </row>
    <row r="878" spans="1:7" x14ac:dyDescent="0.3">
      <c r="A878" t="s">
        <v>15</v>
      </c>
      <c r="B878" s="1">
        <v>45961</v>
      </c>
      <c r="C878">
        <v>558011</v>
      </c>
      <c r="D878">
        <v>1620.325</v>
      </c>
      <c r="E878" t="s">
        <v>6</v>
      </c>
      <c r="F878" t="s">
        <v>57</v>
      </c>
      <c r="G878" t="s">
        <v>5</v>
      </c>
    </row>
    <row r="879" spans="1:7" x14ac:dyDescent="0.3">
      <c r="A879" t="s">
        <v>15</v>
      </c>
      <c r="B879" s="1">
        <v>45961</v>
      </c>
      <c r="C879">
        <v>558012</v>
      </c>
      <c r="D879">
        <v>1133.453</v>
      </c>
      <c r="E879" t="s">
        <v>6</v>
      </c>
      <c r="F879" t="s">
        <v>60</v>
      </c>
      <c r="G879" t="s">
        <v>5</v>
      </c>
    </row>
    <row r="880" spans="1:7" x14ac:dyDescent="0.3">
      <c r="A880" t="s">
        <v>15</v>
      </c>
      <c r="B880" s="1">
        <v>45961</v>
      </c>
      <c r="C880">
        <v>559002</v>
      </c>
      <c r="D880">
        <v>4914.7910000000002</v>
      </c>
      <c r="E880" t="s">
        <v>6</v>
      </c>
      <c r="F880" t="s">
        <v>60</v>
      </c>
      <c r="G880" t="s">
        <v>5</v>
      </c>
    </row>
    <row r="881" spans="1:7" x14ac:dyDescent="0.3">
      <c r="A881" t="s">
        <v>15</v>
      </c>
      <c r="B881" s="1">
        <v>45961</v>
      </c>
      <c r="C881">
        <v>560002</v>
      </c>
      <c r="D881">
        <v>145.78700000000001</v>
      </c>
      <c r="E881" t="s">
        <v>6</v>
      </c>
      <c r="F881" t="s">
        <v>56</v>
      </c>
      <c r="G881" t="s">
        <v>5</v>
      </c>
    </row>
    <row r="882" spans="1:7" x14ac:dyDescent="0.3">
      <c r="A882" t="s">
        <v>15</v>
      </c>
      <c r="B882" s="1">
        <v>45961</v>
      </c>
      <c r="C882">
        <v>560006</v>
      </c>
      <c r="D882">
        <v>1046.25</v>
      </c>
      <c r="E882" t="s">
        <v>6</v>
      </c>
      <c r="F882" t="s">
        <v>56</v>
      </c>
      <c r="G882" t="s">
        <v>5</v>
      </c>
    </row>
    <row r="883" spans="1:7" x14ac:dyDescent="0.3">
      <c r="A883" t="s">
        <v>15</v>
      </c>
      <c r="B883" s="1">
        <v>45961</v>
      </c>
      <c r="C883">
        <v>560007</v>
      </c>
      <c r="D883">
        <v>1343.8720000000001</v>
      </c>
      <c r="E883" t="s">
        <v>6</v>
      </c>
      <c r="F883" t="s">
        <v>56</v>
      </c>
      <c r="G883" t="s">
        <v>5</v>
      </c>
    </row>
    <row r="884" spans="1:7" x14ac:dyDescent="0.3">
      <c r="A884" t="s">
        <v>15</v>
      </c>
      <c r="B884" s="1">
        <v>45961</v>
      </c>
      <c r="C884">
        <v>561002</v>
      </c>
      <c r="D884">
        <v>-4070.473</v>
      </c>
      <c r="E884" t="s">
        <v>6</v>
      </c>
      <c r="F884" t="s">
        <v>70</v>
      </c>
      <c r="G884" t="s">
        <v>5</v>
      </c>
    </row>
    <row r="885" spans="1:7" x14ac:dyDescent="0.3">
      <c r="A885" t="s">
        <v>15</v>
      </c>
      <c r="B885" s="1">
        <v>45961</v>
      </c>
      <c r="C885">
        <v>562002</v>
      </c>
      <c r="D885">
        <v>5406.3559999999998</v>
      </c>
      <c r="E885" t="s">
        <v>6</v>
      </c>
      <c r="F885" t="s">
        <v>57</v>
      </c>
      <c r="G885" t="s">
        <v>5</v>
      </c>
    </row>
    <row r="886" spans="1:7" x14ac:dyDescent="0.3">
      <c r="A886" t="s">
        <v>15</v>
      </c>
      <c r="B886" s="1">
        <v>45961</v>
      </c>
      <c r="C886">
        <v>563002</v>
      </c>
      <c r="D886">
        <v>5396.8710000000001</v>
      </c>
      <c r="E886" t="s">
        <v>6</v>
      </c>
      <c r="F886" t="s">
        <v>57</v>
      </c>
      <c r="G886" t="s">
        <v>5</v>
      </c>
    </row>
    <row r="887" spans="1:7" x14ac:dyDescent="0.3">
      <c r="A887" t="s">
        <v>15</v>
      </c>
      <c r="B887" s="1">
        <v>45961</v>
      </c>
      <c r="C887">
        <v>564004</v>
      </c>
      <c r="D887">
        <v>-605542.647</v>
      </c>
      <c r="E887" t="s">
        <v>6</v>
      </c>
      <c r="F887" t="s">
        <v>51</v>
      </c>
      <c r="G887" t="s">
        <v>5</v>
      </c>
    </row>
    <row r="888" spans="1:7" x14ac:dyDescent="0.3">
      <c r="A888" t="s">
        <v>15</v>
      </c>
      <c r="B888" s="1">
        <v>45961</v>
      </c>
      <c r="C888">
        <v>564005</v>
      </c>
      <c r="D888">
        <v>14918.761</v>
      </c>
      <c r="E888" t="s">
        <v>6</v>
      </c>
      <c r="F888" t="s">
        <v>56</v>
      </c>
      <c r="G888" t="s">
        <v>5</v>
      </c>
    </row>
    <row r="889" spans="1:7" x14ac:dyDescent="0.3">
      <c r="A889" t="s">
        <v>15</v>
      </c>
      <c r="B889" s="1">
        <v>45961</v>
      </c>
      <c r="C889">
        <v>564006</v>
      </c>
      <c r="D889">
        <v>9.5589999999999993</v>
      </c>
      <c r="E889" t="s">
        <v>6</v>
      </c>
      <c r="F889" t="s">
        <v>57</v>
      </c>
      <c r="G889" t="s">
        <v>5</v>
      </c>
    </row>
    <row r="890" spans="1:7" x14ac:dyDescent="0.3">
      <c r="A890" t="s">
        <v>15</v>
      </c>
      <c r="B890" s="1">
        <v>45961</v>
      </c>
      <c r="C890">
        <v>564007</v>
      </c>
      <c r="D890">
        <v>0.14000000000000001</v>
      </c>
      <c r="E890" t="s">
        <v>6</v>
      </c>
      <c r="F890" t="s">
        <v>57</v>
      </c>
      <c r="G890" t="s">
        <v>5</v>
      </c>
    </row>
    <row r="891" spans="1:7" x14ac:dyDescent="0.3">
      <c r="A891" t="s">
        <v>15</v>
      </c>
      <c r="B891" s="1">
        <v>45961</v>
      </c>
      <c r="C891">
        <v>564008</v>
      </c>
      <c r="D891">
        <v>2041.857</v>
      </c>
      <c r="E891" t="s">
        <v>6</v>
      </c>
      <c r="F891" t="s">
        <v>55</v>
      </c>
      <c r="G891" t="s">
        <v>5</v>
      </c>
    </row>
    <row r="892" spans="1:7" x14ac:dyDescent="0.3">
      <c r="A892" t="s">
        <v>15</v>
      </c>
      <c r="B892" s="1">
        <v>45961</v>
      </c>
      <c r="C892">
        <v>564011</v>
      </c>
      <c r="D892">
        <v>944.14400000000001</v>
      </c>
      <c r="E892" t="s">
        <v>6</v>
      </c>
      <c r="F892" t="s">
        <v>55</v>
      </c>
      <c r="G892" t="s">
        <v>5</v>
      </c>
    </row>
    <row r="893" spans="1:7" x14ac:dyDescent="0.3">
      <c r="A893" t="s">
        <v>15</v>
      </c>
      <c r="B893" s="1">
        <v>45961</v>
      </c>
      <c r="C893">
        <v>564014</v>
      </c>
      <c r="D893">
        <v>2954.8130000000001</v>
      </c>
      <c r="E893" t="s">
        <v>6</v>
      </c>
      <c r="F893" t="s">
        <v>55</v>
      </c>
      <c r="G893" t="s">
        <v>5</v>
      </c>
    </row>
    <row r="894" spans="1:7" x14ac:dyDescent="0.3">
      <c r="A894" t="s">
        <v>15</v>
      </c>
      <c r="B894" s="1">
        <v>45961</v>
      </c>
      <c r="C894">
        <v>564015</v>
      </c>
      <c r="D894">
        <v>44065.046000000002</v>
      </c>
      <c r="E894" t="s">
        <v>6</v>
      </c>
      <c r="F894" t="s">
        <v>55</v>
      </c>
      <c r="G894" t="s">
        <v>5</v>
      </c>
    </row>
    <row r="895" spans="1:7" x14ac:dyDescent="0.3">
      <c r="A895" t="s">
        <v>15</v>
      </c>
      <c r="B895" s="1">
        <v>45961</v>
      </c>
      <c r="C895">
        <v>564016</v>
      </c>
      <c r="D895">
        <v>39989.362999999998</v>
      </c>
      <c r="E895" t="s">
        <v>6</v>
      </c>
      <c r="F895" t="s">
        <v>55</v>
      </c>
      <c r="G895" t="s">
        <v>5</v>
      </c>
    </row>
    <row r="896" spans="1:7" x14ac:dyDescent="0.3">
      <c r="A896" t="s">
        <v>15</v>
      </c>
      <c r="B896" s="1">
        <v>45961</v>
      </c>
      <c r="C896">
        <v>564017</v>
      </c>
      <c r="D896">
        <v>35030.69</v>
      </c>
      <c r="E896" t="s">
        <v>6</v>
      </c>
      <c r="F896" t="s">
        <v>55</v>
      </c>
      <c r="G896" t="s">
        <v>5</v>
      </c>
    </row>
    <row r="897" spans="1:7" x14ac:dyDescent="0.3">
      <c r="A897" t="s">
        <v>15</v>
      </c>
      <c r="B897" s="1">
        <v>45961</v>
      </c>
      <c r="C897">
        <v>564019</v>
      </c>
      <c r="D897">
        <v>-85742.557000000001</v>
      </c>
      <c r="E897" t="s">
        <v>6</v>
      </c>
      <c r="F897" t="s">
        <v>51</v>
      </c>
      <c r="G897" t="s">
        <v>5</v>
      </c>
    </row>
    <row r="898" spans="1:7" x14ac:dyDescent="0.3">
      <c r="A898" t="s">
        <v>15</v>
      </c>
      <c r="B898" s="1">
        <v>45961</v>
      </c>
      <c r="C898">
        <v>564020</v>
      </c>
      <c r="D898">
        <v>2522.0859999999998</v>
      </c>
      <c r="E898" t="s">
        <v>6</v>
      </c>
      <c r="F898" t="s">
        <v>57</v>
      </c>
      <c r="G898" t="s">
        <v>5</v>
      </c>
    </row>
    <row r="899" spans="1:7" x14ac:dyDescent="0.3">
      <c r="A899" t="s">
        <v>15</v>
      </c>
      <c r="B899" s="1">
        <v>45961</v>
      </c>
      <c r="C899">
        <v>564021</v>
      </c>
      <c r="D899">
        <v>331.959</v>
      </c>
      <c r="E899" t="s">
        <v>6</v>
      </c>
      <c r="F899" t="s">
        <v>57</v>
      </c>
      <c r="G899" t="s">
        <v>5</v>
      </c>
    </row>
    <row r="900" spans="1:7" x14ac:dyDescent="0.3">
      <c r="A900" t="s">
        <v>15</v>
      </c>
      <c r="B900" s="1">
        <v>45961</v>
      </c>
      <c r="C900">
        <v>564023</v>
      </c>
      <c r="D900">
        <v>5967.4669999999996</v>
      </c>
      <c r="E900" t="s">
        <v>6</v>
      </c>
      <c r="F900" t="s">
        <v>67</v>
      </c>
      <c r="G900" t="s">
        <v>5</v>
      </c>
    </row>
    <row r="901" spans="1:7" x14ac:dyDescent="0.3">
      <c r="A901" t="s">
        <v>15</v>
      </c>
      <c r="B901" s="1">
        <v>45961</v>
      </c>
      <c r="C901">
        <v>564030</v>
      </c>
      <c r="D901">
        <v>54623.459000000003</v>
      </c>
      <c r="E901" t="s">
        <v>6</v>
      </c>
      <c r="F901" t="s">
        <v>69</v>
      </c>
      <c r="G901" t="s">
        <v>5</v>
      </c>
    </row>
    <row r="902" spans="1:7" x14ac:dyDescent="0.3">
      <c r="A902" t="s">
        <v>15</v>
      </c>
      <c r="B902" s="1">
        <v>45961</v>
      </c>
      <c r="C902">
        <v>570002</v>
      </c>
      <c r="D902">
        <v>438708.46299999999</v>
      </c>
      <c r="E902" t="s">
        <v>6</v>
      </c>
      <c r="F902" t="s">
        <v>66</v>
      </c>
      <c r="G902" t="s">
        <v>5</v>
      </c>
    </row>
    <row r="903" spans="1:7" x14ac:dyDescent="0.3">
      <c r="A903" t="s">
        <v>15</v>
      </c>
      <c r="B903" s="1">
        <v>45961</v>
      </c>
      <c r="C903">
        <v>570004</v>
      </c>
      <c r="D903">
        <v>243920.50899999999</v>
      </c>
      <c r="E903" t="s">
        <v>6</v>
      </c>
      <c r="F903" t="s">
        <v>66</v>
      </c>
      <c r="G903" t="s">
        <v>5</v>
      </c>
    </row>
    <row r="904" spans="1:7" x14ac:dyDescent="0.3">
      <c r="A904" t="s">
        <v>15</v>
      </c>
      <c r="B904" s="1">
        <v>45961</v>
      </c>
      <c r="C904">
        <v>580002</v>
      </c>
      <c r="D904">
        <v>667308.26300000004</v>
      </c>
      <c r="E904" t="s">
        <v>6</v>
      </c>
      <c r="F904" t="s">
        <v>64</v>
      </c>
      <c r="G904" t="s">
        <v>5</v>
      </c>
    </row>
    <row r="905" spans="1:7" x14ac:dyDescent="0.3">
      <c r="A905" t="s">
        <v>15</v>
      </c>
      <c r="B905" s="1">
        <v>45961</v>
      </c>
      <c r="C905">
        <v>580003</v>
      </c>
      <c r="D905">
        <v>-16401.189999999999</v>
      </c>
      <c r="E905" t="s">
        <v>6</v>
      </c>
      <c r="F905" t="s">
        <v>64</v>
      </c>
      <c r="G905" t="s">
        <v>5</v>
      </c>
    </row>
    <row r="906" spans="1:7" x14ac:dyDescent="0.3">
      <c r="A906" t="s">
        <v>15</v>
      </c>
      <c r="B906" s="1">
        <v>45961</v>
      </c>
      <c r="C906">
        <v>580005</v>
      </c>
      <c r="D906">
        <v>-3983.107</v>
      </c>
      <c r="E906" t="s">
        <v>6</v>
      </c>
      <c r="F906" t="s">
        <v>64</v>
      </c>
      <c r="G906" t="s">
        <v>5</v>
      </c>
    </row>
    <row r="907" spans="1:7" x14ac:dyDescent="0.3">
      <c r="A907" t="s">
        <v>15</v>
      </c>
      <c r="B907" s="1">
        <v>45961</v>
      </c>
      <c r="C907">
        <v>590002</v>
      </c>
      <c r="D907">
        <v>1302025.2120000001</v>
      </c>
      <c r="E907" t="s">
        <v>4</v>
      </c>
      <c r="F907" t="s">
        <v>42</v>
      </c>
      <c r="G907" t="s">
        <v>5</v>
      </c>
    </row>
    <row r="908" spans="1:7" x14ac:dyDescent="0.3">
      <c r="A908" t="s">
        <v>16</v>
      </c>
      <c r="B908" s="1">
        <v>45961</v>
      </c>
      <c r="C908">
        <v>210002</v>
      </c>
      <c r="D908">
        <v>48946.078999999998</v>
      </c>
      <c r="E908" t="s">
        <v>4</v>
      </c>
      <c r="F908" t="s">
        <v>42</v>
      </c>
      <c r="G908" t="s">
        <v>5</v>
      </c>
    </row>
    <row r="909" spans="1:7" x14ac:dyDescent="0.3">
      <c r="A909" t="s">
        <v>16</v>
      </c>
      <c r="B909" s="1">
        <v>45961</v>
      </c>
      <c r="C909">
        <v>220003</v>
      </c>
      <c r="D909">
        <v>-3170112.03</v>
      </c>
      <c r="E909" t="s">
        <v>4</v>
      </c>
      <c r="F909" t="s">
        <v>42</v>
      </c>
      <c r="G909" t="s">
        <v>5</v>
      </c>
    </row>
    <row r="910" spans="1:7" x14ac:dyDescent="0.3">
      <c r="A910" t="s">
        <v>16</v>
      </c>
      <c r="B910" s="1">
        <v>45961</v>
      </c>
      <c r="C910">
        <v>220004</v>
      </c>
      <c r="D910">
        <v>-707177.39500000002</v>
      </c>
      <c r="E910" t="s">
        <v>4</v>
      </c>
      <c r="F910" t="s">
        <v>42</v>
      </c>
      <c r="G910" t="s">
        <v>5</v>
      </c>
    </row>
    <row r="911" spans="1:7" x14ac:dyDescent="0.3">
      <c r="A911" t="s">
        <v>16</v>
      </c>
      <c r="B911" s="1">
        <v>45961</v>
      </c>
      <c r="C911">
        <v>220006</v>
      </c>
      <c r="D911">
        <v>4334952.2359999996</v>
      </c>
      <c r="E911" t="s">
        <v>4</v>
      </c>
      <c r="F911" t="s">
        <v>42</v>
      </c>
      <c r="G911" t="s">
        <v>5</v>
      </c>
    </row>
    <row r="912" spans="1:7" x14ac:dyDescent="0.3">
      <c r="A912" t="s">
        <v>16</v>
      </c>
      <c r="B912" s="1">
        <v>45961</v>
      </c>
      <c r="C912">
        <v>220007</v>
      </c>
      <c r="D912">
        <v>-459606.32900000003</v>
      </c>
      <c r="E912" t="s">
        <v>4</v>
      </c>
      <c r="F912" t="s">
        <v>42</v>
      </c>
      <c r="G912" t="s">
        <v>5</v>
      </c>
    </row>
    <row r="913" spans="1:7" x14ac:dyDescent="0.3">
      <c r="A913" t="s">
        <v>16</v>
      </c>
      <c r="B913" s="1">
        <v>45961</v>
      </c>
      <c r="C913">
        <v>310016</v>
      </c>
      <c r="D913">
        <v>-7227.65</v>
      </c>
      <c r="E913" t="s">
        <v>4</v>
      </c>
      <c r="F913" t="s">
        <v>42</v>
      </c>
      <c r="G913" t="s">
        <v>5</v>
      </c>
    </row>
    <row r="914" spans="1:7" x14ac:dyDescent="0.3">
      <c r="A914" t="s">
        <v>16</v>
      </c>
      <c r="B914" s="1">
        <v>45961</v>
      </c>
      <c r="C914">
        <v>310017</v>
      </c>
      <c r="D914">
        <v>-39387.707000000002</v>
      </c>
      <c r="E914" t="s">
        <v>4</v>
      </c>
      <c r="F914" t="s">
        <v>42</v>
      </c>
      <c r="G914" t="s">
        <v>5</v>
      </c>
    </row>
    <row r="915" spans="1:7" x14ac:dyDescent="0.3">
      <c r="A915" t="s">
        <v>16</v>
      </c>
      <c r="B915" s="1">
        <v>45961</v>
      </c>
      <c r="C915">
        <v>310021</v>
      </c>
      <c r="D915">
        <v>-63.031999999999996</v>
      </c>
      <c r="E915" t="s">
        <v>4</v>
      </c>
      <c r="F915" t="s">
        <v>42</v>
      </c>
      <c r="G915" t="s">
        <v>5</v>
      </c>
    </row>
    <row r="916" spans="1:7" x14ac:dyDescent="0.3">
      <c r="A916" t="s">
        <v>16</v>
      </c>
      <c r="B916" s="1">
        <v>45961</v>
      </c>
      <c r="C916">
        <v>310032</v>
      </c>
      <c r="D916">
        <v>-324.173</v>
      </c>
      <c r="E916" t="s">
        <v>4</v>
      </c>
      <c r="F916" t="s">
        <v>42</v>
      </c>
      <c r="G916" t="s">
        <v>5</v>
      </c>
    </row>
    <row r="917" spans="1:7" x14ac:dyDescent="0.3">
      <c r="A917" t="s">
        <v>18</v>
      </c>
      <c r="B917" s="1">
        <v>45961</v>
      </c>
      <c r="C917">
        <v>220006</v>
      </c>
      <c r="D917">
        <v>1589.453</v>
      </c>
      <c r="E917" t="s">
        <v>4</v>
      </c>
      <c r="F917" t="s">
        <v>42</v>
      </c>
      <c r="G917" t="s">
        <v>5</v>
      </c>
    </row>
    <row r="918" spans="1:7" x14ac:dyDescent="0.3">
      <c r="A918" t="s">
        <v>18</v>
      </c>
      <c r="B918" s="1">
        <v>45961</v>
      </c>
      <c r="C918">
        <v>420003</v>
      </c>
      <c r="D918">
        <v>-0.92600000000000005</v>
      </c>
      <c r="E918" t="s">
        <v>6</v>
      </c>
      <c r="F918" t="s">
        <v>52</v>
      </c>
      <c r="G918" t="s">
        <v>5</v>
      </c>
    </row>
    <row r="919" spans="1:7" x14ac:dyDescent="0.3">
      <c r="A919" t="s">
        <v>18</v>
      </c>
      <c r="B919" s="1">
        <v>45961</v>
      </c>
      <c r="C919">
        <v>421002</v>
      </c>
      <c r="D919">
        <v>16.433</v>
      </c>
      <c r="E919" t="s">
        <v>6</v>
      </c>
      <c r="F919" t="s">
        <v>52</v>
      </c>
      <c r="G919" t="s">
        <v>5</v>
      </c>
    </row>
    <row r="920" spans="1:7" x14ac:dyDescent="0.3">
      <c r="A920" t="s">
        <v>18</v>
      </c>
      <c r="B920" s="1">
        <v>45961</v>
      </c>
      <c r="C920">
        <v>421003</v>
      </c>
      <c r="D920">
        <v>-1962.123</v>
      </c>
      <c r="E920" t="s">
        <v>6</v>
      </c>
      <c r="F920" t="s">
        <v>52</v>
      </c>
      <c r="G920" t="s">
        <v>5</v>
      </c>
    </row>
    <row r="921" spans="1:7" x14ac:dyDescent="0.3">
      <c r="A921" t="s">
        <v>18</v>
      </c>
      <c r="B921" s="1">
        <v>45961</v>
      </c>
      <c r="C921">
        <v>564021</v>
      </c>
      <c r="D921">
        <v>5.2789999999999999</v>
      </c>
      <c r="E921" t="s">
        <v>6</v>
      </c>
      <c r="F921" t="s">
        <v>57</v>
      </c>
      <c r="G921" t="s">
        <v>5</v>
      </c>
    </row>
    <row r="922" spans="1:7" x14ac:dyDescent="0.3">
      <c r="A922" t="s">
        <v>18</v>
      </c>
      <c r="B922" s="1">
        <v>45961</v>
      </c>
      <c r="C922">
        <v>580005</v>
      </c>
      <c r="D922">
        <v>300.75</v>
      </c>
      <c r="E922" t="s">
        <v>6</v>
      </c>
      <c r="F922" t="s">
        <v>64</v>
      </c>
      <c r="G922" t="s">
        <v>5</v>
      </c>
    </row>
    <row r="923" spans="1:7" x14ac:dyDescent="0.3">
      <c r="A923" t="s">
        <v>19</v>
      </c>
      <c r="B923" s="1">
        <v>45961</v>
      </c>
      <c r="C923">
        <v>210002</v>
      </c>
      <c r="D923">
        <v>-41426.057999999997</v>
      </c>
      <c r="E923" t="s">
        <v>4</v>
      </c>
      <c r="F923" t="s">
        <v>42</v>
      </c>
      <c r="G923" t="s">
        <v>5</v>
      </c>
    </row>
    <row r="924" spans="1:7" x14ac:dyDescent="0.3">
      <c r="A924" t="s">
        <v>19</v>
      </c>
      <c r="B924" s="1">
        <v>45961</v>
      </c>
      <c r="C924">
        <v>220006</v>
      </c>
      <c r="D924">
        <v>-339577.55699999997</v>
      </c>
      <c r="E924" t="s">
        <v>4</v>
      </c>
      <c r="F924" t="s">
        <v>42</v>
      </c>
      <c r="G924" t="s">
        <v>5</v>
      </c>
    </row>
    <row r="925" spans="1:7" x14ac:dyDescent="0.3">
      <c r="A925" t="s">
        <v>19</v>
      </c>
      <c r="B925" s="1">
        <v>45961</v>
      </c>
      <c r="C925">
        <v>240002</v>
      </c>
      <c r="D925">
        <v>1039.17</v>
      </c>
      <c r="E925" t="s">
        <v>4</v>
      </c>
      <c r="F925" t="s">
        <v>43</v>
      </c>
      <c r="G925" t="s">
        <v>5</v>
      </c>
    </row>
    <row r="926" spans="1:7" x14ac:dyDescent="0.3">
      <c r="A926" t="s">
        <v>19</v>
      </c>
      <c r="B926" s="1">
        <v>45961</v>
      </c>
      <c r="C926">
        <v>240009</v>
      </c>
      <c r="D926">
        <v>-1140.9760000000001</v>
      </c>
      <c r="E926" t="s">
        <v>4</v>
      </c>
      <c r="F926" t="s">
        <v>43</v>
      </c>
      <c r="G926" t="s">
        <v>5</v>
      </c>
    </row>
    <row r="927" spans="1:7" x14ac:dyDescent="0.3">
      <c r="A927" t="s">
        <v>19</v>
      </c>
      <c r="B927" s="1">
        <v>45961</v>
      </c>
      <c r="C927">
        <v>242003</v>
      </c>
      <c r="D927">
        <v>-6977.91</v>
      </c>
      <c r="E927" t="s">
        <v>4</v>
      </c>
      <c r="F927" t="s">
        <v>43</v>
      </c>
      <c r="G927" t="s">
        <v>5</v>
      </c>
    </row>
    <row r="928" spans="1:7" x14ac:dyDescent="0.3">
      <c r="A928" t="s">
        <v>19</v>
      </c>
      <c r="B928" s="1">
        <v>45961</v>
      </c>
      <c r="C928">
        <v>242041</v>
      </c>
      <c r="D928">
        <v>32.283000000000001</v>
      </c>
      <c r="E928" t="s">
        <v>4</v>
      </c>
      <c r="F928" t="s">
        <v>43</v>
      </c>
      <c r="G928" t="s">
        <v>5</v>
      </c>
    </row>
    <row r="929" spans="1:7" x14ac:dyDescent="0.3">
      <c r="A929" t="s">
        <v>19</v>
      </c>
      <c r="B929" s="1">
        <v>45961</v>
      </c>
      <c r="C929">
        <v>243002</v>
      </c>
      <c r="D929">
        <v>-1419.5630000000001</v>
      </c>
      <c r="E929" t="s">
        <v>4</v>
      </c>
      <c r="F929" t="s">
        <v>43</v>
      </c>
      <c r="G929" t="s">
        <v>5</v>
      </c>
    </row>
    <row r="930" spans="1:7" x14ac:dyDescent="0.3">
      <c r="A930" t="s">
        <v>19</v>
      </c>
      <c r="B930" s="1">
        <v>45961</v>
      </c>
      <c r="C930">
        <v>245010</v>
      </c>
      <c r="D930">
        <v>-4322.99</v>
      </c>
      <c r="E930" t="s">
        <v>4</v>
      </c>
      <c r="F930" t="s">
        <v>44</v>
      </c>
      <c r="G930" t="s">
        <v>5</v>
      </c>
    </row>
    <row r="931" spans="1:7" x14ac:dyDescent="0.3">
      <c r="A931" t="s">
        <v>19</v>
      </c>
      <c r="B931" s="1">
        <v>45961</v>
      </c>
      <c r="C931">
        <v>245062</v>
      </c>
      <c r="D931">
        <v>-2528.9349999999999</v>
      </c>
      <c r="E931" t="s">
        <v>4</v>
      </c>
      <c r="F931" t="s">
        <v>43</v>
      </c>
      <c r="G931" t="s">
        <v>5</v>
      </c>
    </row>
    <row r="932" spans="1:7" x14ac:dyDescent="0.3">
      <c r="A932" t="s">
        <v>19</v>
      </c>
      <c r="B932" s="1">
        <v>45961</v>
      </c>
      <c r="C932">
        <v>249002</v>
      </c>
      <c r="D932">
        <v>-14051.186</v>
      </c>
      <c r="E932" t="s">
        <v>4</v>
      </c>
      <c r="F932" t="s">
        <v>44</v>
      </c>
      <c r="G932" t="s">
        <v>5</v>
      </c>
    </row>
    <row r="933" spans="1:7" x14ac:dyDescent="0.3">
      <c r="A933" t="s">
        <v>19</v>
      </c>
      <c r="B933" s="1">
        <v>45961</v>
      </c>
      <c r="C933">
        <v>251003</v>
      </c>
      <c r="D933">
        <v>-2717.0650000000001</v>
      </c>
      <c r="E933" t="s">
        <v>4</v>
      </c>
      <c r="F933" t="s">
        <v>45</v>
      </c>
      <c r="G933" t="s">
        <v>5</v>
      </c>
    </row>
    <row r="934" spans="1:7" x14ac:dyDescent="0.3">
      <c r="A934" t="s">
        <v>19</v>
      </c>
      <c r="B934" s="1">
        <v>45961</v>
      </c>
      <c r="C934">
        <v>260004</v>
      </c>
      <c r="D934">
        <v>-218.15</v>
      </c>
      <c r="E934" t="s">
        <v>4</v>
      </c>
      <c r="F934" t="s">
        <v>45</v>
      </c>
      <c r="G934" t="s">
        <v>5</v>
      </c>
    </row>
    <row r="935" spans="1:7" x14ac:dyDescent="0.3">
      <c r="A935" t="s">
        <v>19</v>
      </c>
      <c r="B935" s="1">
        <v>45961</v>
      </c>
      <c r="C935">
        <v>300005</v>
      </c>
      <c r="D935">
        <v>6892.11</v>
      </c>
      <c r="E935" t="s">
        <v>4</v>
      </c>
      <c r="F935" t="s">
        <v>65</v>
      </c>
      <c r="G935" t="s">
        <v>5</v>
      </c>
    </row>
    <row r="936" spans="1:7" x14ac:dyDescent="0.3">
      <c r="A936" t="s">
        <v>19</v>
      </c>
      <c r="B936" s="1">
        <v>45961</v>
      </c>
      <c r="C936">
        <v>300008</v>
      </c>
      <c r="D936">
        <v>5057.2960000000003</v>
      </c>
      <c r="E936" t="s">
        <v>4</v>
      </c>
      <c r="F936" t="s">
        <v>65</v>
      </c>
      <c r="G936" t="s">
        <v>5</v>
      </c>
    </row>
    <row r="937" spans="1:7" x14ac:dyDescent="0.3">
      <c r="A937" t="s">
        <v>19</v>
      </c>
      <c r="B937" s="1">
        <v>45961</v>
      </c>
      <c r="C937">
        <v>300011</v>
      </c>
      <c r="D937">
        <v>20.789000000000001</v>
      </c>
      <c r="E937" t="s">
        <v>4</v>
      </c>
      <c r="F937" t="s">
        <v>65</v>
      </c>
      <c r="G937" t="s">
        <v>5</v>
      </c>
    </row>
    <row r="938" spans="1:7" x14ac:dyDescent="0.3">
      <c r="A938" t="s">
        <v>19</v>
      </c>
      <c r="B938" s="1">
        <v>45961</v>
      </c>
      <c r="C938">
        <v>300012</v>
      </c>
      <c r="D938">
        <v>3911.971</v>
      </c>
      <c r="E938" t="s">
        <v>4</v>
      </c>
      <c r="F938" t="s">
        <v>65</v>
      </c>
      <c r="G938" t="s">
        <v>5</v>
      </c>
    </row>
    <row r="939" spans="1:7" x14ac:dyDescent="0.3">
      <c r="A939" t="s">
        <v>19</v>
      </c>
      <c r="B939" s="1">
        <v>45961</v>
      </c>
      <c r="C939">
        <v>300505</v>
      </c>
      <c r="D939">
        <v>-6656.9560000000001</v>
      </c>
      <c r="E939" t="s">
        <v>4</v>
      </c>
      <c r="F939" t="s">
        <v>65</v>
      </c>
      <c r="G939" t="s">
        <v>5</v>
      </c>
    </row>
    <row r="940" spans="1:7" x14ac:dyDescent="0.3">
      <c r="A940" t="s">
        <v>19</v>
      </c>
      <c r="B940" s="1">
        <v>45961</v>
      </c>
      <c r="C940">
        <v>300508</v>
      </c>
      <c r="D940">
        <v>-5057.2960000000003</v>
      </c>
      <c r="E940" t="s">
        <v>4</v>
      </c>
      <c r="F940" t="s">
        <v>65</v>
      </c>
      <c r="G940" t="s">
        <v>5</v>
      </c>
    </row>
    <row r="941" spans="1:7" x14ac:dyDescent="0.3">
      <c r="A941" t="s">
        <v>19</v>
      </c>
      <c r="B941" s="1">
        <v>45961</v>
      </c>
      <c r="C941">
        <v>300511</v>
      </c>
      <c r="D941">
        <v>-20.789000000000001</v>
      </c>
      <c r="E941" t="s">
        <v>4</v>
      </c>
      <c r="F941" t="s">
        <v>65</v>
      </c>
      <c r="G941" t="s">
        <v>5</v>
      </c>
    </row>
    <row r="942" spans="1:7" x14ac:dyDescent="0.3">
      <c r="A942" t="s">
        <v>19</v>
      </c>
      <c r="B942" s="1">
        <v>45961</v>
      </c>
      <c r="C942">
        <v>300512</v>
      </c>
      <c r="D942">
        <v>-3911.971</v>
      </c>
      <c r="E942" t="s">
        <v>4</v>
      </c>
      <c r="F942" t="s">
        <v>65</v>
      </c>
      <c r="G942" t="s">
        <v>5</v>
      </c>
    </row>
    <row r="943" spans="1:7" x14ac:dyDescent="0.3">
      <c r="A943" t="s">
        <v>19</v>
      </c>
      <c r="B943" s="1">
        <v>45961</v>
      </c>
      <c r="C943">
        <v>320002</v>
      </c>
      <c r="D943">
        <v>32876.593999999997</v>
      </c>
      <c r="E943" t="s">
        <v>4</v>
      </c>
      <c r="F943" t="s">
        <v>46</v>
      </c>
      <c r="G943" t="s">
        <v>5</v>
      </c>
    </row>
    <row r="944" spans="1:7" x14ac:dyDescent="0.3">
      <c r="A944" t="s">
        <v>19</v>
      </c>
      <c r="B944" s="1">
        <v>45961</v>
      </c>
      <c r="C944">
        <v>320003</v>
      </c>
      <c r="D944">
        <v>4041.239</v>
      </c>
      <c r="E944" t="s">
        <v>4</v>
      </c>
      <c r="F944" t="s">
        <v>46</v>
      </c>
      <c r="G944" t="s">
        <v>5</v>
      </c>
    </row>
    <row r="945" spans="1:7" x14ac:dyDescent="0.3">
      <c r="A945" t="s">
        <v>19</v>
      </c>
      <c r="B945" s="1">
        <v>45961</v>
      </c>
      <c r="C945">
        <v>320004</v>
      </c>
      <c r="D945">
        <v>0.57799999999999996</v>
      </c>
      <c r="E945" t="s">
        <v>4</v>
      </c>
      <c r="F945" t="s">
        <v>46</v>
      </c>
      <c r="G945" t="s">
        <v>5</v>
      </c>
    </row>
    <row r="946" spans="1:7" x14ac:dyDescent="0.3">
      <c r="A946" t="s">
        <v>19</v>
      </c>
      <c r="B946" s="1">
        <v>45961</v>
      </c>
      <c r="C946">
        <v>321006</v>
      </c>
      <c r="D946">
        <v>25508.977999999999</v>
      </c>
      <c r="E946" t="s">
        <v>4</v>
      </c>
      <c r="F946" t="s">
        <v>46</v>
      </c>
      <c r="G946" t="s">
        <v>5</v>
      </c>
    </row>
    <row r="947" spans="1:7" x14ac:dyDescent="0.3">
      <c r="A947" t="s">
        <v>19</v>
      </c>
      <c r="B947" s="1">
        <v>45961</v>
      </c>
      <c r="C947">
        <v>321014</v>
      </c>
      <c r="D947">
        <v>12775.223</v>
      </c>
      <c r="E947" t="s">
        <v>4</v>
      </c>
      <c r="F947" t="s">
        <v>46</v>
      </c>
      <c r="G947" t="s">
        <v>5</v>
      </c>
    </row>
    <row r="948" spans="1:7" x14ac:dyDescent="0.3">
      <c r="A948" t="s">
        <v>19</v>
      </c>
      <c r="B948" s="1">
        <v>45961</v>
      </c>
      <c r="C948">
        <v>321031</v>
      </c>
      <c r="D948">
        <v>9775.5460000000003</v>
      </c>
      <c r="E948" t="s">
        <v>4</v>
      </c>
      <c r="F948" t="s">
        <v>46</v>
      </c>
      <c r="G948" t="s">
        <v>5</v>
      </c>
    </row>
    <row r="949" spans="1:7" x14ac:dyDescent="0.3">
      <c r="A949" t="s">
        <v>19</v>
      </c>
      <c r="B949" s="1">
        <v>45961</v>
      </c>
      <c r="C949">
        <v>321042</v>
      </c>
      <c r="D949">
        <v>-29.474</v>
      </c>
      <c r="E949" t="s">
        <v>4</v>
      </c>
      <c r="F949" t="s">
        <v>46</v>
      </c>
      <c r="G949" t="s">
        <v>5</v>
      </c>
    </row>
    <row r="950" spans="1:7" x14ac:dyDescent="0.3">
      <c r="A950" t="s">
        <v>19</v>
      </c>
      <c r="B950" s="1">
        <v>45961</v>
      </c>
      <c r="C950">
        <v>330049</v>
      </c>
      <c r="D950">
        <v>172069.79199999999</v>
      </c>
      <c r="E950" t="s">
        <v>4</v>
      </c>
      <c r="F950" t="s">
        <v>43</v>
      </c>
      <c r="G950" t="s">
        <v>5</v>
      </c>
    </row>
    <row r="951" spans="1:7" x14ac:dyDescent="0.3">
      <c r="A951" t="s">
        <v>19</v>
      </c>
      <c r="B951" s="1">
        <v>45961</v>
      </c>
      <c r="C951">
        <v>340101</v>
      </c>
      <c r="D951">
        <v>4808.7979999999998</v>
      </c>
      <c r="E951" t="s">
        <v>4</v>
      </c>
      <c r="F951" t="s">
        <v>48</v>
      </c>
      <c r="G951" t="s">
        <v>5</v>
      </c>
    </row>
    <row r="952" spans="1:7" x14ac:dyDescent="0.3">
      <c r="A952" t="s">
        <v>19</v>
      </c>
      <c r="B952" s="1">
        <v>45961</v>
      </c>
      <c r="C952">
        <v>340121</v>
      </c>
      <c r="D952">
        <v>122251.258</v>
      </c>
      <c r="E952" t="s">
        <v>4</v>
      </c>
      <c r="F952" t="s">
        <v>47</v>
      </c>
      <c r="G952" t="s">
        <v>5</v>
      </c>
    </row>
    <row r="953" spans="1:7" x14ac:dyDescent="0.3">
      <c r="A953" t="s">
        <v>19</v>
      </c>
      <c r="B953" s="1">
        <v>45961</v>
      </c>
      <c r="C953">
        <v>340325</v>
      </c>
      <c r="D953">
        <v>8630.7800000000007</v>
      </c>
      <c r="E953" t="s">
        <v>4</v>
      </c>
      <c r="F953" t="s">
        <v>47</v>
      </c>
      <c r="G953" t="s">
        <v>5</v>
      </c>
    </row>
    <row r="954" spans="1:7" x14ac:dyDescent="0.3">
      <c r="A954" t="s">
        <v>19</v>
      </c>
      <c r="B954" s="1">
        <v>45961</v>
      </c>
      <c r="C954">
        <v>350003</v>
      </c>
      <c r="D954">
        <v>59.201000000000001</v>
      </c>
      <c r="E954" t="s">
        <v>4</v>
      </c>
      <c r="F954" t="s">
        <v>49</v>
      </c>
      <c r="G954" t="s">
        <v>5</v>
      </c>
    </row>
    <row r="955" spans="1:7" x14ac:dyDescent="0.3">
      <c r="A955" t="s">
        <v>19</v>
      </c>
      <c r="B955" s="1">
        <v>45961</v>
      </c>
      <c r="C955">
        <v>350031</v>
      </c>
      <c r="D955">
        <v>1140.9760000000001</v>
      </c>
      <c r="E955" t="s">
        <v>4</v>
      </c>
      <c r="F955" t="s">
        <v>43</v>
      </c>
      <c r="G955" t="s">
        <v>5</v>
      </c>
    </row>
    <row r="956" spans="1:7" x14ac:dyDescent="0.3">
      <c r="A956" t="s">
        <v>19</v>
      </c>
      <c r="B956" s="1">
        <v>45961</v>
      </c>
      <c r="C956">
        <v>352002</v>
      </c>
      <c r="D956">
        <v>1048.1759999999999</v>
      </c>
      <c r="E956" t="s">
        <v>4</v>
      </c>
      <c r="F956" t="s">
        <v>48</v>
      </c>
      <c r="G956" t="s">
        <v>5</v>
      </c>
    </row>
    <row r="957" spans="1:7" x14ac:dyDescent="0.3">
      <c r="A957" t="s">
        <v>19</v>
      </c>
      <c r="B957" s="1">
        <v>45961</v>
      </c>
      <c r="C957">
        <v>355016</v>
      </c>
      <c r="D957">
        <v>4090.6480000000001</v>
      </c>
      <c r="E957" t="s">
        <v>4</v>
      </c>
      <c r="F957" t="s">
        <v>49</v>
      </c>
      <c r="G957" t="s">
        <v>5</v>
      </c>
    </row>
    <row r="958" spans="1:7" x14ac:dyDescent="0.3">
      <c r="A958" t="s">
        <v>19</v>
      </c>
      <c r="B958" s="1">
        <v>45961</v>
      </c>
      <c r="C958">
        <v>355018</v>
      </c>
      <c r="D958">
        <v>9.9610000000000003</v>
      </c>
      <c r="E958" t="s">
        <v>4</v>
      </c>
      <c r="F958" t="s">
        <v>49</v>
      </c>
      <c r="G958" t="s">
        <v>5</v>
      </c>
    </row>
    <row r="959" spans="1:7" x14ac:dyDescent="0.3">
      <c r="A959" t="s">
        <v>19</v>
      </c>
      <c r="B959" s="1">
        <v>45961</v>
      </c>
      <c r="C959">
        <v>372004</v>
      </c>
      <c r="D959">
        <v>29.204000000000001</v>
      </c>
      <c r="E959" t="s">
        <v>4</v>
      </c>
      <c r="F959" t="s">
        <v>45</v>
      </c>
      <c r="G959" t="s">
        <v>5</v>
      </c>
    </row>
    <row r="960" spans="1:7" x14ac:dyDescent="0.3">
      <c r="A960" t="s">
        <v>19</v>
      </c>
      <c r="B960" s="1">
        <v>45961</v>
      </c>
      <c r="C960">
        <v>400004</v>
      </c>
      <c r="D960">
        <v>-31560.335999999999</v>
      </c>
      <c r="E960" t="s">
        <v>6</v>
      </c>
      <c r="F960" t="s">
        <v>50</v>
      </c>
      <c r="G960" t="s">
        <v>5</v>
      </c>
    </row>
    <row r="961" spans="1:7" x14ac:dyDescent="0.3">
      <c r="A961" t="s">
        <v>19</v>
      </c>
      <c r="B961" s="1">
        <v>45961</v>
      </c>
      <c r="C961">
        <v>410009</v>
      </c>
      <c r="D961">
        <v>-5662.1509999999998</v>
      </c>
      <c r="E961" t="s">
        <v>6</v>
      </c>
      <c r="F961" t="s">
        <v>51</v>
      </c>
      <c r="G961" t="s">
        <v>5</v>
      </c>
    </row>
    <row r="962" spans="1:7" x14ac:dyDescent="0.3">
      <c r="A962" t="s">
        <v>19</v>
      </c>
      <c r="B962" s="1">
        <v>45961</v>
      </c>
      <c r="C962">
        <v>410039</v>
      </c>
      <c r="D962">
        <v>-5590.18</v>
      </c>
      <c r="E962" t="s">
        <v>6</v>
      </c>
      <c r="F962" t="s">
        <v>51</v>
      </c>
      <c r="G962" t="s">
        <v>5</v>
      </c>
    </row>
    <row r="963" spans="1:7" x14ac:dyDescent="0.3">
      <c r="A963" t="s">
        <v>19</v>
      </c>
      <c r="B963" s="1">
        <v>45961</v>
      </c>
      <c r="C963">
        <v>415004</v>
      </c>
      <c r="D963">
        <v>-11823.674000000001</v>
      </c>
      <c r="E963" t="s">
        <v>6</v>
      </c>
      <c r="F963" t="s">
        <v>50</v>
      </c>
      <c r="G963" t="s">
        <v>5</v>
      </c>
    </row>
    <row r="964" spans="1:7" x14ac:dyDescent="0.3">
      <c r="A964" t="s">
        <v>19</v>
      </c>
      <c r="B964" s="1">
        <v>45961</v>
      </c>
      <c r="C964">
        <v>421002</v>
      </c>
      <c r="D964">
        <v>0</v>
      </c>
      <c r="E964" t="s">
        <v>6</v>
      </c>
      <c r="F964" t="s">
        <v>52</v>
      </c>
      <c r="G964" t="s">
        <v>5</v>
      </c>
    </row>
    <row r="965" spans="1:7" x14ac:dyDescent="0.3">
      <c r="A965" t="s">
        <v>19</v>
      </c>
      <c r="B965" s="1">
        <v>45961</v>
      </c>
      <c r="C965">
        <v>421003</v>
      </c>
      <c r="D965">
        <v>-809.99300000000005</v>
      </c>
      <c r="E965" t="s">
        <v>6</v>
      </c>
      <c r="F965" t="s">
        <v>52</v>
      </c>
      <c r="G965" t="s">
        <v>5</v>
      </c>
    </row>
    <row r="966" spans="1:7" x14ac:dyDescent="0.3">
      <c r="A966" t="s">
        <v>19</v>
      </c>
      <c r="B966" s="1">
        <v>45961</v>
      </c>
      <c r="C966">
        <v>421004</v>
      </c>
      <c r="D966">
        <v>14.327</v>
      </c>
      <c r="E966" t="s">
        <v>6</v>
      </c>
      <c r="F966" t="s">
        <v>52</v>
      </c>
      <c r="G966" t="s">
        <v>5</v>
      </c>
    </row>
    <row r="967" spans="1:7" x14ac:dyDescent="0.3">
      <c r="A967" t="s">
        <v>19</v>
      </c>
      <c r="B967" s="1">
        <v>45961</v>
      </c>
      <c r="C967">
        <v>421007</v>
      </c>
      <c r="D967">
        <v>39.281999999999996</v>
      </c>
      <c r="E967" t="s">
        <v>6</v>
      </c>
      <c r="F967" t="s">
        <v>52</v>
      </c>
      <c r="G967" t="s">
        <v>5</v>
      </c>
    </row>
    <row r="968" spans="1:7" x14ac:dyDescent="0.3">
      <c r="A968" t="s">
        <v>19</v>
      </c>
      <c r="B968" s="1">
        <v>45961</v>
      </c>
      <c r="C968">
        <v>510002</v>
      </c>
      <c r="D968">
        <v>18890.558000000001</v>
      </c>
      <c r="E968" t="s">
        <v>6</v>
      </c>
      <c r="F968" t="s">
        <v>53</v>
      </c>
      <c r="G968" t="s">
        <v>5</v>
      </c>
    </row>
    <row r="969" spans="1:7" x14ac:dyDescent="0.3">
      <c r="A969" t="s">
        <v>19</v>
      </c>
      <c r="B969" s="1">
        <v>45961</v>
      </c>
      <c r="C969">
        <v>510005</v>
      </c>
      <c r="D969">
        <v>1561.068</v>
      </c>
      <c r="E969" t="s">
        <v>6</v>
      </c>
      <c r="F969" t="s">
        <v>53</v>
      </c>
      <c r="G969" t="s">
        <v>5</v>
      </c>
    </row>
    <row r="970" spans="1:7" x14ac:dyDescent="0.3">
      <c r="A970" t="s">
        <v>19</v>
      </c>
      <c r="B970" s="1">
        <v>45961</v>
      </c>
      <c r="C970">
        <v>510006</v>
      </c>
      <c r="D970">
        <v>1312.625</v>
      </c>
      <c r="E970" t="s">
        <v>6</v>
      </c>
      <c r="F970" t="s">
        <v>53</v>
      </c>
      <c r="G970" t="s">
        <v>5</v>
      </c>
    </row>
    <row r="971" spans="1:7" x14ac:dyDescent="0.3">
      <c r="A971" t="s">
        <v>19</v>
      </c>
      <c r="B971" s="1">
        <v>45961</v>
      </c>
      <c r="C971">
        <v>510007</v>
      </c>
      <c r="D971">
        <v>-1040.0820000000001</v>
      </c>
      <c r="E971" t="s">
        <v>6</v>
      </c>
      <c r="F971" t="s">
        <v>53</v>
      </c>
      <c r="G971" t="s">
        <v>5</v>
      </c>
    </row>
    <row r="972" spans="1:7" x14ac:dyDescent="0.3">
      <c r="A972" t="s">
        <v>19</v>
      </c>
      <c r="B972" s="1">
        <v>45961</v>
      </c>
      <c r="C972">
        <v>510062</v>
      </c>
      <c r="D972">
        <v>2229.8539999999998</v>
      </c>
      <c r="E972" t="s">
        <v>6</v>
      </c>
      <c r="F972" t="s">
        <v>53</v>
      </c>
      <c r="G972" t="s">
        <v>5</v>
      </c>
    </row>
    <row r="973" spans="1:7" x14ac:dyDescent="0.3">
      <c r="A973" t="s">
        <v>19</v>
      </c>
      <c r="B973" s="1">
        <v>45961</v>
      </c>
      <c r="C973">
        <v>510065</v>
      </c>
      <c r="D973">
        <v>84.697999999999993</v>
      </c>
      <c r="E973" t="s">
        <v>6</v>
      </c>
      <c r="F973" t="s">
        <v>53</v>
      </c>
      <c r="G973" t="s">
        <v>5</v>
      </c>
    </row>
    <row r="974" spans="1:7" x14ac:dyDescent="0.3">
      <c r="A974" t="s">
        <v>19</v>
      </c>
      <c r="B974" s="1">
        <v>45961</v>
      </c>
      <c r="C974">
        <v>520021</v>
      </c>
      <c r="D974">
        <v>12.728999999999999</v>
      </c>
      <c r="E974" t="s">
        <v>6</v>
      </c>
      <c r="F974" t="s">
        <v>60</v>
      </c>
      <c r="G974" t="s">
        <v>5</v>
      </c>
    </row>
    <row r="975" spans="1:7" x14ac:dyDescent="0.3">
      <c r="A975" t="s">
        <v>19</v>
      </c>
      <c r="B975" s="1">
        <v>45961</v>
      </c>
      <c r="C975">
        <v>541004</v>
      </c>
      <c r="D975">
        <v>15.093</v>
      </c>
      <c r="E975" t="s">
        <v>6</v>
      </c>
      <c r="F975" t="s">
        <v>61</v>
      </c>
      <c r="G975" t="s">
        <v>5</v>
      </c>
    </row>
    <row r="976" spans="1:7" x14ac:dyDescent="0.3">
      <c r="A976" t="s">
        <v>19</v>
      </c>
      <c r="B976" s="1">
        <v>45961</v>
      </c>
      <c r="C976">
        <v>541010</v>
      </c>
      <c r="D976">
        <v>325.90499999999997</v>
      </c>
      <c r="E976" t="s">
        <v>6</v>
      </c>
      <c r="F976" t="s">
        <v>61</v>
      </c>
      <c r="G976" t="s">
        <v>5</v>
      </c>
    </row>
    <row r="977" spans="1:7" x14ac:dyDescent="0.3">
      <c r="A977" t="s">
        <v>19</v>
      </c>
      <c r="B977" s="1">
        <v>45961</v>
      </c>
      <c r="C977">
        <v>546002</v>
      </c>
      <c r="D977">
        <v>38177.93</v>
      </c>
      <c r="E977" t="s">
        <v>6</v>
      </c>
      <c r="F977" t="s">
        <v>51</v>
      </c>
      <c r="G977" t="s">
        <v>5</v>
      </c>
    </row>
    <row r="978" spans="1:7" x14ac:dyDescent="0.3">
      <c r="A978" t="s">
        <v>19</v>
      </c>
      <c r="B978" s="1">
        <v>45961</v>
      </c>
      <c r="C978">
        <v>552502</v>
      </c>
      <c r="D978">
        <v>1875.059</v>
      </c>
      <c r="E978" t="s">
        <v>6</v>
      </c>
      <c r="F978" t="s">
        <v>55</v>
      </c>
      <c r="G978" t="s">
        <v>5</v>
      </c>
    </row>
    <row r="979" spans="1:7" x14ac:dyDescent="0.3">
      <c r="A979" t="s">
        <v>19</v>
      </c>
      <c r="B979" s="1">
        <v>45961</v>
      </c>
      <c r="C979">
        <v>552504</v>
      </c>
      <c r="D979">
        <v>197.54499999999999</v>
      </c>
      <c r="E979" t="s">
        <v>6</v>
      </c>
      <c r="F979" t="s">
        <v>55</v>
      </c>
      <c r="G979" t="s">
        <v>5</v>
      </c>
    </row>
    <row r="980" spans="1:7" x14ac:dyDescent="0.3">
      <c r="A980" t="s">
        <v>19</v>
      </c>
      <c r="B980" s="1">
        <v>45961</v>
      </c>
      <c r="C980">
        <v>555007</v>
      </c>
      <c r="D980">
        <v>2103.9940000000001</v>
      </c>
      <c r="E980" t="s">
        <v>6</v>
      </c>
      <c r="F980" t="s">
        <v>55</v>
      </c>
      <c r="G980" t="s">
        <v>5</v>
      </c>
    </row>
    <row r="981" spans="1:7" x14ac:dyDescent="0.3">
      <c r="A981" t="s">
        <v>19</v>
      </c>
      <c r="B981" s="1">
        <v>45961</v>
      </c>
      <c r="C981">
        <v>555508</v>
      </c>
      <c r="D981">
        <v>2.012</v>
      </c>
      <c r="E981" t="s">
        <v>6</v>
      </c>
      <c r="F981" t="s">
        <v>55</v>
      </c>
      <c r="G981" t="s">
        <v>5</v>
      </c>
    </row>
    <row r="982" spans="1:7" x14ac:dyDescent="0.3">
      <c r="A982" t="s">
        <v>19</v>
      </c>
      <c r="B982" s="1">
        <v>45961</v>
      </c>
      <c r="C982">
        <v>556002</v>
      </c>
      <c r="D982">
        <v>919.91200000000003</v>
      </c>
      <c r="E982" t="s">
        <v>6</v>
      </c>
      <c r="F982" t="s">
        <v>60</v>
      </c>
      <c r="G982" t="s">
        <v>5</v>
      </c>
    </row>
    <row r="983" spans="1:7" x14ac:dyDescent="0.3">
      <c r="A983" t="s">
        <v>19</v>
      </c>
      <c r="B983" s="1">
        <v>45961</v>
      </c>
      <c r="C983">
        <v>557002</v>
      </c>
      <c r="D983">
        <v>1035.5039999999999</v>
      </c>
      <c r="E983" t="s">
        <v>6</v>
      </c>
      <c r="F983" t="s">
        <v>56</v>
      </c>
      <c r="G983" t="s">
        <v>5</v>
      </c>
    </row>
    <row r="984" spans="1:7" x14ac:dyDescent="0.3">
      <c r="A984" t="s">
        <v>19</v>
      </c>
      <c r="B984" s="1">
        <v>45961</v>
      </c>
      <c r="C984">
        <v>558006</v>
      </c>
      <c r="D984">
        <v>497.43799999999999</v>
      </c>
      <c r="E984" t="s">
        <v>6</v>
      </c>
      <c r="F984" t="s">
        <v>57</v>
      </c>
      <c r="G984" t="s">
        <v>5</v>
      </c>
    </row>
    <row r="985" spans="1:7" x14ac:dyDescent="0.3">
      <c r="A985" t="s">
        <v>19</v>
      </c>
      <c r="B985" s="1">
        <v>45961</v>
      </c>
      <c r="C985">
        <v>558011</v>
      </c>
      <c r="D985">
        <v>3.1619999999999999</v>
      </c>
      <c r="E985" t="s">
        <v>6</v>
      </c>
      <c r="F985" t="s">
        <v>57</v>
      </c>
      <c r="G985" t="s">
        <v>5</v>
      </c>
    </row>
    <row r="986" spans="1:7" x14ac:dyDescent="0.3">
      <c r="A986" t="s">
        <v>19</v>
      </c>
      <c r="B986" s="1">
        <v>45961</v>
      </c>
      <c r="C986">
        <v>559002</v>
      </c>
      <c r="D986">
        <v>32.802</v>
      </c>
      <c r="E986" t="s">
        <v>6</v>
      </c>
      <c r="F986" t="s">
        <v>60</v>
      </c>
      <c r="G986" t="s">
        <v>5</v>
      </c>
    </row>
    <row r="987" spans="1:7" x14ac:dyDescent="0.3">
      <c r="A987" t="s">
        <v>19</v>
      </c>
      <c r="B987" s="1">
        <v>45961</v>
      </c>
      <c r="C987">
        <v>564004</v>
      </c>
      <c r="D987">
        <v>157.20400000000001</v>
      </c>
      <c r="E987" t="s">
        <v>6</v>
      </c>
      <c r="F987" t="s">
        <v>51</v>
      </c>
      <c r="G987" t="s">
        <v>5</v>
      </c>
    </row>
    <row r="988" spans="1:7" x14ac:dyDescent="0.3">
      <c r="A988" t="s">
        <v>19</v>
      </c>
      <c r="B988" s="1">
        <v>45961</v>
      </c>
      <c r="C988">
        <v>564006</v>
      </c>
      <c r="D988">
        <v>-2E-3</v>
      </c>
      <c r="E988" t="s">
        <v>6</v>
      </c>
      <c r="F988" t="s">
        <v>57</v>
      </c>
      <c r="G988" t="s">
        <v>5</v>
      </c>
    </row>
    <row r="989" spans="1:7" x14ac:dyDescent="0.3">
      <c r="A989" t="s">
        <v>19</v>
      </c>
      <c r="B989" s="1">
        <v>45961</v>
      </c>
      <c r="C989">
        <v>564020</v>
      </c>
      <c r="D989">
        <v>340.31400000000002</v>
      </c>
      <c r="E989" t="s">
        <v>6</v>
      </c>
      <c r="F989" t="s">
        <v>57</v>
      </c>
      <c r="G989" t="s">
        <v>5</v>
      </c>
    </row>
    <row r="990" spans="1:7" x14ac:dyDescent="0.3">
      <c r="A990" t="s">
        <v>19</v>
      </c>
      <c r="B990" s="1">
        <v>45961</v>
      </c>
      <c r="C990">
        <v>570002</v>
      </c>
      <c r="D990">
        <v>83.747</v>
      </c>
      <c r="E990" t="s">
        <v>6</v>
      </c>
      <c r="F990" t="s">
        <v>66</v>
      </c>
      <c r="G990" t="s">
        <v>5</v>
      </c>
    </row>
    <row r="991" spans="1:7" x14ac:dyDescent="0.3">
      <c r="A991" t="s">
        <v>20</v>
      </c>
      <c r="B991" s="1">
        <v>45961</v>
      </c>
      <c r="C991">
        <v>210002</v>
      </c>
      <c r="D991">
        <v>-134.852</v>
      </c>
      <c r="E991" t="s">
        <v>4</v>
      </c>
      <c r="F991" t="s">
        <v>42</v>
      </c>
      <c r="G991" t="s">
        <v>5</v>
      </c>
    </row>
    <row r="992" spans="1:7" x14ac:dyDescent="0.3">
      <c r="A992" t="s">
        <v>20</v>
      </c>
      <c r="B992" s="1">
        <v>45961</v>
      </c>
      <c r="C992">
        <v>220006</v>
      </c>
      <c r="D992">
        <v>-40129.550999999999</v>
      </c>
      <c r="E992" t="s">
        <v>4</v>
      </c>
      <c r="F992" t="s">
        <v>42</v>
      </c>
      <c r="G992" t="s">
        <v>5</v>
      </c>
    </row>
    <row r="993" spans="1:7" x14ac:dyDescent="0.3">
      <c r="A993" t="s">
        <v>20</v>
      </c>
      <c r="B993" s="1">
        <v>45961</v>
      </c>
      <c r="C993">
        <v>240002</v>
      </c>
      <c r="D993">
        <v>-1644.1020000000001</v>
      </c>
      <c r="E993" t="s">
        <v>4</v>
      </c>
      <c r="F993" t="s">
        <v>43</v>
      </c>
      <c r="G993" t="s">
        <v>5</v>
      </c>
    </row>
    <row r="994" spans="1:7" x14ac:dyDescent="0.3">
      <c r="A994" t="s">
        <v>20</v>
      </c>
      <c r="B994" s="1">
        <v>45961</v>
      </c>
      <c r="C994">
        <v>242003</v>
      </c>
      <c r="D994">
        <v>-57482.156999999999</v>
      </c>
      <c r="E994" t="s">
        <v>4</v>
      </c>
      <c r="F994" t="s">
        <v>43</v>
      </c>
      <c r="G994" t="s">
        <v>5</v>
      </c>
    </row>
    <row r="995" spans="1:7" x14ac:dyDescent="0.3">
      <c r="A995" t="s">
        <v>20</v>
      </c>
      <c r="B995" s="1">
        <v>45961</v>
      </c>
      <c r="C995">
        <v>243002</v>
      </c>
      <c r="D995">
        <v>-470.30399999999997</v>
      </c>
      <c r="E995" t="s">
        <v>4</v>
      </c>
      <c r="F995" t="s">
        <v>43</v>
      </c>
      <c r="G995" t="s">
        <v>5</v>
      </c>
    </row>
    <row r="996" spans="1:7" x14ac:dyDescent="0.3">
      <c r="A996" t="s">
        <v>20</v>
      </c>
      <c r="B996" s="1">
        <v>45961</v>
      </c>
      <c r="C996">
        <v>251005</v>
      </c>
      <c r="D996">
        <v>418.07900000000001</v>
      </c>
      <c r="E996" t="s">
        <v>4</v>
      </c>
      <c r="F996" t="s">
        <v>46</v>
      </c>
      <c r="G996" t="s">
        <v>5</v>
      </c>
    </row>
    <row r="997" spans="1:7" x14ac:dyDescent="0.3">
      <c r="A997" t="s">
        <v>20</v>
      </c>
      <c r="B997" s="1">
        <v>45961</v>
      </c>
      <c r="C997">
        <v>260004</v>
      </c>
      <c r="D997">
        <v>-1953.9369999999999</v>
      </c>
      <c r="E997" t="s">
        <v>4</v>
      </c>
      <c r="F997" t="s">
        <v>45</v>
      </c>
      <c r="G997" t="s">
        <v>5</v>
      </c>
    </row>
    <row r="998" spans="1:7" x14ac:dyDescent="0.3">
      <c r="A998" t="s">
        <v>20</v>
      </c>
      <c r="B998" s="1">
        <v>45961</v>
      </c>
      <c r="C998">
        <v>270026</v>
      </c>
      <c r="D998">
        <v>-2458.4810000000002</v>
      </c>
      <c r="E998" t="s">
        <v>4</v>
      </c>
      <c r="F998" t="s">
        <v>58</v>
      </c>
      <c r="G998" t="s">
        <v>5</v>
      </c>
    </row>
    <row r="999" spans="1:7" x14ac:dyDescent="0.3">
      <c r="A999" t="s">
        <v>20</v>
      </c>
      <c r="B999" s="1">
        <v>45961</v>
      </c>
      <c r="C999">
        <v>270027</v>
      </c>
      <c r="D999">
        <v>-1252.7180000000001</v>
      </c>
      <c r="E999" t="s">
        <v>4</v>
      </c>
      <c r="F999" t="s">
        <v>58</v>
      </c>
      <c r="G999" t="s">
        <v>5</v>
      </c>
    </row>
    <row r="1000" spans="1:7" x14ac:dyDescent="0.3">
      <c r="A1000" t="s">
        <v>20</v>
      </c>
      <c r="B1000" s="1">
        <v>45961</v>
      </c>
      <c r="C1000">
        <v>300008</v>
      </c>
      <c r="D1000">
        <v>234.61500000000001</v>
      </c>
      <c r="E1000" t="s">
        <v>4</v>
      </c>
      <c r="F1000" t="s">
        <v>65</v>
      </c>
      <c r="G1000" t="s">
        <v>5</v>
      </c>
    </row>
    <row r="1001" spans="1:7" x14ac:dyDescent="0.3">
      <c r="A1001" t="s">
        <v>20</v>
      </c>
      <c r="B1001" s="1">
        <v>45961</v>
      </c>
      <c r="C1001">
        <v>300508</v>
      </c>
      <c r="D1001">
        <v>-234.61500000000001</v>
      </c>
      <c r="E1001" t="s">
        <v>4</v>
      </c>
      <c r="F1001" t="s">
        <v>65</v>
      </c>
      <c r="G1001" t="s">
        <v>5</v>
      </c>
    </row>
    <row r="1002" spans="1:7" x14ac:dyDescent="0.3">
      <c r="A1002" t="s">
        <v>20</v>
      </c>
      <c r="B1002" s="1">
        <v>45961</v>
      </c>
      <c r="C1002">
        <v>320003</v>
      </c>
      <c r="D1002">
        <v>32630.787</v>
      </c>
      <c r="E1002" t="s">
        <v>4</v>
      </c>
      <c r="F1002" t="s">
        <v>46</v>
      </c>
      <c r="G1002" t="s">
        <v>5</v>
      </c>
    </row>
    <row r="1003" spans="1:7" x14ac:dyDescent="0.3">
      <c r="A1003" t="s">
        <v>20</v>
      </c>
      <c r="B1003" s="1">
        <v>45961</v>
      </c>
      <c r="C1003">
        <v>320004</v>
      </c>
      <c r="D1003">
        <v>66.569999999999993</v>
      </c>
      <c r="E1003" t="s">
        <v>4</v>
      </c>
      <c r="F1003" t="s">
        <v>46</v>
      </c>
      <c r="G1003" t="s">
        <v>5</v>
      </c>
    </row>
    <row r="1004" spans="1:7" x14ac:dyDescent="0.3">
      <c r="A1004" t="s">
        <v>20</v>
      </c>
      <c r="B1004" s="1">
        <v>45961</v>
      </c>
      <c r="C1004">
        <v>321002</v>
      </c>
      <c r="D1004">
        <v>756.45299999999997</v>
      </c>
      <c r="E1004" t="s">
        <v>4</v>
      </c>
      <c r="F1004" t="s">
        <v>46</v>
      </c>
      <c r="G1004" t="s">
        <v>5</v>
      </c>
    </row>
    <row r="1005" spans="1:7" x14ac:dyDescent="0.3">
      <c r="A1005" t="s">
        <v>20</v>
      </c>
      <c r="B1005" s="1">
        <v>45961</v>
      </c>
      <c r="C1005">
        <v>340261</v>
      </c>
      <c r="D1005">
        <v>49056.667000000001</v>
      </c>
      <c r="E1005" t="s">
        <v>4</v>
      </c>
      <c r="F1005" t="s">
        <v>47</v>
      </c>
      <c r="G1005" t="s">
        <v>5</v>
      </c>
    </row>
    <row r="1006" spans="1:7" x14ac:dyDescent="0.3">
      <c r="A1006" t="s">
        <v>20</v>
      </c>
      <c r="B1006" s="1">
        <v>45961</v>
      </c>
      <c r="C1006">
        <v>354012</v>
      </c>
      <c r="D1006">
        <v>17876.755000000001</v>
      </c>
      <c r="E1006" t="s">
        <v>4</v>
      </c>
      <c r="F1006" t="s">
        <v>46</v>
      </c>
      <c r="G1006" t="s">
        <v>5</v>
      </c>
    </row>
    <row r="1007" spans="1:7" x14ac:dyDescent="0.3">
      <c r="A1007" t="s">
        <v>20</v>
      </c>
      <c r="B1007" s="1">
        <v>45961</v>
      </c>
      <c r="C1007">
        <v>354014</v>
      </c>
      <c r="D1007">
        <v>6372.3329999999996</v>
      </c>
      <c r="E1007" t="s">
        <v>4</v>
      </c>
      <c r="F1007" t="s">
        <v>46</v>
      </c>
      <c r="G1007" t="s">
        <v>5</v>
      </c>
    </row>
    <row r="1008" spans="1:7" x14ac:dyDescent="0.3">
      <c r="A1008" t="s">
        <v>20</v>
      </c>
      <c r="B1008" s="1">
        <v>45961</v>
      </c>
      <c r="C1008">
        <v>355017</v>
      </c>
      <c r="D1008">
        <v>720.43200000000002</v>
      </c>
      <c r="E1008" t="s">
        <v>4</v>
      </c>
      <c r="F1008" t="s">
        <v>49</v>
      </c>
      <c r="G1008" t="s">
        <v>5</v>
      </c>
    </row>
    <row r="1009" spans="1:7" x14ac:dyDescent="0.3">
      <c r="A1009" t="s">
        <v>20</v>
      </c>
      <c r="B1009" s="1">
        <v>45961</v>
      </c>
      <c r="C1009">
        <v>355018</v>
      </c>
      <c r="D1009">
        <v>9.2609999999999992</v>
      </c>
      <c r="E1009" t="s">
        <v>4</v>
      </c>
      <c r="F1009" t="s">
        <v>49</v>
      </c>
      <c r="G1009" t="s">
        <v>5</v>
      </c>
    </row>
    <row r="1010" spans="1:7" x14ac:dyDescent="0.3">
      <c r="A1010" t="s">
        <v>20</v>
      </c>
      <c r="B1010" s="1">
        <v>45961</v>
      </c>
      <c r="C1010">
        <v>360028</v>
      </c>
      <c r="D1010">
        <v>133.20699999999999</v>
      </c>
      <c r="E1010" t="s">
        <v>4</v>
      </c>
      <c r="F1010" t="s">
        <v>58</v>
      </c>
      <c r="G1010" t="s">
        <v>5</v>
      </c>
    </row>
    <row r="1011" spans="1:7" x14ac:dyDescent="0.3">
      <c r="A1011" t="s">
        <v>20</v>
      </c>
      <c r="B1011" s="1">
        <v>45961</v>
      </c>
      <c r="C1011">
        <v>360030</v>
      </c>
      <c r="D1011">
        <v>931.178</v>
      </c>
      <c r="E1011" t="s">
        <v>4</v>
      </c>
      <c r="F1011" t="s">
        <v>58</v>
      </c>
      <c r="G1011" t="s">
        <v>5</v>
      </c>
    </row>
    <row r="1012" spans="1:7" x14ac:dyDescent="0.3">
      <c r="A1012" t="s">
        <v>20</v>
      </c>
      <c r="B1012" s="1">
        <v>45961</v>
      </c>
      <c r="C1012">
        <v>360032</v>
      </c>
      <c r="D1012">
        <v>791.52599999999995</v>
      </c>
      <c r="E1012" t="s">
        <v>4</v>
      </c>
      <c r="F1012" t="s">
        <v>58</v>
      </c>
      <c r="G1012" t="s">
        <v>5</v>
      </c>
    </row>
    <row r="1013" spans="1:7" x14ac:dyDescent="0.3">
      <c r="A1013" t="s">
        <v>20</v>
      </c>
      <c r="B1013" s="1">
        <v>45961</v>
      </c>
      <c r="C1013">
        <v>372004</v>
      </c>
      <c r="D1013">
        <v>19.257000000000001</v>
      </c>
      <c r="E1013" t="s">
        <v>4</v>
      </c>
      <c r="F1013" t="s">
        <v>45</v>
      </c>
      <c r="G1013" t="s">
        <v>5</v>
      </c>
    </row>
    <row r="1014" spans="1:7" x14ac:dyDescent="0.3">
      <c r="A1014" t="s">
        <v>20</v>
      </c>
      <c r="B1014" s="1">
        <v>45961</v>
      </c>
      <c r="C1014">
        <v>410002</v>
      </c>
      <c r="D1014">
        <v>-2693.41</v>
      </c>
      <c r="E1014" t="s">
        <v>6</v>
      </c>
      <c r="F1014" t="s">
        <v>51</v>
      </c>
      <c r="G1014" t="s">
        <v>5</v>
      </c>
    </row>
    <row r="1015" spans="1:7" x14ac:dyDescent="0.3">
      <c r="A1015" t="s">
        <v>20</v>
      </c>
      <c r="B1015" s="1">
        <v>45961</v>
      </c>
      <c r="C1015">
        <v>415002</v>
      </c>
      <c r="D1015">
        <v>250.02799999999999</v>
      </c>
      <c r="E1015" t="s">
        <v>6</v>
      </c>
      <c r="F1015" t="s">
        <v>50</v>
      </c>
      <c r="G1015" t="s">
        <v>5</v>
      </c>
    </row>
    <row r="1016" spans="1:7" x14ac:dyDescent="0.3">
      <c r="A1016" t="s">
        <v>20</v>
      </c>
      <c r="B1016" s="1">
        <v>45961</v>
      </c>
      <c r="C1016">
        <v>415004</v>
      </c>
      <c r="D1016">
        <v>-57958.985000000001</v>
      </c>
      <c r="E1016" t="s">
        <v>6</v>
      </c>
      <c r="F1016" t="s">
        <v>50</v>
      </c>
      <c r="G1016" t="s">
        <v>5</v>
      </c>
    </row>
    <row r="1017" spans="1:7" x14ac:dyDescent="0.3">
      <c r="A1017" t="s">
        <v>20</v>
      </c>
      <c r="B1017" s="1">
        <v>45961</v>
      </c>
      <c r="C1017">
        <v>421002</v>
      </c>
      <c r="D1017">
        <v>-244.31100000000001</v>
      </c>
      <c r="E1017" t="s">
        <v>6</v>
      </c>
      <c r="F1017" t="s">
        <v>52</v>
      </c>
      <c r="G1017" t="s">
        <v>5</v>
      </c>
    </row>
    <row r="1018" spans="1:7" x14ac:dyDescent="0.3">
      <c r="A1018" t="s">
        <v>20</v>
      </c>
      <c r="B1018" s="1">
        <v>45961</v>
      </c>
      <c r="C1018">
        <v>421003</v>
      </c>
      <c r="D1018">
        <v>15.631</v>
      </c>
      <c r="E1018" t="s">
        <v>6</v>
      </c>
      <c r="F1018" t="s">
        <v>52</v>
      </c>
      <c r="G1018" t="s">
        <v>5</v>
      </c>
    </row>
    <row r="1019" spans="1:7" x14ac:dyDescent="0.3">
      <c r="A1019" t="s">
        <v>20</v>
      </c>
      <c r="B1019" s="1">
        <v>45961</v>
      </c>
      <c r="C1019">
        <v>421007</v>
      </c>
      <c r="D1019">
        <v>-38.905000000000001</v>
      </c>
      <c r="E1019" t="s">
        <v>6</v>
      </c>
      <c r="F1019" t="s">
        <v>52</v>
      </c>
      <c r="G1019" t="s">
        <v>5</v>
      </c>
    </row>
    <row r="1020" spans="1:7" x14ac:dyDescent="0.3">
      <c r="A1020" t="s">
        <v>20</v>
      </c>
      <c r="B1020" s="1">
        <v>45961</v>
      </c>
      <c r="C1020">
        <v>541023</v>
      </c>
      <c r="D1020">
        <v>550.279</v>
      </c>
      <c r="E1020" t="s">
        <v>6</v>
      </c>
      <c r="F1020" t="s">
        <v>61</v>
      </c>
      <c r="G1020" t="s">
        <v>5</v>
      </c>
    </row>
    <row r="1021" spans="1:7" x14ac:dyDescent="0.3">
      <c r="A1021" t="s">
        <v>20</v>
      </c>
      <c r="B1021" s="1">
        <v>45961</v>
      </c>
      <c r="C1021">
        <v>546002</v>
      </c>
      <c r="D1021">
        <v>50471.286</v>
      </c>
      <c r="E1021" t="s">
        <v>6</v>
      </c>
      <c r="F1021" t="s">
        <v>51</v>
      </c>
      <c r="G1021" t="s">
        <v>5</v>
      </c>
    </row>
    <row r="1022" spans="1:7" x14ac:dyDescent="0.3">
      <c r="A1022" t="s">
        <v>20</v>
      </c>
      <c r="B1022" s="1">
        <v>45961</v>
      </c>
      <c r="C1022">
        <v>546005</v>
      </c>
      <c r="D1022">
        <v>261.32900000000001</v>
      </c>
      <c r="E1022" t="s">
        <v>6</v>
      </c>
      <c r="F1022" t="s">
        <v>51</v>
      </c>
      <c r="G1022" t="s">
        <v>5</v>
      </c>
    </row>
    <row r="1023" spans="1:7" x14ac:dyDescent="0.3">
      <c r="A1023" t="s">
        <v>20</v>
      </c>
      <c r="B1023" s="1">
        <v>45961</v>
      </c>
      <c r="C1023">
        <v>556004</v>
      </c>
      <c r="D1023">
        <v>4.3630000000000004</v>
      </c>
      <c r="E1023" t="s">
        <v>6</v>
      </c>
      <c r="F1023" t="s">
        <v>55</v>
      </c>
      <c r="G1023" t="s">
        <v>5</v>
      </c>
    </row>
    <row r="1024" spans="1:7" x14ac:dyDescent="0.3">
      <c r="A1024" t="s">
        <v>20</v>
      </c>
      <c r="B1024" s="1">
        <v>45961</v>
      </c>
      <c r="C1024">
        <v>557002</v>
      </c>
      <c r="D1024">
        <v>3692.3989999999999</v>
      </c>
      <c r="E1024" t="s">
        <v>6</v>
      </c>
      <c r="F1024" t="s">
        <v>56</v>
      </c>
      <c r="G1024" t="s">
        <v>5</v>
      </c>
    </row>
    <row r="1025" spans="1:7" x14ac:dyDescent="0.3">
      <c r="A1025" t="s">
        <v>20</v>
      </c>
      <c r="B1025" s="1">
        <v>45961</v>
      </c>
      <c r="C1025">
        <v>558006</v>
      </c>
      <c r="D1025">
        <v>32.292999999999999</v>
      </c>
      <c r="E1025" t="s">
        <v>6</v>
      </c>
      <c r="F1025" t="s">
        <v>57</v>
      </c>
      <c r="G1025" t="s">
        <v>5</v>
      </c>
    </row>
    <row r="1026" spans="1:7" x14ac:dyDescent="0.3">
      <c r="A1026" t="s">
        <v>20</v>
      </c>
      <c r="B1026" s="1">
        <v>45961</v>
      </c>
      <c r="C1026">
        <v>558011</v>
      </c>
      <c r="D1026">
        <v>28.777000000000001</v>
      </c>
      <c r="E1026" t="s">
        <v>6</v>
      </c>
      <c r="F1026" t="s">
        <v>57</v>
      </c>
      <c r="G1026" t="s">
        <v>5</v>
      </c>
    </row>
    <row r="1027" spans="1:7" x14ac:dyDescent="0.3">
      <c r="A1027" t="s">
        <v>20</v>
      </c>
      <c r="B1027" s="1">
        <v>45961</v>
      </c>
      <c r="C1027">
        <v>560008</v>
      </c>
      <c r="D1027">
        <v>16.462</v>
      </c>
      <c r="E1027" t="s">
        <v>6</v>
      </c>
      <c r="F1027" t="s">
        <v>56</v>
      </c>
      <c r="G1027" t="s">
        <v>5</v>
      </c>
    </row>
    <row r="1028" spans="1:7" x14ac:dyDescent="0.3">
      <c r="A1028" t="s">
        <v>20</v>
      </c>
      <c r="B1028" s="1">
        <v>45961</v>
      </c>
      <c r="C1028">
        <v>564006</v>
      </c>
      <c r="D1028">
        <v>1.2999999999999999E-2</v>
      </c>
      <c r="E1028" t="s">
        <v>6</v>
      </c>
      <c r="F1028" t="s">
        <v>57</v>
      </c>
      <c r="G1028" t="s">
        <v>5</v>
      </c>
    </row>
    <row r="1029" spans="1:7" x14ac:dyDescent="0.3">
      <c r="A1029" t="s">
        <v>20</v>
      </c>
      <c r="B1029" s="1">
        <v>45961</v>
      </c>
      <c r="C1029">
        <v>564020</v>
      </c>
      <c r="D1029">
        <v>8.2829999999999995</v>
      </c>
      <c r="E1029" t="s">
        <v>6</v>
      </c>
      <c r="F1029" t="s">
        <v>57</v>
      </c>
      <c r="G1029" t="s">
        <v>5</v>
      </c>
    </row>
    <row r="1030" spans="1:7" x14ac:dyDescent="0.3">
      <c r="A1030" t="s">
        <v>20</v>
      </c>
      <c r="B1030" s="1">
        <v>45961</v>
      </c>
      <c r="C1030">
        <v>580002</v>
      </c>
      <c r="D1030">
        <v>1274.4000000000001</v>
      </c>
      <c r="E1030" t="s">
        <v>6</v>
      </c>
      <c r="F1030" t="s">
        <v>64</v>
      </c>
      <c r="G1030" t="s">
        <v>5</v>
      </c>
    </row>
    <row r="1031" spans="1:7" x14ac:dyDescent="0.3">
      <c r="A1031" t="s">
        <v>21</v>
      </c>
      <c r="B1031" s="1">
        <v>45961</v>
      </c>
      <c r="C1031">
        <v>210002</v>
      </c>
      <c r="D1031">
        <v>-321.887</v>
      </c>
      <c r="E1031" t="s">
        <v>4</v>
      </c>
      <c r="F1031" t="s">
        <v>42</v>
      </c>
      <c r="G1031" t="s">
        <v>7</v>
      </c>
    </row>
    <row r="1032" spans="1:7" x14ac:dyDescent="0.3">
      <c r="A1032" t="s">
        <v>21</v>
      </c>
      <c r="B1032" s="1">
        <v>45961</v>
      </c>
      <c r="C1032">
        <v>220006</v>
      </c>
      <c r="D1032">
        <v>10932.463</v>
      </c>
      <c r="E1032" t="s">
        <v>4</v>
      </c>
      <c r="F1032" t="s">
        <v>42</v>
      </c>
      <c r="G1032" t="s">
        <v>7</v>
      </c>
    </row>
    <row r="1033" spans="1:7" x14ac:dyDescent="0.3">
      <c r="A1033" t="s">
        <v>21</v>
      </c>
      <c r="B1033" s="1">
        <v>45961</v>
      </c>
      <c r="C1033">
        <v>240002</v>
      </c>
      <c r="D1033">
        <v>-3392.4340000000002</v>
      </c>
      <c r="E1033" t="s">
        <v>4</v>
      </c>
      <c r="F1033" t="s">
        <v>43</v>
      </c>
      <c r="G1033" t="s">
        <v>7</v>
      </c>
    </row>
    <row r="1034" spans="1:7" x14ac:dyDescent="0.3">
      <c r="A1034" t="s">
        <v>21</v>
      </c>
      <c r="B1034" s="1">
        <v>45961</v>
      </c>
      <c r="C1034">
        <v>240003</v>
      </c>
      <c r="D1034">
        <v>19.027000000000001</v>
      </c>
      <c r="E1034" t="s">
        <v>4</v>
      </c>
      <c r="F1034" t="s">
        <v>43</v>
      </c>
      <c r="G1034" t="s">
        <v>7</v>
      </c>
    </row>
    <row r="1035" spans="1:7" x14ac:dyDescent="0.3">
      <c r="A1035" t="s">
        <v>21</v>
      </c>
      <c r="B1035" s="1">
        <v>45961</v>
      </c>
      <c r="C1035">
        <v>242003</v>
      </c>
      <c r="D1035">
        <v>-31096.883999999998</v>
      </c>
      <c r="E1035" t="s">
        <v>4</v>
      </c>
      <c r="F1035" t="s">
        <v>43</v>
      </c>
      <c r="G1035" t="s">
        <v>7</v>
      </c>
    </row>
    <row r="1036" spans="1:7" x14ac:dyDescent="0.3">
      <c r="A1036" t="s">
        <v>21</v>
      </c>
      <c r="B1036" s="1">
        <v>45961</v>
      </c>
      <c r="C1036">
        <v>242011</v>
      </c>
      <c r="D1036">
        <v>-19750.86</v>
      </c>
      <c r="E1036" t="s">
        <v>4</v>
      </c>
      <c r="F1036" t="s">
        <v>43</v>
      </c>
      <c r="G1036" t="s">
        <v>7</v>
      </c>
    </row>
    <row r="1037" spans="1:7" x14ac:dyDescent="0.3">
      <c r="A1037" t="s">
        <v>21</v>
      </c>
      <c r="B1037" s="1">
        <v>45961</v>
      </c>
      <c r="C1037">
        <v>242012</v>
      </c>
      <c r="D1037">
        <v>-15929.424999999999</v>
      </c>
      <c r="E1037" t="s">
        <v>4</v>
      </c>
      <c r="F1037" t="s">
        <v>43</v>
      </c>
      <c r="G1037" t="s">
        <v>7</v>
      </c>
    </row>
    <row r="1038" spans="1:7" x14ac:dyDescent="0.3">
      <c r="A1038" t="s">
        <v>21</v>
      </c>
      <c r="B1038" s="1">
        <v>45961</v>
      </c>
      <c r="C1038">
        <v>242013</v>
      </c>
      <c r="D1038">
        <v>-362.154</v>
      </c>
      <c r="E1038" t="s">
        <v>4</v>
      </c>
      <c r="F1038" t="s">
        <v>43</v>
      </c>
      <c r="G1038" t="s">
        <v>7</v>
      </c>
    </row>
    <row r="1039" spans="1:7" x14ac:dyDescent="0.3">
      <c r="A1039" t="s">
        <v>21</v>
      </c>
      <c r="B1039" s="1">
        <v>45961</v>
      </c>
      <c r="C1039">
        <v>242014</v>
      </c>
      <c r="D1039">
        <v>-6711.4139999999998</v>
      </c>
      <c r="E1039" t="s">
        <v>4</v>
      </c>
      <c r="F1039" t="s">
        <v>43</v>
      </c>
      <c r="G1039" t="s">
        <v>7</v>
      </c>
    </row>
    <row r="1040" spans="1:7" x14ac:dyDescent="0.3">
      <c r="A1040" t="s">
        <v>21</v>
      </c>
      <c r="B1040" s="1">
        <v>45961</v>
      </c>
      <c r="C1040">
        <v>242030</v>
      </c>
      <c r="D1040">
        <v>-1566.2850000000001</v>
      </c>
      <c r="E1040" t="s">
        <v>4</v>
      </c>
      <c r="F1040" t="s">
        <v>43</v>
      </c>
      <c r="G1040" t="s">
        <v>7</v>
      </c>
    </row>
    <row r="1041" spans="1:7" x14ac:dyDescent="0.3">
      <c r="A1041" t="s">
        <v>21</v>
      </c>
      <c r="B1041" s="1">
        <v>45961</v>
      </c>
      <c r="C1041">
        <v>242041</v>
      </c>
      <c r="D1041">
        <v>4142.5079999999998</v>
      </c>
      <c r="E1041" t="s">
        <v>4</v>
      </c>
      <c r="F1041" t="s">
        <v>43</v>
      </c>
      <c r="G1041" t="s">
        <v>7</v>
      </c>
    </row>
    <row r="1042" spans="1:7" x14ac:dyDescent="0.3">
      <c r="A1042" t="s">
        <v>21</v>
      </c>
      <c r="B1042" s="1">
        <v>45961</v>
      </c>
      <c r="C1042">
        <v>243002</v>
      </c>
      <c r="D1042">
        <v>-128.851</v>
      </c>
      <c r="E1042" t="s">
        <v>4</v>
      </c>
      <c r="F1042" t="s">
        <v>43</v>
      </c>
      <c r="G1042" t="s">
        <v>7</v>
      </c>
    </row>
    <row r="1043" spans="1:7" x14ac:dyDescent="0.3">
      <c r="A1043" t="s">
        <v>21</v>
      </c>
      <c r="B1043" s="1">
        <v>45961</v>
      </c>
      <c r="C1043">
        <v>251002</v>
      </c>
      <c r="D1043">
        <v>-4981.8419999999996</v>
      </c>
      <c r="E1043" t="s">
        <v>4</v>
      </c>
      <c r="F1043" t="s">
        <v>45</v>
      </c>
      <c r="G1043" t="s">
        <v>7</v>
      </c>
    </row>
    <row r="1044" spans="1:7" x14ac:dyDescent="0.3">
      <c r="A1044" t="s">
        <v>21</v>
      </c>
      <c r="B1044" s="1">
        <v>45961</v>
      </c>
      <c r="C1044">
        <v>251003</v>
      </c>
      <c r="D1044">
        <v>-40187.466</v>
      </c>
      <c r="E1044" t="s">
        <v>4</v>
      </c>
      <c r="F1044" t="s">
        <v>45</v>
      </c>
      <c r="G1044" t="s">
        <v>7</v>
      </c>
    </row>
    <row r="1045" spans="1:7" x14ac:dyDescent="0.3">
      <c r="A1045" t="s">
        <v>21</v>
      </c>
      <c r="B1045" s="1">
        <v>45961</v>
      </c>
      <c r="C1045">
        <v>257008</v>
      </c>
      <c r="D1045">
        <v>-3675.6840000000002</v>
      </c>
      <c r="E1045" t="s">
        <v>4</v>
      </c>
      <c r="F1045" t="s">
        <v>45</v>
      </c>
      <c r="G1045" t="s">
        <v>7</v>
      </c>
    </row>
    <row r="1046" spans="1:7" x14ac:dyDescent="0.3">
      <c r="A1046" t="s">
        <v>21</v>
      </c>
      <c r="B1046" s="1">
        <v>45961</v>
      </c>
      <c r="C1046">
        <v>257028</v>
      </c>
      <c r="D1046">
        <v>1449.771</v>
      </c>
      <c r="E1046" t="s">
        <v>4</v>
      </c>
      <c r="F1046" t="s">
        <v>45</v>
      </c>
      <c r="G1046" t="s">
        <v>7</v>
      </c>
    </row>
    <row r="1047" spans="1:7" x14ac:dyDescent="0.3">
      <c r="A1047" t="s">
        <v>21</v>
      </c>
      <c r="B1047" s="1">
        <v>45961</v>
      </c>
      <c r="C1047">
        <v>257030</v>
      </c>
      <c r="D1047">
        <v>-1624.82</v>
      </c>
      <c r="E1047" t="s">
        <v>4</v>
      </c>
      <c r="F1047" t="s">
        <v>45</v>
      </c>
      <c r="G1047" t="s">
        <v>7</v>
      </c>
    </row>
    <row r="1048" spans="1:7" x14ac:dyDescent="0.3">
      <c r="A1048" t="s">
        <v>21</v>
      </c>
      <c r="B1048" s="1">
        <v>45961</v>
      </c>
      <c r="C1048">
        <v>260004</v>
      </c>
      <c r="D1048">
        <v>-14122.392</v>
      </c>
      <c r="E1048" t="s">
        <v>4</v>
      </c>
      <c r="F1048" t="s">
        <v>45</v>
      </c>
      <c r="G1048" t="s">
        <v>7</v>
      </c>
    </row>
    <row r="1049" spans="1:7" x14ac:dyDescent="0.3">
      <c r="A1049" t="s">
        <v>21</v>
      </c>
      <c r="B1049" s="1">
        <v>45961</v>
      </c>
      <c r="C1049">
        <v>270026</v>
      </c>
      <c r="D1049">
        <v>-5238.5680000000002</v>
      </c>
      <c r="E1049" t="s">
        <v>4</v>
      </c>
      <c r="F1049" t="s">
        <v>58</v>
      </c>
      <c r="G1049" t="s">
        <v>7</v>
      </c>
    </row>
    <row r="1050" spans="1:7" x14ac:dyDescent="0.3">
      <c r="A1050" t="s">
        <v>21</v>
      </c>
      <c r="B1050" s="1">
        <v>45961</v>
      </c>
      <c r="C1050">
        <v>270027</v>
      </c>
      <c r="D1050">
        <v>-1896.989</v>
      </c>
      <c r="E1050" t="s">
        <v>4</v>
      </c>
      <c r="F1050" t="s">
        <v>58</v>
      </c>
      <c r="G1050" t="s">
        <v>7</v>
      </c>
    </row>
    <row r="1051" spans="1:7" x14ac:dyDescent="0.3">
      <c r="A1051" t="s">
        <v>21</v>
      </c>
      <c r="B1051" s="1">
        <v>45961</v>
      </c>
      <c r="C1051">
        <v>320003</v>
      </c>
      <c r="D1051">
        <v>12614.625</v>
      </c>
      <c r="E1051" t="s">
        <v>4</v>
      </c>
      <c r="F1051" t="s">
        <v>46</v>
      </c>
      <c r="G1051" t="s">
        <v>7</v>
      </c>
    </row>
    <row r="1052" spans="1:7" x14ac:dyDescent="0.3">
      <c r="A1052" t="s">
        <v>21</v>
      </c>
      <c r="B1052" s="1">
        <v>45961</v>
      </c>
      <c r="C1052">
        <v>320004</v>
      </c>
      <c r="D1052">
        <v>-118.45399999999999</v>
      </c>
      <c r="E1052" t="s">
        <v>4</v>
      </c>
      <c r="F1052" t="s">
        <v>46</v>
      </c>
      <c r="G1052" t="s">
        <v>7</v>
      </c>
    </row>
    <row r="1053" spans="1:7" x14ac:dyDescent="0.3">
      <c r="A1053" t="s">
        <v>21</v>
      </c>
      <c r="B1053" s="1">
        <v>45961</v>
      </c>
      <c r="C1053">
        <v>321002</v>
      </c>
      <c r="D1053">
        <v>15716.573</v>
      </c>
      <c r="E1053" t="s">
        <v>4</v>
      </c>
      <c r="F1053" t="s">
        <v>46</v>
      </c>
      <c r="G1053" t="s">
        <v>7</v>
      </c>
    </row>
    <row r="1054" spans="1:7" x14ac:dyDescent="0.3">
      <c r="A1054" t="s">
        <v>21</v>
      </c>
      <c r="B1054" s="1">
        <v>45961</v>
      </c>
      <c r="C1054">
        <v>321010</v>
      </c>
      <c r="D1054">
        <v>13.227</v>
      </c>
      <c r="E1054" t="s">
        <v>4</v>
      </c>
      <c r="F1054" t="s">
        <v>46</v>
      </c>
      <c r="G1054" t="s">
        <v>7</v>
      </c>
    </row>
    <row r="1055" spans="1:7" x14ac:dyDescent="0.3">
      <c r="A1055" t="s">
        <v>21</v>
      </c>
      <c r="B1055" s="1">
        <v>45961</v>
      </c>
      <c r="C1055">
        <v>321012</v>
      </c>
      <c r="D1055">
        <v>4509.3140000000003</v>
      </c>
      <c r="E1055" t="s">
        <v>4</v>
      </c>
      <c r="F1055" t="s">
        <v>46</v>
      </c>
      <c r="G1055" t="s">
        <v>7</v>
      </c>
    </row>
    <row r="1056" spans="1:7" x14ac:dyDescent="0.3">
      <c r="A1056" t="s">
        <v>21</v>
      </c>
      <c r="B1056" s="1">
        <v>45961</v>
      </c>
      <c r="C1056">
        <v>321014</v>
      </c>
      <c r="D1056">
        <v>13.227</v>
      </c>
      <c r="E1056" t="s">
        <v>4</v>
      </c>
      <c r="F1056" t="s">
        <v>46</v>
      </c>
      <c r="G1056" t="s">
        <v>7</v>
      </c>
    </row>
    <row r="1057" spans="1:7" x14ac:dyDescent="0.3">
      <c r="A1057" t="s">
        <v>21</v>
      </c>
      <c r="B1057" s="1">
        <v>45961</v>
      </c>
      <c r="C1057">
        <v>321029</v>
      </c>
      <c r="D1057">
        <v>8096.7039999999997</v>
      </c>
      <c r="E1057" t="s">
        <v>4</v>
      </c>
      <c r="F1057" t="s">
        <v>46</v>
      </c>
      <c r="G1057" t="s">
        <v>7</v>
      </c>
    </row>
    <row r="1058" spans="1:7" x14ac:dyDescent="0.3">
      <c r="A1058" t="s">
        <v>21</v>
      </c>
      <c r="B1058" s="1">
        <v>45961</v>
      </c>
      <c r="C1058">
        <v>321031</v>
      </c>
      <c r="D1058">
        <v>498.346</v>
      </c>
      <c r="E1058" t="s">
        <v>4</v>
      </c>
      <c r="F1058" t="s">
        <v>46</v>
      </c>
      <c r="G1058" t="s">
        <v>7</v>
      </c>
    </row>
    <row r="1059" spans="1:7" x14ac:dyDescent="0.3">
      <c r="A1059" t="s">
        <v>21</v>
      </c>
      <c r="B1059" s="1">
        <v>45961</v>
      </c>
      <c r="C1059">
        <v>340265</v>
      </c>
      <c r="D1059">
        <v>362855.91899999999</v>
      </c>
      <c r="E1059" t="s">
        <v>4</v>
      </c>
      <c r="F1059" t="s">
        <v>47</v>
      </c>
      <c r="G1059" t="s">
        <v>7</v>
      </c>
    </row>
    <row r="1060" spans="1:7" x14ac:dyDescent="0.3">
      <c r="A1060" t="s">
        <v>21</v>
      </c>
      <c r="B1060" s="1">
        <v>45961</v>
      </c>
      <c r="C1060">
        <v>340266</v>
      </c>
      <c r="D1060">
        <v>-322600.21799999999</v>
      </c>
      <c r="E1060" t="s">
        <v>4</v>
      </c>
      <c r="F1060" t="s">
        <v>47</v>
      </c>
      <c r="G1060" t="s">
        <v>7</v>
      </c>
    </row>
    <row r="1061" spans="1:7" x14ac:dyDescent="0.3">
      <c r="A1061" t="s">
        <v>21</v>
      </c>
      <c r="B1061" s="1">
        <v>45961</v>
      </c>
      <c r="C1061">
        <v>340324</v>
      </c>
      <c r="D1061">
        <v>1965.8109999999999</v>
      </c>
      <c r="E1061" t="s">
        <v>4</v>
      </c>
      <c r="F1061" t="s">
        <v>45</v>
      </c>
      <c r="G1061" t="s">
        <v>7</v>
      </c>
    </row>
    <row r="1062" spans="1:7" x14ac:dyDescent="0.3">
      <c r="A1062" t="s">
        <v>21</v>
      </c>
      <c r="B1062" s="1">
        <v>45961</v>
      </c>
      <c r="C1062">
        <v>350003</v>
      </c>
      <c r="D1062">
        <v>-33.655999999999999</v>
      </c>
      <c r="E1062" t="s">
        <v>4</v>
      </c>
      <c r="F1062" t="s">
        <v>49</v>
      </c>
      <c r="G1062" t="s">
        <v>7</v>
      </c>
    </row>
    <row r="1063" spans="1:7" x14ac:dyDescent="0.3">
      <c r="A1063" t="s">
        <v>21</v>
      </c>
      <c r="B1063" s="1">
        <v>45961</v>
      </c>
      <c r="C1063">
        <v>352002</v>
      </c>
      <c r="D1063">
        <v>1545.057</v>
      </c>
      <c r="E1063" t="s">
        <v>4</v>
      </c>
      <c r="F1063" t="s">
        <v>48</v>
      </c>
      <c r="G1063" t="s">
        <v>7</v>
      </c>
    </row>
    <row r="1064" spans="1:7" x14ac:dyDescent="0.3">
      <c r="A1064" t="s">
        <v>21</v>
      </c>
      <c r="B1064" s="1">
        <v>45961</v>
      </c>
      <c r="C1064">
        <v>354012</v>
      </c>
      <c r="D1064">
        <v>7102.7529999999997</v>
      </c>
      <c r="E1064" t="s">
        <v>4</v>
      </c>
      <c r="F1064" t="s">
        <v>46</v>
      </c>
      <c r="G1064" t="s">
        <v>7</v>
      </c>
    </row>
    <row r="1065" spans="1:7" x14ac:dyDescent="0.3">
      <c r="A1065" t="s">
        <v>21</v>
      </c>
      <c r="B1065" s="1">
        <v>45961</v>
      </c>
      <c r="C1065">
        <v>354014</v>
      </c>
      <c r="D1065">
        <v>1524.952</v>
      </c>
      <c r="E1065" t="s">
        <v>4</v>
      </c>
      <c r="F1065" t="s">
        <v>46</v>
      </c>
      <c r="G1065" t="s">
        <v>7</v>
      </c>
    </row>
    <row r="1066" spans="1:7" x14ac:dyDescent="0.3">
      <c r="A1066" t="s">
        <v>21</v>
      </c>
      <c r="B1066" s="1">
        <v>45961</v>
      </c>
      <c r="C1066">
        <v>355016</v>
      </c>
      <c r="D1066">
        <v>332.26499999999999</v>
      </c>
      <c r="E1066" t="s">
        <v>4</v>
      </c>
      <c r="F1066" t="s">
        <v>49</v>
      </c>
      <c r="G1066" t="s">
        <v>7</v>
      </c>
    </row>
    <row r="1067" spans="1:7" x14ac:dyDescent="0.3">
      <c r="A1067" t="s">
        <v>21</v>
      </c>
      <c r="B1067" s="1">
        <v>45961</v>
      </c>
      <c r="C1067">
        <v>360028</v>
      </c>
      <c r="D1067">
        <v>5238.5680000000002</v>
      </c>
      <c r="E1067" t="s">
        <v>4</v>
      </c>
      <c r="F1067" t="s">
        <v>58</v>
      </c>
      <c r="G1067" t="s">
        <v>7</v>
      </c>
    </row>
    <row r="1068" spans="1:7" x14ac:dyDescent="0.3">
      <c r="A1068" t="s">
        <v>21</v>
      </c>
      <c r="B1068" s="1">
        <v>45961</v>
      </c>
      <c r="C1068">
        <v>360030</v>
      </c>
      <c r="D1068">
        <v>2143.0329999999999</v>
      </c>
      <c r="E1068" t="s">
        <v>4</v>
      </c>
      <c r="F1068" t="s">
        <v>58</v>
      </c>
      <c r="G1068" t="s">
        <v>7</v>
      </c>
    </row>
    <row r="1069" spans="1:7" x14ac:dyDescent="0.3">
      <c r="A1069" t="s">
        <v>21</v>
      </c>
      <c r="B1069" s="1">
        <v>45961</v>
      </c>
      <c r="C1069">
        <v>372004</v>
      </c>
      <c r="D1069">
        <v>6202.6310000000003</v>
      </c>
      <c r="E1069" t="s">
        <v>4</v>
      </c>
      <c r="F1069" t="s">
        <v>45</v>
      </c>
      <c r="G1069" t="s">
        <v>7</v>
      </c>
    </row>
    <row r="1070" spans="1:7" x14ac:dyDescent="0.3">
      <c r="A1070" t="s">
        <v>21</v>
      </c>
      <c r="B1070" s="1">
        <v>45961</v>
      </c>
      <c r="C1070">
        <v>410002</v>
      </c>
      <c r="D1070">
        <v>-15278.531000000001</v>
      </c>
      <c r="E1070" t="s">
        <v>6</v>
      </c>
      <c r="F1070" t="s">
        <v>51</v>
      </c>
      <c r="G1070" t="s">
        <v>7</v>
      </c>
    </row>
    <row r="1071" spans="1:7" x14ac:dyDescent="0.3">
      <c r="A1071" t="s">
        <v>21</v>
      </c>
      <c r="B1071" s="1">
        <v>45961</v>
      </c>
      <c r="C1071">
        <v>410006</v>
      </c>
      <c r="D1071">
        <v>-45.564</v>
      </c>
      <c r="E1071" t="s">
        <v>6</v>
      </c>
      <c r="F1071" t="s">
        <v>51</v>
      </c>
      <c r="G1071" t="s">
        <v>7</v>
      </c>
    </row>
    <row r="1072" spans="1:7" x14ac:dyDescent="0.3">
      <c r="A1072" t="s">
        <v>21</v>
      </c>
      <c r="B1072" s="1">
        <v>45961</v>
      </c>
      <c r="C1072">
        <v>410032</v>
      </c>
      <c r="D1072">
        <v>-366.81299999999999</v>
      </c>
      <c r="E1072" t="s">
        <v>6</v>
      </c>
      <c r="F1072" t="s">
        <v>51</v>
      </c>
      <c r="G1072" t="s">
        <v>7</v>
      </c>
    </row>
    <row r="1073" spans="1:7" x14ac:dyDescent="0.3">
      <c r="A1073" t="s">
        <v>21</v>
      </c>
      <c r="B1073" s="1">
        <v>45961</v>
      </c>
      <c r="C1073">
        <v>410037</v>
      </c>
      <c r="D1073">
        <v>-15513.159</v>
      </c>
      <c r="E1073" t="s">
        <v>6</v>
      </c>
      <c r="F1073" t="s">
        <v>51</v>
      </c>
      <c r="G1073" t="s">
        <v>7</v>
      </c>
    </row>
    <row r="1074" spans="1:7" x14ac:dyDescent="0.3">
      <c r="A1074" t="s">
        <v>21</v>
      </c>
      <c r="B1074" s="1">
        <v>45961</v>
      </c>
      <c r="C1074">
        <v>410039</v>
      </c>
      <c r="D1074">
        <v>-1240.7829999999999</v>
      </c>
      <c r="E1074" t="s">
        <v>6</v>
      </c>
      <c r="F1074" t="s">
        <v>51</v>
      </c>
      <c r="G1074" t="s">
        <v>7</v>
      </c>
    </row>
    <row r="1075" spans="1:7" x14ac:dyDescent="0.3">
      <c r="A1075" t="s">
        <v>21</v>
      </c>
      <c r="B1075" s="1">
        <v>45961</v>
      </c>
      <c r="C1075">
        <v>415002</v>
      </c>
      <c r="D1075">
        <v>-5507.8059999999996</v>
      </c>
      <c r="E1075" t="s">
        <v>6</v>
      </c>
      <c r="F1075" t="s">
        <v>50</v>
      </c>
      <c r="G1075" t="s">
        <v>7</v>
      </c>
    </row>
    <row r="1076" spans="1:7" x14ac:dyDescent="0.3">
      <c r="A1076" t="s">
        <v>21</v>
      </c>
      <c r="B1076" s="1">
        <v>45961</v>
      </c>
      <c r="C1076">
        <v>415004</v>
      </c>
      <c r="D1076">
        <v>-16199.232</v>
      </c>
      <c r="E1076" t="s">
        <v>6</v>
      </c>
      <c r="F1076" t="s">
        <v>50</v>
      </c>
      <c r="G1076" t="s">
        <v>7</v>
      </c>
    </row>
    <row r="1077" spans="1:7" x14ac:dyDescent="0.3">
      <c r="A1077" t="s">
        <v>21</v>
      </c>
      <c r="B1077" s="1">
        <v>45961</v>
      </c>
      <c r="C1077">
        <v>421002</v>
      </c>
      <c r="D1077">
        <v>225.55799999999999</v>
      </c>
      <c r="E1077" t="s">
        <v>6</v>
      </c>
      <c r="F1077" t="s">
        <v>52</v>
      </c>
      <c r="G1077" t="s">
        <v>7</v>
      </c>
    </row>
    <row r="1078" spans="1:7" x14ac:dyDescent="0.3">
      <c r="A1078" t="s">
        <v>21</v>
      </c>
      <c r="B1078" s="1">
        <v>45961</v>
      </c>
      <c r="C1078">
        <v>421003</v>
      </c>
      <c r="D1078">
        <v>-650.37199999999996</v>
      </c>
      <c r="E1078" t="s">
        <v>6</v>
      </c>
      <c r="F1078" t="s">
        <v>52</v>
      </c>
      <c r="G1078" t="s">
        <v>7</v>
      </c>
    </row>
    <row r="1079" spans="1:7" x14ac:dyDescent="0.3">
      <c r="A1079" t="s">
        <v>21</v>
      </c>
      <c r="B1079" s="1">
        <v>45961</v>
      </c>
      <c r="C1079">
        <v>421007</v>
      </c>
      <c r="D1079">
        <v>-128.00899999999999</v>
      </c>
      <c r="E1079" t="s">
        <v>6</v>
      </c>
      <c r="F1079" t="s">
        <v>52</v>
      </c>
      <c r="G1079" t="s">
        <v>7</v>
      </c>
    </row>
    <row r="1080" spans="1:7" x14ac:dyDescent="0.3">
      <c r="A1080" t="s">
        <v>21</v>
      </c>
      <c r="B1080" s="1">
        <v>45961</v>
      </c>
      <c r="C1080">
        <v>510002</v>
      </c>
      <c r="D1080">
        <v>29911.808000000001</v>
      </c>
      <c r="E1080" t="s">
        <v>6</v>
      </c>
      <c r="F1080" t="s">
        <v>53</v>
      </c>
      <c r="G1080" t="s">
        <v>7</v>
      </c>
    </row>
    <row r="1081" spans="1:7" x14ac:dyDescent="0.3">
      <c r="A1081" t="s">
        <v>21</v>
      </c>
      <c r="B1081" s="1">
        <v>45961</v>
      </c>
      <c r="C1081">
        <v>510007</v>
      </c>
      <c r="D1081">
        <v>1053.105</v>
      </c>
      <c r="E1081" t="s">
        <v>6</v>
      </c>
      <c r="F1081" t="s">
        <v>53</v>
      </c>
      <c r="G1081" t="s">
        <v>7</v>
      </c>
    </row>
    <row r="1082" spans="1:7" x14ac:dyDescent="0.3">
      <c r="A1082" t="s">
        <v>21</v>
      </c>
      <c r="B1082" s="1">
        <v>45961</v>
      </c>
      <c r="C1082">
        <v>510015</v>
      </c>
      <c r="D1082">
        <v>4809.1850000000004</v>
      </c>
      <c r="E1082" t="s">
        <v>6</v>
      </c>
      <c r="F1082" t="s">
        <v>53</v>
      </c>
      <c r="G1082" t="s">
        <v>7</v>
      </c>
    </row>
    <row r="1083" spans="1:7" x14ac:dyDescent="0.3">
      <c r="A1083" t="s">
        <v>21</v>
      </c>
      <c r="B1083" s="1">
        <v>45961</v>
      </c>
      <c r="C1083">
        <v>510018</v>
      </c>
      <c r="D1083">
        <v>304.96499999999997</v>
      </c>
      <c r="E1083" t="s">
        <v>6</v>
      </c>
      <c r="F1083" t="s">
        <v>53</v>
      </c>
      <c r="G1083" t="s">
        <v>7</v>
      </c>
    </row>
    <row r="1084" spans="1:7" x14ac:dyDescent="0.3">
      <c r="A1084" t="s">
        <v>21</v>
      </c>
      <c r="B1084" s="1">
        <v>45961</v>
      </c>
      <c r="C1084">
        <v>510062</v>
      </c>
      <c r="D1084">
        <v>1163.403</v>
      </c>
      <c r="E1084" t="s">
        <v>6</v>
      </c>
      <c r="F1084" t="s">
        <v>53</v>
      </c>
      <c r="G1084" t="s">
        <v>7</v>
      </c>
    </row>
    <row r="1085" spans="1:7" x14ac:dyDescent="0.3">
      <c r="A1085" t="s">
        <v>21</v>
      </c>
      <c r="B1085" s="1">
        <v>45961</v>
      </c>
      <c r="C1085">
        <v>510065</v>
      </c>
      <c r="D1085">
        <v>478.29199999999997</v>
      </c>
      <c r="E1085" t="s">
        <v>6</v>
      </c>
      <c r="F1085" t="s">
        <v>53</v>
      </c>
      <c r="G1085" t="s">
        <v>7</v>
      </c>
    </row>
    <row r="1086" spans="1:7" x14ac:dyDescent="0.3">
      <c r="A1086" t="s">
        <v>21</v>
      </c>
      <c r="B1086" s="1">
        <v>45961</v>
      </c>
      <c r="C1086">
        <v>520021</v>
      </c>
      <c r="D1086">
        <v>1.024</v>
      </c>
      <c r="E1086" t="s">
        <v>6</v>
      </c>
      <c r="F1086" t="s">
        <v>60</v>
      </c>
      <c r="G1086" t="s">
        <v>7</v>
      </c>
    </row>
    <row r="1087" spans="1:7" x14ac:dyDescent="0.3">
      <c r="A1087" t="s">
        <v>21</v>
      </c>
      <c r="B1087" s="1">
        <v>45961</v>
      </c>
      <c r="C1087">
        <v>540004</v>
      </c>
      <c r="D1087">
        <v>42.369</v>
      </c>
      <c r="E1087" t="s">
        <v>6</v>
      </c>
      <c r="F1087" t="s">
        <v>67</v>
      </c>
      <c r="G1087" t="s">
        <v>7</v>
      </c>
    </row>
    <row r="1088" spans="1:7" x14ac:dyDescent="0.3">
      <c r="A1088" t="s">
        <v>21</v>
      </c>
      <c r="B1088" s="1">
        <v>45961</v>
      </c>
      <c r="C1088">
        <v>541004</v>
      </c>
      <c r="D1088">
        <v>29.045000000000002</v>
      </c>
      <c r="E1088" t="s">
        <v>6</v>
      </c>
      <c r="F1088" t="s">
        <v>61</v>
      </c>
      <c r="G1088" t="s">
        <v>7</v>
      </c>
    </row>
    <row r="1089" spans="1:7" x14ac:dyDescent="0.3">
      <c r="A1089" t="s">
        <v>21</v>
      </c>
      <c r="B1089" s="1">
        <v>45961</v>
      </c>
      <c r="C1089">
        <v>541010</v>
      </c>
      <c r="D1089">
        <v>338.137</v>
      </c>
      <c r="E1089" t="s">
        <v>6</v>
      </c>
      <c r="F1089" t="s">
        <v>61</v>
      </c>
      <c r="G1089" t="s">
        <v>7</v>
      </c>
    </row>
    <row r="1090" spans="1:7" x14ac:dyDescent="0.3">
      <c r="A1090" t="s">
        <v>21</v>
      </c>
      <c r="B1090" s="1">
        <v>45961</v>
      </c>
      <c r="C1090">
        <v>546002</v>
      </c>
      <c r="D1090">
        <v>15389.271000000001</v>
      </c>
      <c r="E1090" t="s">
        <v>6</v>
      </c>
      <c r="F1090" t="s">
        <v>51</v>
      </c>
      <c r="G1090" t="s">
        <v>7</v>
      </c>
    </row>
    <row r="1091" spans="1:7" x14ac:dyDescent="0.3">
      <c r="A1091" t="s">
        <v>21</v>
      </c>
      <c r="B1091" s="1">
        <v>45961</v>
      </c>
      <c r="C1091">
        <v>546008</v>
      </c>
      <c r="D1091">
        <v>4135.9489999999996</v>
      </c>
      <c r="E1091" t="s">
        <v>6</v>
      </c>
      <c r="F1091" t="s">
        <v>51</v>
      </c>
      <c r="G1091" t="s">
        <v>7</v>
      </c>
    </row>
    <row r="1092" spans="1:7" x14ac:dyDescent="0.3">
      <c r="A1092" t="s">
        <v>21</v>
      </c>
      <c r="B1092" s="1">
        <v>45961</v>
      </c>
      <c r="C1092">
        <v>546013</v>
      </c>
      <c r="D1092">
        <v>674.58100000000002</v>
      </c>
      <c r="E1092" t="s">
        <v>6</v>
      </c>
      <c r="F1092" t="s">
        <v>51</v>
      </c>
      <c r="G1092" t="s">
        <v>7</v>
      </c>
    </row>
    <row r="1093" spans="1:7" x14ac:dyDescent="0.3">
      <c r="A1093" t="s">
        <v>21</v>
      </c>
      <c r="B1093" s="1">
        <v>45961</v>
      </c>
      <c r="C1093">
        <v>546016</v>
      </c>
      <c r="D1093">
        <v>344.779</v>
      </c>
      <c r="E1093" t="s">
        <v>6</v>
      </c>
      <c r="F1093" t="s">
        <v>51</v>
      </c>
      <c r="G1093" t="s">
        <v>7</v>
      </c>
    </row>
    <row r="1094" spans="1:7" x14ac:dyDescent="0.3">
      <c r="A1094" t="s">
        <v>21</v>
      </c>
      <c r="B1094" s="1">
        <v>45961</v>
      </c>
      <c r="C1094">
        <v>546040</v>
      </c>
      <c r="D1094">
        <v>1491.14</v>
      </c>
      <c r="E1094" t="s">
        <v>6</v>
      </c>
      <c r="F1094" t="s">
        <v>51</v>
      </c>
      <c r="G1094" t="s">
        <v>7</v>
      </c>
    </row>
    <row r="1095" spans="1:7" x14ac:dyDescent="0.3">
      <c r="A1095" t="s">
        <v>21</v>
      </c>
      <c r="B1095" s="1">
        <v>45961</v>
      </c>
      <c r="C1095">
        <v>550003</v>
      </c>
      <c r="D1095">
        <v>709.14300000000003</v>
      </c>
      <c r="E1095" t="s">
        <v>6</v>
      </c>
      <c r="F1095" t="s">
        <v>62</v>
      </c>
      <c r="G1095" t="s">
        <v>7</v>
      </c>
    </row>
    <row r="1096" spans="1:7" x14ac:dyDescent="0.3">
      <c r="A1096" t="s">
        <v>21</v>
      </c>
      <c r="B1096" s="1">
        <v>45961</v>
      </c>
      <c r="C1096">
        <v>551003</v>
      </c>
      <c r="D1096">
        <v>2252.9749999999999</v>
      </c>
      <c r="E1096" t="s">
        <v>6</v>
      </c>
      <c r="F1096" t="s">
        <v>63</v>
      </c>
      <c r="G1096" t="s">
        <v>7</v>
      </c>
    </row>
    <row r="1097" spans="1:7" x14ac:dyDescent="0.3">
      <c r="A1097" t="s">
        <v>21</v>
      </c>
      <c r="B1097" s="1">
        <v>45961</v>
      </c>
      <c r="C1097">
        <v>552502</v>
      </c>
      <c r="D1097">
        <v>5148.2569999999996</v>
      </c>
      <c r="E1097" t="s">
        <v>6</v>
      </c>
      <c r="F1097" t="s">
        <v>55</v>
      </c>
      <c r="G1097" t="s">
        <v>7</v>
      </c>
    </row>
    <row r="1098" spans="1:7" x14ac:dyDescent="0.3">
      <c r="A1098" t="s">
        <v>21</v>
      </c>
      <c r="B1098" s="1">
        <v>45961</v>
      </c>
      <c r="C1098">
        <v>555508</v>
      </c>
      <c r="D1098">
        <v>291.79000000000002</v>
      </c>
      <c r="E1098" t="s">
        <v>6</v>
      </c>
      <c r="F1098" t="s">
        <v>55</v>
      </c>
      <c r="G1098" t="s">
        <v>7</v>
      </c>
    </row>
    <row r="1099" spans="1:7" x14ac:dyDescent="0.3">
      <c r="A1099" t="s">
        <v>21</v>
      </c>
      <c r="B1099" s="1">
        <v>45961</v>
      </c>
      <c r="C1099">
        <v>556002</v>
      </c>
      <c r="D1099">
        <v>6.782</v>
      </c>
      <c r="E1099" t="s">
        <v>6</v>
      </c>
      <c r="F1099" t="s">
        <v>60</v>
      </c>
      <c r="G1099" t="s">
        <v>7</v>
      </c>
    </row>
    <row r="1100" spans="1:7" x14ac:dyDescent="0.3">
      <c r="A1100" t="s">
        <v>21</v>
      </c>
      <c r="B1100" s="1">
        <v>45961</v>
      </c>
      <c r="C1100">
        <v>557002</v>
      </c>
      <c r="D1100">
        <v>8541.7420000000002</v>
      </c>
      <c r="E1100" t="s">
        <v>6</v>
      </c>
      <c r="F1100" t="s">
        <v>56</v>
      </c>
      <c r="G1100" t="s">
        <v>7</v>
      </c>
    </row>
    <row r="1101" spans="1:7" x14ac:dyDescent="0.3">
      <c r="A1101" t="s">
        <v>21</v>
      </c>
      <c r="B1101" s="1">
        <v>45961</v>
      </c>
      <c r="C1101">
        <v>558003</v>
      </c>
      <c r="D1101">
        <v>373.24900000000002</v>
      </c>
      <c r="E1101" t="s">
        <v>6</v>
      </c>
      <c r="F1101" t="s">
        <v>57</v>
      </c>
      <c r="G1101" t="s">
        <v>7</v>
      </c>
    </row>
    <row r="1102" spans="1:7" x14ac:dyDescent="0.3">
      <c r="A1102" t="s">
        <v>21</v>
      </c>
      <c r="B1102" s="1">
        <v>45961</v>
      </c>
      <c r="C1102">
        <v>558012</v>
      </c>
      <c r="D1102">
        <v>13.484</v>
      </c>
      <c r="E1102" t="s">
        <v>6</v>
      </c>
      <c r="F1102" t="s">
        <v>60</v>
      </c>
      <c r="G1102" t="s">
        <v>7</v>
      </c>
    </row>
    <row r="1103" spans="1:7" x14ac:dyDescent="0.3">
      <c r="A1103" t="s">
        <v>21</v>
      </c>
      <c r="B1103" s="1">
        <v>45961</v>
      </c>
      <c r="C1103">
        <v>564004</v>
      </c>
      <c r="D1103">
        <v>861.43200000000002</v>
      </c>
      <c r="E1103" t="s">
        <v>6</v>
      </c>
      <c r="F1103" t="s">
        <v>51</v>
      </c>
      <c r="G1103" t="s">
        <v>7</v>
      </c>
    </row>
    <row r="1104" spans="1:7" x14ac:dyDescent="0.3">
      <c r="A1104" t="s">
        <v>21</v>
      </c>
      <c r="B1104" s="1">
        <v>45961</v>
      </c>
      <c r="C1104">
        <v>564006</v>
      </c>
      <c r="D1104">
        <v>6.0000000000000001E-3</v>
      </c>
      <c r="E1104" t="s">
        <v>6</v>
      </c>
      <c r="F1104" t="s">
        <v>57</v>
      </c>
      <c r="G1104" t="s">
        <v>7</v>
      </c>
    </row>
    <row r="1105" spans="1:7" x14ac:dyDescent="0.3">
      <c r="A1105" t="s">
        <v>21</v>
      </c>
      <c r="B1105" s="1">
        <v>45961</v>
      </c>
      <c r="C1105">
        <v>564020</v>
      </c>
      <c r="D1105">
        <v>69.430000000000007</v>
      </c>
      <c r="E1105" t="s">
        <v>6</v>
      </c>
      <c r="F1105" t="s">
        <v>57</v>
      </c>
      <c r="G1105" t="s">
        <v>7</v>
      </c>
    </row>
    <row r="1106" spans="1:7" x14ac:dyDescent="0.3">
      <c r="A1106" t="s">
        <v>21</v>
      </c>
      <c r="B1106" s="1">
        <v>45961</v>
      </c>
      <c r="C1106">
        <v>580002</v>
      </c>
      <c r="D1106">
        <v>1805.9780000000001</v>
      </c>
      <c r="E1106" t="s">
        <v>6</v>
      </c>
      <c r="F1106" t="s">
        <v>64</v>
      </c>
      <c r="G1106" t="s">
        <v>7</v>
      </c>
    </row>
    <row r="1107" spans="1:7" x14ac:dyDescent="0.3">
      <c r="A1107" t="s">
        <v>22</v>
      </c>
      <c r="B1107" s="1">
        <v>45961</v>
      </c>
      <c r="C1107">
        <v>220006</v>
      </c>
      <c r="D1107">
        <v>-65435.949000000001</v>
      </c>
      <c r="E1107" t="s">
        <v>4</v>
      </c>
      <c r="F1107" t="s">
        <v>42</v>
      </c>
      <c r="G1107" t="s">
        <v>8</v>
      </c>
    </row>
    <row r="1108" spans="1:7" x14ac:dyDescent="0.3">
      <c r="A1108" t="s">
        <v>22</v>
      </c>
      <c r="B1108" s="1">
        <v>45961</v>
      </c>
      <c r="C1108">
        <v>242003</v>
      </c>
      <c r="D1108">
        <v>-80575.748000000007</v>
      </c>
      <c r="E1108" t="s">
        <v>4</v>
      </c>
      <c r="F1108" t="s">
        <v>43</v>
      </c>
      <c r="G1108" t="s">
        <v>8</v>
      </c>
    </row>
    <row r="1109" spans="1:7" x14ac:dyDescent="0.3">
      <c r="A1109" t="s">
        <v>22</v>
      </c>
      <c r="B1109" s="1">
        <v>45961</v>
      </c>
      <c r="C1109">
        <v>242011</v>
      </c>
      <c r="D1109">
        <v>2.1749999999999998</v>
      </c>
      <c r="E1109" t="s">
        <v>4</v>
      </c>
      <c r="F1109" t="s">
        <v>43</v>
      </c>
      <c r="G1109" t="s">
        <v>8</v>
      </c>
    </row>
    <row r="1110" spans="1:7" x14ac:dyDescent="0.3">
      <c r="A1110" t="s">
        <v>22</v>
      </c>
      <c r="B1110" s="1">
        <v>45961</v>
      </c>
      <c r="C1110">
        <v>242016</v>
      </c>
      <c r="D1110">
        <v>-7843.9219999999996</v>
      </c>
      <c r="E1110" t="s">
        <v>4</v>
      </c>
      <c r="F1110" t="s">
        <v>43</v>
      </c>
      <c r="G1110" t="s">
        <v>8</v>
      </c>
    </row>
    <row r="1111" spans="1:7" x14ac:dyDescent="0.3">
      <c r="A1111" t="s">
        <v>22</v>
      </c>
      <c r="B1111" s="1">
        <v>45961</v>
      </c>
      <c r="C1111">
        <v>242030</v>
      </c>
      <c r="D1111">
        <v>-314.82799999999997</v>
      </c>
      <c r="E1111" t="s">
        <v>4</v>
      </c>
      <c r="F1111" t="s">
        <v>43</v>
      </c>
      <c r="G1111" t="s">
        <v>8</v>
      </c>
    </row>
    <row r="1112" spans="1:7" x14ac:dyDescent="0.3">
      <c r="A1112" t="s">
        <v>22</v>
      </c>
      <c r="B1112" s="1">
        <v>45961</v>
      </c>
      <c r="C1112">
        <v>242039</v>
      </c>
      <c r="D1112">
        <v>-5375.665</v>
      </c>
      <c r="E1112" t="s">
        <v>4</v>
      </c>
      <c r="F1112" t="s">
        <v>43</v>
      </c>
      <c r="G1112" t="s">
        <v>8</v>
      </c>
    </row>
    <row r="1113" spans="1:7" x14ac:dyDescent="0.3">
      <c r="A1113" t="s">
        <v>22</v>
      </c>
      <c r="B1113" s="1">
        <v>45961</v>
      </c>
      <c r="C1113">
        <v>242041</v>
      </c>
      <c r="D1113">
        <v>-2.0720000000000001</v>
      </c>
      <c r="E1113" t="s">
        <v>4</v>
      </c>
      <c r="F1113" t="s">
        <v>43</v>
      </c>
      <c r="G1113" t="s">
        <v>8</v>
      </c>
    </row>
    <row r="1114" spans="1:7" x14ac:dyDescent="0.3">
      <c r="A1114" t="s">
        <v>22</v>
      </c>
      <c r="B1114" s="1">
        <v>45961</v>
      </c>
      <c r="C1114">
        <v>243002</v>
      </c>
      <c r="D1114">
        <v>-3041.2130000000002</v>
      </c>
      <c r="E1114" t="s">
        <v>4</v>
      </c>
      <c r="F1114" t="s">
        <v>43</v>
      </c>
      <c r="G1114" t="s">
        <v>8</v>
      </c>
    </row>
    <row r="1115" spans="1:7" x14ac:dyDescent="0.3">
      <c r="A1115" t="s">
        <v>22</v>
      </c>
      <c r="B1115" s="1">
        <v>45961</v>
      </c>
      <c r="C1115">
        <v>245062</v>
      </c>
      <c r="D1115">
        <v>-560.61599999999999</v>
      </c>
      <c r="E1115" t="s">
        <v>4</v>
      </c>
      <c r="F1115" t="s">
        <v>43</v>
      </c>
      <c r="G1115" t="s">
        <v>8</v>
      </c>
    </row>
    <row r="1116" spans="1:7" x14ac:dyDescent="0.3">
      <c r="A1116" t="s">
        <v>22</v>
      </c>
      <c r="B1116" s="1">
        <v>45961</v>
      </c>
      <c r="C1116">
        <v>257030</v>
      </c>
      <c r="D1116">
        <v>-4515.8140000000003</v>
      </c>
      <c r="E1116" t="s">
        <v>4</v>
      </c>
      <c r="F1116" t="s">
        <v>45</v>
      </c>
      <c r="G1116" t="s">
        <v>8</v>
      </c>
    </row>
    <row r="1117" spans="1:7" x14ac:dyDescent="0.3">
      <c r="A1117" t="s">
        <v>22</v>
      </c>
      <c r="B1117" s="1">
        <v>45961</v>
      </c>
      <c r="C1117">
        <v>260004</v>
      </c>
      <c r="D1117">
        <v>-8330.0849999999991</v>
      </c>
      <c r="E1117" t="s">
        <v>4</v>
      </c>
      <c r="F1117" t="s">
        <v>45</v>
      </c>
      <c r="G1117" t="s">
        <v>8</v>
      </c>
    </row>
    <row r="1118" spans="1:7" x14ac:dyDescent="0.3">
      <c r="A1118" t="s">
        <v>22</v>
      </c>
      <c r="B1118" s="1">
        <v>45961</v>
      </c>
      <c r="C1118">
        <v>320002</v>
      </c>
      <c r="D1118">
        <v>36731.976000000002</v>
      </c>
      <c r="E1118" t="s">
        <v>4</v>
      </c>
      <c r="F1118" t="s">
        <v>46</v>
      </c>
      <c r="G1118" t="s">
        <v>8</v>
      </c>
    </row>
    <row r="1119" spans="1:7" x14ac:dyDescent="0.3">
      <c r="A1119" t="s">
        <v>22</v>
      </c>
      <c r="B1119" s="1">
        <v>45961</v>
      </c>
      <c r="C1119">
        <v>321002</v>
      </c>
      <c r="D1119">
        <v>1899.5239999999999</v>
      </c>
      <c r="E1119" t="s">
        <v>4</v>
      </c>
      <c r="F1119" t="s">
        <v>46</v>
      </c>
      <c r="G1119" t="s">
        <v>8</v>
      </c>
    </row>
    <row r="1120" spans="1:7" x14ac:dyDescent="0.3">
      <c r="A1120" t="s">
        <v>22</v>
      </c>
      <c r="B1120" s="1">
        <v>45961</v>
      </c>
      <c r="C1120">
        <v>330137</v>
      </c>
      <c r="D1120">
        <v>-5163.558</v>
      </c>
      <c r="E1120" t="s">
        <v>4</v>
      </c>
      <c r="F1120" t="s">
        <v>43</v>
      </c>
      <c r="G1120" t="s">
        <v>8</v>
      </c>
    </row>
    <row r="1121" spans="1:7" x14ac:dyDescent="0.3">
      <c r="A1121" t="s">
        <v>22</v>
      </c>
      <c r="B1121" s="1">
        <v>45961</v>
      </c>
      <c r="C1121">
        <v>340208</v>
      </c>
      <c r="D1121">
        <v>83379.755999999994</v>
      </c>
      <c r="E1121" t="s">
        <v>4</v>
      </c>
      <c r="F1121" t="s">
        <v>47</v>
      </c>
      <c r="G1121" t="s">
        <v>8</v>
      </c>
    </row>
    <row r="1122" spans="1:7" x14ac:dyDescent="0.3">
      <c r="A1122" t="s">
        <v>22</v>
      </c>
      <c r="B1122" s="1">
        <v>45961</v>
      </c>
      <c r="C1122">
        <v>350002</v>
      </c>
      <c r="D1122">
        <v>6959.5290000000005</v>
      </c>
      <c r="E1122" t="s">
        <v>4</v>
      </c>
      <c r="F1122" t="s">
        <v>49</v>
      </c>
      <c r="G1122" t="s">
        <v>8</v>
      </c>
    </row>
    <row r="1123" spans="1:7" x14ac:dyDescent="0.3">
      <c r="A1123" t="s">
        <v>22</v>
      </c>
      <c r="B1123" s="1">
        <v>45961</v>
      </c>
      <c r="C1123">
        <v>350003</v>
      </c>
      <c r="D1123">
        <v>-412.137</v>
      </c>
      <c r="E1123" t="s">
        <v>4</v>
      </c>
      <c r="F1123" t="s">
        <v>49</v>
      </c>
      <c r="G1123" t="s">
        <v>8</v>
      </c>
    </row>
    <row r="1124" spans="1:7" x14ac:dyDescent="0.3">
      <c r="A1124" t="s">
        <v>22</v>
      </c>
      <c r="B1124" s="1">
        <v>45961</v>
      </c>
      <c r="C1124">
        <v>354013</v>
      </c>
      <c r="D1124">
        <v>5472.7179999999998</v>
      </c>
      <c r="E1124" t="s">
        <v>4</v>
      </c>
      <c r="F1124" t="s">
        <v>46</v>
      </c>
      <c r="G1124" t="s">
        <v>8</v>
      </c>
    </row>
    <row r="1125" spans="1:7" x14ac:dyDescent="0.3">
      <c r="A1125" t="s">
        <v>22</v>
      </c>
      <c r="B1125" s="1">
        <v>45961</v>
      </c>
      <c r="C1125">
        <v>354015</v>
      </c>
      <c r="D1125">
        <v>19549.877</v>
      </c>
      <c r="E1125" t="s">
        <v>4</v>
      </c>
      <c r="F1125" t="s">
        <v>46</v>
      </c>
      <c r="G1125" t="s">
        <v>8</v>
      </c>
    </row>
    <row r="1126" spans="1:7" x14ac:dyDescent="0.3">
      <c r="A1126" t="s">
        <v>22</v>
      </c>
      <c r="B1126" s="1">
        <v>45961</v>
      </c>
      <c r="C1126">
        <v>355002</v>
      </c>
      <c r="D1126">
        <v>76.771000000000001</v>
      </c>
      <c r="E1126" t="s">
        <v>4</v>
      </c>
      <c r="F1126" t="s">
        <v>49</v>
      </c>
      <c r="G1126" t="s">
        <v>8</v>
      </c>
    </row>
    <row r="1127" spans="1:7" x14ac:dyDescent="0.3">
      <c r="A1127" t="s">
        <v>22</v>
      </c>
      <c r="B1127" s="1">
        <v>45961</v>
      </c>
      <c r="C1127">
        <v>360026</v>
      </c>
      <c r="D1127">
        <v>1747.7070000000001</v>
      </c>
      <c r="E1127" t="s">
        <v>4</v>
      </c>
      <c r="F1127" t="s">
        <v>58</v>
      </c>
      <c r="G1127" t="s">
        <v>8</v>
      </c>
    </row>
    <row r="1128" spans="1:7" x14ac:dyDescent="0.3">
      <c r="A1128" t="s">
        <v>22</v>
      </c>
      <c r="B1128" s="1">
        <v>45961</v>
      </c>
      <c r="C1128">
        <v>360028</v>
      </c>
      <c r="D1128">
        <v>12693.938</v>
      </c>
      <c r="E1128" t="s">
        <v>4</v>
      </c>
      <c r="F1128" t="s">
        <v>58</v>
      </c>
      <c r="G1128" t="s">
        <v>8</v>
      </c>
    </row>
    <row r="1129" spans="1:7" x14ac:dyDescent="0.3">
      <c r="A1129" t="s">
        <v>22</v>
      </c>
      <c r="B1129" s="1">
        <v>45961</v>
      </c>
      <c r="C1129">
        <v>360030</v>
      </c>
      <c r="D1129">
        <v>640.30600000000004</v>
      </c>
      <c r="E1129" t="s">
        <v>4</v>
      </c>
      <c r="F1129" t="s">
        <v>58</v>
      </c>
      <c r="G1129" t="s">
        <v>8</v>
      </c>
    </row>
    <row r="1130" spans="1:7" x14ac:dyDescent="0.3">
      <c r="A1130" t="s">
        <v>22</v>
      </c>
      <c r="B1130" s="1">
        <v>45961</v>
      </c>
      <c r="C1130">
        <v>360032</v>
      </c>
      <c r="D1130">
        <v>437.78300000000002</v>
      </c>
      <c r="E1130" t="s">
        <v>4</v>
      </c>
      <c r="F1130" t="s">
        <v>58</v>
      </c>
      <c r="G1130" t="s">
        <v>8</v>
      </c>
    </row>
    <row r="1131" spans="1:7" x14ac:dyDescent="0.3">
      <c r="A1131" t="s">
        <v>22</v>
      </c>
      <c r="B1131" s="1">
        <v>45961</v>
      </c>
      <c r="C1131">
        <v>372004</v>
      </c>
      <c r="D1131">
        <v>3788.2080000000001</v>
      </c>
      <c r="E1131" t="s">
        <v>4</v>
      </c>
      <c r="F1131" t="s">
        <v>45</v>
      </c>
      <c r="G1131" t="s">
        <v>8</v>
      </c>
    </row>
    <row r="1132" spans="1:7" x14ac:dyDescent="0.3">
      <c r="A1132" t="s">
        <v>22</v>
      </c>
      <c r="B1132" s="1">
        <v>45961</v>
      </c>
      <c r="C1132">
        <v>400002</v>
      </c>
      <c r="D1132">
        <v>-68875.72</v>
      </c>
      <c r="E1132" t="s">
        <v>6</v>
      </c>
      <c r="F1132" t="s">
        <v>50</v>
      </c>
      <c r="G1132" t="s">
        <v>8</v>
      </c>
    </row>
    <row r="1133" spans="1:7" x14ac:dyDescent="0.3">
      <c r="A1133" t="s">
        <v>22</v>
      </c>
      <c r="B1133" s="1">
        <v>45961</v>
      </c>
      <c r="C1133">
        <v>400004</v>
      </c>
      <c r="D1133">
        <v>-117492.572</v>
      </c>
      <c r="E1133" t="s">
        <v>6</v>
      </c>
      <c r="F1133" t="s">
        <v>50</v>
      </c>
      <c r="G1133" t="s">
        <v>8</v>
      </c>
    </row>
    <row r="1134" spans="1:7" x14ac:dyDescent="0.3">
      <c r="A1134" t="s">
        <v>22</v>
      </c>
      <c r="B1134" s="1">
        <v>45961</v>
      </c>
      <c r="C1134">
        <v>410002</v>
      </c>
      <c r="D1134">
        <v>-7083.6549999999997</v>
      </c>
      <c r="E1134" t="s">
        <v>6</v>
      </c>
      <c r="F1134" t="s">
        <v>51</v>
      </c>
      <c r="G1134" t="s">
        <v>8</v>
      </c>
    </row>
    <row r="1135" spans="1:7" x14ac:dyDescent="0.3">
      <c r="A1135" t="s">
        <v>22</v>
      </c>
      <c r="B1135" s="1">
        <v>45961</v>
      </c>
      <c r="C1135">
        <v>421002</v>
      </c>
      <c r="D1135">
        <v>-54.655000000000001</v>
      </c>
      <c r="E1135" t="s">
        <v>6</v>
      </c>
      <c r="F1135" t="s">
        <v>52</v>
      </c>
      <c r="G1135" t="s">
        <v>8</v>
      </c>
    </row>
    <row r="1136" spans="1:7" x14ac:dyDescent="0.3">
      <c r="A1136" t="s">
        <v>22</v>
      </c>
      <c r="B1136" s="1">
        <v>45961</v>
      </c>
      <c r="C1136">
        <v>421003</v>
      </c>
      <c r="D1136">
        <v>202.227</v>
      </c>
      <c r="E1136" t="s">
        <v>6</v>
      </c>
      <c r="F1136" t="s">
        <v>52</v>
      </c>
      <c r="G1136" t="s">
        <v>8</v>
      </c>
    </row>
    <row r="1137" spans="1:7" x14ac:dyDescent="0.3">
      <c r="A1137" t="s">
        <v>22</v>
      </c>
      <c r="B1137" s="1">
        <v>45961</v>
      </c>
      <c r="C1137">
        <v>421007</v>
      </c>
      <c r="D1137">
        <v>5.0000000000000001E-3</v>
      </c>
      <c r="E1137" t="s">
        <v>6</v>
      </c>
      <c r="F1137" t="s">
        <v>52</v>
      </c>
      <c r="G1137" t="s">
        <v>8</v>
      </c>
    </row>
    <row r="1138" spans="1:7" x14ac:dyDescent="0.3">
      <c r="A1138" t="s">
        <v>22</v>
      </c>
      <c r="B1138" s="1">
        <v>45961</v>
      </c>
      <c r="C1138">
        <v>510002</v>
      </c>
      <c r="D1138">
        <v>40962.040999999997</v>
      </c>
      <c r="E1138" t="s">
        <v>6</v>
      </c>
      <c r="F1138" t="s">
        <v>53</v>
      </c>
      <c r="G1138" t="s">
        <v>8</v>
      </c>
    </row>
    <row r="1139" spans="1:7" x14ac:dyDescent="0.3">
      <c r="A1139" t="s">
        <v>22</v>
      </c>
      <c r="B1139" s="1">
        <v>45961</v>
      </c>
      <c r="C1139">
        <v>510005</v>
      </c>
      <c r="D1139">
        <v>3189.19</v>
      </c>
      <c r="E1139" t="s">
        <v>6</v>
      </c>
      <c r="F1139" t="s">
        <v>53</v>
      </c>
      <c r="G1139" t="s">
        <v>8</v>
      </c>
    </row>
    <row r="1140" spans="1:7" x14ac:dyDescent="0.3">
      <c r="A1140" t="s">
        <v>22</v>
      </c>
      <c r="B1140" s="1">
        <v>45961</v>
      </c>
      <c r="C1140">
        <v>510007</v>
      </c>
      <c r="D1140">
        <v>1853.8109999999999</v>
      </c>
      <c r="E1140" t="s">
        <v>6</v>
      </c>
      <c r="F1140" t="s">
        <v>53</v>
      </c>
      <c r="G1140" t="s">
        <v>8</v>
      </c>
    </row>
    <row r="1141" spans="1:7" x14ac:dyDescent="0.3">
      <c r="A1141" t="s">
        <v>22</v>
      </c>
      <c r="B1141" s="1">
        <v>45961</v>
      </c>
      <c r="C1141">
        <v>510015</v>
      </c>
      <c r="D1141">
        <v>6439.8159999999998</v>
      </c>
      <c r="E1141" t="s">
        <v>6</v>
      </c>
      <c r="F1141" t="s">
        <v>53</v>
      </c>
      <c r="G1141" t="s">
        <v>8</v>
      </c>
    </row>
    <row r="1142" spans="1:7" x14ac:dyDescent="0.3">
      <c r="A1142" t="s">
        <v>22</v>
      </c>
      <c r="B1142" s="1">
        <v>45961</v>
      </c>
      <c r="C1142">
        <v>510062</v>
      </c>
      <c r="D1142">
        <v>110.333</v>
      </c>
      <c r="E1142" t="s">
        <v>6</v>
      </c>
      <c r="F1142" t="s">
        <v>53</v>
      </c>
      <c r="G1142" t="s">
        <v>8</v>
      </c>
    </row>
    <row r="1143" spans="1:7" x14ac:dyDescent="0.3">
      <c r="A1143" t="s">
        <v>22</v>
      </c>
      <c r="B1143" s="1">
        <v>45961</v>
      </c>
      <c r="C1143">
        <v>510064</v>
      </c>
      <c r="D1143">
        <v>1085.7670000000001</v>
      </c>
      <c r="E1143" t="s">
        <v>6</v>
      </c>
      <c r="F1143" t="s">
        <v>53</v>
      </c>
      <c r="G1143" t="s">
        <v>8</v>
      </c>
    </row>
    <row r="1144" spans="1:7" x14ac:dyDescent="0.3">
      <c r="A1144" t="s">
        <v>22</v>
      </c>
      <c r="B1144" s="1">
        <v>45961</v>
      </c>
      <c r="C1144">
        <v>510065</v>
      </c>
      <c r="D1144">
        <v>4254.7479999999996</v>
      </c>
      <c r="E1144" t="s">
        <v>6</v>
      </c>
      <c r="F1144" t="s">
        <v>53</v>
      </c>
      <c r="G1144" t="s">
        <v>8</v>
      </c>
    </row>
    <row r="1145" spans="1:7" x14ac:dyDescent="0.3">
      <c r="A1145" t="s">
        <v>22</v>
      </c>
      <c r="B1145" s="1">
        <v>45961</v>
      </c>
      <c r="C1145">
        <v>520020</v>
      </c>
      <c r="D1145">
        <v>822.58</v>
      </c>
      <c r="E1145" t="s">
        <v>6</v>
      </c>
      <c r="F1145" t="s">
        <v>53</v>
      </c>
      <c r="G1145" t="s">
        <v>8</v>
      </c>
    </row>
    <row r="1146" spans="1:7" x14ac:dyDescent="0.3">
      <c r="A1146" t="s">
        <v>22</v>
      </c>
      <c r="B1146" s="1">
        <v>45961</v>
      </c>
      <c r="C1146">
        <v>541003</v>
      </c>
      <c r="D1146">
        <v>12.6</v>
      </c>
      <c r="E1146" t="s">
        <v>6</v>
      </c>
      <c r="F1146" t="s">
        <v>61</v>
      </c>
      <c r="G1146" t="s">
        <v>8</v>
      </c>
    </row>
    <row r="1147" spans="1:7" x14ac:dyDescent="0.3">
      <c r="A1147" t="s">
        <v>22</v>
      </c>
      <c r="B1147" s="1">
        <v>45961</v>
      </c>
      <c r="C1147">
        <v>541009</v>
      </c>
      <c r="D1147">
        <v>221.83600000000001</v>
      </c>
      <c r="E1147" t="s">
        <v>6</v>
      </c>
      <c r="F1147" t="s">
        <v>61</v>
      </c>
      <c r="G1147" t="s">
        <v>8</v>
      </c>
    </row>
    <row r="1148" spans="1:7" x14ac:dyDescent="0.3">
      <c r="A1148" t="s">
        <v>22</v>
      </c>
      <c r="B1148" s="1">
        <v>45961</v>
      </c>
      <c r="C1148">
        <v>541010</v>
      </c>
      <c r="D1148">
        <v>3429.125</v>
      </c>
      <c r="E1148" t="s">
        <v>6</v>
      </c>
      <c r="F1148" t="s">
        <v>61</v>
      </c>
      <c r="G1148" t="s">
        <v>8</v>
      </c>
    </row>
    <row r="1149" spans="1:7" x14ac:dyDescent="0.3">
      <c r="A1149" t="s">
        <v>22</v>
      </c>
      <c r="B1149" s="1">
        <v>45961</v>
      </c>
      <c r="C1149">
        <v>546002</v>
      </c>
      <c r="D1149">
        <v>103393.462</v>
      </c>
      <c r="E1149" t="s">
        <v>6</v>
      </c>
      <c r="F1149" t="s">
        <v>51</v>
      </c>
      <c r="G1149" t="s">
        <v>8</v>
      </c>
    </row>
    <row r="1150" spans="1:7" x14ac:dyDescent="0.3">
      <c r="A1150" t="s">
        <v>22</v>
      </c>
      <c r="B1150" s="1">
        <v>45961</v>
      </c>
      <c r="C1150">
        <v>546013</v>
      </c>
      <c r="D1150">
        <v>90.963999999999999</v>
      </c>
      <c r="E1150" t="s">
        <v>6</v>
      </c>
      <c r="F1150" t="s">
        <v>51</v>
      </c>
      <c r="G1150" t="s">
        <v>8</v>
      </c>
    </row>
    <row r="1151" spans="1:7" x14ac:dyDescent="0.3">
      <c r="A1151" t="s">
        <v>22</v>
      </c>
      <c r="B1151" s="1">
        <v>45961</v>
      </c>
      <c r="C1151">
        <v>546035</v>
      </c>
      <c r="D1151">
        <v>509.02499999999998</v>
      </c>
      <c r="E1151" t="s">
        <v>6</v>
      </c>
      <c r="F1151" t="s">
        <v>51</v>
      </c>
      <c r="G1151" t="s">
        <v>8</v>
      </c>
    </row>
    <row r="1152" spans="1:7" x14ac:dyDescent="0.3">
      <c r="A1152" t="s">
        <v>22</v>
      </c>
      <c r="B1152" s="1">
        <v>45961</v>
      </c>
      <c r="C1152">
        <v>546040</v>
      </c>
      <c r="D1152">
        <v>619.54700000000003</v>
      </c>
      <c r="E1152" t="s">
        <v>6</v>
      </c>
      <c r="F1152" t="s">
        <v>51</v>
      </c>
      <c r="G1152" t="s">
        <v>8</v>
      </c>
    </row>
    <row r="1153" spans="1:7" x14ac:dyDescent="0.3">
      <c r="A1153" t="s">
        <v>22</v>
      </c>
      <c r="B1153" s="1">
        <v>45961</v>
      </c>
      <c r="C1153">
        <v>546045</v>
      </c>
      <c r="D1153">
        <v>484.36799999999999</v>
      </c>
      <c r="E1153" t="s">
        <v>6</v>
      </c>
      <c r="F1153" t="s">
        <v>51</v>
      </c>
      <c r="G1153" t="s">
        <v>8</v>
      </c>
    </row>
    <row r="1154" spans="1:7" x14ac:dyDescent="0.3">
      <c r="A1154" t="s">
        <v>22</v>
      </c>
      <c r="B1154" s="1">
        <v>45961</v>
      </c>
      <c r="C1154">
        <v>550002</v>
      </c>
      <c r="D1154">
        <v>6969.2150000000001</v>
      </c>
      <c r="E1154" t="s">
        <v>6</v>
      </c>
      <c r="F1154" t="s">
        <v>62</v>
      </c>
      <c r="G1154" t="s">
        <v>8</v>
      </c>
    </row>
    <row r="1155" spans="1:7" x14ac:dyDescent="0.3">
      <c r="A1155" t="s">
        <v>22</v>
      </c>
      <c r="B1155" s="1">
        <v>45961</v>
      </c>
      <c r="C1155">
        <v>550003</v>
      </c>
      <c r="D1155">
        <v>16875.521000000001</v>
      </c>
      <c r="E1155" t="s">
        <v>6</v>
      </c>
      <c r="F1155" t="s">
        <v>62</v>
      </c>
      <c r="G1155" t="s">
        <v>8</v>
      </c>
    </row>
    <row r="1156" spans="1:7" x14ac:dyDescent="0.3">
      <c r="A1156" t="s">
        <v>22</v>
      </c>
      <c r="B1156" s="1">
        <v>45961</v>
      </c>
      <c r="C1156">
        <v>552502</v>
      </c>
      <c r="D1156">
        <v>228.68299999999999</v>
      </c>
      <c r="E1156" t="s">
        <v>6</v>
      </c>
      <c r="F1156" t="s">
        <v>55</v>
      </c>
      <c r="G1156" t="s">
        <v>8</v>
      </c>
    </row>
    <row r="1157" spans="1:7" x14ac:dyDescent="0.3">
      <c r="A1157" t="s">
        <v>22</v>
      </c>
      <c r="B1157" s="1">
        <v>45961</v>
      </c>
      <c r="C1157">
        <v>556002</v>
      </c>
      <c r="D1157">
        <v>21.277000000000001</v>
      </c>
      <c r="E1157" t="s">
        <v>6</v>
      </c>
      <c r="F1157" t="s">
        <v>60</v>
      </c>
      <c r="G1157" t="s">
        <v>8</v>
      </c>
    </row>
    <row r="1158" spans="1:7" x14ac:dyDescent="0.3">
      <c r="A1158" t="s">
        <v>22</v>
      </c>
      <c r="B1158" s="1">
        <v>45961</v>
      </c>
      <c r="C1158">
        <v>557002</v>
      </c>
      <c r="D1158">
        <v>2714.9949999999999</v>
      </c>
      <c r="E1158" t="s">
        <v>6</v>
      </c>
      <c r="F1158" t="s">
        <v>56</v>
      </c>
      <c r="G1158" t="s">
        <v>8</v>
      </c>
    </row>
    <row r="1159" spans="1:7" x14ac:dyDescent="0.3">
      <c r="A1159" t="s">
        <v>22</v>
      </c>
      <c r="B1159" s="1">
        <v>45961</v>
      </c>
      <c r="C1159">
        <v>558012</v>
      </c>
      <c r="D1159">
        <v>25.481999999999999</v>
      </c>
      <c r="E1159" t="s">
        <v>6</v>
      </c>
      <c r="F1159" t="s">
        <v>60</v>
      </c>
      <c r="G1159" t="s">
        <v>8</v>
      </c>
    </row>
    <row r="1160" spans="1:7" x14ac:dyDescent="0.3">
      <c r="A1160" t="s">
        <v>22</v>
      </c>
      <c r="B1160" s="1">
        <v>45961</v>
      </c>
      <c r="C1160">
        <v>564004</v>
      </c>
      <c r="D1160">
        <v>7211.277</v>
      </c>
      <c r="E1160" t="s">
        <v>6</v>
      </c>
      <c r="F1160" t="s">
        <v>51</v>
      </c>
      <c r="G1160" t="s">
        <v>8</v>
      </c>
    </row>
    <row r="1161" spans="1:7" x14ac:dyDescent="0.3">
      <c r="A1161" t="s">
        <v>22</v>
      </c>
      <c r="B1161" s="1">
        <v>45961</v>
      </c>
      <c r="C1161">
        <v>564006</v>
      </c>
      <c r="D1161">
        <v>4.0000000000000001E-3</v>
      </c>
      <c r="E1161" t="s">
        <v>6</v>
      </c>
      <c r="F1161" t="s">
        <v>57</v>
      </c>
      <c r="G1161" t="s">
        <v>8</v>
      </c>
    </row>
    <row r="1162" spans="1:7" x14ac:dyDescent="0.3">
      <c r="A1162" t="s">
        <v>22</v>
      </c>
      <c r="B1162" s="1">
        <v>45961</v>
      </c>
      <c r="C1162">
        <v>564020</v>
      </c>
      <c r="D1162">
        <v>532.14800000000002</v>
      </c>
      <c r="E1162" t="s">
        <v>6</v>
      </c>
      <c r="F1162" t="s">
        <v>57</v>
      </c>
      <c r="G1162" t="s">
        <v>8</v>
      </c>
    </row>
    <row r="1163" spans="1:7" x14ac:dyDescent="0.3">
      <c r="A1163" t="s">
        <v>22</v>
      </c>
      <c r="B1163" s="1">
        <v>45961</v>
      </c>
      <c r="C1163">
        <v>580005</v>
      </c>
      <c r="D1163">
        <v>-620.02800000000002</v>
      </c>
      <c r="E1163" t="s">
        <v>6</v>
      </c>
      <c r="F1163" t="s">
        <v>64</v>
      </c>
      <c r="G1163" t="s">
        <v>8</v>
      </c>
    </row>
    <row r="1164" spans="1:7" x14ac:dyDescent="0.3">
      <c r="A1164" t="s">
        <v>23</v>
      </c>
      <c r="B1164" s="1">
        <v>45961</v>
      </c>
      <c r="C1164">
        <v>220006</v>
      </c>
      <c r="D1164">
        <v>3384.11</v>
      </c>
      <c r="E1164" t="s">
        <v>4</v>
      </c>
      <c r="F1164" t="s">
        <v>42</v>
      </c>
      <c r="G1164" t="s">
        <v>5</v>
      </c>
    </row>
    <row r="1165" spans="1:7" x14ac:dyDescent="0.3">
      <c r="A1165" t="s">
        <v>23</v>
      </c>
      <c r="B1165" s="1">
        <v>45961</v>
      </c>
      <c r="C1165">
        <v>242003</v>
      </c>
      <c r="D1165">
        <v>-27770.728999999999</v>
      </c>
      <c r="E1165" t="s">
        <v>4</v>
      </c>
      <c r="F1165" t="s">
        <v>43</v>
      </c>
      <c r="G1165" t="s">
        <v>5</v>
      </c>
    </row>
    <row r="1166" spans="1:7" x14ac:dyDescent="0.3">
      <c r="A1166" t="s">
        <v>23</v>
      </c>
      <c r="B1166" s="1">
        <v>45961</v>
      </c>
      <c r="C1166">
        <v>242019</v>
      </c>
      <c r="D1166">
        <v>-31430.253000000001</v>
      </c>
      <c r="E1166" t="s">
        <v>4</v>
      </c>
      <c r="F1166" t="s">
        <v>43</v>
      </c>
      <c r="G1166" t="s">
        <v>5</v>
      </c>
    </row>
    <row r="1167" spans="1:7" x14ac:dyDescent="0.3">
      <c r="A1167" t="s">
        <v>23</v>
      </c>
      <c r="B1167" s="1">
        <v>45961</v>
      </c>
      <c r="C1167">
        <v>242041</v>
      </c>
      <c r="D1167">
        <v>10.349</v>
      </c>
      <c r="E1167" t="s">
        <v>4</v>
      </c>
      <c r="F1167" t="s">
        <v>43</v>
      </c>
      <c r="G1167" t="s">
        <v>5</v>
      </c>
    </row>
    <row r="1168" spans="1:7" x14ac:dyDescent="0.3">
      <c r="A1168" t="s">
        <v>23</v>
      </c>
      <c r="B1168" s="1">
        <v>45961</v>
      </c>
      <c r="C1168">
        <v>243002</v>
      </c>
      <c r="D1168">
        <v>-9031.7860000000001</v>
      </c>
      <c r="E1168" t="s">
        <v>4</v>
      </c>
      <c r="F1168" t="s">
        <v>43</v>
      </c>
      <c r="G1168" t="s">
        <v>5</v>
      </c>
    </row>
    <row r="1169" spans="1:7" x14ac:dyDescent="0.3">
      <c r="A1169" t="s">
        <v>23</v>
      </c>
      <c r="B1169" s="1">
        <v>45961</v>
      </c>
      <c r="C1169">
        <v>251003</v>
      </c>
      <c r="D1169">
        <v>-5394.6670000000004</v>
      </c>
      <c r="E1169" t="s">
        <v>4</v>
      </c>
      <c r="F1169" t="s">
        <v>45</v>
      </c>
      <c r="G1169" t="s">
        <v>5</v>
      </c>
    </row>
    <row r="1170" spans="1:7" x14ac:dyDescent="0.3">
      <c r="A1170" t="s">
        <v>23</v>
      </c>
      <c r="B1170" s="1">
        <v>45961</v>
      </c>
      <c r="C1170">
        <v>260004</v>
      </c>
      <c r="D1170">
        <v>-1132.191</v>
      </c>
      <c r="E1170" t="s">
        <v>4</v>
      </c>
      <c r="F1170" t="s">
        <v>45</v>
      </c>
      <c r="G1170" t="s">
        <v>5</v>
      </c>
    </row>
    <row r="1171" spans="1:7" x14ac:dyDescent="0.3">
      <c r="A1171" t="s">
        <v>23</v>
      </c>
      <c r="B1171" s="1">
        <v>45961</v>
      </c>
      <c r="C1171">
        <v>320002</v>
      </c>
      <c r="D1171">
        <v>8680.1419999999998</v>
      </c>
      <c r="E1171" t="s">
        <v>4</v>
      </c>
      <c r="F1171" t="s">
        <v>46</v>
      </c>
      <c r="G1171" t="s">
        <v>5</v>
      </c>
    </row>
    <row r="1172" spans="1:7" x14ac:dyDescent="0.3">
      <c r="A1172" t="s">
        <v>23</v>
      </c>
      <c r="B1172" s="1">
        <v>45961</v>
      </c>
      <c r="C1172">
        <v>321002</v>
      </c>
      <c r="D1172">
        <v>27998.3</v>
      </c>
      <c r="E1172" t="s">
        <v>4</v>
      </c>
      <c r="F1172" t="s">
        <v>46</v>
      </c>
      <c r="G1172" t="s">
        <v>5</v>
      </c>
    </row>
    <row r="1173" spans="1:7" x14ac:dyDescent="0.3">
      <c r="A1173" t="s">
        <v>23</v>
      </c>
      <c r="B1173" s="1">
        <v>45961</v>
      </c>
      <c r="C1173">
        <v>340314</v>
      </c>
      <c r="D1173">
        <v>21048.258000000002</v>
      </c>
      <c r="E1173" t="s">
        <v>4</v>
      </c>
      <c r="F1173" t="s">
        <v>47</v>
      </c>
      <c r="G1173" t="s">
        <v>5</v>
      </c>
    </row>
    <row r="1174" spans="1:7" x14ac:dyDescent="0.3">
      <c r="A1174" t="s">
        <v>23</v>
      </c>
      <c r="B1174" s="1">
        <v>45961</v>
      </c>
      <c r="C1174">
        <v>354013</v>
      </c>
      <c r="D1174">
        <v>18.925999999999998</v>
      </c>
      <c r="E1174" t="s">
        <v>4</v>
      </c>
      <c r="F1174" t="s">
        <v>46</v>
      </c>
      <c r="G1174" t="s">
        <v>5</v>
      </c>
    </row>
    <row r="1175" spans="1:7" x14ac:dyDescent="0.3">
      <c r="A1175" t="s">
        <v>23</v>
      </c>
      <c r="B1175" s="1">
        <v>45961</v>
      </c>
      <c r="C1175">
        <v>355017</v>
      </c>
      <c r="D1175">
        <v>3468.982</v>
      </c>
      <c r="E1175" t="s">
        <v>4</v>
      </c>
      <c r="F1175" t="s">
        <v>49</v>
      </c>
      <c r="G1175" t="s">
        <v>5</v>
      </c>
    </row>
    <row r="1176" spans="1:7" x14ac:dyDescent="0.3">
      <c r="A1176" t="s">
        <v>23</v>
      </c>
      <c r="B1176" s="1">
        <v>45961</v>
      </c>
      <c r="C1176">
        <v>372004</v>
      </c>
      <c r="D1176">
        <v>986.45299999999997</v>
      </c>
      <c r="E1176" t="s">
        <v>4</v>
      </c>
      <c r="F1176" t="s">
        <v>45</v>
      </c>
      <c r="G1176" t="s">
        <v>5</v>
      </c>
    </row>
    <row r="1177" spans="1:7" x14ac:dyDescent="0.3">
      <c r="A1177" t="s">
        <v>23</v>
      </c>
      <c r="B1177" s="1">
        <v>45961</v>
      </c>
      <c r="C1177">
        <v>400002</v>
      </c>
      <c r="D1177">
        <v>-11751.615</v>
      </c>
      <c r="E1177" t="s">
        <v>6</v>
      </c>
      <c r="F1177" t="s">
        <v>50</v>
      </c>
      <c r="G1177" t="s">
        <v>5</v>
      </c>
    </row>
    <row r="1178" spans="1:7" x14ac:dyDescent="0.3">
      <c r="A1178" t="s">
        <v>23</v>
      </c>
      <c r="B1178" s="1">
        <v>45961</v>
      </c>
      <c r="C1178">
        <v>400004</v>
      </c>
      <c r="D1178">
        <v>-5571.3670000000002</v>
      </c>
      <c r="E1178" t="s">
        <v>6</v>
      </c>
      <c r="F1178" t="s">
        <v>50</v>
      </c>
      <c r="G1178" t="s">
        <v>5</v>
      </c>
    </row>
    <row r="1179" spans="1:7" x14ac:dyDescent="0.3">
      <c r="A1179" t="s">
        <v>23</v>
      </c>
      <c r="B1179" s="1">
        <v>45961</v>
      </c>
      <c r="C1179">
        <v>410002</v>
      </c>
      <c r="D1179">
        <v>-28397.669000000002</v>
      </c>
      <c r="E1179" t="s">
        <v>6</v>
      </c>
      <c r="F1179" t="s">
        <v>51</v>
      </c>
      <c r="G1179" t="s">
        <v>5</v>
      </c>
    </row>
    <row r="1180" spans="1:7" x14ac:dyDescent="0.3">
      <c r="A1180" t="s">
        <v>23</v>
      </c>
      <c r="B1180" s="1">
        <v>45961</v>
      </c>
      <c r="C1180">
        <v>421003</v>
      </c>
      <c r="D1180">
        <v>-6.9119999999999999</v>
      </c>
      <c r="E1180" t="s">
        <v>6</v>
      </c>
      <c r="F1180" t="s">
        <v>52</v>
      </c>
      <c r="G1180" t="s">
        <v>5</v>
      </c>
    </row>
    <row r="1181" spans="1:7" x14ac:dyDescent="0.3">
      <c r="A1181" t="s">
        <v>23</v>
      </c>
      <c r="B1181" s="1">
        <v>45961</v>
      </c>
      <c r="C1181">
        <v>546002</v>
      </c>
      <c r="D1181">
        <v>4735.6670000000004</v>
      </c>
      <c r="E1181" t="s">
        <v>6</v>
      </c>
      <c r="F1181" t="s">
        <v>51</v>
      </c>
      <c r="G1181" t="s">
        <v>5</v>
      </c>
    </row>
    <row r="1182" spans="1:7" x14ac:dyDescent="0.3">
      <c r="A1182" t="s">
        <v>23</v>
      </c>
      <c r="B1182" s="1">
        <v>45961</v>
      </c>
      <c r="C1182">
        <v>546018</v>
      </c>
      <c r="D1182">
        <v>962.73900000000003</v>
      </c>
      <c r="E1182" t="s">
        <v>6</v>
      </c>
      <c r="F1182" t="s">
        <v>51</v>
      </c>
      <c r="G1182" t="s">
        <v>5</v>
      </c>
    </row>
    <row r="1183" spans="1:7" x14ac:dyDescent="0.3">
      <c r="A1183" t="s">
        <v>23</v>
      </c>
      <c r="B1183" s="1">
        <v>45961</v>
      </c>
      <c r="C1183">
        <v>547002</v>
      </c>
      <c r="D1183">
        <v>40813.608</v>
      </c>
      <c r="E1183" t="s">
        <v>6</v>
      </c>
      <c r="F1183" t="s">
        <v>54</v>
      </c>
      <c r="G1183" t="s">
        <v>5</v>
      </c>
    </row>
    <row r="1184" spans="1:7" x14ac:dyDescent="0.3">
      <c r="A1184" t="s">
        <v>23</v>
      </c>
      <c r="B1184" s="1">
        <v>45961</v>
      </c>
      <c r="C1184">
        <v>547011</v>
      </c>
      <c r="D1184">
        <v>283.76400000000001</v>
      </c>
      <c r="E1184" t="s">
        <v>6</v>
      </c>
      <c r="F1184" t="s">
        <v>54</v>
      </c>
      <c r="G1184" t="s">
        <v>5</v>
      </c>
    </row>
    <row r="1185" spans="1:7" x14ac:dyDescent="0.3">
      <c r="A1185" t="s">
        <v>23</v>
      </c>
      <c r="B1185" s="1">
        <v>45961</v>
      </c>
      <c r="C1185">
        <v>555508</v>
      </c>
      <c r="D1185">
        <v>351.488</v>
      </c>
      <c r="E1185" t="s">
        <v>6</v>
      </c>
      <c r="F1185" t="s">
        <v>55</v>
      </c>
      <c r="G1185" t="s">
        <v>5</v>
      </c>
    </row>
    <row r="1186" spans="1:7" x14ac:dyDescent="0.3">
      <c r="A1186" t="s">
        <v>23</v>
      </c>
      <c r="B1186" s="1">
        <v>45961</v>
      </c>
      <c r="C1186">
        <v>557002</v>
      </c>
      <c r="D1186">
        <v>573.947</v>
      </c>
      <c r="E1186" t="s">
        <v>6</v>
      </c>
      <c r="F1186" t="s">
        <v>56</v>
      </c>
      <c r="G1186" t="s">
        <v>5</v>
      </c>
    </row>
    <row r="1187" spans="1:7" x14ac:dyDescent="0.3">
      <c r="A1187" t="s">
        <v>23</v>
      </c>
      <c r="B1187" s="1">
        <v>45961</v>
      </c>
      <c r="C1187">
        <v>564019</v>
      </c>
      <c r="D1187">
        <v>7153.5</v>
      </c>
      <c r="E1187" t="s">
        <v>6</v>
      </c>
      <c r="F1187" t="s">
        <v>51</v>
      </c>
      <c r="G1187" t="s">
        <v>5</v>
      </c>
    </row>
    <row r="1188" spans="1:7" x14ac:dyDescent="0.3">
      <c r="A1188" t="s">
        <v>23</v>
      </c>
      <c r="B1188" s="1">
        <v>45961</v>
      </c>
      <c r="C1188">
        <v>564021</v>
      </c>
      <c r="D1188">
        <v>147.672</v>
      </c>
      <c r="E1188" t="s">
        <v>6</v>
      </c>
      <c r="F1188" t="s">
        <v>57</v>
      </c>
      <c r="G1188" t="s">
        <v>5</v>
      </c>
    </row>
    <row r="1189" spans="1:7" x14ac:dyDescent="0.3">
      <c r="A1189" t="s">
        <v>24</v>
      </c>
      <c r="B1189" s="1">
        <v>45961</v>
      </c>
      <c r="C1189">
        <v>220006</v>
      </c>
      <c r="D1189">
        <v>9680.2620000000006</v>
      </c>
      <c r="E1189" t="s">
        <v>4</v>
      </c>
      <c r="F1189" t="s">
        <v>42</v>
      </c>
      <c r="G1189" t="s">
        <v>8</v>
      </c>
    </row>
    <row r="1190" spans="1:7" x14ac:dyDescent="0.3">
      <c r="A1190" t="s">
        <v>24</v>
      </c>
      <c r="B1190" s="1">
        <v>45961</v>
      </c>
      <c r="C1190">
        <v>240002</v>
      </c>
      <c r="D1190">
        <v>-329.76799999999997</v>
      </c>
      <c r="E1190" t="s">
        <v>4</v>
      </c>
      <c r="F1190" t="s">
        <v>43</v>
      </c>
      <c r="G1190" t="s">
        <v>8</v>
      </c>
    </row>
    <row r="1191" spans="1:7" x14ac:dyDescent="0.3">
      <c r="A1191" t="s">
        <v>24</v>
      </c>
      <c r="B1191" s="1">
        <v>45961</v>
      </c>
      <c r="C1191">
        <v>240003</v>
      </c>
      <c r="D1191">
        <v>-0.82</v>
      </c>
      <c r="E1191" t="s">
        <v>4</v>
      </c>
      <c r="F1191" t="s">
        <v>43</v>
      </c>
      <c r="G1191" t="s">
        <v>8</v>
      </c>
    </row>
    <row r="1192" spans="1:7" x14ac:dyDescent="0.3">
      <c r="A1192" t="s">
        <v>24</v>
      </c>
      <c r="B1192" s="1">
        <v>45961</v>
      </c>
      <c r="C1192">
        <v>243002</v>
      </c>
      <c r="D1192">
        <v>-351.36399999999998</v>
      </c>
      <c r="E1192" t="s">
        <v>4</v>
      </c>
      <c r="F1192" t="s">
        <v>43</v>
      </c>
      <c r="G1192" t="s">
        <v>8</v>
      </c>
    </row>
    <row r="1193" spans="1:7" x14ac:dyDescent="0.3">
      <c r="A1193" t="s">
        <v>24</v>
      </c>
      <c r="B1193" s="1">
        <v>45961</v>
      </c>
      <c r="C1193">
        <v>330132</v>
      </c>
      <c r="D1193">
        <v>-8711.1370000000006</v>
      </c>
      <c r="E1193" t="s">
        <v>4</v>
      </c>
      <c r="F1193" t="s">
        <v>43</v>
      </c>
      <c r="G1193" t="s">
        <v>8</v>
      </c>
    </row>
    <row r="1194" spans="1:7" x14ac:dyDescent="0.3">
      <c r="A1194" t="s">
        <v>24</v>
      </c>
      <c r="B1194" s="1">
        <v>45961</v>
      </c>
      <c r="C1194">
        <v>330147</v>
      </c>
      <c r="D1194">
        <v>-2040.3530000000001</v>
      </c>
      <c r="E1194" t="s">
        <v>4</v>
      </c>
      <c r="F1194" t="s">
        <v>43</v>
      </c>
      <c r="G1194" t="s">
        <v>8</v>
      </c>
    </row>
    <row r="1195" spans="1:7" x14ac:dyDescent="0.3">
      <c r="A1195" t="s">
        <v>24</v>
      </c>
      <c r="B1195" s="1">
        <v>45961</v>
      </c>
      <c r="C1195">
        <v>340237</v>
      </c>
      <c r="D1195">
        <v>787.13400000000001</v>
      </c>
      <c r="E1195" t="s">
        <v>4</v>
      </c>
      <c r="F1195" t="s">
        <v>47</v>
      </c>
      <c r="G1195" t="s">
        <v>8</v>
      </c>
    </row>
    <row r="1196" spans="1:7" x14ac:dyDescent="0.3">
      <c r="A1196" t="s">
        <v>24</v>
      </c>
      <c r="B1196" s="1">
        <v>45961</v>
      </c>
      <c r="C1196">
        <v>340240</v>
      </c>
      <c r="D1196">
        <v>8.2850000000000001</v>
      </c>
      <c r="E1196" t="s">
        <v>4</v>
      </c>
      <c r="F1196" t="s">
        <v>47</v>
      </c>
      <c r="G1196" t="s">
        <v>8</v>
      </c>
    </row>
    <row r="1197" spans="1:7" x14ac:dyDescent="0.3">
      <c r="A1197" t="s">
        <v>24</v>
      </c>
      <c r="B1197" s="1">
        <v>45961</v>
      </c>
      <c r="C1197">
        <v>340313</v>
      </c>
      <c r="D1197">
        <v>9.01</v>
      </c>
      <c r="E1197" t="s">
        <v>4</v>
      </c>
      <c r="F1197" t="s">
        <v>47</v>
      </c>
      <c r="G1197" t="s">
        <v>8</v>
      </c>
    </row>
    <row r="1198" spans="1:7" x14ac:dyDescent="0.3">
      <c r="A1198" t="s">
        <v>24</v>
      </c>
      <c r="B1198" s="1">
        <v>45961</v>
      </c>
      <c r="C1198">
        <v>372004</v>
      </c>
      <c r="D1198">
        <v>25.937000000000001</v>
      </c>
      <c r="E1198" t="s">
        <v>4</v>
      </c>
      <c r="F1198" t="s">
        <v>45</v>
      </c>
      <c r="G1198" t="s">
        <v>8</v>
      </c>
    </row>
    <row r="1199" spans="1:7" x14ac:dyDescent="0.3">
      <c r="A1199" t="s">
        <v>24</v>
      </c>
      <c r="B1199" s="1">
        <v>45961</v>
      </c>
      <c r="C1199">
        <v>421003</v>
      </c>
      <c r="D1199">
        <v>2.48</v>
      </c>
      <c r="E1199" t="s">
        <v>6</v>
      </c>
      <c r="F1199" t="s">
        <v>52</v>
      </c>
      <c r="G1199" t="s">
        <v>8</v>
      </c>
    </row>
    <row r="1200" spans="1:7" x14ac:dyDescent="0.3">
      <c r="A1200" t="s">
        <v>24</v>
      </c>
      <c r="B1200" s="1">
        <v>45961</v>
      </c>
      <c r="C1200">
        <v>421004</v>
      </c>
      <c r="D1200">
        <v>-116.839</v>
      </c>
      <c r="E1200" t="s">
        <v>6</v>
      </c>
      <c r="F1200" t="s">
        <v>52</v>
      </c>
      <c r="G1200" t="s">
        <v>8</v>
      </c>
    </row>
    <row r="1201" spans="1:7" x14ac:dyDescent="0.3">
      <c r="A1201" t="s">
        <v>24</v>
      </c>
      <c r="B1201" s="1">
        <v>45961</v>
      </c>
      <c r="C1201">
        <v>552502</v>
      </c>
      <c r="D1201">
        <v>95.024000000000001</v>
      </c>
      <c r="E1201" t="s">
        <v>6</v>
      </c>
      <c r="F1201" t="s">
        <v>55</v>
      </c>
      <c r="G1201" t="s">
        <v>8</v>
      </c>
    </row>
    <row r="1202" spans="1:7" x14ac:dyDescent="0.3">
      <c r="A1202" t="s">
        <v>24</v>
      </c>
      <c r="B1202" s="1">
        <v>45961</v>
      </c>
      <c r="C1202">
        <v>557002</v>
      </c>
      <c r="D1202">
        <v>866.99400000000003</v>
      </c>
      <c r="E1202" t="s">
        <v>6</v>
      </c>
      <c r="F1202" t="s">
        <v>56</v>
      </c>
      <c r="G1202" t="s">
        <v>8</v>
      </c>
    </row>
    <row r="1203" spans="1:7" x14ac:dyDescent="0.3">
      <c r="A1203" t="s">
        <v>24</v>
      </c>
      <c r="B1203" s="1">
        <v>45961</v>
      </c>
      <c r="C1203">
        <v>564020</v>
      </c>
      <c r="D1203">
        <v>70.486000000000004</v>
      </c>
      <c r="E1203" t="s">
        <v>6</v>
      </c>
      <c r="F1203" t="s">
        <v>57</v>
      </c>
      <c r="G1203" t="s">
        <v>8</v>
      </c>
    </row>
    <row r="1204" spans="1:7" x14ac:dyDescent="0.3">
      <c r="A1204" t="s">
        <v>25</v>
      </c>
      <c r="B1204" s="1">
        <v>45961</v>
      </c>
      <c r="C1204">
        <v>220006</v>
      </c>
      <c r="D1204">
        <v>-20446.080000000002</v>
      </c>
      <c r="E1204" t="s">
        <v>4</v>
      </c>
      <c r="F1204" t="s">
        <v>42</v>
      </c>
      <c r="G1204" t="s">
        <v>5</v>
      </c>
    </row>
    <row r="1205" spans="1:7" x14ac:dyDescent="0.3">
      <c r="A1205" t="s">
        <v>25</v>
      </c>
      <c r="B1205" s="1">
        <v>45961</v>
      </c>
      <c r="C1205">
        <v>240002</v>
      </c>
      <c r="D1205">
        <v>-57.036000000000001</v>
      </c>
      <c r="E1205" t="s">
        <v>4</v>
      </c>
      <c r="F1205" t="s">
        <v>43</v>
      </c>
      <c r="G1205" t="s">
        <v>5</v>
      </c>
    </row>
    <row r="1206" spans="1:7" x14ac:dyDescent="0.3">
      <c r="A1206" t="s">
        <v>25</v>
      </c>
      <c r="B1206" s="1">
        <v>45961</v>
      </c>
      <c r="C1206">
        <v>330019</v>
      </c>
      <c r="D1206">
        <v>20408.190999999999</v>
      </c>
      <c r="E1206" t="s">
        <v>4</v>
      </c>
      <c r="F1206" t="s">
        <v>43</v>
      </c>
      <c r="G1206" t="s">
        <v>5</v>
      </c>
    </row>
    <row r="1207" spans="1:7" x14ac:dyDescent="0.3">
      <c r="A1207" t="s">
        <v>25</v>
      </c>
      <c r="B1207" s="1">
        <v>45961</v>
      </c>
      <c r="C1207">
        <v>340016</v>
      </c>
      <c r="D1207">
        <v>6.4</v>
      </c>
      <c r="E1207" t="s">
        <v>4</v>
      </c>
      <c r="F1207" t="s">
        <v>47</v>
      </c>
      <c r="G1207" t="s">
        <v>5</v>
      </c>
    </row>
    <row r="1208" spans="1:7" x14ac:dyDescent="0.3">
      <c r="A1208" t="s">
        <v>25</v>
      </c>
      <c r="B1208" s="1">
        <v>45961</v>
      </c>
      <c r="C1208">
        <v>557002</v>
      </c>
      <c r="D1208">
        <v>19.542999999999999</v>
      </c>
      <c r="E1208" t="s">
        <v>6</v>
      </c>
      <c r="F1208" t="s">
        <v>56</v>
      </c>
      <c r="G1208" t="s">
        <v>5</v>
      </c>
    </row>
    <row r="1209" spans="1:7" x14ac:dyDescent="0.3">
      <c r="A1209" t="s">
        <v>25</v>
      </c>
      <c r="B1209" s="1">
        <v>45961</v>
      </c>
      <c r="C1209">
        <v>564021</v>
      </c>
      <c r="D1209">
        <v>73.391999999999996</v>
      </c>
      <c r="E1209" t="s">
        <v>6</v>
      </c>
      <c r="F1209" t="s">
        <v>57</v>
      </c>
      <c r="G1209" t="s">
        <v>5</v>
      </c>
    </row>
    <row r="1210" spans="1:7" x14ac:dyDescent="0.3">
      <c r="A1210" t="s">
        <v>26</v>
      </c>
      <c r="B1210" s="1">
        <v>45961</v>
      </c>
      <c r="C1210">
        <v>220006</v>
      </c>
      <c r="D1210">
        <v>-549874.23400000005</v>
      </c>
      <c r="E1210" t="s">
        <v>4</v>
      </c>
      <c r="F1210" t="s">
        <v>42</v>
      </c>
      <c r="G1210" t="s">
        <v>5</v>
      </c>
    </row>
    <row r="1211" spans="1:7" x14ac:dyDescent="0.3">
      <c r="A1211" t="s">
        <v>26</v>
      </c>
      <c r="B1211" s="1">
        <v>45961</v>
      </c>
      <c r="C1211">
        <v>240002</v>
      </c>
      <c r="D1211">
        <v>-1167.6880000000001</v>
      </c>
      <c r="E1211" t="s">
        <v>4</v>
      </c>
      <c r="F1211" t="s">
        <v>43</v>
      </c>
      <c r="G1211" t="s">
        <v>5</v>
      </c>
    </row>
    <row r="1212" spans="1:7" x14ac:dyDescent="0.3">
      <c r="A1212" t="s">
        <v>26</v>
      </c>
      <c r="B1212" s="1">
        <v>45961</v>
      </c>
      <c r="C1212">
        <v>240003</v>
      </c>
      <c r="D1212">
        <v>2.8000000000000001E-2</v>
      </c>
      <c r="E1212" t="s">
        <v>4</v>
      </c>
      <c r="F1212" t="s">
        <v>43</v>
      </c>
      <c r="G1212" t="s">
        <v>5</v>
      </c>
    </row>
    <row r="1213" spans="1:7" x14ac:dyDescent="0.3">
      <c r="A1213" t="s">
        <v>26</v>
      </c>
      <c r="B1213" s="1">
        <v>45961</v>
      </c>
      <c r="C1213">
        <v>240009</v>
      </c>
      <c r="D1213">
        <v>-503.75900000000001</v>
      </c>
      <c r="E1213" t="s">
        <v>4</v>
      </c>
      <c r="F1213" t="s">
        <v>43</v>
      </c>
      <c r="G1213" t="s">
        <v>5</v>
      </c>
    </row>
    <row r="1214" spans="1:7" x14ac:dyDescent="0.3">
      <c r="A1214" t="s">
        <v>26</v>
      </c>
      <c r="B1214" s="1">
        <v>45961</v>
      </c>
      <c r="C1214">
        <v>242003</v>
      </c>
      <c r="D1214">
        <v>88621.873999999996</v>
      </c>
      <c r="E1214" t="s">
        <v>4</v>
      </c>
      <c r="F1214" t="s">
        <v>43</v>
      </c>
      <c r="G1214" t="s">
        <v>5</v>
      </c>
    </row>
    <row r="1215" spans="1:7" x14ac:dyDescent="0.3">
      <c r="A1215" t="s">
        <v>26</v>
      </c>
      <c r="B1215" s="1">
        <v>45961</v>
      </c>
      <c r="C1215">
        <v>242011</v>
      </c>
      <c r="D1215">
        <v>-3715.364</v>
      </c>
      <c r="E1215" t="s">
        <v>4</v>
      </c>
      <c r="F1215" t="s">
        <v>43</v>
      </c>
      <c r="G1215" t="s">
        <v>5</v>
      </c>
    </row>
    <row r="1216" spans="1:7" x14ac:dyDescent="0.3">
      <c r="A1216" t="s">
        <v>26</v>
      </c>
      <c r="B1216" s="1">
        <v>45961</v>
      </c>
      <c r="C1216">
        <v>242012</v>
      </c>
      <c r="D1216">
        <v>0.26900000000000002</v>
      </c>
      <c r="E1216" t="s">
        <v>4</v>
      </c>
      <c r="F1216" t="s">
        <v>43</v>
      </c>
      <c r="G1216" t="s">
        <v>5</v>
      </c>
    </row>
    <row r="1217" spans="1:7" x14ac:dyDescent="0.3">
      <c r="A1217" t="s">
        <v>26</v>
      </c>
      <c r="B1217" s="1">
        <v>45961</v>
      </c>
      <c r="C1217">
        <v>242014</v>
      </c>
      <c r="D1217">
        <v>-11.694000000000001</v>
      </c>
      <c r="E1217" t="s">
        <v>4</v>
      </c>
      <c r="F1217" t="s">
        <v>43</v>
      </c>
      <c r="G1217" t="s">
        <v>5</v>
      </c>
    </row>
    <row r="1218" spans="1:7" x14ac:dyDescent="0.3">
      <c r="A1218" t="s">
        <v>26</v>
      </c>
      <c r="B1218" s="1">
        <v>45961</v>
      </c>
      <c r="C1218">
        <v>242019</v>
      </c>
      <c r="D1218">
        <v>6608.0129999999999</v>
      </c>
      <c r="E1218" t="s">
        <v>4</v>
      </c>
      <c r="F1218" t="s">
        <v>43</v>
      </c>
      <c r="G1218" t="s">
        <v>5</v>
      </c>
    </row>
    <row r="1219" spans="1:7" x14ac:dyDescent="0.3">
      <c r="A1219" t="s">
        <v>26</v>
      </c>
      <c r="B1219" s="1">
        <v>45961</v>
      </c>
      <c r="C1219">
        <v>242038</v>
      </c>
      <c r="D1219">
        <v>-12.111000000000001</v>
      </c>
      <c r="E1219" t="s">
        <v>4</v>
      </c>
      <c r="F1219" t="s">
        <v>43</v>
      </c>
      <c r="G1219" t="s">
        <v>5</v>
      </c>
    </row>
    <row r="1220" spans="1:7" x14ac:dyDescent="0.3">
      <c r="A1220" t="s">
        <v>26</v>
      </c>
      <c r="B1220" s="1">
        <v>45961</v>
      </c>
      <c r="C1220">
        <v>242041</v>
      </c>
      <c r="D1220">
        <v>-1035.194</v>
      </c>
      <c r="E1220" t="s">
        <v>4</v>
      </c>
      <c r="F1220" t="s">
        <v>43</v>
      </c>
      <c r="G1220" t="s">
        <v>5</v>
      </c>
    </row>
    <row r="1221" spans="1:7" x14ac:dyDescent="0.3">
      <c r="A1221" t="s">
        <v>26</v>
      </c>
      <c r="B1221" s="1">
        <v>45961</v>
      </c>
      <c r="C1221">
        <v>243002</v>
      </c>
      <c r="D1221">
        <v>-2146.8290000000002</v>
      </c>
      <c r="E1221" t="s">
        <v>4</v>
      </c>
      <c r="F1221" t="s">
        <v>43</v>
      </c>
      <c r="G1221" t="s">
        <v>5</v>
      </c>
    </row>
    <row r="1222" spans="1:7" x14ac:dyDescent="0.3">
      <c r="A1222" t="s">
        <v>26</v>
      </c>
      <c r="B1222" s="1">
        <v>45961</v>
      </c>
      <c r="C1222">
        <v>243003</v>
      </c>
      <c r="D1222">
        <v>-7911.9350000000004</v>
      </c>
      <c r="E1222" t="s">
        <v>4</v>
      </c>
      <c r="F1222" t="s">
        <v>43</v>
      </c>
      <c r="G1222" t="s">
        <v>5</v>
      </c>
    </row>
    <row r="1223" spans="1:7" x14ac:dyDescent="0.3">
      <c r="A1223" t="s">
        <v>26</v>
      </c>
      <c r="B1223" s="1">
        <v>45961</v>
      </c>
      <c r="C1223">
        <v>245010</v>
      </c>
      <c r="D1223">
        <v>-2642.5010000000002</v>
      </c>
      <c r="E1223" t="s">
        <v>4</v>
      </c>
      <c r="F1223" t="s">
        <v>44</v>
      </c>
      <c r="G1223" t="s">
        <v>5</v>
      </c>
    </row>
    <row r="1224" spans="1:7" x14ac:dyDescent="0.3">
      <c r="A1224" t="s">
        <v>26</v>
      </c>
      <c r="B1224" s="1">
        <v>45961</v>
      </c>
      <c r="C1224">
        <v>245062</v>
      </c>
      <c r="D1224">
        <v>-5322.6989999999996</v>
      </c>
      <c r="E1224" t="s">
        <v>4</v>
      </c>
      <c r="F1224" t="s">
        <v>43</v>
      </c>
      <c r="G1224" t="s">
        <v>5</v>
      </c>
    </row>
    <row r="1225" spans="1:7" x14ac:dyDescent="0.3">
      <c r="A1225" t="s">
        <v>26</v>
      </c>
      <c r="B1225" s="1">
        <v>45961</v>
      </c>
      <c r="C1225">
        <v>250003</v>
      </c>
      <c r="D1225">
        <v>-2164.9259999999999</v>
      </c>
      <c r="E1225" t="s">
        <v>4</v>
      </c>
      <c r="F1225" t="s">
        <v>45</v>
      </c>
      <c r="G1225" t="s">
        <v>5</v>
      </c>
    </row>
    <row r="1226" spans="1:7" x14ac:dyDescent="0.3">
      <c r="A1226" t="s">
        <v>26</v>
      </c>
      <c r="B1226" s="1">
        <v>45961</v>
      </c>
      <c r="C1226">
        <v>251002</v>
      </c>
      <c r="D1226">
        <v>-3395.2130000000002</v>
      </c>
      <c r="E1226" t="s">
        <v>4</v>
      </c>
      <c r="F1226" t="s">
        <v>45</v>
      </c>
      <c r="G1226" t="s">
        <v>5</v>
      </c>
    </row>
    <row r="1227" spans="1:7" x14ac:dyDescent="0.3">
      <c r="A1227" t="s">
        <v>26</v>
      </c>
      <c r="B1227" s="1">
        <v>45961</v>
      </c>
      <c r="C1227">
        <v>251005</v>
      </c>
      <c r="D1227">
        <v>8.7319999999999993</v>
      </c>
      <c r="E1227" t="s">
        <v>4</v>
      </c>
      <c r="F1227" t="s">
        <v>46</v>
      </c>
      <c r="G1227" t="s">
        <v>5</v>
      </c>
    </row>
    <row r="1228" spans="1:7" x14ac:dyDescent="0.3">
      <c r="A1228" t="s">
        <v>26</v>
      </c>
      <c r="B1228" s="1">
        <v>45961</v>
      </c>
      <c r="C1228">
        <v>257005</v>
      </c>
      <c r="D1228">
        <v>-409.26</v>
      </c>
      <c r="E1228" t="s">
        <v>4</v>
      </c>
      <c r="F1228" t="s">
        <v>45</v>
      </c>
      <c r="G1228" t="s">
        <v>5</v>
      </c>
    </row>
    <row r="1229" spans="1:7" x14ac:dyDescent="0.3">
      <c r="A1229" t="s">
        <v>26</v>
      </c>
      <c r="B1229" s="1">
        <v>45961</v>
      </c>
      <c r="C1229">
        <v>257027</v>
      </c>
      <c r="D1229">
        <v>20.657</v>
      </c>
      <c r="E1229" t="s">
        <v>4</v>
      </c>
      <c r="F1229" t="s">
        <v>45</v>
      </c>
      <c r="G1229" t="s">
        <v>5</v>
      </c>
    </row>
    <row r="1230" spans="1:7" x14ac:dyDescent="0.3">
      <c r="A1230" t="s">
        <v>26</v>
      </c>
      <c r="B1230" s="1">
        <v>45961</v>
      </c>
      <c r="C1230">
        <v>257030</v>
      </c>
      <c r="D1230">
        <v>-12.861000000000001</v>
      </c>
      <c r="E1230" t="s">
        <v>4</v>
      </c>
      <c r="F1230" t="s">
        <v>45</v>
      </c>
      <c r="G1230" t="s">
        <v>5</v>
      </c>
    </row>
    <row r="1231" spans="1:7" x14ac:dyDescent="0.3">
      <c r="A1231" t="s">
        <v>26</v>
      </c>
      <c r="B1231" s="1">
        <v>45961</v>
      </c>
      <c r="C1231">
        <v>260004</v>
      </c>
      <c r="D1231">
        <v>-1069.4929999999999</v>
      </c>
      <c r="E1231" t="s">
        <v>4</v>
      </c>
      <c r="F1231" t="s">
        <v>45</v>
      </c>
      <c r="G1231" t="s">
        <v>5</v>
      </c>
    </row>
    <row r="1232" spans="1:7" x14ac:dyDescent="0.3">
      <c r="A1232" t="s">
        <v>26</v>
      </c>
      <c r="B1232" s="1">
        <v>45961</v>
      </c>
      <c r="C1232">
        <v>270025</v>
      </c>
      <c r="D1232">
        <v>2195.9340000000002</v>
      </c>
      <c r="E1232" t="s">
        <v>4</v>
      </c>
      <c r="F1232" t="s">
        <v>58</v>
      </c>
      <c r="G1232" t="s">
        <v>5</v>
      </c>
    </row>
    <row r="1233" spans="1:7" x14ac:dyDescent="0.3">
      <c r="A1233" t="s">
        <v>26</v>
      </c>
      <c r="B1233" s="1">
        <v>45961</v>
      </c>
      <c r="C1233">
        <v>270026</v>
      </c>
      <c r="D1233">
        <v>-713.35699999999997</v>
      </c>
      <c r="E1233" t="s">
        <v>4</v>
      </c>
      <c r="F1233" t="s">
        <v>58</v>
      </c>
      <c r="G1233" t="s">
        <v>5</v>
      </c>
    </row>
    <row r="1234" spans="1:7" x14ac:dyDescent="0.3">
      <c r="A1234" t="s">
        <v>26</v>
      </c>
      <c r="B1234" s="1">
        <v>45961</v>
      </c>
      <c r="C1234">
        <v>300008</v>
      </c>
      <c r="D1234">
        <v>1377.461</v>
      </c>
      <c r="E1234" t="s">
        <v>4</v>
      </c>
      <c r="F1234" t="s">
        <v>65</v>
      </c>
      <c r="G1234" t="s">
        <v>5</v>
      </c>
    </row>
    <row r="1235" spans="1:7" x14ac:dyDescent="0.3">
      <c r="A1235" t="s">
        <v>26</v>
      </c>
      <c r="B1235" s="1">
        <v>45961</v>
      </c>
      <c r="C1235">
        <v>300508</v>
      </c>
      <c r="D1235">
        <v>-583.86900000000003</v>
      </c>
      <c r="E1235" t="s">
        <v>4</v>
      </c>
      <c r="F1235" t="s">
        <v>65</v>
      </c>
      <c r="G1235" t="s">
        <v>5</v>
      </c>
    </row>
    <row r="1236" spans="1:7" x14ac:dyDescent="0.3">
      <c r="A1236" t="s">
        <v>26</v>
      </c>
      <c r="B1236" s="1">
        <v>45961</v>
      </c>
      <c r="C1236">
        <v>320002</v>
      </c>
      <c r="D1236">
        <v>50264.307000000001</v>
      </c>
      <c r="E1236" t="s">
        <v>4</v>
      </c>
      <c r="F1236" t="s">
        <v>46</v>
      </c>
      <c r="G1236" t="s">
        <v>5</v>
      </c>
    </row>
    <row r="1237" spans="1:7" x14ac:dyDescent="0.3">
      <c r="A1237" t="s">
        <v>26</v>
      </c>
      <c r="B1237" s="1">
        <v>45961</v>
      </c>
      <c r="C1237">
        <v>320003</v>
      </c>
      <c r="D1237">
        <v>1165.672</v>
      </c>
      <c r="E1237" t="s">
        <v>4</v>
      </c>
      <c r="F1237" t="s">
        <v>46</v>
      </c>
      <c r="G1237" t="s">
        <v>5</v>
      </c>
    </row>
    <row r="1238" spans="1:7" x14ac:dyDescent="0.3">
      <c r="A1238" t="s">
        <v>26</v>
      </c>
      <c r="B1238" s="1">
        <v>45961</v>
      </c>
      <c r="C1238">
        <v>320004</v>
      </c>
      <c r="D1238">
        <v>61.427999999999997</v>
      </c>
      <c r="E1238" t="s">
        <v>4</v>
      </c>
      <c r="F1238" t="s">
        <v>46</v>
      </c>
      <c r="G1238" t="s">
        <v>5</v>
      </c>
    </row>
    <row r="1239" spans="1:7" x14ac:dyDescent="0.3">
      <c r="A1239" t="s">
        <v>26</v>
      </c>
      <c r="B1239" s="1">
        <v>45961</v>
      </c>
      <c r="C1239">
        <v>320023</v>
      </c>
      <c r="D1239">
        <v>-8293.0889999999999</v>
      </c>
      <c r="E1239" t="s">
        <v>4</v>
      </c>
      <c r="F1239" t="s">
        <v>46</v>
      </c>
      <c r="G1239" t="s">
        <v>5</v>
      </c>
    </row>
    <row r="1240" spans="1:7" x14ac:dyDescent="0.3">
      <c r="A1240" t="s">
        <v>26</v>
      </c>
      <c r="B1240" s="1">
        <v>45961</v>
      </c>
      <c r="C1240">
        <v>321002</v>
      </c>
      <c r="D1240">
        <v>29739.079000000002</v>
      </c>
      <c r="E1240" t="s">
        <v>4</v>
      </c>
      <c r="F1240" t="s">
        <v>46</v>
      </c>
      <c r="G1240" t="s">
        <v>5</v>
      </c>
    </row>
    <row r="1241" spans="1:7" x14ac:dyDescent="0.3">
      <c r="A1241" t="s">
        <v>26</v>
      </c>
      <c r="B1241" s="1">
        <v>45961</v>
      </c>
      <c r="C1241">
        <v>321025</v>
      </c>
      <c r="D1241">
        <v>-2666.72</v>
      </c>
      <c r="E1241" t="s">
        <v>4</v>
      </c>
      <c r="F1241" t="s">
        <v>46</v>
      </c>
      <c r="G1241" t="s">
        <v>5</v>
      </c>
    </row>
    <row r="1242" spans="1:7" x14ac:dyDescent="0.3">
      <c r="A1242" t="s">
        <v>26</v>
      </c>
      <c r="B1242" s="1">
        <v>45961</v>
      </c>
      <c r="C1242">
        <v>321028</v>
      </c>
      <c r="D1242">
        <v>-33.006</v>
      </c>
      <c r="E1242" t="s">
        <v>4</v>
      </c>
      <c r="F1242" t="s">
        <v>46</v>
      </c>
      <c r="G1242" t="s">
        <v>5</v>
      </c>
    </row>
    <row r="1243" spans="1:7" x14ac:dyDescent="0.3">
      <c r="A1243" t="s">
        <v>26</v>
      </c>
      <c r="B1243" s="1">
        <v>45961</v>
      </c>
      <c r="C1243">
        <v>321029</v>
      </c>
      <c r="D1243">
        <v>8533.1229999999996</v>
      </c>
      <c r="E1243" t="s">
        <v>4</v>
      </c>
      <c r="F1243" t="s">
        <v>46</v>
      </c>
      <c r="G1243" t="s">
        <v>5</v>
      </c>
    </row>
    <row r="1244" spans="1:7" x14ac:dyDescent="0.3">
      <c r="A1244" t="s">
        <v>26</v>
      </c>
      <c r="B1244" s="1">
        <v>45961</v>
      </c>
      <c r="C1244">
        <v>321042</v>
      </c>
      <c r="D1244">
        <v>-2763.8629999999998</v>
      </c>
      <c r="E1244" t="s">
        <v>4</v>
      </c>
      <c r="F1244" t="s">
        <v>46</v>
      </c>
      <c r="G1244" t="s">
        <v>5</v>
      </c>
    </row>
    <row r="1245" spans="1:7" x14ac:dyDescent="0.3">
      <c r="A1245" t="s">
        <v>26</v>
      </c>
      <c r="B1245" s="1">
        <v>45961</v>
      </c>
      <c r="C1245">
        <v>330147</v>
      </c>
      <c r="D1245">
        <v>2470.81</v>
      </c>
      <c r="E1245" t="s">
        <v>4</v>
      </c>
      <c r="F1245" t="s">
        <v>43</v>
      </c>
      <c r="G1245" t="s">
        <v>5</v>
      </c>
    </row>
    <row r="1246" spans="1:7" x14ac:dyDescent="0.3">
      <c r="A1246" t="s">
        <v>26</v>
      </c>
      <c r="B1246" s="1">
        <v>45961</v>
      </c>
      <c r="C1246">
        <v>340031</v>
      </c>
      <c r="D1246">
        <v>336396.08399999997</v>
      </c>
      <c r="E1246" t="s">
        <v>4</v>
      </c>
      <c r="F1246" t="s">
        <v>47</v>
      </c>
      <c r="G1246" t="s">
        <v>5</v>
      </c>
    </row>
    <row r="1247" spans="1:7" x14ac:dyDescent="0.3">
      <c r="A1247" t="s">
        <v>26</v>
      </c>
      <c r="B1247" s="1">
        <v>45961</v>
      </c>
      <c r="C1247">
        <v>350002</v>
      </c>
      <c r="D1247">
        <v>210.649</v>
      </c>
      <c r="E1247" t="s">
        <v>4</v>
      </c>
      <c r="F1247" t="s">
        <v>49</v>
      </c>
      <c r="G1247" t="s">
        <v>5</v>
      </c>
    </row>
    <row r="1248" spans="1:7" x14ac:dyDescent="0.3">
      <c r="A1248" t="s">
        <v>26</v>
      </c>
      <c r="B1248" s="1">
        <v>45961</v>
      </c>
      <c r="C1248">
        <v>350003</v>
      </c>
      <c r="D1248">
        <v>-15.861000000000001</v>
      </c>
      <c r="E1248" t="s">
        <v>4</v>
      </c>
      <c r="F1248" t="s">
        <v>49</v>
      </c>
      <c r="G1248" t="s">
        <v>5</v>
      </c>
    </row>
    <row r="1249" spans="1:7" x14ac:dyDescent="0.3">
      <c r="A1249" t="s">
        <v>26</v>
      </c>
      <c r="B1249" s="1">
        <v>45961</v>
      </c>
      <c r="C1249">
        <v>350031</v>
      </c>
      <c r="D1249">
        <v>503.75900000000001</v>
      </c>
      <c r="E1249" t="s">
        <v>4</v>
      </c>
      <c r="F1249" t="s">
        <v>43</v>
      </c>
      <c r="G1249" t="s">
        <v>5</v>
      </c>
    </row>
    <row r="1250" spans="1:7" x14ac:dyDescent="0.3">
      <c r="A1250" t="s">
        <v>26</v>
      </c>
      <c r="B1250" s="1">
        <v>45961</v>
      </c>
      <c r="C1250">
        <v>352002</v>
      </c>
      <c r="D1250">
        <v>1711.1880000000001</v>
      </c>
      <c r="E1250" t="s">
        <v>4</v>
      </c>
      <c r="F1250" t="s">
        <v>48</v>
      </c>
      <c r="G1250" t="s">
        <v>5</v>
      </c>
    </row>
    <row r="1251" spans="1:7" x14ac:dyDescent="0.3">
      <c r="A1251" t="s">
        <v>26</v>
      </c>
      <c r="B1251" s="1">
        <v>45961</v>
      </c>
      <c r="C1251">
        <v>354015</v>
      </c>
      <c r="D1251">
        <v>9760.3610000000008</v>
      </c>
      <c r="E1251" t="s">
        <v>4</v>
      </c>
      <c r="F1251" t="s">
        <v>46</v>
      </c>
      <c r="G1251" t="s">
        <v>5</v>
      </c>
    </row>
    <row r="1252" spans="1:7" x14ac:dyDescent="0.3">
      <c r="A1252" t="s">
        <v>26</v>
      </c>
      <c r="B1252" s="1">
        <v>45961</v>
      </c>
      <c r="C1252">
        <v>355017</v>
      </c>
      <c r="D1252">
        <v>1601.414</v>
      </c>
      <c r="E1252" t="s">
        <v>4</v>
      </c>
      <c r="F1252" t="s">
        <v>49</v>
      </c>
      <c r="G1252" t="s">
        <v>5</v>
      </c>
    </row>
    <row r="1253" spans="1:7" x14ac:dyDescent="0.3">
      <c r="A1253" t="s">
        <v>26</v>
      </c>
      <c r="B1253" s="1">
        <v>45961</v>
      </c>
      <c r="C1253">
        <v>360030</v>
      </c>
      <c r="D1253">
        <v>748.93899999999996</v>
      </c>
      <c r="E1253" t="s">
        <v>4</v>
      </c>
      <c r="F1253" t="s">
        <v>58</v>
      </c>
      <c r="G1253" t="s">
        <v>5</v>
      </c>
    </row>
    <row r="1254" spans="1:7" x14ac:dyDescent="0.3">
      <c r="A1254" t="s">
        <v>26</v>
      </c>
      <c r="B1254" s="1">
        <v>45961</v>
      </c>
      <c r="C1254">
        <v>372004</v>
      </c>
      <c r="D1254">
        <v>408.33100000000002</v>
      </c>
      <c r="E1254" t="s">
        <v>4</v>
      </c>
      <c r="F1254" t="s">
        <v>45</v>
      </c>
      <c r="G1254" t="s">
        <v>5</v>
      </c>
    </row>
    <row r="1255" spans="1:7" x14ac:dyDescent="0.3">
      <c r="A1255" t="s">
        <v>26</v>
      </c>
      <c r="B1255" s="1">
        <v>45961</v>
      </c>
      <c r="C1255">
        <v>400002</v>
      </c>
      <c r="D1255">
        <v>-18469.663</v>
      </c>
      <c r="E1255" t="s">
        <v>6</v>
      </c>
      <c r="F1255" t="s">
        <v>50</v>
      </c>
      <c r="G1255" t="s">
        <v>5</v>
      </c>
    </row>
    <row r="1256" spans="1:7" x14ac:dyDescent="0.3">
      <c r="A1256" t="s">
        <v>26</v>
      </c>
      <c r="B1256" s="1">
        <v>45961</v>
      </c>
      <c r="C1256">
        <v>400004</v>
      </c>
      <c r="D1256">
        <v>-98464.403000000006</v>
      </c>
      <c r="E1256" t="s">
        <v>6</v>
      </c>
      <c r="F1256" t="s">
        <v>50</v>
      </c>
      <c r="G1256" t="s">
        <v>5</v>
      </c>
    </row>
    <row r="1257" spans="1:7" x14ac:dyDescent="0.3">
      <c r="A1257" t="s">
        <v>26</v>
      </c>
      <c r="B1257" s="1">
        <v>45961</v>
      </c>
      <c r="C1257">
        <v>410002</v>
      </c>
      <c r="D1257">
        <v>-35487.798000000003</v>
      </c>
      <c r="E1257" t="s">
        <v>6</v>
      </c>
      <c r="F1257" t="s">
        <v>51</v>
      </c>
      <c r="G1257" t="s">
        <v>5</v>
      </c>
    </row>
    <row r="1258" spans="1:7" x14ac:dyDescent="0.3">
      <c r="A1258" t="s">
        <v>26</v>
      </c>
      <c r="B1258" s="1">
        <v>45961</v>
      </c>
      <c r="C1258">
        <v>410035</v>
      </c>
      <c r="D1258">
        <v>-262.45499999999998</v>
      </c>
      <c r="E1258" t="s">
        <v>6</v>
      </c>
      <c r="F1258" t="s">
        <v>51</v>
      </c>
      <c r="G1258" t="s">
        <v>5</v>
      </c>
    </row>
    <row r="1259" spans="1:7" x14ac:dyDescent="0.3">
      <c r="A1259" t="s">
        <v>26</v>
      </c>
      <c r="B1259" s="1">
        <v>45961</v>
      </c>
      <c r="C1259">
        <v>410036</v>
      </c>
      <c r="D1259">
        <v>3545.7579999999998</v>
      </c>
      <c r="E1259" t="s">
        <v>6</v>
      </c>
      <c r="F1259" t="s">
        <v>51</v>
      </c>
      <c r="G1259" t="s">
        <v>5</v>
      </c>
    </row>
    <row r="1260" spans="1:7" x14ac:dyDescent="0.3">
      <c r="A1260" t="s">
        <v>26</v>
      </c>
      <c r="B1260" s="1">
        <v>45961</v>
      </c>
      <c r="C1260">
        <v>410037</v>
      </c>
      <c r="D1260">
        <v>-13335.904</v>
      </c>
      <c r="E1260" t="s">
        <v>6</v>
      </c>
      <c r="F1260" t="s">
        <v>51</v>
      </c>
      <c r="G1260" t="s">
        <v>5</v>
      </c>
    </row>
    <row r="1261" spans="1:7" x14ac:dyDescent="0.3">
      <c r="A1261" t="s">
        <v>26</v>
      </c>
      <c r="B1261" s="1">
        <v>45961</v>
      </c>
      <c r="C1261">
        <v>421002</v>
      </c>
      <c r="D1261">
        <v>-203.88499999999999</v>
      </c>
      <c r="E1261" t="s">
        <v>6</v>
      </c>
      <c r="F1261" t="s">
        <v>52</v>
      </c>
      <c r="G1261" t="s">
        <v>5</v>
      </c>
    </row>
    <row r="1262" spans="1:7" x14ac:dyDescent="0.3">
      <c r="A1262" t="s">
        <v>26</v>
      </c>
      <c r="B1262" s="1">
        <v>45961</v>
      </c>
      <c r="C1262">
        <v>421003</v>
      </c>
      <c r="D1262">
        <v>699.61300000000006</v>
      </c>
      <c r="E1262" t="s">
        <v>6</v>
      </c>
      <c r="F1262" t="s">
        <v>52</v>
      </c>
      <c r="G1262" t="s">
        <v>5</v>
      </c>
    </row>
    <row r="1263" spans="1:7" x14ac:dyDescent="0.3">
      <c r="A1263" t="s">
        <v>26</v>
      </c>
      <c r="B1263" s="1">
        <v>45961</v>
      </c>
      <c r="C1263">
        <v>421007</v>
      </c>
      <c r="D1263">
        <v>1249.068</v>
      </c>
      <c r="E1263" t="s">
        <v>6</v>
      </c>
      <c r="F1263" t="s">
        <v>52</v>
      </c>
      <c r="G1263" t="s">
        <v>5</v>
      </c>
    </row>
    <row r="1264" spans="1:7" x14ac:dyDescent="0.3">
      <c r="A1264" t="s">
        <v>26</v>
      </c>
      <c r="B1264" s="1">
        <v>45961</v>
      </c>
      <c r="C1264">
        <v>510002</v>
      </c>
      <c r="D1264">
        <v>47269.006999999998</v>
      </c>
      <c r="E1264" t="s">
        <v>6</v>
      </c>
      <c r="F1264" t="s">
        <v>53</v>
      </c>
      <c r="G1264" t="s">
        <v>5</v>
      </c>
    </row>
    <row r="1265" spans="1:7" x14ac:dyDescent="0.3">
      <c r="A1265" t="s">
        <v>26</v>
      </c>
      <c r="B1265" s="1">
        <v>45961</v>
      </c>
      <c r="C1265">
        <v>510005</v>
      </c>
      <c r="D1265">
        <v>215.773</v>
      </c>
      <c r="E1265" t="s">
        <v>6</v>
      </c>
      <c r="F1265" t="s">
        <v>53</v>
      </c>
      <c r="G1265" t="s">
        <v>5</v>
      </c>
    </row>
    <row r="1266" spans="1:7" x14ac:dyDescent="0.3">
      <c r="A1266" t="s">
        <v>26</v>
      </c>
      <c r="B1266" s="1">
        <v>45961</v>
      </c>
      <c r="C1266">
        <v>510007</v>
      </c>
      <c r="D1266">
        <v>4670.22</v>
      </c>
      <c r="E1266" t="s">
        <v>6</v>
      </c>
      <c r="F1266" t="s">
        <v>53</v>
      </c>
      <c r="G1266" t="s">
        <v>5</v>
      </c>
    </row>
    <row r="1267" spans="1:7" x14ac:dyDescent="0.3">
      <c r="A1267" t="s">
        <v>26</v>
      </c>
      <c r="B1267" s="1">
        <v>45961</v>
      </c>
      <c r="C1267">
        <v>510048</v>
      </c>
      <c r="D1267">
        <v>116.375</v>
      </c>
      <c r="E1267" t="s">
        <v>6</v>
      </c>
      <c r="F1267" t="s">
        <v>61</v>
      </c>
      <c r="G1267" t="s">
        <v>5</v>
      </c>
    </row>
    <row r="1268" spans="1:7" x14ac:dyDescent="0.3">
      <c r="A1268" t="s">
        <v>26</v>
      </c>
      <c r="B1268" s="1">
        <v>45961</v>
      </c>
      <c r="C1268">
        <v>510065</v>
      </c>
      <c r="D1268">
        <v>199.73599999999999</v>
      </c>
      <c r="E1268" t="s">
        <v>6</v>
      </c>
      <c r="F1268" t="s">
        <v>53</v>
      </c>
      <c r="G1268" t="s">
        <v>5</v>
      </c>
    </row>
    <row r="1269" spans="1:7" x14ac:dyDescent="0.3">
      <c r="A1269" t="s">
        <v>26</v>
      </c>
      <c r="B1269" s="1">
        <v>45961</v>
      </c>
      <c r="C1269">
        <v>520020</v>
      </c>
      <c r="D1269">
        <v>45.137</v>
      </c>
      <c r="E1269" t="s">
        <v>6</v>
      </c>
      <c r="F1269" t="s">
        <v>53</v>
      </c>
      <c r="G1269" t="s">
        <v>5</v>
      </c>
    </row>
    <row r="1270" spans="1:7" x14ac:dyDescent="0.3">
      <c r="A1270" t="s">
        <v>26</v>
      </c>
      <c r="B1270" s="1">
        <v>45961</v>
      </c>
      <c r="C1270">
        <v>520021</v>
      </c>
      <c r="D1270">
        <v>132.499</v>
      </c>
      <c r="E1270" t="s">
        <v>6</v>
      </c>
      <c r="F1270" t="s">
        <v>60</v>
      </c>
      <c r="G1270" t="s">
        <v>5</v>
      </c>
    </row>
    <row r="1271" spans="1:7" x14ac:dyDescent="0.3">
      <c r="A1271" t="s">
        <v>26</v>
      </c>
      <c r="B1271" s="1">
        <v>45961</v>
      </c>
      <c r="C1271">
        <v>530012</v>
      </c>
      <c r="D1271">
        <v>779.89800000000002</v>
      </c>
      <c r="E1271" t="s">
        <v>6</v>
      </c>
      <c r="F1271" t="s">
        <v>53</v>
      </c>
      <c r="G1271" t="s">
        <v>5</v>
      </c>
    </row>
    <row r="1272" spans="1:7" x14ac:dyDescent="0.3">
      <c r="A1272" t="s">
        <v>26</v>
      </c>
      <c r="B1272" s="1">
        <v>45961</v>
      </c>
      <c r="C1272">
        <v>541004</v>
      </c>
      <c r="D1272">
        <v>32.276000000000003</v>
      </c>
      <c r="E1272" t="s">
        <v>6</v>
      </c>
      <c r="F1272" t="s">
        <v>61</v>
      </c>
      <c r="G1272" t="s">
        <v>5</v>
      </c>
    </row>
    <row r="1273" spans="1:7" x14ac:dyDescent="0.3">
      <c r="A1273" t="s">
        <v>26</v>
      </c>
      <c r="B1273" s="1">
        <v>45961</v>
      </c>
      <c r="C1273">
        <v>541010</v>
      </c>
      <c r="D1273">
        <v>373.69900000000001</v>
      </c>
      <c r="E1273" t="s">
        <v>6</v>
      </c>
      <c r="F1273" t="s">
        <v>61</v>
      </c>
      <c r="G1273" t="s">
        <v>5</v>
      </c>
    </row>
    <row r="1274" spans="1:7" x14ac:dyDescent="0.3">
      <c r="A1274" t="s">
        <v>26</v>
      </c>
      <c r="B1274" s="1">
        <v>45961</v>
      </c>
      <c r="C1274">
        <v>541013</v>
      </c>
      <c r="D1274">
        <v>52.435000000000002</v>
      </c>
      <c r="E1274" t="s">
        <v>6</v>
      </c>
      <c r="F1274" t="s">
        <v>61</v>
      </c>
      <c r="G1274" t="s">
        <v>5</v>
      </c>
    </row>
    <row r="1275" spans="1:7" x14ac:dyDescent="0.3">
      <c r="A1275" t="s">
        <v>26</v>
      </c>
      <c r="B1275" s="1">
        <v>45961</v>
      </c>
      <c r="C1275">
        <v>546002</v>
      </c>
      <c r="D1275">
        <v>83694.740999999995</v>
      </c>
      <c r="E1275" t="s">
        <v>6</v>
      </c>
      <c r="F1275" t="s">
        <v>51</v>
      </c>
      <c r="G1275" t="s">
        <v>5</v>
      </c>
    </row>
    <row r="1276" spans="1:7" x14ac:dyDescent="0.3">
      <c r="A1276" t="s">
        <v>26</v>
      </c>
      <c r="B1276" s="1">
        <v>45961</v>
      </c>
      <c r="C1276">
        <v>546008</v>
      </c>
      <c r="D1276">
        <v>11.385999999999999</v>
      </c>
      <c r="E1276" t="s">
        <v>6</v>
      </c>
      <c r="F1276" t="s">
        <v>51</v>
      </c>
      <c r="G1276" t="s">
        <v>5</v>
      </c>
    </row>
    <row r="1277" spans="1:7" x14ac:dyDescent="0.3">
      <c r="A1277" t="s">
        <v>26</v>
      </c>
      <c r="B1277" s="1">
        <v>45961</v>
      </c>
      <c r="C1277">
        <v>546013</v>
      </c>
      <c r="D1277">
        <v>3175.6709999999998</v>
      </c>
      <c r="E1277" t="s">
        <v>6</v>
      </c>
      <c r="F1277" t="s">
        <v>51</v>
      </c>
      <c r="G1277" t="s">
        <v>5</v>
      </c>
    </row>
    <row r="1278" spans="1:7" x14ac:dyDescent="0.3">
      <c r="A1278" t="s">
        <v>26</v>
      </c>
      <c r="B1278" s="1">
        <v>45961</v>
      </c>
      <c r="C1278">
        <v>546015</v>
      </c>
      <c r="D1278">
        <v>-74.915999999999997</v>
      </c>
      <c r="E1278" t="s">
        <v>6</v>
      </c>
      <c r="F1278" t="s">
        <v>51</v>
      </c>
      <c r="G1278" t="s">
        <v>5</v>
      </c>
    </row>
    <row r="1279" spans="1:7" x14ac:dyDescent="0.3">
      <c r="A1279" t="s">
        <v>26</v>
      </c>
      <c r="B1279" s="1">
        <v>45961</v>
      </c>
      <c r="C1279">
        <v>547002</v>
      </c>
      <c r="D1279">
        <v>26.428000000000001</v>
      </c>
      <c r="E1279" t="s">
        <v>6</v>
      </c>
      <c r="F1279" t="s">
        <v>54</v>
      </c>
      <c r="G1279" t="s">
        <v>5</v>
      </c>
    </row>
    <row r="1280" spans="1:7" x14ac:dyDescent="0.3">
      <c r="A1280" t="s">
        <v>26</v>
      </c>
      <c r="B1280" s="1">
        <v>45961</v>
      </c>
      <c r="C1280">
        <v>550002</v>
      </c>
      <c r="D1280">
        <v>26458.898000000001</v>
      </c>
      <c r="E1280" t="s">
        <v>6</v>
      </c>
      <c r="F1280" t="s">
        <v>62</v>
      </c>
      <c r="G1280" t="s">
        <v>5</v>
      </c>
    </row>
    <row r="1281" spans="1:7" x14ac:dyDescent="0.3">
      <c r="A1281" t="s">
        <v>26</v>
      </c>
      <c r="B1281" s="1">
        <v>45961</v>
      </c>
      <c r="C1281">
        <v>550003</v>
      </c>
      <c r="D1281">
        <v>19435.456999999999</v>
      </c>
      <c r="E1281" t="s">
        <v>6</v>
      </c>
      <c r="F1281" t="s">
        <v>62</v>
      </c>
      <c r="G1281" t="s">
        <v>5</v>
      </c>
    </row>
    <row r="1282" spans="1:7" x14ac:dyDescent="0.3">
      <c r="A1282" t="s">
        <v>26</v>
      </c>
      <c r="B1282" s="1">
        <v>45961</v>
      </c>
      <c r="C1282">
        <v>551003</v>
      </c>
      <c r="D1282">
        <v>581.81600000000003</v>
      </c>
      <c r="E1282" t="s">
        <v>6</v>
      </c>
      <c r="F1282" t="s">
        <v>63</v>
      </c>
      <c r="G1282" t="s">
        <v>5</v>
      </c>
    </row>
    <row r="1283" spans="1:7" x14ac:dyDescent="0.3">
      <c r="A1283" t="s">
        <v>26</v>
      </c>
      <c r="B1283" s="1">
        <v>45961</v>
      </c>
      <c r="C1283">
        <v>552502</v>
      </c>
      <c r="D1283">
        <v>3859.8180000000002</v>
      </c>
      <c r="E1283" t="s">
        <v>6</v>
      </c>
      <c r="F1283" t="s">
        <v>55</v>
      </c>
      <c r="G1283" t="s">
        <v>5</v>
      </c>
    </row>
    <row r="1284" spans="1:7" x14ac:dyDescent="0.3">
      <c r="A1284" t="s">
        <v>26</v>
      </c>
      <c r="B1284" s="1">
        <v>45961</v>
      </c>
      <c r="C1284">
        <v>555508</v>
      </c>
      <c r="D1284">
        <v>372.07900000000001</v>
      </c>
      <c r="E1284" t="s">
        <v>6</v>
      </c>
      <c r="F1284" t="s">
        <v>55</v>
      </c>
      <c r="G1284" t="s">
        <v>5</v>
      </c>
    </row>
    <row r="1285" spans="1:7" x14ac:dyDescent="0.3">
      <c r="A1285" t="s">
        <v>26</v>
      </c>
      <c r="B1285" s="1">
        <v>45961</v>
      </c>
      <c r="C1285">
        <v>556002</v>
      </c>
      <c r="D1285">
        <v>147.715</v>
      </c>
      <c r="E1285" t="s">
        <v>6</v>
      </c>
      <c r="F1285" t="s">
        <v>60</v>
      </c>
      <c r="G1285" t="s">
        <v>5</v>
      </c>
    </row>
    <row r="1286" spans="1:7" x14ac:dyDescent="0.3">
      <c r="A1286" t="s">
        <v>26</v>
      </c>
      <c r="B1286" s="1">
        <v>45961</v>
      </c>
      <c r="C1286">
        <v>557002</v>
      </c>
      <c r="D1286">
        <v>2371.7440000000001</v>
      </c>
      <c r="E1286" t="s">
        <v>6</v>
      </c>
      <c r="F1286" t="s">
        <v>56</v>
      </c>
      <c r="G1286" t="s">
        <v>5</v>
      </c>
    </row>
    <row r="1287" spans="1:7" x14ac:dyDescent="0.3">
      <c r="A1287" t="s">
        <v>26</v>
      </c>
      <c r="B1287" s="1">
        <v>45961</v>
      </c>
      <c r="C1287">
        <v>558006</v>
      </c>
      <c r="D1287">
        <v>-596.44799999999998</v>
      </c>
      <c r="E1287" t="s">
        <v>6</v>
      </c>
      <c r="F1287" t="s">
        <v>57</v>
      </c>
      <c r="G1287" t="s">
        <v>5</v>
      </c>
    </row>
    <row r="1288" spans="1:7" x14ac:dyDescent="0.3">
      <c r="A1288" t="s">
        <v>26</v>
      </c>
      <c r="B1288" s="1">
        <v>45961</v>
      </c>
      <c r="C1288">
        <v>558012</v>
      </c>
      <c r="D1288">
        <v>5.0330000000000004</v>
      </c>
      <c r="E1288" t="s">
        <v>6</v>
      </c>
      <c r="F1288" t="s">
        <v>60</v>
      </c>
      <c r="G1288" t="s">
        <v>5</v>
      </c>
    </row>
    <row r="1289" spans="1:7" x14ac:dyDescent="0.3">
      <c r="A1289" t="s">
        <v>26</v>
      </c>
      <c r="B1289" s="1">
        <v>45961</v>
      </c>
      <c r="C1289">
        <v>559002</v>
      </c>
      <c r="D1289">
        <v>26.145</v>
      </c>
      <c r="E1289" t="s">
        <v>6</v>
      </c>
      <c r="F1289" t="s">
        <v>60</v>
      </c>
      <c r="G1289" t="s">
        <v>5</v>
      </c>
    </row>
    <row r="1290" spans="1:7" x14ac:dyDescent="0.3">
      <c r="A1290" t="s">
        <v>26</v>
      </c>
      <c r="B1290" s="1">
        <v>45961</v>
      </c>
      <c r="C1290">
        <v>560008</v>
      </c>
      <c r="D1290">
        <v>27.151</v>
      </c>
      <c r="E1290" t="s">
        <v>6</v>
      </c>
      <c r="F1290" t="s">
        <v>56</v>
      </c>
      <c r="G1290" t="s">
        <v>5</v>
      </c>
    </row>
    <row r="1291" spans="1:7" x14ac:dyDescent="0.3">
      <c r="A1291" t="s">
        <v>26</v>
      </c>
      <c r="B1291" s="1">
        <v>45961</v>
      </c>
      <c r="C1291">
        <v>563002</v>
      </c>
      <c r="D1291">
        <v>4818.732</v>
      </c>
      <c r="E1291" t="s">
        <v>6</v>
      </c>
      <c r="F1291" t="s">
        <v>57</v>
      </c>
      <c r="G1291" t="s">
        <v>5</v>
      </c>
    </row>
    <row r="1292" spans="1:7" x14ac:dyDescent="0.3">
      <c r="A1292" t="s">
        <v>26</v>
      </c>
      <c r="B1292" s="1">
        <v>45961</v>
      </c>
      <c r="C1292">
        <v>564006</v>
      </c>
      <c r="D1292">
        <v>-7.0000000000000001E-3</v>
      </c>
      <c r="E1292" t="s">
        <v>6</v>
      </c>
      <c r="F1292" t="s">
        <v>57</v>
      </c>
      <c r="G1292" t="s">
        <v>5</v>
      </c>
    </row>
    <row r="1293" spans="1:7" x14ac:dyDescent="0.3">
      <c r="A1293" t="s">
        <v>26</v>
      </c>
      <c r="B1293" s="1">
        <v>45961</v>
      </c>
      <c r="C1293">
        <v>564019</v>
      </c>
      <c r="D1293">
        <v>14763.922</v>
      </c>
      <c r="E1293" t="s">
        <v>6</v>
      </c>
      <c r="F1293" t="s">
        <v>51</v>
      </c>
      <c r="G1293" t="s">
        <v>5</v>
      </c>
    </row>
    <row r="1294" spans="1:7" x14ac:dyDescent="0.3">
      <c r="A1294" t="s">
        <v>26</v>
      </c>
      <c r="B1294" s="1">
        <v>45961</v>
      </c>
      <c r="C1294">
        <v>564020</v>
      </c>
      <c r="D1294">
        <v>215.566</v>
      </c>
      <c r="E1294" t="s">
        <v>6</v>
      </c>
      <c r="F1294" t="s">
        <v>57</v>
      </c>
      <c r="G1294" t="s">
        <v>5</v>
      </c>
    </row>
    <row r="1295" spans="1:7" x14ac:dyDescent="0.3">
      <c r="A1295" t="s">
        <v>26</v>
      </c>
      <c r="B1295" s="1">
        <v>45961</v>
      </c>
      <c r="C1295">
        <v>564021</v>
      </c>
      <c r="D1295">
        <v>0.88200000000000001</v>
      </c>
      <c r="E1295" t="s">
        <v>6</v>
      </c>
      <c r="F1295" t="s">
        <v>57</v>
      </c>
      <c r="G1295" t="s">
        <v>5</v>
      </c>
    </row>
    <row r="1296" spans="1:7" x14ac:dyDescent="0.3">
      <c r="A1296" t="s">
        <v>26</v>
      </c>
      <c r="B1296" s="1">
        <v>45961</v>
      </c>
      <c r="C1296">
        <v>570002</v>
      </c>
      <c r="D1296">
        <v>154.14400000000001</v>
      </c>
      <c r="E1296" t="s">
        <v>6</v>
      </c>
      <c r="F1296" t="s">
        <v>66</v>
      </c>
      <c r="G1296" t="s">
        <v>5</v>
      </c>
    </row>
    <row r="1297" spans="1:7" x14ac:dyDescent="0.3">
      <c r="A1297" t="s">
        <v>27</v>
      </c>
      <c r="B1297" s="1">
        <v>45961</v>
      </c>
      <c r="C1297">
        <v>220006</v>
      </c>
      <c r="D1297">
        <v>4327.4939999999997</v>
      </c>
      <c r="E1297" t="s">
        <v>4</v>
      </c>
      <c r="F1297" t="s">
        <v>42</v>
      </c>
      <c r="G1297" t="s">
        <v>8</v>
      </c>
    </row>
    <row r="1298" spans="1:7" x14ac:dyDescent="0.3">
      <c r="A1298" t="s">
        <v>27</v>
      </c>
      <c r="B1298" s="1">
        <v>45961</v>
      </c>
      <c r="C1298">
        <v>240002</v>
      </c>
      <c r="D1298">
        <v>-91.483000000000004</v>
      </c>
      <c r="E1298" t="s">
        <v>4</v>
      </c>
      <c r="F1298" t="s">
        <v>43</v>
      </c>
      <c r="G1298" t="s">
        <v>8</v>
      </c>
    </row>
    <row r="1299" spans="1:7" x14ac:dyDescent="0.3">
      <c r="A1299" t="s">
        <v>27</v>
      </c>
      <c r="B1299" s="1">
        <v>45961</v>
      </c>
      <c r="C1299">
        <v>243002</v>
      </c>
      <c r="D1299">
        <v>-520.26400000000001</v>
      </c>
      <c r="E1299" t="s">
        <v>4</v>
      </c>
      <c r="F1299" t="s">
        <v>43</v>
      </c>
      <c r="G1299" t="s">
        <v>8</v>
      </c>
    </row>
    <row r="1300" spans="1:7" x14ac:dyDescent="0.3">
      <c r="A1300" t="s">
        <v>27</v>
      </c>
      <c r="B1300" s="1">
        <v>45961</v>
      </c>
      <c r="C1300">
        <v>330141</v>
      </c>
      <c r="D1300">
        <v>-4561.8940000000002</v>
      </c>
      <c r="E1300" t="s">
        <v>4</v>
      </c>
      <c r="F1300" t="s">
        <v>43</v>
      </c>
      <c r="G1300" t="s">
        <v>8</v>
      </c>
    </row>
    <row r="1301" spans="1:7" x14ac:dyDescent="0.3">
      <c r="A1301" t="s">
        <v>27</v>
      </c>
      <c r="B1301" s="1">
        <v>45961</v>
      </c>
      <c r="C1301">
        <v>355016</v>
      </c>
      <c r="D1301">
        <v>57.165999999999997</v>
      </c>
      <c r="E1301" t="s">
        <v>4</v>
      </c>
      <c r="F1301" t="s">
        <v>49</v>
      </c>
      <c r="G1301" t="s">
        <v>8</v>
      </c>
    </row>
    <row r="1302" spans="1:7" x14ac:dyDescent="0.3">
      <c r="A1302" t="s">
        <v>27</v>
      </c>
      <c r="B1302" s="1">
        <v>45961</v>
      </c>
      <c r="C1302">
        <v>552502</v>
      </c>
      <c r="D1302">
        <v>14.206</v>
      </c>
      <c r="E1302" t="s">
        <v>6</v>
      </c>
      <c r="F1302" t="s">
        <v>55</v>
      </c>
      <c r="G1302" t="s">
        <v>8</v>
      </c>
    </row>
    <row r="1303" spans="1:7" x14ac:dyDescent="0.3">
      <c r="A1303" t="s">
        <v>27</v>
      </c>
      <c r="B1303" s="1">
        <v>45961</v>
      </c>
      <c r="C1303">
        <v>556004</v>
      </c>
      <c r="D1303">
        <v>0.26100000000000001</v>
      </c>
      <c r="E1303" t="s">
        <v>6</v>
      </c>
      <c r="F1303" t="s">
        <v>55</v>
      </c>
      <c r="G1303" t="s">
        <v>8</v>
      </c>
    </row>
    <row r="1304" spans="1:7" x14ac:dyDescent="0.3">
      <c r="A1304" t="s">
        <v>27</v>
      </c>
      <c r="B1304" s="1">
        <v>45961</v>
      </c>
      <c r="C1304">
        <v>557002</v>
      </c>
      <c r="D1304">
        <v>561.92899999999997</v>
      </c>
      <c r="E1304" t="s">
        <v>6</v>
      </c>
      <c r="F1304" t="s">
        <v>56</v>
      </c>
      <c r="G1304" t="s">
        <v>8</v>
      </c>
    </row>
    <row r="1305" spans="1:7" x14ac:dyDescent="0.3">
      <c r="A1305" t="s">
        <v>27</v>
      </c>
      <c r="B1305" s="1">
        <v>45961</v>
      </c>
      <c r="C1305">
        <v>557003</v>
      </c>
      <c r="D1305">
        <v>207.00700000000001</v>
      </c>
      <c r="E1305" t="s">
        <v>6</v>
      </c>
      <c r="F1305" t="s">
        <v>56</v>
      </c>
      <c r="G1305" t="s">
        <v>8</v>
      </c>
    </row>
    <row r="1306" spans="1:7" x14ac:dyDescent="0.3">
      <c r="A1306" t="s">
        <v>28</v>
      </c>
      <c r="B1306" s="1">
        <v>45961</v>
      </c>
      <c r="C1306">
        <v>220006</v>
      </c>
      <c r="D1306">
        <v>34523.987999999998</v>
      </c>
      <c r="E1306" t="s">
        <v>4</v>
      </c>
      <c r="F1306" t="s">
        <v>42</v>
      </c>
      <c r="G1306" t="s">
        <v>8</v>
      </c>
    </row>
    <row r="1307" spans="1:7" x14ac:dyDescent="0.3">
      <c r="A1307" t="s">
        <v>28</v>
      </c>
      <c r="B1307" s="1">
        <v>45961</v>
      </c>
      <c r="C1307">
        <v>240002</v>
      </c>
      <c r="D1307">
        <v>-176.304</v>
      </c>
      <c r="E1307" t="s">
        <v>4</v>
      </c>
      <c r="F1307" t="s">
        <v>43</v>
      </c>
      <c r="G1307" t="s">
        <v>8</v>
      </c>
    </row>
    <row r="1308" spans="1:7" x14ac:dyDescent="0.3">
      <c r="A1308" t="s">
        <v>28</v>
      </c>
      <c r="B1308" s="1">
        <v>45961</v>
      </c>
      <c r="C1308">
        <v>240003</v>
      </c>
      <c r="D1308">
        <v>-29.571999999999999</v>
      </c>
      <c r="E1308" t="s">
        <v>4</v>
      </c>
      <c r="F1308" t="s">
        <v>43</v>
      </c>
      <c r="G1308" t="s">
        <v>8</v>
      </c>
    </row>
    <row r="1309" spans="1:7" x14ac:dyDescent="0.3">
      <c r="A1309" t="s">
        <v>28</v>
      </c>
      <c r="B1309" s="1">
        <v>45961</v>
      </c>
      <c r="C1309">
        <v>240009</v>
      </c>
      <c r="D1309">
        <v>-13.965999999999999</v>
      </c>
      <c r="E1309" t="s">
        <v>4</v>
      </c>
      <c r="F1309" t="s">
        <v>43</v>
      </c>
      <c r="G1309" t="s">
        <v>8</v>
      </c>
    </row>
    <row r="1310" spans="1:7" x14ac:dyDescent="0.3">
      <c r="A1310" t="s">
        <v>28</v>
      </c>
      <c r="B1310" s="1">
        <v>45961</v>
      </c>
      <c r="C1310">
        <v>242003</v>
      </c>
      <c r="D1310">
        <v>-820.98500000000001</v>
      </c>
      <c r="E1310" t="s">
        <v>4</v>
      </c>
      <c r="F1310" t="s">
        <v>43</v>
      </c>
      <c r="G1310" t="s">
        <v>8</v>
      </c>
    </row>
    <row r="1311" spans="1:7" x14ac:dyDescent="0.3">
      <c r="A1311" t="s">
        <v>28</v>
      </c>
      <c r="B1311" s="1">
        <v>45961</v>
      </c>
      <c r="C1311">
        <v>245058</v>
      </c>
      <c r="D1311">
        <v>389.48599999999999</v>
      </c>
      <c r="E1311" t="s">
        <v>4</v>
      </c>
      <c r="F1311" t="s">
        <v>43</v>
      </c>
      <c r="G1311" t="s">
        <v>8</v>
      </c>
    </row>
    <row r="1312" spans="1:7" x14ac:dyDescent="0.3">
      <c r="A1312" t="s">
        <v>28</v>
      </c>
      <c r="B1312" s="1">
        <v>45961</v>
      </c>
      <c r="C1312">
        <v>257005</v>
      </c>
      <c r="D1312">
        <v>-96.388999999999996</v>
      </c>
      <c r="E1312" t="s">
        <v>4</v>
      </c>
      <c r="F1312" t="s">
        <v>45</v>
      </c>
      <c r="G1312" t="s">
        <v>8</v>
      </c>
    </row>
    <row r="1313" spans="1:7" x14ac:dyDescent="0.3">
      <c r="A1313" t="s">
        <v>28</v>
      </c>
      <c r="B1313" s="1">
        <v>45961</v>
      </c>
      <c r="C1313">
        <v>257008</v>
      </c>
      <c r="D1313">
        <v>172.91900000000001</v>
      </c>
      <c r="E1313" t="s">
        <v>4</v>
      </c>
      <c r="F1313" t="s">
        <v>45</v>
      </c>
      <c r="G1313" t="s">
        <v>8</v>
      </c>
    </row>
    <row r="1314" spans="1:7" x14ac:dyDescent="0.3">
      <c r="A1314" t="s">
        <v>28</v>
      </c>
      <c r="B1314" s="1">
        <v>45961</v>
      </c>
      <c r="C1314">
        <v>257030</v>
      </c>
      <c r="D1314">
        <v>-275.34800000000001</v>
      </c>
      <c r="E1314" t="s">
        <v>4</v>
      </c>
      <c r="F1314" t="s">
        <v>45</v>
      </c>
      <c r="G1314" t="s">
        <v>8</v>
      </c>
    </row>
    <row r="1315" spans="1:7" x14ac:dyDescent="0.3">
      <c r="A1315" t="s">
        <v>28</v>
      </c>
      <c r="B1315" s="1">
        <v>45961</v>
      </c>
      <c r="C1315">
        <v>260004</v>
      </c>
      <c r="D1315">
        <v>4.0000000000000001E-3</v>
      </c>
      <c r="E1315" t="s">
        <v>4</v>
      </c>
      <c r="F1315" t="s">
        <v>45</v>
      </c>
      <c r="G1315" t="s">
        <v>8</v>
      </c>
    </row>
    <row r="1316" spans="1:7" x14ac:dyDescent="0.3">
      <c r="A1316" t="s">
        <v>28</v>
      </c>
      <c r="B1316" s="1">
        <v>45961</v>
      </c>
      <c r="C1316">
        <v>321004</v>
      </c>
      <c r="D1316">
        <v>1437.5609999999999</v>
      </c>
      <c r="E1316" t="s">
        <v>4</v>
      </c>
      <c r="F1316" t="s">
        <v>46</v>
      </c>
      <c r="G1316" t="s">
        <v>8</v>
      </c>
    </row>
    <row r="1317" spans="1:7" x14ac:dyDescent="0.3">
      <c r="A1317" t="s">
        <v>28</v>
      </c>
      <c r="B1317" s="1">
        <v>45961</v>
      </c>
      <c r="C1317">
        <v>330124</v>
      </c>
      <c r="D1317">
        <v>-2009.66</v>
      </c>
      <c r="E1317" t="s">
        <v>4</v>
      </c>
      <c r="F1317" t="s">
        <v>43</v>
      </c>
      <c r="G1317" t="s">
        <v>8</v>
      </c>
    </row>
    <row r="1318" spans="1:7" x14ac:dyDescent="0.3">
      <c r="A1318" t="s">
        <v>28</v>
      </c>
      <c r="B1318" s="1">
        <v>45961</v>
      </c>
      <c r="C1318">
        <v>330130</v>
      </c>
      <c r="D1318">
        <v>-37028.968000000001</v>
      </c>
      <c r="E1318" t="s">
        <v>4</v>
      </c>
      <c r="F1318" t="s">
        <v>43</v>
      </c>
      <c r="G1318" t="s">
        <v>8</v>
      </c>
    </row>
    <row r="1319" spans="1:7" x14ac:dyDescent="0.3">
      <c r="A1319" t="s">
        <v>28</v>
      </c>
      <c r="B1319" s="1">
        <v>45961</v>
      </c>
      <c r="C1319">
        <v>340234</v>
      </c>
      <c r="D1319">
        <v>4.7279999999999998</v>
      </c>
      <c r="E1319" t="s">
        <v>4</v>
      </c>
      <c r="F1319" t="s">
        <v>47</v>
      </c>
      <c r="G1319" t="s">
        <v>8</v>
      </c>
    </row>
    <row r="1320" spans="1:7" x14ac:dyDescent="0.3">
      <c r="A1320" t="s">
        <v>28</v>
      </c>
      <c r="B1320" s="1">
        <v>45961</v>
      </c>
      <c r="C1320">
        <v>340267</v>
      </c>
      <c r="D1320">
        <v>3082.4879999999998</v>
      </c>
      <c r="E1320" t="s">
        <v>4</v>
      </c>
      <c r="F1320" t="s">
        <v>47</v>
      </c>
      <c r="G1320" t="s">
        <v>8</v>
      </c>
    </row>
    <row r="1321" spans="1:7" x14ac:dyDescent="0.3">
      <c r="A1321" t="s">
        <v>28</v>
      </c>
      <c r="B1321" s="1">
        <v>45961</v>
      </c>
      <c r="C1321">
        <v>350031</v>
      </c>
      <c r="D1321">
        <v>13.965999999999999</v>
      </c>
      <c r="E1321" t="s">
        <v>4</v>
      </c>
      <c r="F1321" t="s">
        <v>43</v>
      </c>
      <c r="G1321" t="s">
        <v>8</v>
      </c>
    </row>
    <row r="1322" spans="1:7" x14ac:dyDescent="0.3">
      <c r="A1322" t="s">
        <v>28</v>
      </c>
      <c r="B1322" s="1">
        <v>45961</v>
      </c>
      <c r="C1322">
        <v>360019</v>
      </c>
      <c r="D1322">
        <v>25.503</v>
      </c>
      <c r="E1322" t="s">
        <v>4</v>
      </c>
      <c r="F1322" t="s">
        <v>58</v>
      </c>
      <c r="G1322" t="s">
        <v>8</v>
      </c>
    </row>
    <row r="1323" spans="1:7" x14ac:dyDescent="0.3">
      <c r="A1323" t="s">
        <v>28</v>
      </c>
      <c r="B1323" s="1">
        <v>45961</v>
      </c>
      <c r="C1323">
        <v>360022</v>
      </c>
      <c r="D1323">
        <v>61.881999999999998</v>
      </c>
      <c r="E1323" t="s">
        <v>4</v>
      </c>
      <c r="F1323" t="s">
        <v>58</v>
      </c>
      <c r="G1323" t="s">
        <v>8</v>
      </c>
    </row>
    <row r="1324" spans="1:7" x14ac:dyDescent="0.3">
      <c r="A1324" t="s">
        <v>28</v>
      </c>
      <c r="B1324" s="1">
        <v>45961</v>
      </c>
      <c r="C1324">
        <v>372002</v>
      </c>
      <c r="D1324">
        <v>32.411000000000001</v>
      </c>
      <c r="E1324" t="s">
        <v>4</v>
      </c>
      <c r="F1324" t="s">
        <v>45</v>
      </c>
      <c r="G1324" t="s">
        <v>8</v>
      </c>
    </row>
    <row r="1325" spans="1:7" x14ac:dyDescent="0.3">
      <c r="A1325" t="s">
        <v>28</v>
      </c>
      <c r="B1325" s="1">
        <v>45961</v>
      </c>
      <c r="C1325">
        <v>372004</v>
      </c>
      <c r="D1325">
        <v>80.69</v>
      </c>
      <c r="E1325" t="s">
        <v>4</v>
      </c>
      <c r="F1325" t="s">
        <v>45</v>
      </c>
      <c r="G1325" t="s">
        <v>8</v>
      </c>
    </row>
    <row r="1326" spans="1:7" x14ac:dyDescent="0.3">
      <c r="A1326" t="s">
        <v>28</v>
      </c>
      <c r="B1326" s="1">
        <v>45961</v>
      </c>
      <c r="C1326">
        <v>410005</v>
      </c>
      <c r="D1326">
        <v>-1472.4849999999999</v>
      </c>
      <c r="E1326" t="s">
        <v>6</v>
      </c>
      <c r="F1326" t="s">
        <v>51</v>
      </c>
      <c r="G1326" t="s">
        <v>8</v>
      </c>
    </row>
    <row r="1327" spans="1:7" x14ac:dyDescent="0.3">
      <c r="A1327" t="s">
        <v>28</v>
      </c>
      <c r="B1327" s="1">
        <v>45961</v>
      </c>
      <c r="C1327">
        <v>421002</v>
      </c>
      <c r="D1327">
        <v>-48.048999999999999</v>
      </c>
      <c r="E1327" t="s">
        <v>6</v>
      </c>
      <c r="F1327" t="s">
        <v>52</v>
      </c>
      <c r="G1327" t="s">
        <v>8</v>
      </c>
    </row>
    <row r="1328" spans="1:7" x14ac:dyDescent="0.3">
      <c r="A1328" t="s">
        <v>28</v>
      </c>
      <c r="B1328" s="1">
        <v>45961</v>
      </c>
      <c r="C1328">
        <v>421003</v>
      </c>
      <c r="D1328">
        <v>68.403000000000006</v>
      </c>
      <c r="E1328" t="s">
        <v>6</v>
      </c>
      <c r="F1328" t="s">
        <v>52</v>
      </c>
      <c r="G1328" t="s">
        <v>8</v>
      </c>
    </row>
    <row r="1329" spans="1:7" x14ac:dyDescent="0.3">
      <c r="A1329" t="s">
        <v>28</v>
      </c>
      <c r="B1329" s="1">
        <v>45961</v>
      </c>
      <c r="C1329">
        <v>510002</v>
      </c>
      <c r="D1329">
        <v>1067.088</v>
      </c>
      <c r="E1329" t="s">
        <v>6</v>
      </c>
      <c r="F1329" t="s">
        <v>53</v>
      </c>
      <c r="G1329" t="s">
        <v>8</v>
      </c>
    </row>
    <row r="1330" spans="1:7" x14ac:dyDescent="0.3">
      <c r="A1330" t="s">
        <v>28</v>
      </c>
      <c r="B1330" s="1">
        <v>45961</v>
      </c>
      <c r="C1330">
        <v>510015</v>
      </c>
      <c r="D1330">
        <v>335.279</v>
      </c>
      <c r="E1330" t="s">
        <v>6</v>
      </c>
      <c r="F1330" t="s">
        <v>53</v>
      </c>
      <c r="G1330" t="s">
        <v>8</v>
      </c>
    </row>
    <row r="1331" spans="1:7" x14ac:dyDescent="0.3">
      <c r="A1331" t="s">
        <v>28</v>
      </c>
      <c r="B1331" s="1">
        <v>45961</v>
      </c>
      <c r="C1331">
        <v>555508</v>
      </c>
      <c r="D1331">
        <v>7.4189999999999996</v>
      </c>
      <c r="E1331" t="s">
        <v>6</v>
      </c>
      <c r="F1331" t="s">
        <v>55</v>
      </c>
      <c r="G1331" t="s">
        <v>8</v>
      </c>
    </row>
    <row r="1332" spans="1:7" x14ac:dyDescent="0.3">
      <c r="A1332" t="s">
        <v>28</v>
      </c>
      <c r="B1332" s="1">
        <v>45961</v>
      </c>
      <c r="C1332">
        <v>557002</v>
      </c>
      <c r="D1332">
        <v>181.99799999999999</v>
      </c>
      <c r="E1332" t="s">
        <v>6</v>
      </c>
      <c r="F1332" t="s">
        <v>56</v>
      </c>
      <c r="G1332" t="s">
        <v>8</v>
      </c>
    </row>
    <row r="1333" spans="1:7" x14ac:dyDescent="0.3">
      <c r="A1333" t="s">
        <v>28</v>
      </c>
      <c r="B1333" s="1">
        <v>45961</v>
      </c>
      <c r="C1333">
        <v>564006</v>
      </c>
      <c r="D1333">
        <v>0</v>
      </c>
      <c r="E1333" t="s">
        <v>6</v>
      </c>
      <c r="F1333" t="s">
        <v>57</v>
      </c>
      <c r="G1333" t="s">
        <v>8</v>
      </c>
    </row>
    <row r="1334" spans="1:7" x14ac:dyDescent="0.3">
      <c r="A1334" t="s">
        <v>28</v>
      </c>
      <c r="B1334" s="1">
        <v>45961</v>
      </c>
      <c r="C1334">
        <v>564019</v>
      </c>
      <c r="D1334">
        <v>377.71899999999999</v>
      </c>
      <c r="E1334" t="s">
        <v>6</v>
      </c>
      <c r="F1334" t="s">
        <v>51</v>
      </c>
      <c r="G1334" t="s">
        <v>8</v>
      </c>
    </row>
    <row r="1335" spans="1:7" x14ac:dyDescent="0.3">
      <c r="A1335" t="s">
        <v>28</v>
      </c>
      <c r="B1335" s="1">
        <v>45961</v>
      </c>
      <c r="C1335">
        <v>564020</v>
      </c>
      <c r="D1335">
        <v>123.39100000000001</v>
      </c>
      <c r="E1335" t="s">
        <v>6</v>
      </c>
      <c r="F1335" t="s">
        <v>57</v>
      </c>
      <c r="G1335" t="s">
        <v>8</v>
      </c>
    </row>
    <row r="1336" spans="1:7" x14ac:dyDescent="0.3">
      <c r="A1336" t="s">
        <v>29</v>
      </c>
      <c r="B1336" s="1">
        <v>45961</v>
      </c>
      <c r="C1336">
        <v>220006</v>
      </c>
      <c r="D1336">
        <v>-614123.26300000004</v>
      </c>
      <c r="E1336" t="s">
        <v>4</v>
      </c>
      <c r="F1336" t="s">
        <v>42</v>
      </c>
      <c r="G1336" t="s">
        <v>8</v>
      </c>
    </row>
    <row r="1337" spans="1:7" x14ac:dyDescent="0.3">
      <c r="A1337" t="s">
        <v>29</v>
      </c>
      <c r="B1337" s="1">
        <v>45961</v>
      </c>
      <c r="C1337">
        <v>240002</v>
      </c>
      <c r="D1337">
        <v>-5358.34</v>
      </c>
      <c r="E1337" t="s">
        <v>4</v>
      </c>
      <c r="F1337" t="s">
        <v>43</v>
      </c>
      <c r="G1337" t="s">
        <v>8</v>
      </c>
    </row>
    <row r="1338" spans="1:7" x14ac:dyDescent="0.3">
      <c r="A1338" t="s">
        <v>29</v>
      </c>
      <c r="B1338" s="1">
        <v>45961</v>
      </c>
      <c r="C1338">
        <v>242003</v>
      </c>
      <c r="D1338">
        <v>-241880.77900000001</v>
      </c>
      <c r="E1338" t="s">
        <v>4</v>
      </c>
      <c r="F1338" t="s">
        <v>43</v>
      </c>
      <c r="G1338" t="s">
        <v>8</v>
      </c>
    </row>
    <row r="1339" spans="1:7" x14ac:dyDescent="0.3">
      <c r="A1339" t="s">
        <v>29</v>
      </c>
      <c r="B1339" s="1">
        <v>45961</v>
      </c>
      <c r="C1339">
        <v>242007</v>
      </c>
      <c r="D1339">
        <v>32.307000000000002</v>
      </c>
      <c r="E1339" t="s">
        <v>4</v>
      </c>
      <c r="F1339" t="s">
        <v>43</v>
      </c>
      <c r="G1339" t="s">
        <v>8</v>
      </c>
    </row>
    <row r="1340" spans="1:7" x14ac:dyDescent="0.3">
      <c r="A1340" t="s">
        <v>29</v>
      </c>
      <c r="B1340" s="1">
        <v>45961</v>
      </c>
      <c r="C1340">
        <v>242013</v>
      </c>
      <c r="D1340">
        <v>2229.9009999999998</v>
      </c>
      <c r="E1340" t="s">
        <v>4</v>
      </c>
      <c r="F1340" t="s">
        <v>43</v>
      </c>
      <c r="G1340" t="s">
        <v>8</v>
      </c>
    </row>
    <row r="1341" spans="1:7" x14ac:dyDescent="0.3">
      <c r="A1341" t="s">
        <v>29</v>
      </c>
      <c r="B1341" s="1">
        <v>45961</v>
      </c>
      <c r="C1341">
        <v>242023</v>
      </c>
      <c r="D1341">
        <v>-3284.2919999999999</v>
      </c>
      <c r="E1341" t="s">
        <v>4</v>
      </c>
      <c r="F1341" t="s">
        <v>43</v>
      </c>
      <c r="G1341" t="s">
        <v>8</v>
      </c>
    </row>
    <row r="1342" spans="1:7" x14ac:dyDescent="0.3">
      <c r="A1342" t="s">
        <v>29</v>
      </c>
      <c r="B1342" s="1">
        <v>45961</v>
      </c>
      <c r="C1342">
        <v>242027</v>
      </c>
      <c r="D1342">
        <v>-1256.3510000000001</v>
      </c>
      <c r="E1342" t="s">
        <v>4</v>
      </c>
      <c r="F1342" t="s">
        <v>43</v>
      </c>
      <c r="G1342" t="s">
        <v>8</v>
      </c>
    </row>
    <row r="1343" spans="1:7" x14ac:dyDescent="0.3">
      <c r="A1343" t="s">
        <v>29</v>
      </c>
      <c r="B1343" s="1">
        <v>45961</v>
      </c>
      <c r="C1343">
        <v>242030</v>
      </c>
      <c r="D1343">
        <v>-483.37599999999998</v>
      </c>
      <c r="E1343" t="s">
        <v>4</v>
      </c>
      <c r="F1343" t="s">
        <v>43</v>
      </c>
      <c r="G1343" t="s">
        <v>8</v>
      </c>
    </row>
    <row r="1344" spans="1:7" x14ac:dyDescent="0.3">
      <c r="A1344" t="s">
        <v>29</v>
      </c>
      <c r="B1344" s="1">
        <v>45961</v>
      </c>
      <c r="C1344">
        <v>242039</v>
      </c>
      <c r="D1344">
        <v>-33050.203999999998</v>
      </c>
      <c r="E1344" t="s">
        <v>4</v>
      </c>
      <c r="F1344" t="s">
        <v>43</v>
      </c>
      <c r="G1344" t="s">
        <v>8</v>
      </c>
    </row>
    <row r="1345" spans="1:7" x14ac:dyDescent="0.3">
      <c r="A1345" t="s">
        <v>29</v>
      </c>
      <c r="B1345" s="1">
        <v>45961</v>
      </c>
      <c r="C1345">
        <v>242041</v>
      </c>
      <c r="D1345">
        <v>-293.83999999999997</v>
      </c>
      <c r="E1345" t="s">
        <v>4</v>
      </c>
      <c r="F1345" t="s">
        <v>43</v>
      </c>
      <c r="G1345" t="s">
        <v>8</v>
      </c>
    </row>
    <row r="1346" spans="1:7" x14ac:dyDescent="0.3">
      <c r="A1346" t="s">
        <v>29</v>
      </c>
      <c r="B1346" s="1">
        <v>45961</v>
      </c>
      <c r="C1346">
        <v>243002</v>
      </c>
      <c r="D1346">
        <v>-7236.1319999999996</v>
      </c>
      <c r="E1346" t="s">
        <v>4</v>
      </c>
      <c r="F1346" t="s">
        <v>43</v>
      </c>
      <c r="G1346" t="s">
        <v>8</v>
      </c>
    </row>
    <row r="1347" spans="1:7" x14ac:dyDescent="0.3">
      <c r="A1347" t="s">
        <v>29</v>
      </c>
      <c r="B1347" s="1">
        <v>45961</v>
      </c>
      <c r="C1347">
        <v>243003</v>
      </c>
      <c r="D1347">
        <v>-4638.5659999999998</v>
      </c>
      <c r="E1347" t="s">
        <v>4</v>
      </c>
      <c r="F1347" t="s">
        <v>43</v>
      </c>
      <c r="G1347" t="s">
        <v>8</v>
      </c>
    </row>
    <row r="1348" spans="1:7" x14ac:dyDescent="0.3">
      <c r="A1348" t="s">
        <v>29</v>
      </c>
      <c r="B1348" s="1">
        <v>45961</v>
      </c>
      <c r="C1348">
        <v>243010</v>
      </c>
      <c r="D1348">
        <v>-231.85900000000001</v>
      </c>
      <c r="E1348" t="s">
        <v>4</v>
      </c>
      <c r="F1348" t="s">
        <v>43</v>
      </c>
      <c r="G1348" t="s">
        <v>8</v>
      </c>
    </row>
    <row r="1349" spans="1:7" x14ac:dyDescent="0.3">
      <c r="A1349" t="s">
        <v>29</v>
      </c>
      <c r="B1349" s="1">
        <v>45961</v>
      </c>
      <c r="C1349">
        <v>245002</v>
      </c>
      <c r="D1349">
        <v>-10.227</v>
      </c>
      <c r="E1349" t="s">
        <v>4</v>
      </c>
      <c r="F1349" t="s">
        <v>43</v>
      </c>
      <c r="G1349" t="s">
        <v>8</v>
      </c>
    </row>
    <row r="1350" spans="1:7" x14ac:dyDescent="0.3">
      <c r="A1350" t="s">
        <v>29</v>
      </c>
      <c r="B1350" s="1">
        <v>45961</v>
      </c>
      <c r="C1350">
        <v>245055</v>
      </c>
      <c r="D1350">
        <v>1339.693</v>
      </c>
      <c r="E1350" t="s">
        <v>4</v>
      </c>
      <c r="F1350" t="s">
        <v>43</v>
      </c>
      <c r="G1350" t="s">
        <v>8</v>
      </c>
    </row>
    <row r="1351" spans="1:7" x14ac:dyDescent="0.3">
      <c r="A1351" t="s">
        <v>29</v>
      </c>
      <c r="B1351" s="1">
        <v>45961</v>
      </c>
      <c r="C1351">
        <v>245056</v>
      </c>
      <c r="D1351">
        <v>-914.31700000000001</v>
      </c>
      <c r="E1351" t="s">
        <v>4</v>
      </c>
      <c r="F1351" t="s">
        <v>49</v>
      </c>
      <c r="G1351" t="s">
        <v>8</v>
      </c>
    </row>
    <row r="1352" spans="1:7" x14ac:dyDescent="0.3">
      <c r="A1352" t="s">
        <v>29</v>
      </c>
      <c r="B1352" s="1">
        <v>45961</v>
      </c>
      <c r="C1352">
        <v>245057</v>
      </c>
      <c r="D1352">
        <v>-1539.93</v>
      </c>
      <c r="E1352" t="s">
        <v>4</v>
      </c>
      <c r="F1352" t="s">
        <v>43</v>
      </c>
      <c r="G1352" t="s">
        <v>8</v>
      </c>
    </row>
    <row r="1353" spans="1:7" x14ac:dyDescent="0.3">
      <c r="A1353" t="s">
        <v>29</v>
      </c>
      <c r="B1353" s="1">
        <v>45961</v>
      </c>
      <c r="C1353">
        <v>245058</v>
      </c>
      <c r="D1353">
        <v>-1353.126</v>
      </c>
      <c r="E1353" t="s">
        <v>4</v>
      </c>
      <c r="F1353" t="s">
        <v>43</v>
      </c>
      <c r="G1353" t="s">
        <v>8</v>
      </c>
    </row>
    <row r="1354" spans="1:7" x14ac:dyDescent="0.3">
      <c r="A1354" t="s">
        <v>29</v>
      </c>
      <c r="B1354" s="1">
        <v>45961</v>
      </c>
      <c r="C1354">
        <v>245062</v>
      </c>
      <c r="D1354">
        <v>-8188.4009999999998</v>
      </c>
      <c r="E1354" t="s">
        <v>4</v>
      </c>
      <c r="F1354" t="s">
        <v>43</v>
      </c>
      <c r="G1354" t="s">
        <v>8</v>
      </c>
    </row>
    <row r="1355" spans="1:7" x14ac:dyDescent="0.3">
      <c r="A1355" t="s">
        <v>29</v>
      </c>
      <c r="B1355" s="1">
        <v>45961</v>
      </c>
      <c r="C1355">
        <v>250007</v>
      </c>
      <c r="D1355">
        <v>1502.126</v>
      </c>
      <c r="E1355" t="s">
        <v>4</v>
      </c>
      <c r="F1355" t="s">
        <v>43</v>
      </c>
      <c r="G1355" t="s">
        <v>8</v>
      </c>
    </row>
    <row r="1356" spans="1:7" x14ac:dyDescent="0.3">
      <c r="A1356" t="s">
        <v>29</v>
      </c>
      <c r="B1356" s="1">
        <v>45961</v>
      </c>
      <c r="C1356">
        <v>251002</v>
      </c>
      <c r="D1356">
        <v>-68358.194000000003</v>
      </c>
      <c r="E1356" t="s">
        <v>4</v>
      </c>
      <c r="F1356" t="s">
        <v>45</v>
      </c>
      <c r="G1356" t="s">
        <v>8</v>
      </c>
    </row>
    <row r="1357" spans="1:7" x14ac:dyDescent="0.3">
      <c r="A1357" t="s">
        <v>29</v>
      </c>
      <c r="B1357" s="1">
        <v>45961</v>
      </c>
      <c r="C1357">
        <v>251003</v>
      </c>
      <c r="D1357">
        <v>-1807.9870000000001</v>
      </c>
      <c r="E1357" t="s">
        <v>4</v>
      </c>
      <c r="F1357" t="s">
        <v>45</v>
      </c>
      <c r="G1357" t="s">
        <v>8</v>
      </c>
    </row>
    <row r="1358" spans="1:7" x14ac:dyDescent="0.3">
      <c r="A1358" t="s">
        <v>29</v>
      </c>
      <c r="B1358" s="1">
        <v>45961</v>
      </c>
      <c r="C1358">
        <v>257005</v>
      </c>
      <c r="D1358">
        <v>-5548.6570000000002</v>
      </c>
      <c r="E1358" t="s">
        <v>4</v>
      </c>
      <c r="F1358" t="s">
        <v>45</v>
      </c>
      <c r="G1358" t="s">
        <v>8</v>
      </c>
    </row>
    <row r="1359" spans="1:7" x14ac:dyDescent="0.3">
      <c r="A1359" t="s">
        <v>29</v>
      </c>
      <c r="B1359" s="1">
        <v>45961</v>
      </c>
      <c r="C1359">
        <v>257014</v>
      </c>
      <c r="D1359">
        <v>-18534.196</v>
      </c>
      <c r="E1359" t="s">
        <v>4</v>
      </c>
      <c r="F1359" t="s">
        <v>45</v>
      </c>
      <c r="G1359" t="s">
        <v>8</v>
      </c>
    </row>
    <row r="1360" spans="1:7" x14ac:dyDescent="0.3">
      <c r="A1360" t="s">
        <v>29</v>
      </c>
      <c r="B1360" s="1">
        <v>45961</v>
      </c>
      <c r="C1360">
        <v>257030</v>
      </c>
      <c r="D1360">
        <v>-20630.349999999999</v>
      </c>
      <c r="E1360" t="s">
        <v>4</v>
      </c>
      <c r="F1360" t="s">
        <v>45</v>
      </c>
      <c r="G1360" t="s">
        <v>8</v>
      </c>
    </row>
    <row r="1361" spans="1:7" x14ac:dyDescent="0.3">
      <c r="A1361" t="s">
        <v>29</v>
      </c>
      <c r="B1361" s="1">
        <v>45961</v>
      </c>
      <c r="C1361">
        <v>260004</v>
      </c>
      <c r="D1361">
        <v>-37890.455999999998</v>
      </c>
      <c r="E1361" t="s">
        <v>4</v>
      </c>
      <c r="F1361" t="s">
        <v>45</v>
      </c>
      <c r="G1361" t="s">
        <v>8</v>
      </c>
    </row>
    <row r="1362" spans="1:7" x14ac:dyDescent="0.3">
      <c r="A1362" t="s">
        <v>29</v>
      </c>
      <c r="B1362" s="1">
        <v>45961</v>
      </c>
      <c r="C1362">
        <v>270025</v>
      </c>
      <c r="D1362">
        <v>-52970.533000000003</v>
      </c>
      <c r="E1362" t="s">
        <v>4</v>
      </c>
      <c r="F1362" t="s">
        <v>58</v>
      </c>
      <c r="G1362" t="s">
        <v>8</v>
      </c>
    </row>
    <row r="1363" spans="1:7" x14ac:dyDescent="0.3">
      <c r="A1363" t="s">
        <v>29</v>
      </c>
      <c r="B1363" s="1">
        <v>45961</v>
      </c>
      <c r="C1363">
        <v>270027</v>
      </c>
      <c r="D1363">
        <v>-3375.8879999999999</v>
      </c>
      <c r="E1363" t="s">
        <v>4</v>
      </c>
      <c r="F1363" t="s">
        <v>58</v>
      </c>
      <c r="G1363" t="s">
        <v>8</v>
      </c>
    </row>
    <row r="1364" spans="1:7" x14ac:dyDescent="0.3">
      <c r="A1364" t="s">
        <v>29</v>
      </c>
      <c r="B1364" s="1">
        <v>45961</v>
      </c>
      <c r="C1364">
        <v>320002</v>
      </c>
      <c r="D1364">
        <v>323691.95600000001</v>
      </c>
      <c r="E1364" t="s">
        <v>4</v>
      </c>
      <c r="F1364" t="s">
        <v>46</v>
      </c>
      <c r="G1364" t="s">
        <v>8</v>
      </c>
    </row>
    <row r="1365" spans="1:7" x14ac:dyDescent="0.3">
      <c r="A1365" t="s">
        <v>29</v>
      </c>
      <c r="B1365" s="1">
        <v>45961</v>
      </c>
      <c r="C1365">
        <v>320003</v>
      </c>
      <c r="D1365">
        <v>-2671.9960000000001</v>
      </c>
      <c r="E1365" t="s">
        <v>4</v>
      </c>
      <c r="F1365" t="s">
        <v>46</v>
      </c>
      <c r="G1365" t="s">
        <v>8</v>
      </c>
    </row>
    <row r="1366" spans="1:7" x14ac:dyDescent="0.3">
      <c r="A1366" t="s">
        <v>29</v>
      </c>
      <c r="B1366" s="1">
        <v>45961</v>
      </c>
      <c r="C1366">
        <v>320004</v>
      </c>
      <c r="D1366">
        <v>6079.1049999999996</v>
      </c>
      <c r="E1366" t="s">
        <v>4</v>
      </c>
      <c r="F1366" t="s">
        <v>46</v>
      </c>
      <c r="G1366" t="s">
        <v>8</v>
      </c>
    </row>
    <row r="1367" spans="1:7" x14ac:dyDescent="0.3">
      <c r="A1367" t="s">
        <v>29</v>
      </c>
      <c r="B1367" s="1">
        <v>45961</v>
      </c>
      <c r="C1367">
        <v>321002</v>
      </c>
      <c r="D1367">
        <v>28419.49</v>
      </c>
      <c r="E1367" t="s">
        <v>4</v>
      </c>
      <c r="F1367" t="s">
        <v>46</v>
      </c>
      <c r="G1367" t="s">
        <v>8</v>
      </c>
    </row>
    <row r="1368" spans="1:7" x14ac:dyDescent="0.3">
      <c r="A1368" t="s">
        <v>29</v>
      </c>
      <c r="B1368" s="1">
        <v>45961</v>
      </c>
      <c r="C1368">
        <v>321004</v>
      </c>
      <c r="D1368">
        <v>6668.5410000000002</v>
      </c>
      <c r="E1368" t="s">
        <v>4</v>
      </c>
      <c r="F1368" t="s">
        <v>46</v>
      </c>
      <c r="G1368" t="s">
        <v>8</v>
      </c>
    </row>
    <row r="1369" spans="1:7" x14ac:dyDescent="0.3">
      <c r="A1369" t="s">
        <v>29</v>
      </c>
      <c r="B1369" s="1">
        <v>45961</v>
      </c>
      <c r="C1369">
        <v>321025</v>
      </c>
      <c r="D1369">
        <v>10205.984</v>
      </c>
      <c r="E1369" t="s">
        <v>4</v>
      </c>
      <c r="F1369" t="s">
        <v>46</v>
      </c>
      <c r="G1369" t="s">
        <v>8</v>
      </c>
    </row>
    <row r="1370" spans="1:7" x14ac:dyDescent="0.3">
      <c r="A1370" t="s">
        <v>29</v>
      </c>
      <c r="B1370" s="1">
        <v>45961</v>
      </c>
      <c r="C1370">
        <v>321042</v>
      </c>
      <c r="D1370">
        <v>-9.3670000000000009</v>
      </c>
      <c r="E1370" t="s">
        <v>4</v>
      </c>
      <c r="F1370" t="s">
        <v>46</v>
      </c>
      <c r="G1370" t="s">
        <v>8</v>
      </c>
    </row>
    <row r="1371" spans="1:7" x14ac:dyDescent="0.3">
      <c r="A1371" t="s">
        <v>29</v>
      </c>
      <c r="B1371" s="1">
        <v>45961</v>
      </c>
      <c r="C1371">
        <v>330131</v>
      </c>
      <c r="D1371">
        <v>44590.453000000001</v>
      </c>
      <c r="E1371" t="s">
        <v>4</v>
      </c>
      <c r="F1371" t="s">
        <v>43</v>
      </c>
      <c r="G1371" t="s">
        <v>8</v>
      </c>
    </row>
    <row r="1372" spans="1:7" x14ac:dyDescent="0.3">
      <c r="A1372" t="s">
        <v>29</v>
      </c>
      <c r="B1372" s="1">
        <v>45961</v>
      </c>
      <c r="C1372">
        <v>340243</v>
      </c>
      <c r="D1372">
        <v>165806.08100000001</v>
      </c>
      <c r="E1372" t="s">
        <v>4</v>
      </c>
      <c r="F1372" t="s">
        <v>47</v>
      </c>
      <c r="G1372" t="s">
        <v>8</v>
      </c>
    </row>
    <row r="1373" spans="1:7" x14ac:dyDescent="0.3">
      <c r="A1373" t="s">
        <v>29</v>
      </c>
      <c r="B1373" s="1">
        <v>45961</v>
      </c>
      <c r="C1373">
        <v>340244</v>
      </c>
      <c r="D1373">
        <v>1592771.2339999999</v>
      </c>
      <c r="E1373" t="s">
        <v>4</v>
      </c>
      <c r="F1373" t="s">
        <v>47</v>
      </c>
      <c r="G1373" t="s">
        <v>8</v>
      </c>
    </row>
    <row r="1374" spans="1:7" x14ac:dyDescent="0.3">
      <c r="A1374" t="s">
        <v>29</v>
      </c>
      <c r="B1374" s="1">
        <v>45961</v>
      </c>
      <c r="C1374">
        <v>340245</v>
      </c>
      <c r="D1374">
        <v>-1658274.628</v>
      </c>
      <c r="E1374" t="s">
        <v>4</v>
      </c>
      <c r="F1374" t="s">
        <v>47</v>
      </c>
      <c r="G1374" t="s">
        <v>8</v>
      </c>
    </row>
    <row r="1375" spans="1:7" x14ac:dyDescent="0.3">
      <c r="A1375" t="s">
        <v>29</v>
      </c>
      <c r="B1375" s="1">
        <v>45961</v>
      </c>
      <c r="C1375">
        <v>340246</v>
      </c>
      <c r="D1375">
        <v>266216.58</v>
      </c>
      <c r="E1375" t="s">
        <v>4</v>
      </c>
      <c r="F1375" t="s">
        <v>47</v>
      </c>
      <c r="G1375" t="s">
        <v>8</v>
      </c>
    </row>
    <row r="1376" spans="1:7" x14ac:dyDescent="0.3">
      <c r="A1376" t="s">
        <v>29</v>
      </c>
      <c r="B1376" s="1">
        <v>45961</v>
      </c>
      <c r="C1376">
        <v>340247</v>
      </c>
      <c r="D1376">
        <v>3155188.4389999998</v>
      </c>
      <c r="E1376" t="s">
        <v>4</v>
      </c>
      <c r="F1376" t="s">
        <v>47</v>
      </c>
      <c r="G1376" t="s">
        <v>8</v>
      </c>
    </row>
    <row r="1377" spans="1:7" x14ac:dyDescent="0.3">
      <c r="A1377" t="s">
        <v>29</v>
      </c>
      <c r="B1377" s="1">
        <v>45961</v>
      </c>
      <c r="C1377">
        <v>340248</v>
      </c>
      <c r="D1377">
        <v>-3170422.3650000002</v>
      </c>
      <c r="E1377" t="s">
        <v>4</v>
      </c>
      <c r="F1377" t="s">
        <v>47</v>
      </c>
      <c r="G1377" t="s">
        <v>8</v>
      </c>
    </row>
    <row r="1378" spans="1:7" x14ac:dyDescent="0.3">
      <c r="A1378" t="s">
        <v>29</v>
      </c>
      <c r="B1378" s="1">
        <v>45961</v>
      </c>
      <c r="C1378">
        <v>340249</v>
      </c>
      <c r="D1378">
        <v>2625.5189999999998</v>
      </c>
      <c r="E1378" t="s">
        <v>4</v>
      </c>
      <c r="F1378" t="s">
        <v>47</v>
      </c>
      <c r="G1378" t="s">
        <v>8</v>
      </c>
    </row>
    <row r="1379" spans="1:7" x14ac:dyDescent="0.3">
      <c r="A1379" t="s">
        <v>29</v>
      </c>
      <c r="B1379" s="1">
        <v>45961</v>
      </c>
      <c r="C1379">
        <v>340250</v>
      </c>
      <c r="D1379">
        <v>1320373.585</v>
      </c>
      <c r="E1379" t="s">
        <v>4</v>
      </c>
      <c r="F1379" t="s">
        <v>47</v>
      </c>
      <c r="G1379" t="s">
        <v>8</v>
      </c>
    </row>
    <row r="1380" spans="1:7" x14ac:dyDescent="0.3">
      <c r="A1380" t="s">
        <v>29</v>
      </c>
      <c r="B1380" s="1">
        <v>45961</v>
      </c>
      <c r="C1380">
        <v>340251</v>
      </c>
      <c r="D1380">
        <v>-1047273.686</v>
      </c>
      <c r="E1380" t="s">
        <v>4</v>
      </c>
      <c r="F1380" t="s">
        <v>47</v>
      </c>
      <c r="G1380" t="s">
        <v>8</v>
      </c>
    </row>
    <row r="1381" spans="1:7" x14ac:dyDescent="0.3">
      <c r="A1381" t="s">
        <v>29</v>
      </c>
      <c r="B1381" s="1">
        <v>45961</v>
      </c>
      <c r="C1381">
        <v>350002</v>
      </c>
      <c r="D1381">
        <v>5296.0929999999998</v>
      </c>
      <c r="E1381" t="s">
        <v>4</v>
      </c>
      <c r="F1381" t="s">
        <v>49</v>
      </c>
      <c r="G1381" t="s">
        <v>8</v>
      </c>
    </row>
    <row r="1382" spans="1:7" x14ac:dyDescent="0.3">
      <c r="A1382" t="s">
        <v>29</v>
      </c>
      <c r="B1382" s="1">
        <v>45961</v>
      </c>
      <c r="C1382">
        <v>350003</v>
      </c>
      <c r="D1382">
        <v>-3629.0360000000001</v>
      </c>
      <c r="E1382" t="s">
        <v>4</v>
      </c>
      <c r="F1382" t="s">
        <v>49</v>
      </c>
      <c r="G1382" t="s">
        <v>8</v>
      </c>
    </row>
    <row r="1383" spans="1:7" x14ac:dyDescent="0.3">
      <c r="A1383" t="s">
        <v>29</v>
      </c>
      <c r="B1383" s="1">
        <v>45961</v>
      </c>
      <c r="C1383">
        <v>350034</v>
      </c>
      <c r="D1383">
        <v>914.31700000000001</v>
      </c>
      <c r="E1383" t="s">
        <v>4</v>
      </c>
      <c r="F1383" t="s">
        <v>49</v>
      </c>
      <c r="G1383" t="s">
        <v>8</v>
      </c>
    </row>
    <row r="1384" spans="1:7" x14ac:dyDescent="0.3">
      <c r="A1384" t="s">
        <v>29</v>
      </c>
      <c r="B1384" s="1">
        <v>45961</v>
      </c>
      <c r="C1384">
        <v>354015</v>
      </c>
      <c r="D1384">
        <v>24556.407999999999</v>
      </c>
      <c r="E1384" t="s">
        <v>4</v>
      </c>
      <c r="F1384" t="s">
        <v>46</v>
      </c>
      <c r="G1384" t="s">
        <v>8</v>
      </c>
    </row>
    <row r="1385" spans="1:7" x14ac:dyDescent="0.3">
      <c r="A1385" t="s">
        <v>29</v>
      </c>
      <c r="B1385" s="1">
        <v>45961</v>
      </c>
      <c r="C1385">
        <v>355016</v>
      </c>
      <c r="D1385">
        <v>138.41499999999999</v>
      </c>
      <c r="E1385" t="s">
        <v>4</v>
      </c>
      <c r="F1385" t="s">
        <v>49</v>
      </c>
      <c r="G1385" t="s">
        <v>8</v>
      </c>
    </row>
    <row r="1386" spans="1:7" x14ac:dyDescent="0.3">
      <c r="A1386" t="s">
        <v>29</v>
      </c>
      <c r="B1386" s="1">
        <v>45961</v>
      </c>
      <c r="C1386">
        <v>355017</v>
      </c>
      <c r="D1386">
        <v>12613.226000000001</v>
      </c>
      <c r="E1386" t="s">
        <v>4</v>
      </c>
      <c r="F1386" t="s">
        <v>49</v>
      </c>
      <c r="G1386" t="s">
        <v>8</v>
      </c>
    </row>
    <row r="1387" spans="1:7" x14ac:dyDescent="0.3">
      <c r="A1387" t="s">
        <v>29</v>
      </c>
      <c r="B1387" s="1">
        <v>45961</v>
      </c>
      <c r="C1387">
        <v>360028</v>
      </c>
      <c r="D1387">
        <v>46159.194000000003</v>
      </c>
      <c r="E1387" t="s">
        <v>4</v>
      </c>
      <c r="F1387" t="s">
        <v>58</v>
      </c>
      <c r="G1387" t="s">
        <v>8</v>
      </c>
    </row>
    <row r="1388" spans="1:7" x14ac:dyDescent="0.3">
      <c r="A1388" t="s">
        <v>29</v>
      </c>
      <c r="B1388" s="1">
        <v>45961</v>
      </c>
      <c r="C1388">
        <v>360030</v>
      </c>
      <c r="D1388">
        <v>18687.381000000001</v>
      </c>
      <c r="E1388" t="s">
        <v>4</v>
      </c>
      <c r="F1388" t="s">
        <v>58</v>
      </c>
      <c r="G1388" t="s">
        <v>8</v>
      </c>
    </row>
    <row r="1389" spans="1:7" x14ac:dyDescent="0.3">
      <c r="A1389" t="s">
        <v>29</v>
      </c>
      <c r="B1389" s="1">
        <v>45961</v>
      </c>
      <c r="C1389">
        <v>372004</v>
      </c>
      <c r="D1389">
        <v>1321.7180000000001</v>
      </c>
      <c r="E1389" t="s">
        <v>4</v>
      </c>
      <c r="F1389" t="s">
        <v>45</v>
      </c>
      <c r="G1389" t="s">
        <v>8</v>
      </c>
    </row>
    <row r="1390" spans="1:7" x14ac:dyDescent="0.3">
      <c r="A1390" t="s">
        <v>29</v>
      </c>
      <c r="B1390" s="1">
        <v>45961</v>
      </c>
      <c r="C1390">
        <v>400002</v>
      </c>
      <c r="D1390">
        <v>-264501.65399999998</v>
      </c>
      <c r="E1390" t="s">
        <v>6</v>
      </c>
      <c r="F1390" t="s">
        <v>50</v>
      </c>
      <c r="G1390" t="s">
        <v>8</v>
      </c>
    </row>
    <row r="1391" spans="1:7" x14ac:dyDescent="0.3">
      <c r="A1391" t="s">
        <v>29</v>
      </c>
      <c r="B1391" s="1">
        <v>45961</v>
      </c>
      <c r="C1391">
        <v>400004</v>
      </c>
      <c r="D1391">
        <v>-602420.49600000004</v>
      </c>
      <c r="E1391" t="s">
        <v>6</v>
      </c>
      <c r="F1391" t="s">
        <v>50</v>
      </c>
      <c r="G1391" t="s">
        <v>8</v>
      </c>
    </row>
    <row r="1392" spans="1:7" x14ac:dyDescent="0.3">
      <c r="A1392" t="s">
        <v>29</v>
      </c>
      <c r="B1392" s="1">
        <v>45961</v>
      </c>
      <c r="C1392">
        <v>410002</v>
      </c>
      <c r="D1392">
        <v>-28122.146000000001</v>
      </c>
      <c r="E1392" t="s">
        <v>6</v>
      </c>
      <c r="F1392" t="s">
        <v>51</v>
      </c>
      <c r="G1392" t="s">
        <v>8</v>
      </c>
    </row>
    <row r="1393" spans="1:7" x14ac:dyDescent="0.3">
      <c r="A1393" t="s">
        <v>29</v>
      </c>
      <c r="B1393" s="1">
        <v>45961</v>
      </c>
      <c r="C1393">
        <v>410005</v>
      </c>
      <c r="D1393">
        <v>-18365.77</v>
      </c>
      <c r="E1393" t="s">
        <v>6</v>
      </c>
      <c r="F1393" t="s">
        <v>51</v>
      </c>
      <c r="G1393" t="s">
        <v>8</v>
      </c>
    </row>
    <row r="1394" spans="1:7" x14ac:dyDescent="0.3">
      <c r="A1394" t="s">
        <v>29</v>
      </c>
      <c r="B1394" s="1">
        <v>45961</v>
      </c>
      <c r="C1394">
        <v>410032</v>
      </c>
      <c r="D1394">
        <v>-3827.2730000000001</v>
      </c>
      <c r="E1394" t="s">
        <v>6</v>
      </c>
      <c r="F1394" t="s">
        <v>51</v>
      </c>
      <c r="G1394" t="s">
        <v>8</v>
      </c>
    </row>
    <row r="1395" spans="1:7" x14ac:dyDescent="0.3">
      <c r="A1395" t="s">
        <v>29</v>
      </c>
      <c r="B1395" s="1">
        <v>45961</v>
      </c>
      <c r="C1395">
        <v>421002</v>
      </c>
      <c r="D1395">
        <v>-11563.396000000001</v>
      </c>
      <c r="E1395" t="s">
        <v>6</v>
      </c>
      <c r="F1395" t="s">
        <v>52</v>
      </c>
      <c r="G1395" t="s">
        <v>8</v>
      </c>
    </row>
    <row r="1396" spans="1:7" x14ac:dyDescent="0.3">
      <c r="A1396" t="s">
        <v>29</v>
      </c>
      <c r="B1396" s="1">
        <v>45961</v>
      </c>
      <c r="C1396">
        <v>421003</v>
      </c>
      <c r="D1396">
        <v>415.952</v>
      </c>
      <c r="E1396" t="s">
        <v>6</v>
      </c>
      <c r="F1396" t="s">
        <v>52</v>
      </c>
      <c r="G1396" t="s">
        <v>8</v>
      </c>
    </row>
    <row r="1397" spans="1:7" x14ac:dyDescent="0.3">
      <c r="A1397" t="s">
        <v>29</v>
      </c>
      <c r="B1397" s="1">
        <v>45961</v>
      </c>
      <c r="C1397">
        <v>421004</v>
      </c>
      <c r="D1397">
        <v>-16816.93</v>
      </c>
      <c r="E1397" t="s">
        <v>6</v>
      </c>
      <c r="F1397" t="s">
        <v>52</v>
      </c>
      <c r="G1397" t="s">
        <v>8</v>
      </c>
    </row>
    <row r="1398" spans="1:7" x14ac:dyDescent="0.3">
      <c r="A1398" t="s">
        <v>29</v>
      </c>
      <c r="B1398" s="1">
        <v>45961</v>
      </c>
      <c r="C1398">
        <v>421007</v>
      </c>
      <c r="D1398">
        <v>-8331.1839999999993</v>
      </c>
      <c r="E1398" t="s">
        <v>6</v>
      </c>
      <c r="F1398" t="s">
        <v>52</v>
      </c>
      <c r="G1398" t="s">
        <v>8</v>
      </c>
    </row>
    <row r="1399" spans="1:7" x14ac:dyDescent="0.3">
      <c r="A1399" t="s">
        <v>29</v>
      </c>
      <c r="B1399" s="1">
        <v>45961</v>
      </c>
      <c r="C1399">
        <v>510002</v>
      </c>
      <c r="D1399">
        <v>218535.394</v>
      </c>
      <c r="E1399" t="s">
        <v>6</v>
      </c>
      <c r="F1399" t="s">
        <v>53</v>
      </c>
      <c r="G1399" t="s">
        <v>8</v>
      </c>
    </row>
    <row r="1400" spans="1:7" x14ac:dyDescent="0.3">
      <c r="A1400" t="s">
        <v>29</v>
      </c>
      <c r="B1400" s="1">
        <v>45961</v>
      </c>
      <c r="C1400">
        <v>510005</v>
      </c>
      <c r="D1400">
        <v>4177.21</v>
      </c>
      <c r="E1400" t="s">
        <v>6</v>
      </c>
      <c r="F1400" t="s">
        <v>53</v>
      </c>
      <c r="G1400" t="s">
        <v>8</v>
      </c>
    </row>
    <row r="1401" spans="1:7" x14ac:dyDescent="0.3">
      <c r="A1401" t="s">
        <v>29</v>
      </c>
      <c r="B1401" s="1">
        <v>45961</v>
      </c>
      <c r="C1401">
        <v>510007</v>
      </c>
      <c r="D1401">
        <v>7362.7340000000004</v>
      </c>
      <c r="E1401" t="s">
        <v>6</v>
      </c>
      <c r="F1401" t="s">
        <v>53</v>
      </c>
      <c r="G1401" t="s">
        <v>8</v>
      </c>
    </row>
    <row r="1402" spans="1:7" x14ac:dyDescent="0.3">
      <c r="A1402" t="s">
        <v>29</v>
      </c>
      <c r="B1402" s="1">
        <v>45961</v>
      </c>
      <c r="C1402">
        <v>510015</v>
      </c>
      <c r="D1402">
        <v>7336.9309999999996</v>
      </c>
      <c r="E1402" t="s">
        <v>6</v>
      </c>
      <c r="F1402" t="s">
        <v>53</v>
      </c>
      <c r="G1402" t="s">
        <v>8</v>
      </c>
    </row>
    <row r="1403" spans="1:7" x14ac:dyDescent="0.3">
      <c r="A1403" t="s">
        <v>29</v>
      </c>
      <c r="B1403" s="1">
        <v>45961</v>
      </c>
      <c r="C1403">
        <v>510018</v>
      </c>
      <c r="D1403">
        <v>7051.5420000000004</v>
      </c>
      <c r="E1403" t="s">
        <v>6</v>
      </c>
      <c r="F1403" t="s">
        <v>53</v>
      </c>
      <c r="G1403" t="s">
        <v>8</v>
      </c>
    </row>
    <row r="1404" spans="1:7" x14ac:dyDescent="0.3">
      <c r="A1404" t="s">
        <v>29</v>
      </c>
      <c r="B1404" s="1">
        <v>45961</v>
      </c>
      <c r="C1404">
        <v>510062</v>
      </c>
      <c r="D1404">
        <v>-1867.452</v>
      </c>
      <c r="E1404" t="s">
        <v>6</v>
      </c>
      <c r="F1404" t="s">
        <v>53</v>
      </c>
      <c r="G1404" t="s">
        <v>8</v>
      </c>
    </row>
    <row r="1405" spans="1:7" x14ac:dyDescent="0.3">
      <c r="A1405" t="s">
        <v>29</v>
      </c>
      <c r="B1405" s="1">
        <v>45961</v>
      </c>
      <c r="C1405">
        <v>510065</v>
      </c>
      <c r="D1405">
        <v>1996.1980000000001</v>
      </c>
      <c r="E1405" t="s">
        <v>6</v>
      </c>
      <c r="F1405" t="s">
        <v>53</v>
      </c>
      <c r="G1405" t="s">
        <v>8</v>
      </c>
    </row>
    <row r="1406" spans="1:7" x14ac:dyDescent="0.3">
      <c r="A1406" t="s">
        <v>29</v>
      </c>
      <c r="B1406" s="1">
        <v>45961</v>
      </c>
      <c r="C1406">
        <v>520021</v>
      </c>
      <c r="D1406">
        <v>141.44</v>
      </c>
      <c r="E1406" t="s">
        <v>6</v>
      </c>
      <c r="F1406" t="s">
        <v>60</v>
      </c>
      <c r="G1406" t="s">
        <v>8</v>
      </c>
    </row>
    <row r="1407" spans="1:7" x14ac:dyDescent="0.3">
      <c r="A1407" t="s">
        <v>29</v>
      </c>
      <c r="B1407" s="1">
        <v>45961</v>
      </c>
      <c r="C1407">
        <v>541004</v>
      </c>
      <c r="D1407">
        <v>2101.5039999999999</v>
      </c>
      <c r="E1407" t="s">
        <v>6</v>
      </c>
      <c r="F1407" t="s">
        <v>61</v>
      </c>
      <c r="G1407" t="s">
        <v>8</v>
      </c>
    </row>
    <row r="1408" spans="1:7" x14ac:dyDescent="0.3">
      <c r="A1408" t="s">
        <v>29</v>
      </c>
      <c r="B1408" s="1">
        <v>45961</v>
      </c>
      <c r="C1408">
        <v>541009</v>
      </c>
      <c r="D1408">
        <v>32.009</v>
      </c>
      <c r="E1408" t="s">
        <v>6</v>
      </c>
      <c r="F1408" t="s">
        <v>61</v>
      </c>
      <c r="G1408" t="s">
        <v>8</v>
      </c>
    </row>
    <row r="1409" spans="1:7" x14ac:dyDescent="0.3">
      <c r="A1409" t="s">
        <v>29</v>
      </c>
      <c r="B1409" s="1">
        <v>45961</v>
      </c>
      <c r="C1409">
        <v>541010</v>
      </c>
      <c r="D1409">
        <v>2049.1149999999998</v>
      </c>
      <c r="E1409" t="s">
        <v>6</v>
      </c>
      <c r="F1409" t="s">
        <v>61</v>
      </c>
      <c r="G1409" t="s">
        <v>8</v>
      </c>
    </row>
    <row r="1410" spans="1:7" x14ac:dyDescent="0.3">
      <c r="A1410" t="s">
        <v>29</v>
      </c>
      <c r="B1410" s="1">
        <v>45961</v>
      </c>
      <c r="C1410">
        <v>541013</v>
      </c>
      <c r="D1410">
        <v>305.52499999999998</v>
      </c>
      <c r="E1410" t="s">
        <v>6</v>
      </c>
      <c r="F1410" t="s">
        <v>61</v>
      </c>
      <c r="G1410" t="s">
        <v>8</v>
      </c>
    </row>
    <row r="1411" spans="1:7" x14ac:dyDescent="0.3">
      <c r="A1411" t="s">
        <v>29</v>
      </c>
      <c r="B1411" s="1">
        <v>45961</v>
      </c>
      <c r="C1411">
        <v>546002</v>
      </c>
      <c r="D1411">
        <v>530130.03500000003</v>
      </c>
      <c r="E1411" t="s">
        <v>6</v>
      </c>
      <c r="F1411" t="s">
        <v>51</v>
      </c>
      <c r="G1411" t="s">
        <v>8</v>
      </c>
    </row>
    <row r="1412" spans="1:7" x14ac:dyDescent="0.3">
      <c r="A1412" t="s">
        <v>29</v>
      </c>
      <c r="B1412" s="1">
        <v>45961</v>
      </c>
      <c r="C1412">
        <v>546005</v>
      </c>
      <c r="D1412">
        <v>-3478.9839999999999</v>
      </c>
      <c r="E1412" t="s">
        <v>6</v>
      </c>
      <c r="F1412" t="s">
        <v>51</v>
      </c>
      <c r="G1412" t="s">
        <v>8</v>
      </c>
    </row>
    <row r="1413" spans="1:7" x14ac:dyDescent="0.3">
      <c r="A1413" t="s">
        <v>29</v>
      </c>
      <c r="B1413" s="1">
        <v>45961</v>
      </c>
      <c r="C1413">
        <v>546015</v>
      </c>
      <c r="D1413">
        <v>287.24099999999999</v>
      </c>
      <c r="E1413" t="s">
        <v>6</v>
      </c>
      <c r="F1413" t="s">
        <v>51</v>
      </c>
      <c r="G1413" t="s">
        <v>8</v>
      </c>
    </row>
    <row r="1414" spans="1:7" x14ac:dyDescent="0.3">
      <c r="A1414" t="s">
        <v>29</v>
      </c>
      <c r="B1414" s="1">
        <v>45961</v>
      </c>
      <c r="C1414">
        <v>546016</v>
      </c>
      <c r="D1414">
        <v>90.998000000000005</v>
      </c>
      <c r="E1414" t="s">
        <v>6</v>
      </c>
      <c r="F1414" t="s">
        <v>51</v>
      </c>
      <c r="G1414" t="s">
        <v>8</v>
      </c>
    </row>
    <row r="1415" spans="1:7" x14ac:dyDescent="0.3">
      <c r="A1415" t="s">
        <v>29</v>
      </c>
      <c r="B1415" s="1">
        <v>45961</v>
      </c>
      <c r="C1415">
        <v>546024</v>
      </c>
      <c r="D1415">
        <v>6508.3050000000003</v>
      </c>
      <c r="E1415" t="s">
        <v>6</v>
      </c>
      <c r="F1415" t="s">
        <v>51</v>
      </c>
      <c r="G1415" t="s">
        <v>8</v>
      </c>
    </row>
    <row r="1416" spans="1:7" x14ac:dyDescent="0.3">
      <c r="A1416" t="s">
        <v>29</v>
      </c>
      <c r="B1416" s="1">
        <v>45961</v>
      </c>
      <c r="C1416">
        <v>546035</v>
      </c>
      <c r="D1416">
        <v>2152.6120000000001</v>
      </c>
      <c r="E1416" t="s">
        <v>6</v>
      </c>
      <c r="F1416" t="s">
        <v>51</v>
      </c>
      <c r="G1416" t="s">
        <v>8</v>
      </c>
    </row>
    <row r="1417" spans="1:7" x14ac:dyDescent="0.3">
      <c r="A1417" t="s">
        <v>29</v>
      </c>
      <c r="B1417" s="1">
        <v>45961</v>
      </c>
      <c r="C1417">
        <v>546040</v>
      </c>
      <c r="D1417">
        <v>773.274</v>
      </c>
      <c r="E1417" t="s">
        <v>6</v>
      </c>
      <c r="F1417" t="s">
        <v>51</v>
      </c>
      <c r="G1417" t="s">
        <v>8</v>
      </c>
    </row>
    <row r="1418" spans="1:7" x14ac:dyDescent="0.3">
      <c r="A1418" t="s">
        <v>29</v>
      </c>
      <c r="B1418" s="1">
        <v>45961</v>
      </c>
      <c r="C1418">
        <v>546045</v>
      </c>
      <c r="D1418">
        <v>1224.268</v>
      </c>
      <c r="E1418" t="s">
        <v>6</v>
      </c>
      <c r="F1418" t="s">
        <v>51</v>
      </c>
      <c r="G1418" t="s">
        <v>8</v>
      </c>
    </row>
    <row r="1419" spans="1:7" x14ac:dyDescent="0.3">
      <c r="A1419" t="s">
        <v>29</v>
      </c>
      <c r="B1419" s="1">
        <v>45961</v>
      </c>
      <c r="C1419">
        <v>547002</v>
      </c>
      <c r="D1419">
        <v>25587.84</v>
      </c>
      <c r="E1419" t="s">
        <v>6</v>
      </c>
      <c r="F1419" t="s">
        <v>54</v>
      </c>
      <c r="G1419" t="s">
        <v>8</v>
      </c>
    </row>
    <row r="1420" spans="1:7" x14ac:dyDescent="0.3">
      <c r="A1420" t="s">
        <v>29</v>
      </c>
      <c r="B1420" s="1">
        <v>45961</v>
      </c>
      <c r="C1420">
        <v>550002</v>
      </c>
      <c r="D1420">
        <v>21217.51</v>
      </c>
      <c r="E1420" t="s">
        <v>6</v>
      </c>
      <c r="F1420" t="s">
        <v>62</v>
      </c>
      <c r="G1420" t="s">
        <v>8</v>
      </c>
    </row>
    <row r="1421" spans="1:7" x14ac:dyDescent="0.3">
      <c r="A1421" t="s">
        <v>29</v>
      </c>
      <c r="B1421" s="1">
        <v>45961</v>
      </c>
      <c r="C1421">
        <v>550003</v>
      </c>
      <c r="D1421">
        <v>18396.867999999999</v>
      </c>
      <c r="E1421" t="s">
        <v>6</v>
      </c>
      <c r="F1421" t="s">
        <v>62</v>
      </c>
      <c r="G1421" t="s">
        <v>8</v>
      </c>
    </row>
    <row r="1422" spans="1:7" x14ac:dyDescent="0.3">
      <c r="A1422" t="s">
        <v>29</v>
      </c>
      <c r="B1422" s="1">
        <v>45961</v>
      </c>
      <c r="C1422">
        <v>555508</v>
      </c>
      <c r="D1422">
        <v>1902.5260000000001</v>
      </c>
      <c r="E1422" t="s">
        <v>6</v>
      </c>
      <c r="F1422" t="s">
        <v>55</v>
      </c>
      <c r="G1422" t="s">
        <v>8</v>
      </c>
    </row>
    <row r="1423" spans="1:7" x14ac:dyDescent="0.3">
      <c r="A1423" t="s">
        <v>29</v>
      </c>
      <c r="B1423" s="1">
        <v>45961</v>
      </c>
      <c r="C1423">
        <v>556002</v>
      </c>
      <c r="D1423">
        <v>278.803</v>
      </c>
      <c r="E1423" t="s">
        <v>6</v>
      </c>
      <c r="F1423" t="s">
        <v>60</v>
      </c>
      <c r="G1423" t="s">
        <v>8</v>
      </c>
    </row>
    <row r="1424" spans="1:7" x14ac:dyDescent="0.3">
      <c r="A1424" t="s">
        <v>29</v>
      </c>
      <c r="B1424" s="1">
        <v>45961</v>
      </c>
      <c r="C1424">
        <v>557002</v>
      </c>
      <c r="D1424">
        <v>8740.9269999999997</v>
      </c>
      <c r="E1424" t="s">
        <v>6</v>
      </c>
      <c r="F1424" t="s">
        <v>56</v>
      </c>
      <c r="G1424" t="s">
        <v>8</v>
      </c>
    </row>
    <row r="1425" spans="1:7" x14ac:dyDescent="0.3">
      <c r="A1425" t="s">
        <v>29</v>
      </c>
      <c r="B1425" s="1">
        <v>45961</v>
      </c>
      <c r="C1425">
        <v>558012</v>
      </c>
      <c r="D1425">
        <v>129.846</v>
      </c>
      <c r="E1425" t="s">
        <v>6</v>
      </c>
      <c r="F1425" t="s">
        <v>60</v>
      </c>
      <c r="G1425" t="s">
        <v>8</v>
      </c>
    </row>
    <row r="1426" spans="1:7" x14ac:dyDescent="0.3">
      <c r="A1426" t="s">
        <v>29</v>
      </c>
      <c r="B1426" s="1">
        <v>45961</v>
      </c>
      <c r="C1426">
        <v>564006</v>
      </c>
      <c r="D1426">
        <v>-0.11</v>
      </c>
      <c r="E1426" t="s">
        <v>6</v>
      </c>
      <c r="F1426" t="s">
        <v>57</v>
      </c>
      <c r="G1426" t="s">
        <v>8</v>
      </c>
    </row>
    <row r="1427" spans="1:7" x14ac:dyDescent="0.3">
      <c r="A1427" t="s">
        <v>29</v>
      </c>
      <c r="B1427" s="1">
        <v>45961</v>
      </c>
      <c r="C1427">
        <v>564019</v>
      </c>
      <c r="D1427">
        <v>63708.983</v>
      </c>
      <c r="E1427" t="s">
        <v>6</v>
      </c>
      <c r="F1427" t="s">
        <v>51</v>
      </c>
      <c r="G1427" t="s">
        <v>8</v>
      </c>
    </row>
    <row r="1428" spans="1:7" x14ac:dyDescent="0.3">
      <c r="A1428" t="s">
        <v>29</v>
      </c>
      <c r="B1428" s="1">
        <v>45961</v>
      </c>
      <c r="C1428">
        <v>564020</v>
      </c>
      <c r="D1428">
        <v>313.524</v>
      </c>
      <c r="E1428" t="s">
        <v>6</v>
      </c>
      <c r="F1428" t="s">
        <v>57</v>
      </c>
      <c r="G1428" t="s">
        <v>8</v>
      </c>
    </row>
    <row r="1429" spans="1:7" x14ac:dyDescent="0.3">
      <c r="A1429" t="s">
        <v>29</v>
      </c>
      <c r="B1429" s="1">
        <v>45961</v>
      </c>
      <c r="C1429">
        <v>564021</v>
      </c>
      <c r="D1429">
        <v>7.2990000000000004</v>
      </c>
      <c r="E1429" t="s">
        <v>6</v>
      </c>
      <c r="F1429" t="s">
        <v>57</v>
      </c>
      <c r="G1429" t="s">
        <v>8</v>
      </c>
    </row>
    <row r="1430" spans="1:7" x14ac:dyDescent="0.3">
      <c r="A1430" t="s">
        <v>29</v>
      </c>
      <c r="B1430" s="1">
        <v>45961</v>
      </c>
      <c r="C1430">
        <v>580002</v>
      </c>
      <c r="D1430">
        <v>3340.567</v>
      </c>
      <c r="E1430" t="s">
        <v>6</v>
      </c>
      <c r="F1430" t="s">
        <v>64</v>
      </c>
      <c r="G1430" t="s">
        <v>8</v>
      </c>
    </row>
    <row r="1431" spans="1:7" x14ac:dyDescent="0.3">
      <c r="A1431" t="s">
        <v>29</v>
      </c>
      <c r="B1431" s="1">
        <v>45961</v>
      </c>
      <c r="C1431">
        <v>580005</v>
      </c>
      <c r="D1431">
        <v>1043.154</v>
      </c>
      <c r="E1431" t="s">
        <v>6</v>
      </c>
      <c r="F1431" t="s">
        <v>64</v>
      </c>
      <c r="G1431" t="s">
        <v>8</v>
      </c>
    </row>
    <row r="1432" spans="1:7" x14ac:dyDescent="0.3">
      <c r="A1432" t="s">
        <v>30</v>
      </c>
      <c r="B1432" s="1">
        <v>45961</v>
      </c>
      <c r="C1432">
        <v>210002</v>
      </c>
      <c r="D1432">
        <v>-73586.404999999999</v>
      </c>
      <c r="E1432" t="s">
        <v>4</v>
      </c>
      <c r="F1432" t="s">
        <v>42</v>
      </c>
      <c r="G1432" t="s">
        <v>8</v>
      </c>
    </row>
    <row r="1433" spans="1:7" x14ac:dyDescent="0.3">
      <c r="A1433" t="s">
        <v>30</v>
      </c>
      <c r="B1433" s="1">
        <v>45961</v>
      </c>
      <c r="C1433">
        <v>220006</v>
      </c>
      <c r="D1433">
        <v>-291219.48700000002</v>
      </c>
      <c r="E1433" t="s">
        <v>4</v>
      </c>
      <c r="F1433" t="s">
        <v>42</v>
      </c>
      <c r="G1433" t="s">
        <v>8</v>
      </c>
    </row>
    <row r="1434" spans="1:7" x14ac:dyDescent="0.3">
      <c r="A1434" t="s">
        <v>30</v>
      </c>
      <c r="B1434" s="1">
        <v>45961</v>
      </c>
      <c r="C1434">
        <v>240002</v>
      </c>
      <c r="D1434">
        <v>57.383000000000003</v>
      </c>
      <c r="E1434" t="s">
        <v>4</v>
      </c>
      <c r="F1434" t="s">
        <v>43</v>
      </c>
      <c r="G1434" t="s">
        <v>8</v>
      </c>
    </row>
    <row r="1435" spans="1:7" x14ac:dyDescent="0.3">
      <c r="A1435" t="s">
        <v>30</v>
      </c>
      <c r="B1435" s="1">
        <v>45961</v>
      </c>
      <c r="C1435">
        <v>240003</v>
      </c>
      <c r="D1435">
        <v>-236.02500000000001</v>
      </c>
      <c r="E1435" t="s">
        <v>4</v>
      </c>
      <c r="F1435" t="s">
        <v>43</v>
      </c>
      <c r="G1435" t="s">
        <v>8</v>
      </c>
    </row>
    <row r="1436" spans="1:7" x14ac:dyDescent="0.3">
      <c r="A1436" t="s">
        <v>30</v>
      </c>
      <c r="B1436" s="1">
        <v>45961</v>
      </c>
      <c r="C1436">
        <v>240009</v>
      </c>
      <c r="D1436">
        <v>-1298.943</v>
      </c>
      <c r="E1436" t="s">
        <v>4</v>
      </c>
      <c r="F1436" t="s">
        <v>43</v>
      </c>
      <c r="G1436" t="s">
        <v>8</v>
      </c>
    </row>
    <row r="1437" spans="1:7" x14ac:dyDescent="0.3">
      <c r="A1437" t="s">
        <v>30</v>
      </c>
      <c r="B1437" s="1">
        <v>45961</v>
      </c>
      <c r="C1437">
        <v>242003</v>
      </c>
      <c r="D1437">
        <v>-695954.49300000002</v>
      </c>
      <c r="E1437" t="s">
        <v>4</v>
      </c>
      <c r="F1437" t="s">
        <v>43</v>
      </c>
      <c r="G1437" t="s">
        <v>8</v>
      </c>
    </row>
    <row r="1438" spans="1:7" x14ac:dyDescent="0.3">
      <c r="A1438" t="s">
        <v>30</v>
      </c>
      <c r="B1438" s="1">
        <v>45961</v>
      </c>
      <c r="C1438">
        <v>242007</v>
      </c>
      <c r="D1438">
        <v>2393.3829999999998</v>
      </c>
      <c r="E1438" t="s">
        <v>4</v>
      </c>
      <c r="F1438" t="s">
        <v>43</v>
      </c>
      <c r="G1438" t="s">
        <v>8</v>
      </c>
    </row>
    <row r="1439" spans="1:7" x14ac:dyDescent="0.3">
      <c r="A1439" t="s">
        <v>30</v>
      </c>
      <c r="B1439" s="1">
        <v>45961</v>
      </c>
      <c r="C1439">
        <v>242011</v>
      </c>
      <c r="D1439">
        <v>-202879.495</v>
      </c>
      <c r="E1439" t="s">
        <v>4</v>
      </c>
      <c r="F1439" t="s">
        <v>43</v>
      </c>
      <c r="G1439" t="s">
        <v>8</v>
      </c>
    </row>
    <row r="1440" spans="1:7" x14ac:dyDescent="0.3">
      <c r="A1440" t="s">
        <v>30</v>
      </c>
      <c r="B1440" s="1">
        <v>45961</v>
      </c>
      <c r="C1440">
        <v>242012</v>
      </c>
      <c r="D1440">
        <v>-86561.463000000003</v>
      </c>
      <c r="E1440" t="s">
        <v>4</v>
      </c>
      <c r="F1440" t="s">
        <v>43</v>
      </c>
      <c r="G1440" t="s">
        <v>8</v>
      </c>
    </row>
    <row r="1441" spans="1:7" x14ac:dyDescent="0.3">
      <c r="A1441" t="s">
        <v>30</v>
      </c>
      <c r="B1441" s="1">
        <v>45961</v>
      </c>
      <c r="C1441">
        <v>242014</v>
      </c>
      <c r="D1441">
        <v>-25242.091</v>
      </c>
      <c r="E1441" t="s">
        <v>4</v>
      </c>
      <c r="F1441" t="s">
        <v>43</v>
      </c>
      <c r="G1441" t="s">
        <v>8</v>
      </c>
    </row>
    <row r="1442" spans="1:7" x14ac:dyDescent="0.3">
      <c r="A1442" t="s">
        <v>30</v>
      </c>
      <c r="B1442" s="1">
        <v>45961</v>
      </c>
      <c r="C1442">
        <v>242019</v>
      </c>
      <c r="D1442">
        <v>6.7450000000000001</v>
      </c>
      <c r="E1442" t="s">
        <v>4</v>
      </c>
      <c r="F1442" t="s">
        <v>43</v>
      </c>
      <c r="G1442" t="s">
        <v>8</v>
      </c>
    </row>
    <row r="1443" spans="1:7" x14ac:dyDescent="0.3">
      <c r="A1443" t="s">
        <v>30</v>
      </c>
      <c r="B1443" s="1">
        <v>45961</v>
      </c>
      <c r="C1443">
        <v>242022</v>
      </c>
      <c r="D1443">
        <v>-11040.95</v>
      </c>
      <c r="E1443" t="s">
        <v>4</v>
      </c>
      <c r="F1443" t="s">
        <v>43</v>
      </c>
      <c r="G1443" t="s">
        <v>8</v>
      </c>
    </row>
    <row r="1444" spans="1:7" x14ac:dyDescent="0.3">
      <c r="A1444" t="s">
        <v>30</v>
      </c>
      <c r="B1444" s="1">
        <v>45961</v>
      </c>
      <c r="C1444">
        <v>242023</v>
      </c>
      <c r="D1444">
        <v>-22361.942999999999</v>
      </c>
      <c r="E1444" t="s">
        <v>4</v>
      </c>
      <c r="F1444" t="s">
        <v>43</v>
      </c>
      <c r="G1444" t="s">
        <v>8</v>
      </c>
    </row>
    <row r="1445" spans="1:7" x14ac:dyDescent="0.3">
      <c r="A1445" t="s">
        <v>30</v>
      </c>
      <c r="B1445" s="1">
        <v>45961</v>
      </c>
      <c r="C1445">
        <v>242030</v>
      </c>
      <c r="D1445">
        <v>-106301.09600000001</v>
      </c>
      <c r="E1445" t="s">
        <v>4</v>
      </c>
      <c r="F1445" t="s">
        <v>43</v>
      </c>
      <c r="G1445" t="s">
        <v>8</v>
      </c>
    </row>
    <row r="1446" spans="1:7" x14ac:dyDescent="0.3">
      <c r="A1446" t="s">
        <v>30</v>
      </c>
      <c r="B1446" s="1">
        <v>45961</v>
      </c>
      <c r="C1446">
        <v>242036</v>
      </c>
      <c r="D1446">
        <v>-9655.48</v>
      </c>
      <c r="E1446" t="s">
        <v>4</v>
      </c>
      <c r="F1446" t="s">
        <v>43</v>
      </c>
      <c r="G1446" t="s">
        <v>8</v>
      </c>
    </row>
    <row r="1447" spans="1:7" x14ac:dyDescent="0.3">
      <c r="A1447" t="s">
        <v>30</v>
      </c>
      <c r="B1447" s="1">
        <v>45961</v>
      </c>
      <c r="C1447">
        <v>242039</v>
      </c>
      <c r="D1447">
        <v>-41223.383999999998</v>
      </c>
      <c r="E1447" t="s">
        <v>4</v>
      </c>
      <c r="F1447" t="s">
        <v>43</v>
      </c>
      <c r="G1447" t="s">
        <v>8</v>
      </c>
    </row>
    <row r="1448" spans="1:7" x14ac:dyDescent="0.3">
      <c r="A1448" t="s">
        <v>30</v>
      </c>
      <c r="B1448" s="1">
        <v>45961</v>
      </c>
      <c r="C1448">
        <v>242041</v>
      </c>
      <c r="D1448">
        <v>-47735.125999999997</v>
      </c>
      <c r="E1448" t="s">
        <v>4</v>
      </c>
      <c r="F1448" t="s">
        <v>43</v>
      </c>
      <c r="G1448" t="s">
        <v>8</v>
      </c>
    </row>
    <row r="1449" spans="1:7" x14ac:dyDescent="0.3">
      <c r="A1449" t="s">
        <v>30</v>
      </c>
      <c r="B1449" s="1">
        <v>45961</v>
      </c>
      <c r="C1449">
        <v>243002</v>
      </c>
      <c r="D1449">
        <v>-3772.25</v>
      </c>
      <c r="E1449" t="s">
        <v>4</v>
      </c>
      <c r="F1449" t="s">
        <v>43</v>
      </c>
      <c r="G1449" t="s">
        <v>8</v>
      </c>
    </row>
    <row r="1450" spans="1:7" x14ac:dyDescent="0.3">
      <c r="A1450" t="s">
        <v>30</v>
      </c>
      <c r="B1450" s="1">
        <v>45961</v>
      </c>
      <c r="C1450">
        <v>243003</v>
      </c>
      <c r="D1450">
        <v>-49332.591999999997</v>
      </c>
      <c r="E1450" t="s">
        <v>4</v>
      </c>
      <c r="F1450" t="s">
        <v>43</v>
      </c>
      <c r="G1450" t="s">
        <v>8</v>
      </c>
    </row>
    <row r="1451" spans="1:7" x14ac:dyDescent="0.3">
      <c r="A1451" t="s">
        <v>30</v>
      </c>
      <c r="B1451" s="1">
        <v>45961</v>
      </c>
      <c r="C1451">
        <v>245010</v>
      </c>
      <c r="D1451">
        <v>-3182.9229999999998</v>
      </c>
      <c r="E1451" t="s">
        <v>4</v>
      </c>
      <c r="F1451" t="s">
        <v>44</v>
      </c>
      <c r="G1451" t="s">
        <v>8</v>
      </c>
    </row>
    <row r="1452" spans="1:7" x14ac:dyDescent="0.3">
      <c r="A1452" t="s">
        <v>30</v>
      </c>
      <c r="B1452" s="1">
        <v>45961</v>
      </c>
      <c r="C1452">
        <v>245049</v>
      </c>
      <c r="D1452">
        <v>-3.6999999999999998E-2</v>
      </c>
      <c r="E1452" t="s">
        <v>4</v>
      </c>
      <c r="F1452" t="s">
        <v>43</v>
      </c>
      <c r="G1452" t="s">
        <v>8</v>
      </c>
    </row>
    <row r="1453" spans="1:7" x14ac:dyDescent="0.3">
      <c r="A1453" t="s">
        <v>30</v>
      </c>
      <c r="B1453" s="1">
        <v>45961</v>
      </c>
      <c r="C1453">
        <v>245057</v>
      </c>
      <c r="D1453">
        <v>-381.16399999999999</v>
      </c>
      <c r="E1453" t="s">
        <v>4</v>
      </c>
      <c r="F1453" t="s">
        <v>43</v>
      </c>
      <c r="G1453" t="s">
        <v>8</v>
      </c>
    </row>
    <row r="1454" spans="1:7" x14ac:dyDescent="0.3">
      <c r="A1454" t="s">
        <v>30</v>
      </c>
      <c r="B1454" s="1">
        <v>45961</v>
      </c>
      <c r="C1454">
        <v>245062</v>
      </c>
      <c r="D1454">
        <v>-1898.8240000000001</v>
      </c>
      <c r="E1454" t="s">
        <v>4</v>
      </c>
      <c r="F1454" t="s">
        <v>43</v>
      </c>
      <c r="G1454" t="s">
        <v>8</v>
      </c>
    </row>
    <row r="1455" spans="1:7" x14ac:dyDescent="0.3">
      <c r="A1455" t="s">
        <v>30</v>
      </c>
      <c r="B1455" s="1">
        <v>45961</v>
      </c>
      <c r="C1455">
        <v>250003</v>
      </c>
      <c r="D1455">
        <v>-3037.5160000000001</v>
      </c>
      <c r="E1455" t="s">
        <v>4</v>
      </c>
      <c r="F1455" t="s">
        <v>45</v>
      </c>
      <c r="G1455" t="s">
        <v>8</v>
      </c>
    </row>
    <row r="1456" spans="1:7" x14ac:dyDescent="0.3">
      <c r="A1456" t="s">
        <v>30</v>
      </c>
      <c r="B1456" s="1">
        <v>45961</v>
      </c>
      <c r="C1456">
        <v>251002</v>
      </c>
      <c r="D1456">
        <v>-12020.183000000001</v>
      </c>
      <c r="E1456" t="s">
        <v>4</v>
      </c>
      <c r="F1456" t="s">
        <v>45</v>
      </c>
      <c r="G1456" t="s">
        <v>8</v>
      </c>
    </row>
    <row r="1457" spans="1:7" x14ac:dyDescent="0.3">
      <c r="A1457" t="s">
        <v>30</v>
      </c>
      <c r="B1457" s="1">
        <v>45961</v>
      </c>
      <c r="C1457">
        <v>256040</v>
      </c>
      <c r="D1457">
        <v>-993416.46799999999</v>
      </c>
      <c r="E1457" t="s">
        <v>4</v>
      </c>
      <c r="F1457" t="s">
        <v>43</v>
      </c>
      <c r="G1457" t="s">
        <v>8</v>
      </c>
    </row>
    <row r="1458" spans="1:7" x14ac:dyDescent="0.3">
      <c r="A1458" t="s">
        <v>30</v>
      </c>
      <c r="B1458" s="1">
        <v>45961</v>
      </c>
      <c r="C1458">
        <v>256041</v>
      </c>
      <c r="D1458">
        <v>-16355.085999999999</v>
      </c>
      <c r="E1458" t="s">
        <v>4</v>
      </c>
      <c r="F1458" t="s">
        <v>43</v>
      </c>
      <c r="G1458" t="s">
        <v>8</v>
      </c>
    </row>
    <row r="1459" spans="1:7" x14ac:dyDescent="0.3">
      <c r="A1459" t="s">
        <v>30</v>
      </c>
      <c r="B1459" s="1">
        <v>45961</v>
      </c>
      <c r="C1459">
        <v>257027</v>
      </c>
      <c r="D1459">
        <v>-985.428</v>
      </c>
      <c r="E1459" t="s">
        <v>4</v>
      </c>
      <c r="F1459" t="s">
        <v>45</v>
      </c>
      <c r="G1459" t="s">
        <v>8</v>
      </c>
    </row>
    <row r="1460" spans="1:7" x14ac:dyDescent="0.3">
      <c r="A1460" t="s">
        <v>30</v>
      </c>
      <c r="B1460" s="1">
        <v>45961</v>
      </c>
      <c r="C1460">
        <v>260004</v>
      </c>
      <c r="D1460">
        <v>-47496.868000000002</v>
      </c>
      <c r="E1460" t="s">
        <v>4</v>
      </c>
      <c r="F1460" t="s">
        <v>45</v>
      </c>
      <c r="G1460" t="s">
        <v>8</v>
      </c>
    </row>
    <row r="1461" spans="1:7" x14ac:dyDescent="0.3">
      <c r="A1461" t="s">
        <v>30</v>
      </c>
      <c r="B1461" s="1">
        <v>45961</v>
      </c>
      <c r="C1461">
        <v>270025</v>
      </c>
      <c r="D1461">
        <v>-28958.164000000001</v>
      </c>
      <c r="E1461" t="s">
        <v>4</v>
      </c>
      <c r="F1461" t="s">
        <v>58</v>
      </c>
      <c r="G1461" t="s">
        <v>8</v>
      </c>
    </row>
    <row r="1462" spans="1:7" x14ac:dyDescent="0.3">
      <c r="A1462" t="s">
        <v>30</v>
      </c>
      <c r="B1462" s="1">
        <v>45961</v>
      </c>
      <c r="C1462">
        <v>270026</v>
      </c>
      <c r="D1462">
        <v>-9791.1129999999994</v>
      </c>
      <c r="E1462" t="s">
        <v>4</v>
      </c>
      <c r="F1462" t="s">
        <v>58</v>
      </c>
      <c r="G1462" t="s">
        <v>8</v>
      </c>
    </row>
    <row r="1463" spans="1:7" x14ac:dyDescent="0.3">
      <c r="A1463" t="s">
        <v>30</v>
      </c>
      <c r="B1463" s="1">
        <v>45961</v>
      </c>
      <c r="C1463">
        <v>275002</v>
      </c>
      <c r="D1463">
        <v>-87.864999999999995</v>
      </c>
      <c r="E1463" t="s">
        <v>4</v>
      </c>
      <c r="F1463" t="s">
        <v>58</v>
      </c>
      <c r="G1463" t="s">
        <v>8</v>
      </c>
    </row>
    <row r="1464" spans="1:7" x14ac:dyDescent="0.3">
      <c r="A1464" t="s">
        <v>30</v>
      </c>
      <c r="B1464" s="1">
        <v>45961</v>
      </c>
      <c r="C1464">
        <v>300008</v>
      </c>
      <c r="D1464">
        <v>2652.9459999999999</v>
      </c>
      <c r="E1464" t="s">
        <v>4</v>
      </c>
      <c r="F1464" t="s">
        <v>65</v>
      </c>
      <c r="G1464" t="s">
        <v>8</v>
      </c>
    </row>
    <row r="1465" spans="1:7" x14ac:dyDescent="0.3">
      <c r="A1465" t="s">
        <v>30</v>
      </c>
      <c r="B1465" s="1">
        <v>45961</v>
      </c>
      <c r="C1465">
        <v>300011</v>
      </c>
      <c r="D1465">
        <v>41.845999999999997</v>
      </c>
      <c r="E1465" t="s">
        <v>4</v>
      </c>
      <c r="F1465" t="s">
        <v>65</v>
      </c>
      <c r="G1465" t="s">
        <v>8</v>
      </c>
    </row>
    <row r="1466" spans="1:7" x14ac:dyDescent="0.3">
      <c r="A1466" t="s">
        <v>30</v>
      </c>
      <c r="B1466" s="1">
        <v>45961</v>
      </c>
      <c r="C1466">
        <v>300012</v>
      </c>
      <c r="D1466">
        <v>63.747999999999998</v>
      </c>
      <c r="E1466" t="s">
        <v>4</v>
      </c>
      <c r="F1466" t="s">
        <v>65</v>
      </c>
      <c r="G1466" t="s">
        <v>8</v>
      </c>
    </row>
    <row r="1467" spans="1:7" x14ac:dyDescent="0.3">
      <c r="A1467" t="s">
        <v>30</v>
      </c>
      <c r="B1467" s="1">
        <v>45961</v>
      </c>
      <c r="C1467">
        <v>300508</v>
      </c>
      <c r="D1467">
        <v>-2214.306</v>
      </c>
      <c r="E1467" t="s">
        <v>4</v>
      </c>
      <c r="F1467" t="s">
        <v>65</v>
      </c>
      <c r="G1467" t="s">
        <v>8</v>
      </c>
    </row>
    <row r="1468" spans="1:7" x14ac:dyDescent="0.3">
      <c r="A1468" t="s">
        <v>30</v>
      </c>
      <c r="B1468" s="1">
        <v>45961</v>
      </c>
      <c r="C1468">
        <v>300511</v>
      </c>
      <c r="D1468">
        <v>-37.716999999999999</v>
      </c>
      <c r="E1468" t="s">
        <v>4</v>
      </c>
      <c r="F1468" t="s">
        <v>65</v>
      </c>
      <c r="G1468" t="s">
        <v>8</v>
      </c>
    </row>
    <row r="1469" spans="1:7" x14ac:dyDescent="0.3">
      <c r="A1469" t="s">
        <v>30</v>
      </c>
      <c r="B1469" s="1">
        <v>45961</v>
      </c>
      <c r="C1469">
        <v>300512</v>
      </c>
      <c r="D1469">
        <v>-51.06</v>
      </c>
      <c r="E1469" t="s">
        <v>4</v>
      </c>
      <c r="F1469" t="s">
        <v>65</v>
      </c>
      <c r="G1469" t="s">
        <v>8</v>
      </c>
    </row>
    <row r="1470" spans="1:7" x14ac:dyDescent="0.3">
      <c r="A1470" t="s">
        <v>30</v>
      </c>
      <c r="B1470" s="1">
        <v>45961</v>
      </c>
      <c r="C1470">
        <v>310022</v>
      </c>
      <c r="D1470">
        <v>1181404.5049999999</v>
      </c>
      <c r="E1470" t="s">
        <v>4</v>
      </c>
      <c r="F1470" t="s">
        <v>42</v>
      </c>
      <c r="G1470" t="s">
        <v>8</v>
      </c>
    </row>
    <row r="1471" spans="1:7" x14ac:dyDescent="0.3">
      <c r="A1471" t="s">
        <v>30</v>
      </c>
      <c r="B1471" s="1">
        <v>45961</v>
      </c>
      <c r="C1471">
        <v>320002</v>
      </c>
      <c r="D1471">
        <v>30570.842000000001</v>
      </c>
      <c r="E1471" t="s">
        <v>4</v>
      </c>
      <c r="F1471" t="s">
        <v>46</v>
      </c>
      <c r="G1471" t="s">
        <v>8</v>
      </c>
    </row>
    <row r="1472" spans="1:7" x14ac:dyDescent="0.3">
      <c r="A1472" t="s">
        <v>30</v>
      </c>
      <c r="B1472" s="1">
        <v>45961</v>
      </c>
      <c r="C1472">
        <v>320003</v>
      </c>
      <c r="D1472">
        <v>430751.09100000001</v>
      </c>
      <c r="E1472" t="s">
        <v>4</v>
      </c>
      <c r="F1472" t="s">
        <v>46</v>
      </c>
      <c r="G1472" t="s">
        <v>8</v>
      </c>
    </row>
    <row r="1473" spans="1:7" x14ac:dyDescent="0.3">
      <c r="A1473" t="s">
        <v>30</v>
      </c>
      <c r="B1473" s="1">
        <v>45961</v>
      </c>
      <c r="C1473">
        <v>320004</v>
      </c>
      <c r="D1473">
        <v>154.94399999999999</v>
      </c>
      <c r="E1473" t="s">
        <v>4</v>
      </c>
      <c r="F1473" t="s">
        <v>46</v>
      </c>
      <c r="G1473" t="s">
        <v>8</v>
      </c>
    </row>
    <row r="1474" spans="1:7" x14ac:dyDescent="0.3">
      <c r="A1474" t="s">
        <v>30</v>
      </c>
      <c r="B1474" s="1">
        <v>45961</v>
      </c>
      <c r="C1474">
        <v>320018</v>
      </c>
      <c r="D1474">
        <v>1195.779</v>
      </c>
      <c r="E1474" t="s">
        <v>4</v>
      </c>
      <c r="F1474" t="s">
        <v>46</v>
      </c>
      <c r="G1474" t="s">
        <v>8</v>
      </c>
    </row>
    <row r="1475" spans="1:7" x14ac:dyDescent="0.3">
      <c r="A1475" t="s">
        <v>30</v>
      </c>
      <c r="B1475" s="1">
        <v>45961</v>
      </c>
      <c r="C1475">
        <v>320023</v>
      </c>
      <c r="D1475">
        <v>-4958.7889999999998</v>
      </c>
      <c r="E1475" t="s">
        <v>4</v>
      </c>
      <c r="F1475" t="s">
        <v>46</v>
      </c>
      <c r="G1475" t="s">
        <v>8</v>
      </c>
    </row>
    <row r="1476" spans="1:7" x14ac:dyDescent="0.3">
      <c r="A1476" t="s">
        <v>30</v>
      </c>
      <c r="B1476" s="1">
        <v>45961</v>
      </c>
      <c r="C1476">
        <v>321002</v>
      </c>
      <c r="D1476">
        <v>109815.624</v>
      </c>
      <c r="E1476" t="s">
        <v>4</v>
      </c>
      <c r="F1476" t="s">
        <v>46</v>
      </c>
      <c r="G1476" t="s">
        <v>8</v>
      </c>
    </row>
    <row r="1477" spans="1:7" x14ac:dyDescent="0.3">
      <c r="A1477" t="s">
        <v>30</v>
      </c>
      <c r="B1477" s="1">
        <v>45961</v>
      </c>
      <c r="C1477">
        <v>321004</v>
      </c>
      <c r="D1477">
        <v>2644.06</v>
      </c>
      <c r="E1477" t="s">
        <v>4</v>
      </c>
      <c r="F1477" t="s">
        <v>46</v>
      </c>
      <c r="G1477" t="s">
        <v>8</v>
      </c>
    </row>
    <row r="1478" spans="1:7" x14ac:dyDescent="0.3">
      <c r="A1478" t="s">
        <v>30</v>
      </c>
      <c r="B1478" s="1">
        <v>45961</v>
      </c>
      <c r="C1478">
        <v>321012</v>
      </c>
      <c r="D1478">
        <v>152099.84700000001</v>
      </c>
      <c r="E1478" t="s">
        <v>4</v>
      </c>
      <c r="F1478" t="s">
        <v>46</v>
      </c>
      <c r="G1478" t="s">
        <v>8</v>
      </c>
    </row>
    <row r="1479" spans="1:7" x14ac:dyDescent="0.3">
      <c r="A1479" t="s">
        <v>30</v>
      </c>
      <c r="B1479" s="1">
        <v>45961</v>
      </c>
      <c r="C1479">
        <v>321013</v>
      </c>
      <c r="D1479">
        <v>5841.2889999999998</v>
      </c>
      <c r="E1479" t="s">
        <v>4</v>
      </c>
      <c r="F1479" t="s">
        <v>46</v>
      </c>
      <c r="G1479" t="s">
        <v>8</v>
      </c>
    </row>
    <row r="1480" spans="1:7" x14ac:dyDescent="0.3">
      <c r="A1480" t="s">
        <v>30</v>
      </c>
      <c r="B1480" s="1">
        <v>45961</v>
      </c>
      <c r="C1480">
        <v>321014</v>
      </c>
      <c r="D1480">
        <v>5933.2439999999997</v>
      </c>
      <c r="E1480" t="s">
        <v>4</v>
      </c>
      <c r="F1480" t="s">
        <v>46</v>
      </c>
      <c r="G1480" t="s">
        <v>8</v>
      </c>
    </row>
    <row r="1481" spans="1:7" x14ac:dyDescent="0.3">
      <c r="A1481" t="s">
        <v>30</v>
      </c>
      <c r="B1481" s="1">
        <v>45961</v>
      </c>
      <c r="C1481">
        <v>321021</v>
      </c>
      <c r="D1481">
        <v>33539.137999999999</v>
      </c>
      <c r="E1481" t="s">
        <v>4</v>
      </c>
      <c r="F1481" t="s">
        <v>46</v>
      </c>
      <c r="G1481" t="s">
        <v>8</v>
      </c>
    </row>
    <row r="1482" spans="1:7" x14ac:dyDescent="0.3">
      <c r="A1482" t="s">
        <v>30</v>
      </c>
      <c r="B1482" s="1">
        <v>45961</v>
      </c>
      <c r="C1482">
        <v>321028</v>
      </c>
      <c r="D1482">
        <v>1256.5840000000001</v>
      </c>
      <c r="E1482" t="s">
        <v>4</v>
      </c>
      <c r="F1482" t="s">
        <v>46</v>
      </c>
      <c r="G1482" t="s">
        <v>8</v>
      </c>
    </row>
    <row r="1483" spans="1:7" x14ac:dyDescent="0.3">
      <c r="A1483" t="s">
        <v>30</v>
      </c>
      <c r="B1483" s="1">
        <v>45961</v>
      </c>
      <c r="C1483">
        <v>321029</v>
      </c>
      <c r="D1483">
        <v>90214.837</v>
      </c>
      <c r="E1483" t="s">
        <v>4</v>
      </c>
      <c r="F1483" t="s">
        <v>46</v>
      </c>
      <c r="G1483" t="s">
        <v>8</v>
      </c>
    </row>
    <row r="1484" spans="1:7" x14ac:dyDescent="0.3">
      <c r="A1484" t="s">
        <v>30</v>
      </c>
      <c r="B1484" s="1">
        <v>45961</v>
      </c>
      <c r="C1484">
        <v>321031</v>
      </c>
      <c r="D1484">
        <v>15441.767</v>
      </c>
      <c r="E1484" t="s">
        <v>4</v>
      </c>
      <c r="F1484" t="s">
        <v>46</v>
      </c>
      <c r="G1484" t="s">
        <v>8</v>
      </c>
    </row>
    <row r="1485" spans="1:7" x14ac:dyDescent="0.3">
      <c r="A1485" t="s">
        <v>30</v>
      </c>
      <c r="B1485" s="1">
        <v>45961</v>
      </c>
      <c r="C1485">
        <v>321042</v>
      </c>
      <c r="D1485">
        <v>2690.6689999999999</v>
      </c>
      <c r="E1485" t="s">
        <v>4</v>
      </c>
      <c r="F1485" t="s">
        <v>46</v>
      </c>
      <c r="G1485" t="s">
        <v>8</v>
      </c>
    </row>
    <row r="1486" spans="1:7" x14ac:dyDescent="0.3">
      <c r="A1486" t="s">
        <v>30</v>
      </c>
      <c r="B1486" s="1">
        <v>45961</v>
      </c>
      <c r="C1486">
        <v>330044</v>
      </c>
      <c r="D1486">
        <v>2025.098</v>
      </c>
      <c r="E1486" t="s">
        <v>4</v>
      </c>
      <c r="F1486" t="s">
        <v>43</v>
      </c>
      <c r="G1486" t="s">
        <v>8</v>
      </c>
    </row>
    <row r="1487" spans="1:7" x14ac:dyDescent="0.3">
      <c r="A1487" t="s">
        <v>30</v>
      </c>
      <c r="B1487" s="1">
        <v>45961</v>
      </c>
      <c r="C1487">
        <v>330107</v>
      </c>
      <c r="D1487">
        <v>-533.35400000000004</v>
      </c>
      <c r="E1487" t="s">
        <v>4</v>
      </c>
      <c r="F1487" t="s">
        <v>43</v>
      </c>
      <c r="G1487" t="s">
        <v>8</v>
      </c>
    </row>
    <row r="1488" spans="1:7" x14ac:dyDescent="0.3">
      <c r="A1488" t="s">
        <v>30</v>
      </c>
      <c r="B1488" s="1">
        <v>45961</v>
      </c>
      <c r="C1488">
        <v>330141</v>
      </c>
      <c r="D1488">
        <v>4541.1729999999998</v>
      </c>
      <c r="E1488" t="s">
        <v>4</v>
      </c>
      <c r="F1488" t="s">
        <v>43</v>
      </c>
      <c r="G1488" t="s">
        <v>8</v>
      </c>
    </row>
    <row r="1489" spans="1:7" x14ac:dyDescent="0.3">
      <c r="A1489" t="s">
        <v>30</v>
      </c>
      <c r="B1489" s="1">
        <v>45961</v>
      </c>
      <c r="C1489">
        <v>330143</v>
      </c>
      <c r="D1489">
        <v>2294.913</v>
      </c>
      <c r="E1489" t="s">
        <v>4</v>
      </c>
      <c r="F1489" t="s">
        <v>43</v>
      </c>
      <c r="G1489" t="s">
        <v>8</v>
      </c>
    </row>
    <row r="1490" spans="1:7" x14ac:dyDescent="0.3">
      <c r="A1490" t="s">
        <v>30</v>
      </c>
      <c r="B1490" s="1">
        <v>45961</v>
      </c>
      <c r="C1490">
        <v>331017</v>
      </c>
      <c r="D1490">
        <v>22816.637999999999</v>
      </c>
      <c r="E1490" t="s">
        <v>4</v>
      </c>
      <c r="F1490" t="s">
        <v>43</v>
      </c>
      <c r="G1490" t="s">
        <v>8</v>
      </c>
    </row>
    <row r="1491" spans="1:7" x14ac:dyDescent="0.3">
      <c r="A1491" t="s">
        <v>30</v>
      </c>
      <c r="B1491" s="1">
        <v>45961</v>
      </c>
      <c r="C1491">
        <v>340165</v>
      </c>
      <c r="D1491">
        <v>149728.32800000001</v>
      </c>
      <c r="E1491" t="s">
        <v>4</v>
      </c>
      <c r="F1491" t="s">
        <v>47</v>
      </c>
      <c r="G1491" t="s">
        <v>8</v>
      </c>
    </row>
    <row r="1492" spans="1:7" x14ac:dyDescent="0.3">
      <c r="A1492" t="s">
        <v>30</v>
      </c>
      <c r="B1492" s="1">
        <v>45961</v>
      </c>
      <c r="C1492">
        <v>340323</v>
      </c>
      <c r="D1492">
        <v>26529.437000000002</v>
      </c>
      <c r="E1492" t="s">
        <v>4</v>
      </c>
      <c r="F1492" t="s">
        <v>47</v>
      </c>
      <c r="G1492" t="s">
        <v>8</v>
      </c>
    </row>
    <row r="1493" spans="1:7" x14ac:dyDescent="0.3">
      <c r="A1493" t="s">
        <v>30</v>
      </c>
      <c r="B1493" s="1">
        <v>45961</v>
      </c>
      <c r="C1493">
        <v>350002</v>
      </c>
      <c r="D1493">
        <v>2221.2539999999999</v>
      </c>
      <c r="E1493" t="s">
        <v>4</v>
      </c>
      <c r="F1493" t="s">
        <v>49</v>
      </c>
      <c r="G1493" t="s">
        <v>8</v>
      </c>
    </row>
    <row r="1494" spans="1:7" x14ac:dyDescent="0.3">
      <c r="A1494" t="s">
        <v>30</v>
      </c>
      <c r="B1494" s="1">
        <v>45961</v>
      </c>
      <c r="C1494">
        <v>350003</v>
      </c>
      <c r="D1494">
        <v>149.64400000000001</v>
      </c>
      <c r="E1494" t="s">
        <v>4</v>
      </c>
      <c r="F1494" t="s">
        <v>49</v>
      </c>
      <c r="G1494" t="s">
        <v>8</v>
      </c>
    </row>
    <row r="1495" spans="1:7" x14ac:dyDescent="0.3">
      <c r="A1495" t="s">
        <v>30</v>
      </c>
      <c r="B1495" s="1">
        <v>45961</v>
      </c>
      <c r="C1495">
        <v>350007</v>
      </c>
      <c r="D1495">
        <v>4.3780000000000001</v>
      </c>
      <c r="E1495" t="s">
        <v>4</v>
      </c>
      <c r="F1495" t="s">
        <v>49</v>
      </c>
      <c r="G1495" t="s">
        <v>8</v>
      </c>
    </row>
    <row r="1496" spans="1:7" x14ac:dyDescent="0.3">
      <c r="A1496" t="s">
        <v>30</v>
      </c>
      <c r="B1496" s="1">
        <v>45961</v>
      </c>
      <c r="C1496">
        <v>350031</v>
      </c>
      <c r="D1496">
        <v>1298.943</v>
      </c>
      <c r="E1496" t="s">
        <v>4</v>
      </c>
      <c r="F1496" t="s">
        <v>43</v>
      </c>
      <c r="G1496" t="s">
        <v>8</v>
      </c>
    </row>
    <row r="1497" spans="1:7" x14ac:dyDescent="0.3">
      <c r="A1497" t="s">
        <v>30</v>
      </c>
      <c r="B1497" s="1">
        <v>45961</v>
      </c>
      <c r="C1497">
        <v>354012</v>
      </c>
      <c r="D1497">
        <v>349301.04800000001</v>
      </c>
      <c r="E1497" t="s">
        <v>4</v>
      </c>
      <c r="F1497" t="s">
        <v>46</v>
      </c>
      <c r="G1497" t="s">
        <v>8</v>
      </c>
    </row>
    <row r="1498" spans="1:7" x14ac:dyDescent="0.3">
      <c r="A1498" t="s">
        <v>30</v>
      </c>
      <c r="B1498" s="1">
        <v>45961</v>
      </c>
      <c r="C1498">
        <v>354014</v>
      </c>
      <c r="D1498">
        <v>35485.938999999998</v>
      </c>
      <c r="E1498" t="s">
        <v>4</v>
      </c>
      <c r="F1498" t="s">
        <v>46</v>
      </c>
      <c r="G1498" t="s">
        <v>8</v>
      </c>
    </row>
    <row r="1499" spans="1:7" x14ac:dyDescent="0.3">
      <c r="A1499" t="s">
        <v>30</v>
      </c>
      <c r="B1499" s="1">
        <v>45961</v>
      </c>
      <c r="C1499">
        <v>354015</v>
      </c>
      <c r="D1499">
        <v>15187.741</v>
      </c>
      <c r="E1499" t="s">
        <v>4</v>
      </c>
      <c r="F1499" t="s">
        <v>46</v>
      </c>
      <c r="G1499" t="s">
        <v>8</v>
      </c>
    </row>
    <row r="1500" spans="1:7" x14ac:dyDescent="0.3">
      <c r="A1500" t="s">
        <v>30</v>
      </c>
      <c r="B1500" s="1">
        <v>45961</v>
      </c>
      <c r="C1500">
        <v>355016</v>
      </c>
      <c r="D1500">
        <v>442.42200000000003</v>
      </c>
      <c r="E1500" t="s">
        <v>4</v>
      </c>
      <c r="F1500" t="s">
        <v>49</v>
      </c>
      <c r="G1500" t="s">
        <v>8</v>
      </c>
    </row>
    <row r="1501" spans="1:7" x14ac:dyDescent="0.3">
      <c r="A1501" t="s">
        <v>30</v>
      </c>
      <c r="B1501" s="1">
        <v>45961</v>
      </c>
      <c r="C1501">
        <v>360028</v>
      </c>
      <c r="D1501">
        <v>29140.216</v>
      </c>
      <c r="E1501" t="s">
        <v>4</v>
      </c>
      <c r="F1501" t="s">
        <v>58</v>
      </c>
      <c r="G1501" t="s">
        <v>8</v>
      </c>
    </row>
    <row r="1502" spans="1:7" x14ac:dyDescent="0.3">
      <c r="A1502" t="s">
        <v>30</v>
      </c>
      <c r="B1502" s="1">
        <v>45961</v>
      </c>
      <c r="C1502">
        <v>360030</v>
      </c>
      <c r="D1502">
        <v>9089.2459999999992</v>
      </c>
      <c r="E1502" t="s">
        <v>4</v>
      </c>
      <c r="F1502" t="s">
        <v>58</v>
      </c>
      <c r="G1502" t="s">
        <v>8</v>
      </c>
    </row>
    <row r="1503" spans="1:7" x14ac:dyDescent="0.3">
      <c r="A1503" t="s">
        <v>30</v>
      </c>
      <c r="B1503" s="1">
        <v>45961</v>
      </c>
      <c r="C1503">
        <v>360032</v>
      </c>
      <c r="D1503">
        <v>7866.3869999999997</v>
      </c>
      <c r="E1503" t="s">
        <v>4</v>
      </c>
      <c r="F1503" t="s">
        <v>58</v>
      </c>
      <c r="G1503" t="s">
        <v>8</v>
      </c>
    </row>
    <row r="1504" spans="1:7" x14ac:dyDescent="0.3">
      <c r="A1504" t="s">
        <v>30</v>
      </c>
      <c r="B1504" s="1">
        <v>45961</v>
      </c>
      <c r="C1504">
        <v>372004</v>
      </c>
      <c r="D1504">
        <v>36025.199000000001</v>
      </c>
      <c r="E1504" t="s">
        <v>4</v>
      </c>
      <c r="F1504" t="s">
        <v>45</v>
      </c>
      <c r="G1504" t="s">
        <v>8</v>
      </c>
    </row>
    <row r="1505" spans="1:7" x14ac:dyDescent="0.3">
      <c r="A1505" t="s">
        <v>30</v>
      </c>
      <c r="B1505" s="1">
        <v>45961</v>
      </c>
      <c r="C1505">
        <v>400002</v>
      </c>
      <c r="D1505">
        <v>-23222.401999999998</v>
      </c>
      <c r="E1505" t="s">
        <v>6</v>
      </c>
      <c r="F1505" t="s">
        <v>50</v>
      </c>
      <c r="G1505" t="s">
        <v>8</v>
      </c>
    </row>
    <row r="1506" spans="1:7" x14ac:dyDescent="0.3">
      <c r="A1506" t="s">
        <v>30</v>
      </c>
      <c r="B1506" s="1">
        <v>45961</v>
      </c>
      <c r="C1506">
        <v>400004</v>
      </c>
      <c r="D1506">
        <v>-95506.092999999993</v>
      </c>
      <c r="E1506" t="s">
        <v>6</v>
      </c>
      <c r="F1506" t="s">
        <v>50</v>
      </c>
      <c r="G1506" t="s">
        <v>8</v>
      </c>
    </row>
    <row r="1507" spans="1:7" x14ac:dyDescent="0.3">
      <c r="A1507" t="s">
        <v>30</v>
      </c>
      <c r="B1507" s="1">
        <v>45961</v>
      </c>
      <c r="C1507">
        <v>410002</v>
      </c>
      <c r="D1507">
        <v>-36065.355000000003</v>
      </c>
      <c r="E1507" t="s">
        <v>6</v>
      </c>
      <c r="F1507" t="s">
        <v>51</v>
      </c>
      <c r="G1507" t="s">
        <v>8</v>
      </c>
    </row>
    <row r="1508" spans="1:7" x14ac:dyDescent="0.3">
      <c r="A1508" t="s">
        <v>30</v>
      </c>
      <c r="B1508" s="1">
        <v>45961</v>
      </c>
      <c r="C1508">
        <v>410005</v>
      </c>
      <c r="D1508">
        <v>-10539.264999999999</v>
      </c>
      <c r="E1508" t="s">
        <v>6</v>
      </c>
      <c r="F1508" t="s">
        <v>51</v>
      </c>
      <c r="G1508" t="s">
        <v>8</v>
      </c>
    </row>
    <row r="1509" spans="1:7" x14ac:dyDescent="0.3">
      <c r="A1509" t="s">
        <v>30</v>
      </c>
      <c r="B1509" s="1">
        <v>45961</v>
      </c>
      <c r="C1509">
        <v>410006</v>
      </c>
      <c r="D1509">
        <v>-64969.074999999997</v>
      </c>
      <c r="E1509" t="s">
        <v>6</v>
      </c>
      <c r="F1509" t="s">
        <v>51</v>
      </c>
      <c r="G1509" t="s">
        <v>8</v>
      </c>
    </row>
    <row r="1510" spans="1:7" x14ac:dyDescent="0.3">
      <c r="A1510" t="s">
        <v>30</v>
      </c>
      <c r="B1510" s="1">
        <v>45961</v>
      </c>
      <c r="C1510">
        <v>410009</v>
      </c>
      <c r="D1510">
        <v>-27918.210999999999</v>
      </c>
      <c r="E1510" t="s">
        <v>6</v>
      </c>
      <c r="F1510" t="s">
        <v>51</v>
      </c>
      <c r="G1510" t="s">
        <v>8</v>
      </c>
    </row>
    <row r="1511" spans="1:7" x14ac:dyDescent="0.3">
      <c r="A1511" t="s">
        <v>30</v>
      </c>
      <c r="B1511" s="1">
        <v>45961</v>
      </c>
      <c r="C1511">
        <v>410015</v>
      </c>
      <c r="D1511">
        <v>-4657.5659999999998</v>
      </c>
      <c r="E1511" t="s">
        <v>6</v>
      </c>
      <c r="F1511" t="s">
        <v>51</v>
      </c>
      <c r="G1511" t="s">
        <v>8</v>
      </c>
    </row>
    <row r="1512" spans="1:7" x14ac:dyDescent="0.3">
      <c r="A1512" t="s">
        <v>30</v>
      </c>
      <c r="B1512" s="1">
        <v>45961</v>
      </c>
      <c r="C1512">
        <v>410018</v>
      </c>
      <c r="D1512">
        <v>-2888.473</v>
      </c>
      <c r="E1512" t="s">
        <v>6</v>
      </c>
      <c r="F1512" t="s">
        <v>51</v>
      </c>
      <c r="G1512" t="s">
        <v>8</v>
      </c>
    </row>
    <row r="1513" spans="1:7" x14ac:dyDescent="0.3">
      <c r="A1513" t="s">
        <v>30</v>
      </c>
      <c r="B1513" s="1">
        <v>45961</v>
      </c>
      <c r="C1513">
        <v>410036</v>
      </c>
      <c r="D1513">
        <v>-2126.3090000000002</v>
      </c>
      <c r="E1513" t="s">
        <v>6</v>
      </c>
      <c r="F1513" t="s">
        <v>51</v>
      </c>
      <c r="G1513" t="s">
        <v>8</v>
      </c>
    </row>
    <row r="1514" spans="1:7" x14ac:dyDescent="0.3">
      <c r="A1514" t="s">
        <v>30</v>
      </c>
      <c r="B1514" s="1">
        <v>45961</v>
      </c>
      <c r="C1514">
        <v>410037</v>
      </c>
      <c r="D1514">
        <v>-138966.45300000001</v>
      </c>
      <c r="E1514" t="s">
        <v>6</v>
      </c>
      <c r="F1514" t="s">
        <v>51</v>
      </c>
      <c r="G1514" t="s">
        <v>8</v>
      </c>
    </row>
    <row r="1515" spans="1:7" x14ac:dyDescent="0.3">
      <c r="A1515" t="s">
        <v>30</v>
      </c>
      <c r="B1515" s="1">
        <v>45961</v>
      </c>
      <c r="C1515">
        <v>410039</v>
      </c>
      <c r="D1515">
        <v>-35516.970999999998</v>
      </c>
      <c r="E1515" t="s">
        <v>6</v>
      </c>
      <c r="F1515" t="s">
        <v>51</v>
      </c>
      <c r="G1515" t="s">
        <v>8</v>
      </c>
    </row>
    <row r="1516" spans="1:7" x14ac:dyDescent="0.3">
      <c r="A1516" t="s">
        <v>30</v>
      </c>
      <c r="B1516" s="1">
        <v>45961</v>
      </c>
      <c r="C1516">
        <v>410040</v>
      </c>
      <c r="D1516">
        <v>-502.30599999999998</v>
      </c>
      <c r="E1516" t="s">
        <v>6</v>
      </c>
      <c r="F1516" t="s">
        <v>51</v>
      </c>
      <c r="G1516" t="s">
        <v>8</v>
      </c>
    </row>
    <row r="1517" spans="1:7" x14ac:dyDescent="0.3">
      <c r="A1517" t="s">
        <v>30</v>
      </c>
      <c r="B1517" s="1">
        <v>45961</v>
      </c>
      <c r="C1517">
        <v>415002</v>
      </c>
      <c r="D1517">
        <v>-259907.26800000001</v>
      </c>
      <c r="E1517" t="s">
        <v>6</v>
      </c>
      <c r="F1517" t="s">
        <v>50</v>
      </c>
      <c r="G1517" t="s">
        <v>8</v>
      </c>
    </row>
    <row r="1518" spans="1:7" x14ac:dyDescent="0.3">
      <c r="A1518" t="s">
        <v>30</v>
      </c>
      <c r="B1518" s="1">
        <v>45961</v>
      </c>
      <c r="C1518">
        <v>415004</v>
      </c>
      <c r="D1518">
        <v>-617039.55799999996</v>
      </c>
      <c r="E1518" t="s">
        <v>6</v>
      </c>
      <c r="F1518" t="s">
        <v>50</v>
      </c>
      <c r="G1518" t="s">
        <v>8</v>
      </c>
    </row>
    <row r="1519" spans="1:7" x14ac:dyDescent="0.3">
      <c r="A1519" t="s">
        <v>30</v>
      </c>
      <c r="B1519" s="1">
        <v>45961</v>
      </c>
      <c r="C1519">
        <v>418003</v>
      </c>
      <c r="D1519">
        <v>1E-3</v>
      </c>
      <c r="E1519" t="s">
        <v>6</v>
      </c>
      <c r="F1519" t="s">
        <v>51</v>
      </c>
      <c r="G1519" t="s">
        <v>8</v>
      </c>
    </row>
    <row r="1520" spans="1:7" x14ac:dyDescent="0.3">
      <c r="A1520" t="s">
        <v>30</v>
      </c>
      <c r="B1520" s="1">
        <v>45961</v>
      </c>
      <c r="C1520">
        <v>421002</v>
      </c>
      <c r="D1520">
        <v>-31108.329000000002</v>
      </c>
      <c r="E1520" t="s">
        <v>6</v>
      </c>
      <c r="F1520" t="s">
        <v>52</v>
      </c>
      <c r="G1520" t="s">
        <v>8</v>
      </c>
    </row>
    <row r="1521" spans="1:7" x14ac:dyDescent="0.3">
      <c r="A1521" t="s">
        <v>30</v>
      </c>
      <c r="B1521" s="1">
        <v>45961</v>
      </c>
      <c r="C1521">
        <v>421003</v>
      </c>
      <c r="D1521">
        <v>45132.131000000001</v>
      </c>
      <c r="E1521" t="s">
        <v>6</v>
      </c>
      <c r="F1521" t="s">
        <v>52</v>
      </c>
      <c r="G1521" t="s">
        <v>8</v>
      </c>
    </row>
    <row r="1522" spans="1:7" x14ac:dyDescent="0.3">
      <c r="A1522" t="s">
        <v>30</v>
      </c>
      <c r="B1522" s="1">
        <v>45961</v>
      </c>
      <c r="C1522">
        <v>421004</v>
      </c>
      <c r="D1522">
        <v>1532.6579999999999</v>
      </c>
      <c r="E1522" t="s">
        <v>6</v>
      </c>
      <c r="F1522" t="s">
        <v>52</v>
      </c>
      <c r="G1522" t="s">
        <v>8</v>
      </c>
    </row>
    <row r="1523" spans="1:7" x14ac:dyDescent="0.3">
      <c r="A1523" t="s">
        <v>30</v>
      </c>
      <c r="B1523" s="1">
        <v>45961</v>
      </c>
      <c r="C1523">
        <v>421007</v>
      </c>
      <c r="D1523">
        <v>7981.7849999999999</v>
      </c>
      <c r="E1523" t="s">
        <v>6</v>
      </c>
      <c r="F1523" t="s">
        <v>52</v>
      </c>
      <c r="G1523" t="s">
        <v>8</v>
      </c>
    </row>
    <row r="1524" spans="1:7" x14ac:dyDescent="0.3">
      <c r="A1524" t="s">
        <v>30</v>
      </c>
      <c r="B1524" s="1">
        <v>45961</v>
      </c>
      <c r="C1524">
        <v>423002</v>
      </c>
      <c r="D1524">
        <v>-5152.4440000000004</v>
      </c>
      <c r="E1524" t="s">
        <v>6</v>
      </c>
      <c r="F1524" t="s">
        <v>52</v>
      </c>
      <c r="G1524" t="s">
        <v>8</v>
      </c>
    </row>
    <row r="1525" spans="1:7" x14ac:dyDescent="0.3">
      <c r="A1525" t="s">
        <v>30</v>
      </c>
      <c r="B1525" s="1">
        <v>45961</v>
      </c>
      <c r="C1525">
        <v>510002</v>
      </c>
      <c r="D1525">
        <v>83044.548999999999</v>
      </c>
      <c r="E1525" t="s">
        <v>6</v>
      </c>
      <c r="F1525" t="s">
        <v>53</v>
      </c>
      <c r="G1525" t="s">
        <v>8</v>
      </c>
    </row>
    <row r="1526" spans="1:7" x14ac:dyDescent="0.3">
      <c r="A1526" t="s">
        <v>30</v>
      </c>
      <c r="B1526" s="1">
        <v>45961</v>
      </c>
      <c r="C1526">
        <v>510005</v>
      </c>
      <c r="D1526">
        <v>333.16199999999998</v>
      </c>
      <c r="E1526" t="s">
        <v>6</v>
      </c>
      <c r="F1526" t="s">
        <v>53</v>
      </c>
      <c r="G1526" t="s">
        <v>8</v>
      </c>
    </row>
    <row r="1527" spans="1:7" x14ac:dyDescent="0.3">
      <c r="A1527" t="s">
        <v>30</v>
      </c>
      <c r="B1527" s="1">
        <v>45961</v>
      </c>
      <c r="C1527">
        <v>510007</v>
      </c>
      <c r="D1527">
        <v>942.15300000000002</v>
      </c>
      <c r="E1527" t="s">
        <v>6</v>
      </c>
      <c r="F1527" t="s">
        <v>53</v>
      </c>
      <c r="G1527" t="s">
        <v>8</v>
      </c>
    </row>
    <row r="1528" spans="1:7" x14ac:dyDescent="0.3">
      <c r="A1528" t="s">
        <v>30</v>
      </c>
      <c r="B1528" s="1">
        <v>45961</v>
      </c>
      <c r="C1528">
        <v>510062</v>
      </c>
      <c r="D1528">
        <v>84.385999999999996</v>
      </c>
      <c r="E1528" t="s">
        <v>6</v>
      </c>
      <c r="F1528" t="s">
        <v>53</v>
      </c>
      <c r="G1528" t="s">
        <v>8</v>
      </c>
    </row>
    <row r="1529" spans="1:7" x14ac:dyDescent="0.3">
      <c r="A1529" t="s">
        <v>30</v>
      </c>
      <c r="B1529" s="1">
        <v>45961</v>
      </c>
      <c r="C1529">
        <v>510065</v>
      </c>
      <c r="D1529">
        <v>177.38800000000001</v>
      </c>
      <c r="E1529" t="s">
        <v>6</v>
      </c>
      <c r="F1529" t="s">
        <v>53</v>
      </c>
      <c r="G1529" t="s">
        <v>8</v>
      </c>
    </row>
    <row r="1530" spans="1:7" x14ac:dyDescent="0.3">
      <c r="A1530" t="s">
        <v>30</v>
      </c>
      <c r="B1530" s="1">
        <v>45961</v>
      </c>
      <c r="C1530">
        <v>520011</v>
      </c>
      <c r="D1530">
        <v>6083.0649999999996</v>
      </c>
      <c r="E1530" t="s">
        <v>6</v>
      </c>
      <c r="F1530" t="s">
        <v>53</v>
      </c>
      <c r="G1530" t="s">
        <v>8</v>
      </c>
    </row>
    <row r="1531" spans="1:7" x14ac:dyDescent="0.3">
      <c r="A1531" t="s">
        <v>30</v>
      </c>
      <c r="B1531" s="1">
        <v>45961</v>
      </c>
      <c r="C1531">
        <v>520021</v>
      </c>
      <c r="D1531">
        <v>3.15</v>
      </c>
      <c r="E1531" t="s">
        <v>6</v>
      </c>
      <c r="F1531" t="s">
        <v>60</v>
      </c>
      <c r="G1531" t="s">
        <v>8</v>
      </c>
    </row>
    <row r="1532" spans="1:7" x14ac:dyDescent="0.3">
      <c r="A1532" t="s">
        <v>30</v>
      </c>
      <c r="B1532" s="1">
        <v>45961</v>
      </c>
      <c r="C1532">
        <v>540004</v>
      </c>
      <c r="D1532">
        <v>293.70400000000001</v>
      </c>
      <c r="E1532" t="s">
        <v>6</v>
      </c>
      <c r="F1532" t="s">
        <v>67</v>
      </c>
      <c r="G1532" t="s">
        <v>8</v>
      </c>
    </row>
    <row r="1533" spans="1:7" x14ac:dyDescent="0.3">
      <c r="A1533" t="s">
        <v>30</v>
      </c>
      <c r="B1533" s="1">
        <v>45961</v>
      </c>
      <c r="C1533">
        <v>540009</v>
      </c>
      <c r="D1533">
        <v>16365.904</v>
      </c>
      <c r="E1533" t="s">
        <v>6</v>
      </c>
      <c r="F1533" t="s">
        <v>59</v>
      </c>
      <c r="G1533" t="s">
        <v>8</v>
      </c>
    </row>
    <row r="1534" spans="1:7" x14ac:dyDescent="0.3">
      <c r="A1534" t="s">
        <v>30</v>
      </c>
      <c r="B1534" s="1">
        <v>45961</v>
      </c>
      <c r="C1534">
        <v>541003</v>
      </c>
      <c r="D1534">
        <v>454.30200000000002</v>
      </c>
      <c r="E1534" t="s">
        <v>6</v>
      </c>
      <c r="F1534" t="s">
        <v>61</v>
      </c>
      <c r="G1534" t="s">
        <v>8</v>
      </c>
    </row>
    <row r="1535" spans="1:7" x14ac:dyDescent="0.3">
      <c r="A1535" t="s">
        <v>30</v>
      </c>
      <c r="B1535" s="1">
        <v>45961</v>
      </c>
      <c r="C1535">
        <v>541004</v>
      </c>
      <c r="D1535">
        <v>441.95800000000003</v>
      </c>
      <c r="E1535" t="s">
        <v>6</v>
      </c>
      <c r="F1535" t="s">
        <v>61</v>
      </c>
      <c r="G1535" t="s">
        <v>8</v>
      </c>
    </row>
    <row r="1536" spans="1:7" x14ac:dyDescent="0.3">
      <c r="A1536" t="s">
        <v>30</v>
      </c>
      <c r="B1536" s="1">
        <v>45961</v>
      </c>
      <c r="C1536">
        <v>541009</v>
      </c>
      <c r="D1536">
        <v>5698.7349999999997</v>
      </c>
      <c r="E1536" t="s">
        <v>6</v>
      </c>
      <c r="F1536" t="s">
        <v>61</v>
      </c>
      <c r="G1536" t="s">
        <v>8</v>
      </c>
    </row>
    <row r="1537" spans="1:7" x14ac:dyDescent="0.3">
      <c r="A1537" t="s">
        <v>30</v>
      </c>
      <c r="B1537" s="1">
        <v>45961</v>
      </c>
      <c r="C1537">
        <v>541010</v>
      </c>
      <c r="D1537">
        <v>2990.674</v>
      </c>
      <c r="E1537" t="s">
        <v>6</v>
      </c>
      <c r="F1537" t="s">
        <v>61</v>
      </c>
      <c r="G1537" t="s">
        <v>8</v>
      </c>
    </row>
    <row r="1538" spans="1:7" x14ac:dyDescent="0.3">
      <c r="A1538" t="s">
        <v>30</v>
      </c>
      <c r="B1538" s="1">
        <v>45961</v>
      </c>
      <c r="C1538">
        <v>544003</v>
      </c>
      <c r="D1538">
        <v>124.395</v>
      </c>
      <c r="E1538" t="s">
        <v>6</v>
      </c>
      <c r="F1538" t="s">
        <v>61</v>
      </c>
      <c r="G1538" t="s">
        <v>8</v>
      </c>
    </row>
    <row r="1539" spans="1:7" x14ac:dyDescent="0.3">
      <c r="A1539" t="s">
        <v>30</v>
      </c>
      <c r="B1539" s="1">
        <v>45961</v>
      </c>
      <c r="C1539">
        <v>546002</v>
      </c>
      <c r="D1539">
        <v>627040.15</v>
      </c>
      <c r="E1539" t="s">
        <v>6</v>
      </c>
      <c r="F1539" t="s">
        <v>51</v>
      </c>
      <c r="G1539" t="s">
        <v>8</v>
      </c>
    </row>
    <row r="1540" spans="1:7" x14ac:dyDescent="0.3">
      <c r="A1540" t="s">
        <v>30</v>
      </c>
      <c r="B1540" s="1">
        <v>45961</v>
      </c>
      <c r="C1540">
        <v>546008</v>
      </c>
      <c r="D1540">
        <v>12063.124</v>
      </c>
      <c r="E1540" t="s">
        <v>6</v>
      </c>
      <c r="F1540" t="s">
        <v>51</v>
      </c>
      <c r="G1540" t="s">
        <v>8</v>
      </c>
    </row>
    <row r="1541" spans="1:7" x14ac:dyDescent="0.3">
      <c r="A1541" t="s">
        <v>30</v>
      </c>
      <c r="B1541" s="1">
        <v>45961</v>
      </c>
      <c r="C1541">
        <v>546013</v>
      </c>
      <c r="D1541">
        <v>118094.14599999999</v>
      </c>
      <c r="E1541" t="s">
        <v>6</v>
      </c>
      <c r="F1541" t="s">
        <v>51</v>
      </c>
      <c r="G1541" t="s">
        <v>8</v>
      </c>
    </row>
    <row r="1542" spans="1:7" x14ac:dyDescent="0.3">
      <c r="A1542" t="s">
        <v>30</v>
      </c>
      <c r="B1542" s="1">
        <v>45961</v>
      </c>
      <c r="C1542">
        <v>546015</v>
      </c>
      <c r="D1542">
        <v>49778.303</v>
      </c>
      <c r="E1542" t="s">
        <v>6</v>
      </c>
      <c r="F1542" t="s">
        <v>51</v>
      </c>
      <c r="G1542" t="s">
        <v>8</v>
      </c>
    </row>
    <row r="1543" spans="1:7" x14ac:dyDescent="0.3">
      <c r="A1543" t="s">
        <v>30</v>
      </c>
      <c r="B1543" s="1">
        <v>45961</v>
      </c>
      <c r="C1543">
        <v>546022</v>
      </c>
      <c r="D1543">
        <v>25193.89</v>
      </c>
      <c r="E1543" t="s">
        <v>6</v>
      </c>
      <c r="F1543" t="s">
        <v>51</v>
      </c>
      <c r="G1543" t="s">
        <v>8</v>
      </c>
    </row>
    <row r="1544" spans="1:7" x14ac:dyDescent="0.3">
      <c r="A1544" t="s">
        <v>30</v>
      </c>
      <c r="B1544" s="1">
        <v>45961</v>
      </c>
      <c r="C1544">
        <v>546024</v>
      </c>
      <c r="D1544">
        <v>1996.674</v>
      </c>
      <c r="E1544" t="s">
        <v>6</v>
      </c>
      <c r="F1544" t="s">
        <v>51</v>
      </c>
      <c r="G1544" t="s">
        <v>8</v>
      </c>
    </row>
    <row r="1545" spans="1:7" x14ac:dyDescent="0.3">
      <c r="A1545" t="s">
        <v>30</v>
      </c>
      <c r="B1545" s="1">
        <v>45961</v>
      </c>
      <c r="C1545">
        <v>546040</v>
      </c>
      <c r="D1545">
        <v>40098.406000000003</v>
      </c>
      <c r="E1545" t="s">
        <v>6</v>
      </c>
      <c r="F1545" t="s">
        <v>51</v>
      </c>
      <c r="G1545" t="s">
        <v>8</v>
      </c>
    </row>
    <row r="1546" spans="1:7" x14ac:dyDescent="0.3">
      <c r="A1546" t="s">
        <v>30</v>
      </c>
      <c r="B1546" s="1">
        <v>45961</v>
      </c>
      <c r="C1546">
        <v>546045</v>
      </c>
      <c r="D1546">
        <v>34525.78</v>
      </c>
      <c r="E1546" t="s">
        <v>6</v>
      </c>
      <c r="F1546" t="s">
        <v>51</v>
      </c>
      <c r="G1546" t="s">
        <v>8</v>
      </c>
    </row>
    <row r="1547" spans="1:7" x14ac:dyDescent="0.3">
      <c r="A1547" t="s">
        <v>30</v>
      </c>
      <c r="B1547" s="1">
        <v>45961</v>
      </c>
      <c r="C1547">
        <v>546046</v>
      </c>
      <c r="D1547">
        <v>3790.0329999999999</v>
      </c>
      <c r="E1547" t="s">
        <v>6</v>
      </c>
      <c r="F1547" t="s">
        <v>51</v>
      </c>
      <c r="G1547" t="s">
        <v>8</v>
      </c>
    </row>
    <row r="1548" spans="1:7" x14ac:dyDescent="0.3">
      <c r="A1548" t="s">
        <v>30</v>
      </c>
      <c r="B1548" s="1">
        <v>45961</v>
      </c>
      <c r="C1548">
        <v>546047</v>
      </c>
      <c r="D1548">
        <v>336.69900000000001</v>
      </c>
      <c r="E1548" t="s">
        <v>6</v>
      </c>
      <c r="F1548" t="s">
        <v>51</v>
      </c>
      <c r="G1548" t="s">
        <v>8</v>
      </c>
    </row>
    <row r="1549" spans="1:7" x14ac:dyDescent="0.3">
      <c r="A1549" t="s">
        <v>30</v>
      </c>
      <c r="B1549" s="1">
        <v>45961</v>
      </c>
      <c r="C1549">
        <v>550002</v>
      </c>
      <c r="D1549">
        <v>132131.435</v>
      </c>
      <c r="E1549" t="s">
        <v>6</v>
      </c>
      <c r="F1549" t="s">
        <v>62</v>
      </c>
      <c r="G1549" t="s">
        <v>8</v>
      </c>
    </row>
    <row r="1550" spans="1:7" x14ac:dyDescent="0.3">
      <c r="A1550" t="s">
        <v>30</v>
      </c>
      <c r="B1550" s="1">
        <v>45961</v>
      </c>
      <c r="C1550">
        <v>550003</v>
      </c>
      <c r="D1550">
        <v>156685.92600000001</v>
      </c>
      <c r="E1550" t="s">
        <v>6</v>
      </c>
      <c r="F1550" t="s">
        <v>62</v>
      </c>
      <c r="G1550" t="s">
        <v>8</v>
      </c>
    </row>
    <row r="1551" spans="1:7" x14ac:dyDescent="0.3">
      <c r="A1551" t="s">
        <v>30</v>
      </c>
      <c r="B1551" s="1">
        <v>45961</v>
      </c>
      <c r="C1551">
        <v>551011</v>
      </c>
      <c r="D1551">
        <v>393.87400000000002</v>
      </c>
      <c r="E1551" t="s">
        <v>6</v>
      </c>
      <c r="F1551" t="s">
        <v>61</v>
      </c>
      <c r="G1551" t="s">
        <v>8</v>
      </c>
    </row>
    <row r="1552" spans="1:7" x14ac:dyDescent="0.3">
      <c r="A1552" t="s">
        <v>30</v>
      </c>
      <c r="B1552" s="1">
        <v>45961</v>
      </c>
      <c r="C1552">
        <v>555007</v>
      </c>
      <c r="D1552">
        <v>457.29300000000001</v>
      </c>
      <c r="E1552" t="s">
        <v>6</v>
      </c>
      <c r="F1552" t="s">
        <v>55</v>
      </c>
      <c r="G1552" t="s">
        <v>8</v>
      </c>
    </row>
    <row r="1553" spans="1:7" x14ac:dyDescent="0.3">
      <c r="A1553" t="s">
        <v>30</v>
      </c>
      <c r="B1553" s="1">
        <v>45961</v>
      </c>
      <c r="C1553">
        <v>556002</v>
      </c>
      <c r="D1553">
        <v>13.59</v>
      </c>
      <c r="E1553" t="s">
        <v>6</v>
      </c>
      <c r="F1553" t="s">
        <v>60</v>
      </c>
      <c r="G1553" t="s">
        <v>8</v>
      </c>
    </row>
    <row r="1554" spans="1:7" x14ac:dyDescent="0.3">
      <c r="A1554" t="s">
        <v>30</v>
      </c>
      <c r="B1554" s="1">
        <v>45961</v>
      </c>
      <c r="C1554">
        <v>557002</v>
      </c>
      <c r="D1554">
        <v>2473.89</v>
      </c>
      <c r="E1554" t="s">
        <v>6</v>
      </c>
      <c r="F1554" t="s">
        <v>56</v>
      </c>
      <c r="G1554" t="s">
        <v>8</v>
      </c>
    </row>
    <row r="1555" spans="1:7" x14ac:dyDescent="0.3">
      <c r="A1555" t="s">
        <v>30</v>
      </c>
      <c r="B1555" s="1">
        <v>45961</v>
      </c>
      <c r="C1555">
        <v>557003</v>
      </c>
      <c r="D1555">
        <v>906.58799999999997</v>
      </c>
      <c r="E1555" t="s">
        <v>6</v>
      </c>
      <c r="F1555" t="s">
        <v>56</v>
      </c>
      <c r="G1555" t="s">
        <v>8</v>
      </c>
    </row>
    <row r="1556" spans="1:7" x14ac:dyDescent="0.3">
      <c r="A1556" t="s">
        <v>30</v>
      </c>
      <c r="B1556" s="1">
        <v>45961</v>
      </c>
      <c r="C1556">
        <v>558012</v>
      </c>
      <c r="D1556">
        <v>1.2150000000000001</v>
      </c>
      <c r="E1556" t="s">
        <v>6</v>
      </c>
      <c r="F1556" t="s">
        <v>60</v>
      </c>
      <c r="G1556" t="s">
        <v>8</v>
      </c>
    </row>
    <row r="1557" spans="1:7" x14ac:dyDescent="0.3">
      <c r="A1557" t="s">
        <v>30</v>
      </c>
      <c r="B1557" s="1">
        <v>45961</v>
      </c>
      <c r="C1557">
        <v>560008</v>
      </c>
      <c r="D1557">
        <v>490.14499999999998</v>
      </c>
      <c r="E1557" t="s">
        <v>6</v>
      </c>
      <c r="F1557" t="s">
        <v>56</v>
      </c>
      <c r="G1557" t="s">
        <v>8</v>
      </c>
    </row>
    <row r="1558" spans="1:7" x14ac:dyDescent="0.3">
      <c r="A1558" t="s">
        <v>30</v>
      </c>
      <c r="B1558" s="1">
        <v>45961</v>
      </c>
      <c r="C1558">
        <v>563002</v>
      </c>
      <c r="D1558">
        <v>2707.797</v>
      </c>
      <c r="E1558" t="s">
        <v>6</v>
      </c>
      <c r="F1558" t="s">
        <v>57</v>
      </c>
      <c r="G1558" t="s">
        <v>8</v>
      </c>
    </row>
    <row r="1559" spans="1:7" x14ac:dyDescent="0.3">
      <c r="A1559" t="s">
        <v>30</v>
      </c>
      <c r="B1559" s="1">
        <v>45961</v>
      </c>
      <c r="C1559">
        <v>564004</v>
      </c>
      <c r="D1559">
        <v>9101.2960000000003</v>
      </c>
      <c r="E1559" t="s">
        <v>6</v>
      </c>
      <c r="F1559" t="s">
        <v>51</v>
      </c>
      <c r="G1559" t="s">
        <v>8</v>
      </c>
    </row>
    <row r="1560" spans="1:7" x14ac:dyDescent="0.3">
      <c r="A1560" t="s">
        <v>30</v>
      </c>
      <c r="B1560" s="1">
        <v>45961</v>
      </c>
      <c r="C1560">
        <v>564006</v>
      </c>
      <c r="D1560">
        <v>-1E-3</v>
      </c>
      <c r="E1560" t="s">
        <v>6</v>
      </c>
      <c r="F1560" t="s">
        <v>57</v>
      </c>
      <c r="G1560" t="s">
        <v>8</v>
      </c>
    </row>
    <row r="1561" spans="1:7" x14ac:dyDescent="0.3">
      <c r="A1561" t="s">
        <v>30</v>
      </c>
      <c r="B1561" s="1">
        <v>45961</v>
      </c>
      <c r="C1561">
        <v>564008</v>
      </c>
      <c r="D1561">
        <v>-3246.36</v>
      </c>
      <c r="E1561" t="s">
        <v>6</v>
      </c>
      <c r="F1561" t="s">
        <v>55</v>
      </c>
      <c r="G1561" t="s">
        <v>8</v>
      </c>
    </row>
    <row r="1562" spans="1:7" x14ac:dyDescent="0.3">
      <c r="A1562" t="s">
        <v>30</v>
      </c>
      <c r="B1562" s="1">
        <v>45961</v>
      </c>
      <c r="C1562">
        <v>564020</v>
      </c>
      <c r="D1562">
        <v>124.038</v>
      </c>
      <c r="E1562" t="s">
        <v>6</v>
      </c>
      <c r="F1562" t="s">
        <v>57</v>
      </c>
      <c r="G1562" t="s">
        <v>8</v>
      </c>
    </row>
    <row r="1563" spans="1:7" x14ac:dyDescent="0.3">
      <c r="A1563" t="s">
        <v>30</v>
      </c>
      <c r="B1563" s="1">
        <v>45961</v>
      </c>
      <c r="C1563">
        <v>570002</v>
      </c>
      <c r="D1563">
        <v>154.29499999999999</v>
      </c>
      <c r="E1563" t="s">
        <v>6</v>
      </c>
      <c r="F1563" t="s">
        <v>66</v>
      </c>
      <c r="G1563" t="s">
        <v>8</v>
      </c>
    </row>
    <row r="1564" spans="1:7" x14ac:dyDescent="0.3">
      <c r="A1564" t="s">
        <v>31</v>
      </c>
      <c r="B1564" s="1">
        <v>45961</v>
      </c>
      <c r="C1564">
        <v>210002</v>
      </c>
      <c r="D1564">
        <v>-22075.921999999999</v>
      </c>
      <c r="E1564" t="s">
        <v>4</v>
      </c>
      <c r="F1564" t="s">
        <v>42</v>
      </c>
      <c r="G1564" t="s">
        <v>8</v>
      </c>
    </row>
    <row r="1565" spans="1:7" x14ac:dyDescent="0.3">
      <c r="A1565" t="s">
        <v>31</v>
      </c>
      <c r="B1565" s="1">
        <v>45961</v>
      </c>
      <c r="C1565">
        <v>220006</v>
      </c>
      <c r="D1565">
        <v>-156393.27799999999</v>
      </c>
      <c r="E1565" t="s">
        <v>4</v>
      </c>
      <c r="F1565" t="s">
        <v>42</v>
      </c>
      <c r="G1565" t="s">
        <v>8</v>
      </c>
    </row>
    <row r="1566" spans="1:7" x14ac:dyDescent="0.3">
      <c r="A1566" t="s">
        <v>31</v>
      </c>
      <c r="B1566" s="1">
        <v>45961</v>
      </c>
      <c r="C1566">
        <v>240002</v>
      </c>
      <c r="D1566">
        <v>6928.942</v>
      </c>
      <c r="E1566" t="s">
        <v>4</v>
      </c>
      <c r="F1566" t="s">
        <v>43</v>
      </c>
      <c r="G1566" t="s">
        <v>8</v>
      </c>
    </row>
    <row r="1567" spans="1:7" x14ac:dyDescent="0.3">
      <c r="A1567" t="s">
        <v>31</v>
      </c>
      <c r="B1567" s="1">
        <v>45961</v>
      </c>
      <c r="C1567">
        <v>240003</v>
      </c>
      <c r="D1567">
        <v>-700.08299999999997</v>
      </c>
      <c r="E1567" t="s">
        <v>4</v>
      </c>
      <c r="F1567" t="s">
        <v>43</v>
      </c>
      <c r="G1567" t="s">
        <v>8</v>
      </c>
    </row>
    <row r="1568" spans="1:7" x14ac:dyDescent="0.3">
      <c r="A1568" t="s">
        <v>31</v>
      </c>
      <c r="B1568" s="1">
        <v>45961</v>
      </c>
      <c r="C1568">
        <v>240009</v>
      </c>
      <c r="D1568">
        <v>-7816.326</v>
      </c>
      <c r="E1568" t="s">
        <v>4</v>
      </c>
      <c r="F1568" t="s">
        <v>43</v>
      </c>
      <c r="G1568" t="s">
        <v>8</v>
      </c>
    </row>
    <row r="1569" spans="1:7" x14ac:dyDescent="0.3">
      <c r="A1569" t="s">
        <v>31</v>
      </c>
      <c r="B1569" s="1">
        <v>45961</v>
      </c>
      <c r="C1569">
        <v>242003</v>
      </c>
      <c r="D1569">
        <v>-300107.31</v>
      </c>
      <c r="E1569" t="s">
        <v>4</v>
      </c>
      <c r="F1569" t="s">
        <v>43</v>
      </c>
      <c r="G1569" t="s">
        <v>8</v>
      </c>
    </row>
    <row r="1570" spans="1:7" x14ac:dyDescent="0.3">
      <c r="A1570" t="s">
        <v>31</v>
      </c>
      <c r="B1570" s="1">
        <v>45961</v>
      </c>
      <c r="C1570">
        <v>242011</v>
      </c>
      <c r="D1570">
        <v>-58994.103000000003</v>
      </c>
      <c r="E1570" t="s">
        <v>4</v>
      </c>
      <c r="F1570" t="s">
        <v>43</v>
      </c>
      <c r="G1570" t="s">
        <v>8</v>
      </c>
    </row>
    <row r="1571" spans="1:7" x14ac:dyDescent="0.3">
      <c r="A1571" t="s">
        <v>31</v>
      </c>
      <c r="B1571" s="1">
        <v>45961</v>
      </c>
      <c r="C1571">
        <v>242014</v>
      </c>
      <c r="D1571">
        <v>-10.978</v>
      </c>
      <c r="E1571" t="s">
        <v>4</v>
      </c>
      <c r="F1571" t="s">
        <v>43</v>
      </c>
      <c r="G1571" t="s">
        <v>8</v>
      </c>
    </row>
    <row r="1572" spans="1:7" x14ac:dyDescent="0.3">
      <c r="A1572" t="s">
        <v>31</v>
      </c>
      <c r="B1572" s="1">
        <v>45961</v>
      </c>
      <c r="C1572">
        <v>242018</v>
      </c>
      <c r="D1572">
        <v>-8841.73</v>
      </c>
      <c r="E1572" t="s">
        <v>4</v>
      </c>
      <c r="F1572" t="s">
        <v>43</v>
      </c>
      <c r="G1572" t="s">
        <v>8</v>
      </c>
    </row>
    <row r="1573" spans="1:7" x14ac:dyDescent="0.3">
      <c r="A1573" t="s">
        <v>31</v>
      </c>
      <c r="B1573" s="1">
        <v>45961</v>
      </c>
      <c r="C1573">
        <v>242027</v>
      </c>
      <c r="D1573">
        <v>-15441.767</v>
      </c>
      <c r="E1573" t="s">
        <v>4</v>
      </c>
      <c r="F1573" t="s">
        <v>43</v>
      </c>
      <c r="G1573" t="s">
        <v>8</v>
      </c>
    </row>
    <row r="1574" spans="1:7" x14ac:dyDescent="0.3">
      <c r="A1574" t="s">
        <v>31</v>
      </c>
      <c r="B1574" s="1">
        <v>45961</v>
      </c>
      <c r="C1574">
        <v>242030</v>
      </c>
      <c r="D1574">
        <v>-20452.772000000001</v>
      </c>
      <c r="E1574" t="s">
        <v>4</v>
      </c>
      <c r="F1574" t="s">
        <v>43</v>
      </c>
      <c r="G1574" t="s">
        <v>8</v>
      </c>
    </row>
    <row r="1575" spans="1:7" x14ac:dyDescent="0.3">
      <c r="A1575" t="s">
        <v>31</v>
      </c>
      <c r="B1575" s="1">
        <v>45961</v>
      </c>
      <c r="C1575">
        <v>242038</v>
      </c>
      <c r="D1575">
        <v>-493.101</v>
      </c>
      <c r="E1575" t="s">
        <v>4</v>
      </c>
      <c r="F1575" t="s">
        <v>43</v>
      </c>
      <c r="G1575" t="s">
        <v>8</v>
      </c>
    </row>
    <row r="1576" spans="1:7" x14ac:dyDescent="0.3">
      <c r="A1576" t="s">
        <v>31</v>
      </c>
      <c r="B1576" s="1">
        <v>45961</v>
      </c>
      <c r="C1576">
        <v>242041</v>
      </c>
      <c r="D1576">
        <v>-9466.27</v>
      </c>
      <c r="E1576" t="s">
        <v>4</v>
      </c>
      <c r="F1576" t="s">
        <v>43</v>
      </c>
      <c r="G1576" t="s">
        <v>8</v>
      </c>
    </row>
    <row r="1577" spans="1:7" x14ac:dyDescent="0.3">
      <c r="A1577" t="s">
        <v>31</v>
      </c>
      <c r="B1577" s="1">
        <v>45961</v>
      </c>
      <c r="C1577">
        <v>243002</v>
      </c>
      <c r="D1577">
        <v>-17676.635999999999</v>
      </c>
      <c r="E1577" t="s">
        <v>4</v>
      </c>
      <c r="F1577" t="s">
        <v>43</v>
      </c>
      <c r="G1577" t="s">
        <v>8</v>
      </c>
    </row>
    <row r="1578" spans="1:7" x14ac:dyDescent="0.3">
      <c r="A1578" t="s">
        <v>31</v>
      </c>
      <c r="B1578" s="1">
        <v>45961</v>
      </c>
      <c r="C1578">
        <v>243010</v>
      </c>
      <c r="D1578">
        <v>-2037.7239999999999</v>
      </c>
      <c r="E1578" t="s">
        <v>4</v>
      </c>
      <c r="F1578" t="s">
        <v>43</v>
      </c>
      <c r="G1578" t="s">
        <v>8</v>
      </c>
    </row>
    <row r="1579" spans="1:7" x14ac:dyDescent="0.3">
      <c r="A1579" t="s">
        <v>31</v>
      </c>
      <c r="B1579" s="1">
        <v>45961</v>
      </c>
      <c r="C1579">
        <v>245010</v>
      </c>
      <c r="D1579">
        <v>-13302.968999999999</v>
      </c>
      <c r="E1579" t="s">
        <v>4</v>
      </c>
      <c r="F1579" t="s">
        <v>44</v>
      </c>
      <c r="G1579" t="s">
        <v>8</v>
      </c>
    </row>
    <row r="1580" spans="1:7" x14ac:dyDescent="0.3">
      <c r="A1580" t="s">
        <v>31</v>
      </c>
      <c r="B1580" s="1">
        <v>45961</v>
      </c>
      <c r="C1580">
        <v>245018</v>
      </c>
      <c r="D1580">
        <v>-9047.7000000000007</v>
      </c>
      <c r="E1580" t="s">
        <v>4</v>
      </c>
      <c r="F1580" t="s">
        <v>43</v>
      </c>
      <c r="G1580" t="s">
        <v>8</v>
      </c>
    </row>
    <row r="1581" spans="1:7" x14ac:dyDescent="0.3">
      <c r="A1581" t="s">
        <v>31</v>
      </c>
      <c r="B1581" s="1">
        <v>45961</v>
      </c>
      <c r="C1581">
        <v>245049</v>
      </c>
      <c r="D1581">
        <v>-0.35</v>
      </c>
      <c r="E1581" t="s">
        <v>4</v>
      </c>
      <c r="F1581" t="s">
        <v>43</v>
      </c>
      <c r="G1581" t="s">
        <v>8</v>
      </c>
    </row>
    <row r="1582" spans="1:7" x14ac:dyDescent="0.3">
      <c r="A1582" t="s">
        <v>31</v>
      </c>
      <c r="B1582" s="1">
        <v>45961</v>
      </c>
      <c r="C1582">
        <v>245055</v>
      </c>
      <c r="D1582">
        <v>-1441.0909999999999</v>
      </c>
      <c r="E1582" t="s">
        <v>4</v>
      </c>
      <c r="F1582" t="s">
        <v>43</v>
      </c>
      <c r="G1582" t="s">
        <v>8</v>
      </c>
    </row>
    <row r="1583" spans="1:7" x14ac:dyDescent="0.3">
      <c r="A1583" t="s">
        <v>31</v>
      </c>
      <c r="B1583" s="1">
        <v>45961</v>
      </c>
      <c r="C1583">
        <v>245062</v>
      </c>
      <c r="D1583">
        <v>-13889.433999999999</v>
      </c>
      <c r="E1583" t="s">
        <v>4</v>
      </c>
      <c r="F1583" t="s">
        <v>43</v>
      </c>
      <c r="G1583" t="s">
        <v>8</v>
      </c>
    </row>
    <row r="1584" spans="1:7" x14ac:dyDescent="0.3">
      <c r="A1584" t="s">
        <v>31</v>
      </c>
      <c r="B1584" s="1">
        <v>45961</v>
      </c>
      <c r="C1584">
        <v>250003</v>
      </c>
      <c r="D1584">
        <v>-914.75599999999997</v>
      </c>
      <c r="E1584" t="s">
        <v>4</v>
      </c>
      <c r="F1584" t="s">
        <v>45</v>
      </c>
      <c r="G1584" t="s">
        <v>8</v>
      </c>
    </row>
    <row r="1585" spans="1:7" x14ac:dyDescent="0.3">
      <c r="A1585" t="s">
        <v>31</v>
      </c>
      <c r="B1585" s="1">
        <v>45961</v>
      </c>
      <c r="C1585">
        <v>251002</v>
      </c>
      <c r="D1585">
        <v>-62827.195</v>
      </c>
      <c r="E1585" t="s">
        <v>4</v>
      </c>
      <c r="F1585" t="s">
        <v>45</v>
      </c>
      <c r="G1585" t="s">
        <v>8</v>
      </c>
    </row>
    <row r="1586" spans="1:7" x14ac:dyDescent="0.3">
      <c r="A1586" t="s">
        <v>31</v>
      </c>
      <c r="B1586" s="1">
        <v>45961</v>
      </c>
      <c r="C1586">
        <v>257027</v>
      </c>
      <c r="D1586">
        <v>-13072.794</v>
      </c>
      <c r="E1586" t="s">
        <v>4</v>
      </c>
      <c r="F1586" t="s">
        <v>45</v>
      </c>
      <c r="G1586" t="s">
        <v>8</v>
      </c>
    </row>
    <row r="1587" spans="1:7" x14ac:dyDescent="0.3">
      <c r="A1587" t="s">
        <v>31</v>
      </c>
      <c r="B1587" s="1">
        <v>45961</v>
      </c>
      <c r="C1587">
        <v>260004</v>
      </c>
      <c r="D1587">
        <v>-46196.499000000003</v>
      </c>
      <c r="E1587" t="s">
        <v>4</v>
      </c>
      <c r="F1587" t="s">
        <v>45</v>
      </c>
      <c r="G1587" t="s">
        <v>8</v>
      </c>
    </row>
    <row r="1588" spans="1:7" x14ac:dyDescent="0.3">
      <c r="A1588" t="s">
        <v>31</v>
      </c>
      <c r="B1588" s="1">
        <v>45961</v>
      </c>
      <c r="C1588">
        <v>270027</v>
      </c>
      <c r="D1588">
        <v>-2410.9850000000001</v>
      </c>
      <c r="E1588" t="s">
        <v>4</v>
      </c>
      <c r="F1588" t="s">
        <v>58</v>
      </c>
      <c r="G1588" t="s">
        <v>8</v>
      </c>
    </row>
    <row r="1589" spans="1:7" x14ac:dyDescent="0.3">
      <c r="A1589" t="s">
        <v>31</v>
      </c>
      <c r="B1589" s="1">
        <v>45961</v>
      </c>
      <c r="C1589">
        <v>300008</v>
      </c>
      <c r="D1589">
        <v>5491.8760000000002</v>
      </c>
      <c r="E1589" t="s">
        <v>4</v>
      </c>
      <c r="F1589" t="s">
        <v>65</v>
      </c>
      <c r="G1589" t="s">
        <v>8</v>
      </c>
    </row>
    <row r="1590" spans="1:7" x14ac:dyDescent="0.3">
      <c r="A1590" t="s">
        <v>31</v>
      </c>
      <c r="B1590" s="1">
        <v>45961</v>
      </c>
      <c r="C1590">
        <v>300011</v>
      </c>
      <c r="D1590">
        <v>34.548999999999999</v>
      </c>
      <c r="E1590" t="s">
        <v>4</v>
      </c>
      <c r="F1590" t="s">
        <v>65</v>
      </c>
      <c r="G1590" t="s">
        <v>8</v>
      </c>
    </row>
    <row r="1591" spans="1:7" x14ac:dyDescent="0.3">
      <c r="A1591" t="s">
        <v>31</v>
      </c>
      <c r="B1591" s="1">
        <v>45961</v>
      </c>
      <c r="C1591">
        <v>300012</v>
      </c>
      <c r="D1591">
        <v>1656.046</v>
      </c>
      <c r="E1591" t="s">
        <v>4</v>
      </c>
      <c r="F1591" t="s">
        <v>65</v>
      </c>
      <c r="G1591" t="s">
        <v>8</v>
      </c>
    </row>
    <row r="1592" spans="1:7" x14ac:dyDescent="0.3">
      <c r="A1592" t="s">
        <v>31</v>
      </c>
      <c r="B1592" s="1">
        <v>45961</v>
      </c>
      <c r="C1592">
        <v>300508</v>
      </c>
      <c r="D1592">
        <v>-3554.5320000000002</v>
      </c>
      <c r="E1592" t="s">
        <v>4</v>
      </c>
      <c r="F1592" t="s">
        <v>65</v>
      </c>
      <c r="G1592" t="s">
        <v>8</v>
      </c>
    </row>
    <row r="1593" spans="1:7" x14ac:dyDescent="0.3">
      <c r="A1593" t="s">
        <v>31</v>
      </c>
      <c r="B1593" s="1">
        <v>45961</v>
      </c>
      <c r="C1593">
        <v>300511</v>
      </c>
      <c r="D1593">
        <v>-34.548999999999999</v>
      </c>
      <c r="E1593" t="s">
        <v>4</v>
      </c>
      <c r="F1593" t="s">
        <v>65</v>
      </c>
      <c r="G1593" t="s">
        <v>8</v>
      </c>
    </row>
    <row r="1594" spans="1:7" x14ac:dyDescent="0.3">
      <c r="A1594" t="s">
        <v>31</v>
      </c>
      <c r="B1594" s="1">
        <v>45961</v>
      </c>
      <c r="C1594">
        <v>300512</v>
      </c>
      <c r="D1594">
        <v>-1656.046</v>
      </c>
      <c r="E1594" t="s">
        <v>4</v>
      </c>
      <c r="F1594" t="s">
        <v>65</v>
      </c>
      <c r="G1594" t="s">
        <v>8</v>
      </c>
    </row>
    <row r="1595" spans="1:7" x14ac:dyDescent="0.3">
      <c r="A1595" t="s">
        <v>31</v>
      </c>
      <c r="B1595" s="1">
        <v>45961</v>
      </c>
      <c r="C1595">
        <v>320002</v>
      </c>
      <c r="D1595">
        <v>8304.3639999999996</v>
      </c>
      <c r="E1595" t="s">
        <v>4</v>
      </c>
      <c r="F1595" t="s">
        <v>46</v>
      </c>
      <c r="G1595" t="s">
        <v>8</v>
      </c>
    </row>
    <row r="1596" spans="1:7" x14ac:dyDescent="0.3">
      <c r="A1596" t="s">
        <v>31</v>
      </c>
      <c r="B1596" s="1">
        <v>45961</v>
      </c>
      <c r="C1596">
        <v>320003</v>
      </c>
      <c r="D1596">
        <v>313511.42300000001</v>
      </c>
      <c r="E1596" t="s">
        <v>4</v>
      </c>
      <c r="F1596" t="s">
        <v>46</v>
      </c>
      <c r="G1596" t="s">
        <v>8</v>
      </c>
    </row>
    <row r="1597" spans="1:7" x14ac:dyDescent="0.3">
      <c r="A1597" t="s">
        <v>31</v>
      </c>
      <c r="B1597" s="1">
        <v>45961</v>
      </c>
      <c r="C1597">
        <v>320004</v>
      </c>
      <c r="D1597">
        <v>-794.149</v>
      </c>
      <c r="E1597" t="s">
        <v>4</v>
      </c>
      <c r="F1597" t="s">
        <v>46</v>
      </c>
      <c r="G1597" t="s">
        <v>8</v>
      </c>
    </row>
    <row r="1598" spans="1:7" x14ac:dyDescent="0.3">
      <c r="A1598" t="s">
        <v>31</v>
      </c>
      <c r="B1598" s="1">
        <v>45961</v>
      </c>
      <c r="C1598">
        <v>320023</v>
      </c>
      <c r="D1598">
        <v>-1352.8119999999999</v>
      </c>
      <c r="E1598" t="s">
        <v>4</v>
      </c>
      <c r="F1598" t="s">
        <v>46</v>
      </c>
      <c r="G1598" t="s">
        <v>8</v>
      </c>
    </row>
    <row r="1599" spans="1:7" x14ac:dyDescent="0.3">
      <c r="A1599" t="s">
        <v>31</v>
      </c>
      <c r="B1599" s="1">
        <v>45961</v>
      </c>
      <c r="C1599">
        <v>321002</v>
      </c>
      <c r="D1599">
        <v>32196.258000000002</v>
      </c>
      <c r="E1599" t="s">
        <v>4</v>
      </c>
      <c r="F1599" t="s">
        <v>46</v>
      </c>
      <c r="G1599" t="s">
        <v>8</v>
      </c>
    </row>
    <row r="1600" spans="1:7" x14ac:dyDescent="0.3">
      <c r="A1600" t="s">
        <v>31</v>
      </c>
      <c r="B1600" s="1">
        <v>45961</v>
      </c>
      <c r="C1600">
        <v>321004</v>
      </c>
      <c r="D1600">
        <v>10794.165000000001</v>
      </c>
      <c r="E1600" t="s">
        <v>4</v>
      </c>
      <c r="F1600" t="s">
        <v>46</v>
      </c>
      <c r="G1600" t="s">
        <v>8</v>
      </c>
    </row>
    <row r="1601" spans="1:7" x14ac:dyDescent="0.3">
      <c r="A1601" t="s">
        <v>31</v>
      </c>
      <c r="B1601" s="1">
        <v>45961</v>
      </c>
      <c r="C1601">
        <v>321025</v>
      </c>
      <c r="D1601">
        <v>41223.383999999998</v>
      </c>
      <c r="E1601" t="s">
        <v>4</v>
      </c>
      <c r="F1601" t="s">
        <v>46</v>
      </c>
      <c r="G1601" t="s">
        <v>8</v>
      </c>
    </row>
    <row r="1602" spans="1:7" x14ac:dyDescent="0.3">
      <c r="A1602" t="s">
        <v>31</v>
      </c>
      <c r="B1602" s="1">
        <v>45961</v>
      </c>
      <c r="C1602">
        <v>321028</v>
      </c>
      <c r="D1602">
        <v>33325.654000000002</v>
      </c>
      <c r="E1602" t="s">
        <v>4</v>
      </c>
      <c r="F1602" t="s">
        <v>46</v>
      </c>
      <c r="G1602" t="s">
        <v>8</v>
      </c>
    </row>
    <row r="1603" spans="1:7" x14ac:dyDescent="0.3">
      <c r="A1603" t="s">
        <v>31</v>
      </c>
      <c r="B1603" s="1">
        <v>45961</v>
      </c>
      <c r="C1603">
        <v>321029</v>
      </c>
      <c r="D1603">
        <v>23623.095000000001</v>
      </c>
      <c r="E1603" t="s">
        <v>4</v>
      </c>
      <c r="F1603" t="s">
        <v>46</v>
      </c>
      <c r="G1603" t="s">
        <v>8</v>
      </c>
    </row>
    <row r="1604" spans="1:7" x14ac:dyDescent="0.3">
      <c r="A1604" t="s">
        <v>31</v>
      </c>
      <c r="B1604" s="1">
        <v>45961</v>
      </c>
      <c r="C1604">
        <v>321030</v>
      </c>
      <c r="D1604">
        <v>5376.1549999999997</v>
      </c>
      <c r="E1604" t="s">
        <v>4</v>
      </c>
      <c r="F1604" t="s">
        <v>46</v>
      </c>
      <c r="G1604" t="s">
        <v>8</v>
      </c>
    </row>
    <row r="1605" spans="1:7" x14ac:dyDescent="0.3">
      <c r="A1605" t="s">
        <v>31</v>
      </c>
      <c r="B1605" s="1">
        <v>45961</v>
      </c>
      <c r="C1605">
        <v>321042</v>
      </c>
      <c r="D1605">
        <v>-10.85</v>
      </c>
      <c r="E1605" t="s">
        <v>4</v>
      </c>
      <c r="F1605" t="s">
        <v>46</v>
      </c>
      <c r="G1605" t="s">
        <v>8</v>
      </c>
    </row>
    <row r="1606" spans="1:7" x14ac:dyDescent="0.3">
      <c r="A1606" t="s">
        <v>31</v>
      </c>
      <c r="B1606" s="1">
        <v>45961</v>
      </c>
      <c r="C1606">
        <v>330124</v>
      </c>
      <c r="D1606">
        <v>2020.076</v>
      </c>
      <c r="E1606" t="s">
        <v>4</v>
      </c>
      <c r="F1606" t="s">
        <v>43</v>
      </c>
      <c r="G1606" t="s">
        <v>8</v>
      </c>
    </row>
    <row r="1607" spans="1:7" x14ac:dyDescent="0.3">
      <c r="A1607" t="s">
        <v>31</v>
      </c>
      <c r="B1607" s="1">
        <v>45961</v>
      </c>
      <c r="C1607">
        <v>330126</v>
      </c>
      <c r="D1607">
        <v>-1272.896</v>
      </c>
      <c r="E1607" t="s">
        <v>4</v>
      </c>
      <c r="F1607" t="s">
        <v>43</v>
      </c>
      <c r="G1607" t="s">
        <v>8</v>
      </c>
    </row>
    <row r="1608" spans="1:7" x14ac:dyDescent="0.3">
      <c r="A1608" t="s">
        <v>31</v>
      </c>
      <c r="B1608" s="1">
        <v>45961</v>
      </c>
      <c r="C1608">
        <v>340210</v>
      </c>
      <c r="D1608">
        <v>158680</v>
      </c>
      <c r="E1608" t="s">
        <v>4</v>
      </c>
      <c r="F1608" t="s">
        <v>47</v>
      </c>
      <c r="G1608" t="s">
        <v>8</v>
      </c>
    </row>
    <row r="1609" spans="1:7" x14ac:dyDescent="0.3">
      <c r="A1609" t="s">
        <v>31</v>
      </c>
      <c r="B1609" s="1">
        <v>45961</v>
      </c>
      <c r="C1609">
        <v>340211</v>
      </c>
      <c r="D1609">
        <v>608376.18299999996</v>
      </c>
      <c r="E1609" t="s">
        <v>4</v>
      </c>
      <c r="F1609" t="s">
        <v>47</v>
      </c>
      <c r="G1609" t="s">
        <v>8</v>
      </c>
    </row>
    <row r="1610" spans="1:7" x14ac:dyDescent="0.3">
      <c r="A1610" t="s">
        <v>31</v>
      </c>
      <c r="B1610" s="1">
        <v>45961</v>
      </c>
      <c r="C1610">
        <v>340212</v>
      </c>
      <c r="D1610">
        <v>-767056.18400000001</v>
      </c>
      <c r="E1610" t="s">
        <v>4</v>
      </c>
      <c r="F1610" t="s">
        <v>47</v>
      </c>
      <c r="G1610" t="s">
        <v>8</v>
      </c>
    </row>
    <row r="1611" spans="1:7" x14ac:dyDescent="0.3">
      <c r="A1611" t="s">
        <v>31</v>
      </c>
      <c r="B1611" s="1">
        <v>45961</v>
      </c>
      <c r="C1611">
        <v>340213</v>
      </c>
      <c r="D1611">
        <v>-52.875999999999998</v>
      </c>
      <c r="E1611" t="s">
        <v>4</v>
      </c>
      <c r="F1611" t="s">
        <v>47</v>
      </c>
      <c r="G1611" t="s">
        <v>8</v>
      </c>
    </row>
    <row r="1612" spans="1:7" x14ac:dyDescent="0.3">
      <c r="A1612" t="s">
        <v>31</v>
      </c>
      <c r="B1612" s="1">
        <v>45961</v>
      </c>
      <c r="C1612">
        <v>340214</v>
      </c>
      <c r="D1612">
        <v>55.058999999999997</v>
      </c>
      <c r="E1612" t="s">
        <v>4</v>
      </c>
      <c r="F1612" t="s">
        <v>47</v>
      </c>
      <c r="G1612" t="s">
        <v>8</v>
      </c>
    </row>
    <row r="1613" spans="1:7" x14ac:dyDescent="0.3">
      <c r="A1613" t="s">
        <v>31</v>
      </c>
      <c r="B1613" s="1">
        <v>45961</v>
      </c>
      <c r="C1613">
        <v>340215</v>
      </c>
      <c r="D1613">
        <v>-2.1829999999999998</v>
      </c>
      <c r="E1613" t="s">
        <v>4</v>
      </c>
      <c r="F1613" t="s">
        <v>47</v>
      </c>
      <c r="G1613" t="s">
        <v>8</v>
      </c>
    </row>
    <row r="1614" spans="1:7" x14ac:dyDescent="0.3">
      <c r="A1614" t="s">
        <v>31</v>
      </c>
      <c r="B1614" s="1">
        <v>45961</v>
      </c>
      <c r="C1614">
        <v>340216</v>
      </c>
      <c r="D1614">
        <v>16793.719000000001</v>
      </c>
      <c r="E1614" t="s">
        <v>4</v>
      </c>
      <c r="F1614" t="s">
        <v>47</v>
      </c>
      <c r="G1614" t="s">
        <v>8</v>
      </c>
    </row>
    <row r="1615" spans="1:7" x14ac:dyDescent="0.3">
      <c r="A1615" t="s">
        <v>31</v>
      </c>
      <c r="B1615" s="1">
        <v>45961</v>
      </c>
      <c r="C1615">
        <v>340218</v>
      </c>
      <c r="D1615">
        <v>-16407.742999999999</v>
      </c>
      <c r="E1615" t="s">
        <v>4</v>
      </c>
      <c r="F1615" t="s">
        <v>47</v>
      </c>
      <c r="G1615" t="s">
        <v>8</v>
      </c>
    </row>
    <row r="1616" spans="1:7" x14ac:dyDescent="0.3">
      <c r="A1616" t="s">
        <v>31</v>
      </c>
      <c r="B1616" s="1">
        <v>45961</v>
      </c>
      <c r="C1616">
        <v>340219</v>
      </c>
      <c r="D1616">
        <v>35387.093000000001</v>
      </c>
      <c r="E1616" t="s">
        <v>4</v>
      </c>
      <c r="F1616" t="s">
        <v>47</v>
      </c>
      <c r="G1616" t="s">
        <v>8</v>
      </c>
    </row>
    <row r="1617" spans="1:7" x14ac:dyDescent="0.3">
      <c r="A1617" t="s">
        <v>31</v>
      </c>
      <c r="B1617" s="1">
        <v>45961</v>
      </c>
      <c r="C1617">
        <v>340220</v>
      </c>
      <c r="D1617">
        <v>2152550.1060000001</v>
      </c>
      <c r="E1617" t="s">
        <v>4</v>
      </c>
      <c r="F1617" t="s">
        <v>47</v>
      </c>
      <c r="G1617" t="s">
        <v>8</v>
      </c>
    </row>
    <row r="1618" spans="1:7" x14ac:dyDescent="0.3">
      <c r="A1618" t="s">
        <v>31</v>
      </c>
      <c r="B1618" s="1">
        <v>45961</v>
      </c>
      <c r="C1618">
        <v>340221</v>
      </c>
      <c r="D1618">
        <v>-2104500.3020000001</v>
      </c>
      <c r="E1618" t="s">
        <v>4</v>
      </c>
      <c r="F1618" t="s">
        <v>47</v>
      </c>
      <c r="G1618" t="s">
        <v>8</v>
      </c>
    </row>
    <row r="1619" spans="1:7" x14ac:dyDescent="0.3">
      <c r="A1619" t="s">
        <v>31</v>
      </c>
      <c r="B1619" s="1">
        <v>45961</v>
      </c>
      <c r="C1619">
        <v>340222</v>
      </c>
      <c r="D1619">
        <v>641.51900000000001</v>
      </c>
      <c r="E1619" t="s">
        <v>4</v>
      </c>
      <c r="F1619" t="s">
        <v>47</v>
      </c>
      <c r="G1619" t="s">
        <v>8</v>
      </c>
    </row>
    <row r="1620" spans="1:7" x14ac:dyDescent="0.3">
      <c r="A1620" t="s">
        <v>31</v>
      </c>
      <c r="B1620" s="1">
        <v>45961</v>
      </c>
      <c r="C1620">
        <v>340223</v>
      </c>
      <c r="D1620">
        <v>1674538.9979999999</v>
      </c>
      <c r="E1620" t="s">
        <v>4</v>
      </c>
      <c r="F1620" t="s">
        <v>47</v>
      </c>
      <c r="G1620" t="s">
        <v>8</v>
      </c>
    </row>
    <row r="1621" spans="1:7" x14ac:dyDescent="0.3">
      <c r="A1621" t="s">
        <v>31</v>
      </c>
      <c r="B1621" s="1">
        <v>45961</v>
      </c>
      <c r="C1621">
        <v>340224</v>
      </c>
      <c r="D1621">
        <v>-1674538.9920000001</v>
      </c>
      <c r="E1621" t="s">
        <v>4</v>
      </c>
      <c r="F1621" t="s">
        <v>47</v>
      </c>
      <c r="G1621" t="s">
        <v>8</v>
      </c>
    </row>
    <row r="1622" spans="1:7" x14ac:dyDescent="0.3">
      <c r="A1622" t="s">
        <v>31</v>
      </c>
      <c r="B1622" s="1">
        <v>45961</v>
      </c>
      <c r="C1622">
        <v>340225</v>
      </c>
      <c r="D1622">
        <v>634.02800000000002</v>
      </c>
      <c r="E1622" t="s">
        <v>4</v>
      </c>
      <c r="F1622" t="s">
        <v>47</v>
      </c>
      <c r="G1622" t="s">
        <v>8</v>
      </c>
    </row>
    <row r="1623" spans="1:7" x14ac:dyDescent="0.3">
      <c r="A1623" t="s">
        <v>31</v>
      </c>
      <c r="B1623" s="1">
        <v>45961</v>
      </c>
      <c r="C1623">
        <v>340226</v>
      </c>
      <c r="D1623">
        <v>544651.603</v>
      </c>
      <c r="E1623" t="s">
        <v>4</v>
      </c>
      <c r="F1623" t="s">
        <v>47</v>
      </c>
      <c r="G1623" t="s">
        <v>8</v>
      </c>
    </row>
    <row r="1624" spans="1:7" x14ac:dyDescent="0.3">
      <c r="A1624" t="s">
        <v>31</v>
      </c>
      <c r="B1624" s="1">
        <v>45961</v>
      </c>
      <c r="C1624">
        <v>340227</v>
      </c>
      <c r="D1624">
        <v>-544651.603</v>
      </c>
      <c r="E1624" t="s">
        <v>4</v>
      </c>
      <c r="F1624" t="s">
        <v>47</v>
      </c>
      <c r="G1624" t="s">
        <v>8</v>
      </c>
    </row>
    <row r="1625" spans="1:7" x14ac:dyDescent="0.3">
      <c r="A1625" t="s">
        <v>31</v>
      </c>
      <c r="B1625" s="1">
        <v>45961</v>
      </c>
      <c r="C1625">
        <v>340228</v>
      </c>
      <c r="D1625">
        <v>110343.65</v>
      </c>
      <c r="E1625" t="s">
        <v>4</v>
      </c>
      <c r="F1625" t="s">
        <v>47</v>
      </c>
      <c r="G1625" t="s">
        <v>8</v>
      </c>
    </row>
    <row r="1626" spans="1:7" x14ac:dyDescent="0.3">
      <c r="A1626" t="s">
        <v>31</v>
      </c>
      <c r="B1626" s="1">
        <v>45961</v>
      </c>
      <c r="C1626">
        <v>340229</v>
      </c>
      <c r="D1626">
        <v>1139607.3929999999</v>
      </c>
      <c r="E1626" t="s">
        <v>4</v>
      </c>
      <c r="F1626" t="s">
        <v>47</v>
      </c>
      <c r="G1626" t="s">
        <v>8</v>
      </c>
    </row>
    <row r="1627" spans="1:7" x14ac:dyDescent="0.3">
      <c r="A1627" t="s">
        <v>31</v>
      </c>
      <c r="B1627" s="1">
        <v>45961</v>
      </c>
      <c r="C1627">
        <v>340230</v>
      </c>
      <c r="D1627">
        <v>-1164956.952</v>
      </c>
      <c r="E1627" t="s">
        <v>4</v>
      </c>
      <c r="F1627" t="s">
        <v>47</v>
      </c>
      <c r="G1627" t="s">
        <v>8</v>
      </c>
    </row>
    <row r="1628" spans="1:7" x14ac:dyDescent="0.3">
      <c r="A1628" t="s">
        <v>31</v>
      </c>
      <c r="B1628" s="1">
        <v>45961</v>
      </c>
      <c r="C1628">
        <v>340231</v>
      </c>
      <c r="D1628">
        <v>92575.475000000006</v>
      </c>
      <c r="E1628" t="s">
        <v>4</v>
      </c>
      <c r="F1628" t="s">
        <v>47</v>
      </c>
      <c r="G1628" t="s">
        <v>8</v>
      </c>
    </row>
    <row r="1629" spans="1:7" x14ac:dyDescent="0.3">
      <c r="A1629" t="s">
        <v>31</v>
      </c>
      <c r="B1629" s="1">
        <v>45961</v>
      </c>
      <c r="C1629">
        <v>340232</v>
      </c>
      <c r="D1629">
        <v>507343.21899999998</v>
      </c>
      <c r="E1629" t="s">
        <v>4</v>
      </c>
      <c r="F1629" t="s">
        <v>47</v>
      </c>
      <c r="G1629" t="s">
        <v>8</v>
      </c>
    </row>
    <row r="1630" spans="1:7" x14ac:dyDescent="0.3">
      <c r="A1630" t="s">
        <v>31</v>
      </c>
      <c r="B1630" s="1">
        <v>45961</v>
      </c>
      <c r="C1630">
        <v>340233</v>
      </c>
      <c r="D1630">
        <v>-523660.71899999998</v>
      </c>
      <c r="E1630" t="s">
        <v>4</v>
      </c>
      <c r="F1630" t="s">
        <v>47</v>
      </c>
      <c r="G1630" t="s">
        <v>8</v>
      </c>
    </row>
    <row r="1631" spans="1:7" x14ac:dyDescent="0.3">
      <c r="A1631" t="s">
        <v>31</v>
      </c>
      <c r="B1631" s="1">
        <v>45961</v>
      </c>
      <c r="C1631">
        <v>350002</v>
      </c>
      <c r="D1631">
        <v>1041.9849999999999</v>
      </c>
      <c r="E1631" t="s">
        <v>4</v>
      </c>
      <c r="F1631" t="s">
        <v>49</v>
      </c>
      <c r="G1631" t="s">
        <v>8</v>
      </c>
    </row>
    <row r="1632" spans="1:7" x14ac:dyDescent="0.3">
      <c r="A1632" t="s">
        <v>31</v>
      </c>
      <c r="B1632" s="1">
        <v>45961</v>
      </c>
      <c r="C1632">
        <v>350003</v>
      </c>
      <c r="D1632">
        <v>89.097999999999999</v>
      </c>
      <c r="E1632" t="s">
        <v>4</v>
      </c>
      <c r="F1632" t="s">
        <v>49</v>
      </c>
      <c r="G1632" t="s">
        <v>8</v>
      </c>
    </row>
    <row r="1633" spans="1:7" x14ac:dyDescent="0.3">
      <c r="A1633" t="s">
        <v>31</v>
      </c>
      <c r="B1633" s="1">
        <v>45961</v>
      </c>
      <c r="C1633">
        <v>350031</v>
      </c>
      <c r="D1633">
        <v>7816.326</v>
      </c>
      <c r="E1633" t="s">
        <v>4</v>
      </c>
      <c r="F1633" t="s">
        <v>43</v>
      </c>
      <c r="G1633" t="s">
        <v>8</v>
      </c>
    </row>
    <row r="1634" spans="1:7" x14ac:dyDescent="0.3">
      <c r="A1634" t="s">
        <v>31</v>
      </c>
      <c r="B1634" s="1">
        <v>45961</v>
      </c>
      <c r="C1634">
        <v>354012</v>
      </c>
      <c r="D1634">
        <v>5757.5060000000003</v>
      </c>
      <c r="E1634" t="s">
        <v>4</v>
      </c>
      <c r="F1634" t="s">
        <v>46</v>
      </c>
      <c r="G1634" t="s">
        <v>8</v>
      </c>
    </row>
    <row r="1635" spans="1:7" x14ac:dyDescent="0.3">
      <c r="A1635" t="s">
        <v>31</v>
      </c>
      <c r="B1635" s="1">
        <v>45961</v>
      </c>
      <c r="C1635">
        <v>354014</v>
      </c>
      <c r="D1635">
        <v>54215.28</v>
      </c>
      <c r="E1635" t="s">
        <v>4</v>
      </c>
      <c r="F1635" t="s">
        <v>46</v>
      </c>
      <c r="G1635" t="s">
        <v>8</v>
      </c>
    </row>
    <row r="1636" spans="1:7" x14ac:dyDescent="0.3">
      <c r="A1636" t="s">
        <v>31</v>
      </c>
      <c r="B1636" s="1">
        <v>45961</v>
      </c>
      <c r="C1636">
        <v>355016</v>
      </c>
      <c r="D1636">
        <v>845.55600000000004</v>
      </c>
      <c r="E1636" t="s">
        <v>4</v>
      </c>
      <c r="F1636" t="s">
        <v>49</v>
      </c>
      <c r="G1636" t="s">
        <v>8</v>
      </c>
    </row>
    <row r="1637" spans="1:7" x14ac:dyDescent="0.3">
      <c r="A1637" t="s">
        <v>31</v>
      </c>
      <c r="B1637" s="1">
        <v>45961</v>
      </c>
      <c r="C1637">
        <v>355017</v>
      </c>
      <c r="D1637">
        <v>694.98699999999997</v>
      </c>
      <c r="E1637" t="s">
        <v>4</v>
      </c>
      <c r="F1637" t="s">
        <v>49</v>
      </c>
      <c r="G1637" t="s">
        <v>8</v>
      </c>
    </row>
    <row r="1638" spans="1:7" x14ac:dyDescent="0.3">
      <c r="A1638" t="s">
        <v>31</v>
      </c>
      <c r="B1638" s="1">
        <v>45961</v>
      </c>
      <c r="C1638">
        <v>355018</v>
      </c>
      <c r="D1638">
        <v>7.5750000000000002</v>
      </c>
      <c r="E1638" t="s">
        <v>4</v>
      </c>
      <c r="F1638" t="s">
        <v>49</v>
      </c>
      <c r="G1638" t="s">
        <v>8</v>
      </c>
    </row>
    <row r="1639" spans="1:7" x14ac:dyDescent="0.3">
      <c r="A1639" t="s">
        <v>31</v>
      </c>
      <c r="B1639" s="1">
        <v>45961</v>
      </c>
      <c r="C1639">
        <v>360022</v>
      </c>
      <c r="D1639">
        <v>3941.6219999999998</v>
      </c>
      <c r="E1639" t="s">
        <v>4</v>
      </c>
      <c r="F1639" t="s">
        <v>58</v>
      </c>
      <c r="G1639" t="s">
        <v>8</v>
      </c>
    </row>
    <row r="1640" spans="1:7" x14ac:dyDescent="0.3">
      <c r="A1640" t="s">
        <v>31</v>
      </c>
      <c r="B1640" s="1">
        <v>45961</v>
      </c>
      <c r="C1640">
        <v>360032</v>
      </c>
      <c r="D1640">
        <v>13510.464</v>
      </c>
      <c r="E1640" t="s">
        <v>4</v>
      </c>
      <c r="F1640" t="s">
        <v>58</v>
      </c>
      <c r="G1640" t="s">
        <v>8</v>
      </c>
    </row>
    <row r="1641" spans="1:7" x14ac:dyDescent="0.3">
      <c r="A1641" t="s">
        <v>31</v>
      </c>
      <c r="B1641" s="1">
        <v>45961</v>
      </c>
      <c r="C1641">
        <v>372004</v>
      </c>
      <c r="D1641">
        <v>3311.6410000000001</v>
      </c>
      <c r="E1641" t="s">
        <v>4</v>
      </c>
      <c r="F1641" t="s">
        <v>45</v>
      </c>
      <c r="G1641" t="s">
        <v>8</v>
      </c>
    </row>
    <row r="1642" spans="1:7" x14ac:dyDescent="0.3">
      <c r="A1642" t="s">
        <v>31</v>
      </c>
      <c r="B1642" s="1">
        <v>45961</v>
      </c>
      <c r="C1642">
        <v>400002</v>
      </c>
      <c r="D1642">
        <v>-17744.095000000001</v>
      </c>
      <c r="E1642" t="s">
        <v>6</v>
      </c>
      <c r="F1642" t="s">
        <v>50</v>
      </c>
      <c r="G1642" t="s">
        <v>8</v>
      </c>
    </row>
    <row r="1643" spans="1:7" x14ac:dyDescent="0.3">
      <c r="A1643" t="s">
        <v>31</v>
      </c>
      <c r="B1643" s="1">
        <v>45961</v>
      </c>
      <c r="C1643">
        <v>400004</v>
      </c>
      <c r="D1643">
        <v>-69914.697</v>
      </c>
      <c r="E1643" t="s">
        <v>6</v>
      </c>
      <c r="F1643" t="s">
        <v>50</v>
      </c>
      <c r="G1643" t="s">
        <v>8</v>
      </c>
    </row>
    <row r="1644" spans="1:7" x14ac:dyDescent="0.3">
      <c r="A1644" t="s">
        <v>31</v>
      </c>
      <c r="B1644" s="1">
        <v>45961</v>
      </c>
      <c r="C1644">
        <v>410002</v>
      </c>
      <c r="D1644">
        <v>-20944.527999999998</v>
      </c>
      <c r="E1644" t="s">
        <v>6</v>
      </c>
      <c r="F1644" t="s">
        <v>51</v>
      </c>
      <c r="G1644" t="s">
        <v>8</v>
      </c>
    </row>
    <row r="1645" spans="1:7" x14ac:dyDescent="0.3">
      <c r="A1645" t="s">
        <v>31</v>
      </c>
      <c r="B1645" s="1">
        <v>45961</v>
      </c>
      <c r="C1645">
        <v>410005</v>
      </c>
      <c r="D1645">
        <v>-2040.2840000000001</v>
      </c>
      <c r="E1645" t="s">
        <v>6</v>
      </c>
      <c r="F1645" t="s">
        <v>51</v>
      </c>
      <c r="G1645" t="s">
        <v>8</v>
      </c>
    </row>
    <row r="1646" spans="1:7" x14ac:dyDescent="0.3">
      <c r="A1646" t="s">
        <v>31</v>
      </c>
      <c r="B1646" s="1">
        <v>45961</v>
      </c>
      <c r="C1646">
        <v>410006</v>
      </c>
      <c r="D1646">
        <v>-1410.0450000000001</v>
      </c>
      <c r="E1646" t="s">
        <v>6</v>
      </c>
      <c r="F1646" t="s">
        <v>51</v>
      </c>
      <c r="G1646" t="s">
        <v>8</v>
      </c>
    </row>
    <row r="1647" spans="1:7" x14ac:dyDescent="0.3">
      <c r="A1647" t="s">
        <v>31</v>
      </c>
      <c r="B1647" s="1">
        <v>45961</v>
      </c>
      <c r="C1647">
        <v>410009</v>
      </c>
      <c r="D1647">
        <v>-260.75200000000001</v>
      </c>
      <c r="E1647" t="s">
        <v>6</v>
      </c>
      <c r="F1647" t="s">
        <v>51</v>
      </c>
      <c r="G1647" t="s">
        <v>8</v>
      </c>
    </row>
    <row r="1648" spans="1:7" x14ac:dyDescent="0.3">
      <c r="A1648" t="s">
        <v>31</v>
      </c>
      <c r="B1648" s="1">
        <v>45961</v>
      </c>
      <c r="C1648">
        <v>410032</v>
      </c>
      <c r="D1648">
        <v>-34525.78</v>
      </c>
      <c r="E1648" t="s">
        <v>6</v>
      </c>
      <c r="F1648" t="s">
        <v>51</v>
      </c>
      <c r="G1648" t="s">
        <v>8</v>
      </c>
    </row>
    <row r="1649" spans="1:7" x14ac:dyDescent="0.3">
      <c r="A1649" t="s">
        <v>31</v>
      </c>
      <c r="B1649" s="1">
        <v>45961</v>
      </c>
      <c r="C1649">
        <v>410036</v>
      </c>
      <c r="D1649">
        <v>-1243.931</v>
      </c>
      <c r="E1649" t="s">
        <v>6</v>
      </c>
      <c r="F1649" t="s">
        <v>51</v>
      </c>
      <c r="G1649" t="s">
        <v>8</v>
      </c>
    </row>
    <row r="1650" spans="1:7" x14ac:dyDescent="0.3">
      <c r="A1650" t="s">
        <v>31</v>
      </c>
      <c r="B1650" s="1">
        <v>45961</v>
      </c>
      <c r="C1650">
        <v>410037</v>
      </c>
      <c r="D1650">
        <v>-36809.46</v>
      </c>
      <c r="E1650" t="s">
        <v>6</v>
      </c>
      <c r="F1650" t="s">
        <v>51</v>
      </c>
      <c r="G1650" t="s">
        <v>8</v>
      </c>
    </row>
    <row r="1651" spans="1:7" x14ac:dyDescent="0.3">
      <c r="A1651" t="s">
        <v>31</v>
      </c>
      <c r="B1651" s="1">
        <v>45961</v>
      </c>
      <c r="C1651">
        <v>410040</v>
      </c>
      <c r="D1651">
        <v>-488.267</v>
      </c>
      <c r="E1651" t="s">
        <v>6</v>
      </c>
      <c r="F1651" t="s">
        <v>51</v>
      </c>
      <c r="G1651" t="s">
        <v>8</v>
      </c>
    </row>
    <row r="1652" spans="1:7" x14ac:dyDescent="0.3">
      <c r="A1652" t="s">
        <v>31</v>
      </c>
      <c r="B1652" s="1">
        <v>45961</v>
      </c>
      <c r="C1652">
        <v>415002</v>
      </c>
      <c r="D1652">
        <v>-167432.152</v>
      </c>
      <c r="E1652" t="s">
        <v>6</v>
      </c>
      <c r="F1652" t="s">
        <v>50</v>
      </c>
      <c r="G1652" t="s">
        <v>8</v>
      </c>
    </row>
    <row r="1653" spans="1:7" x14ac:dyDescent="0.3">
      <c r="A1653" t="s">
        <v>31</v>
      </c>
      <c r="B1653" s="1">
        <v>45961</v>
      </c>
      <c r="C1653">
        <v>415004</v>
      </c>
      <c r="D1653">
        <v>-564758.53500000003</v>
      </c>
      <c r="E1653" t="s">
        <v>6</v>
      </c>
      <c r="F1653" t="s">
        <v>50</v>
      </c>
      <c r="G1653" t="s">
        <v>8</v>
      </c>
    </row>
    <row r="1654" spans="1:7" x14ac:dyDescent="0.3">
      <c r="A1654" t="s">
        <v>31</v>
      </c>
      <c r="B1654" s="1">
        <v>45961</v>
      </c>
      <c r="C1654">
        <v>418003</v>
      </c>
      <c r="D1654">
        <v>48.194000000000003</v>
      </c>
      <c r="E1654" t="s">
        <v>6</v>
      </c>
      <c r="F1654" t="s">
        <v>51</v>
      </c>
      <c r="G1654" t="s">
        <v>8</v>
      </c>
    </row>
    <row r="1655" spans="1:7" x14ac:dyDescent="0.3">
      <c r="A1655" t="s">
        <v>31</v>
      </c>
      <c r="B1655" s="1">
        <v>45961</v>
      </c>
      <c r="C1655">
        <v>421002</v>
      </c>
      <c r="D1655">
        <v>-16020.08</v>
      </c>
      <c r="E1655" t="s">
        <v>6</v>
      </c>
      <c r="F1655" t="s">
        <v>52</v>
      </c>
      <c r="G1655" t="s">
        <v>8</v>
      </c>
    </row>
    <row r="1656" spans="1:7" x14ac:dyDescent="0.3">
      <c r="A1656" t="s">
        <v>31</v>
      </c>
      <c r="B1656" s="1">
        <v>45961</v>
      </c>
      <c r="C1656">
        <v>421003</v>
      </c>
      <c r="D1656">
        <v>11845.123</v>
      </c>
      <c r="E1656" t="s">
        <v>6</v>
      </c>
      <c r="F1656" t="s">
        <v>52</v>
      </c>
      <c r="G1656" t="s">
        <v>8</v>
      </c>
    </row>
    <row r="1657" spans="1:7" x14ac:dyDescent="0.3">
      <c r="A1657" t="s">
        <v>31</v>
      </c>
      <c r="B1657" s="1">
        <v>45961</v>
      </c>
      <c r="C1657">
        <v>421004</v>
      </c>
      <c r="D1657">
        <v>-19171.276000000002</v>
      </c>
      <c r="E1657" t="s">
        <v>6</v>
      </c>
      <c r="F1657" t="s">
        <v>52</v>
      </c>
      <c r="G1657" t="s">
        <v>8</v>
      </c>
    </row>
    <row r="1658" spans="1:7" x14ac:dyDescent="0.3">
      <c r="A1658" t="s">
        <v>31</v>
      </c>
      <c r="B1658" s="1">
        <v>45961</v>
      </c>
      <c r="C1658">
        <v>421007</v>
      </c>
      <c r="D1658">
        <v>2387.165</v>
      </c>
      <c r="E1658" t="s">
        <v>6</v>
      </c>
      <c r="F1658" t="s">
        <v>52</v>
      </c>
      <c r="G1658" t="s">
        <v>8</v>
      </c>
    </row>
    <row r="1659" spans="1:7" x14ac:dyDescent="0.3">
      <c r="A1659" t="s">
        <v>31</v>
      </c>
      <c r="B1659" s="1">
        <v>45961</v>
      </c>
      <c r="C1659">
        <v>510002</v>
      </c>
      <c r="D1659">
        <v>89914.425000000003</v>
      </c>
      <c r="E1659" t="s">
        <v>6</v>
      </c>
      <c r="F1659" t="s">
        <v>53</v>
      </c>
      <c r="G1659" t="s">
        <v>8</v>
      </c>
    </row>
    <row r="1660" spans="1:7" x14ac:dyDescent="0.3">
      <c r="A1660" t="s">
        <v>31</v>
      </c>
      <c r="B1660" s="1">
        <v>45961</v>
      </c>
      <c r="C1660">
        <v>510005</v>
      </c>
      <c r="D1660">
        <v>3622.431</v>
      </c>
      <c r="E1660" t="s">
        <v>6</v>
      </c>
      <c r="F1660" t="s">
        <v>53</v>
      </c>
      <c r="G1660" t="s">
        <v>8</v>
      </c>
    </row>
    <row r="1661" spans="1:7" x14ac:dyDescent="0.3">
      <c r="A1661" t="s">
        <v>31</v>
      </c>
      <c r="B1661" s="1">
        <v>45961</v>
      </c>
      <c r="C1661">
        <v>510007</v>
      </c>
      <c r="D1661">
        <v>13470.737999999999</v>
      </c>
      <c r="E1661" t="s">
        <v>6</v>
      </c>
      <c r="F1661" t="s">
        <v>53</v>
      </c>
      <c r="G1661" t="s">
        <v>8</v>
      </c>
    </row>
    <row r="1662" spans="1:7" x14ac:dyDescent="0.3">
      <c r="A1662" t="s">
        <v>31</v>
      </c>
      <c r="B1662" s="1">
        <v>45961</v>
      </c>
      <c r="C1662">
        <v>510012</v>
      </c>
      <c r="D1662">
        <v>5716.9129999999996</v>
      </c>
      <c r="E1662" t="s">
        <v>6</v>
      </c>
      <c r="F1662" t="s">
        <v>53</v>
      </c>
      <c r="G1662" t="s">
        <v>8</v>
      </c>
    </row>
    <row r="1663" spans="1:7" x14ac:dyDescent="0.3">
      <c r="A1663" t="s">
        <v>31</v>
      </c>
      <c r="B1663" s="1">
        <v>45961</v>
      </c>
      <c r="C1663">
        <v>510018</v>
      </c>
      <c r="D1663">
        <v>1049.8520000000001</v>
      </c>
      <c r="E1663" t="s">
        <v>6</v>
      </c>
      <c r="F1663" t="s">
        <v>53</v>
      </c>
      <c r="G1663" t="s">
        <v>8</v>
      </c>
    </row>
    <row r="1664" spans="1:7" x14ac:dyDescent="0.3">
      <c r="A1664" t="s">
        <v>31</v>
      </c>
      <c r="B1664" s="1">
        <v>45961</v>
      </c>
      <c r="C1664">
        <v>510059</v>
      </c>
      <c r="D1664">
        <v>3568.46</v>
      </c>
      <c r="E1664" t="s">
        <v>6</v>
      </c>
      <c r="F1664" t="s">
        <v>53</v>
      </c>
      <c r="G1664" t="s">
        <v>8</v>
      </c>
    </row>
    <row r="1665" spans="1:7" x14ac:dyDescent="0.3">
      <c r="A1665" t="s">
        <v>31</v>
      </c>
      <c r="B1665" s="1">
        <v>45961</v>
      </c>
      <c r="C1665">
        <v>510060</v>
      </c>
      <c r="D1665">
        <v>1139.2819999999999</v>
      </c>
      <c r="E1665" t="s">
        <v>6</v>
      </c>
      <c r="F1665" t="s">
        <v>53</v>
      </c>
      <c r="G1665" t="s">
        <v>8</v>
      </c>
    </row>
    <row r="1666" spans="1:7" x14ac:dyDescent="0.3">
      <c r="A1666" t="s">
        <v>31</v>
      </c>
      <c r="B1666" s="1">
        <v>45961</v>
      </c>
      <c r="C1666">
        <v>510062</v>
      </c>
      <c r="D1666">
        <v>14503.922</v>
      </c>
      <c r="E1666" t="s">
        <v>6</v>
      </c>
      <c r="F1666" t="s">
        <v>53</v>
      </c>
      <c r="G1666" t="s">
        <v>8</v>
      </c>
    </row>
    <row r="1667" spans="1:7" x14ac:dyDescent="0.3">
      <c r="A1667" t="s">
        <v>31</v>
      </c>
      <c r="B1667" s="1">
        <v>45961</v>
      </c>
      <c r="C1667">
        <v>510064</v>
      </c>
      <c r="D1667">
        <v>2142.5659999999998</v>
      </c>
      <c r="E1667" t="s">
        <v>6</v>
      </c>
      <c r="F1667" t="s">
        <v>53</v>
      </c>
      <c r="G1667" t="s">
        <v>8</v>
      </c>
    </row>
    <row r="1668" spans="1:7" x14ac:dyDescent="0.3">
      <c r="A1668" t="s">
        <v>31</v>
      </c>
      <c r="B1668" s="1">
        <v>45961</v>
      </c>
      <c r="C1668">
        <v>510065</v>
      </c>
      <c r="D1668">
        <v>1357.491</v>
      </c>
      <c r="E1668" t="s">
        <v>6</v>
      </c>
      <c r="F1668" t="s">
        <v>53</v>
      </c>
      <c r="G1668" t="s">
        <v>8</v>
      </c>
    </row>
    <row r="1669" spans="1:7" x14ac:dyDescent="0.3">
      <c r="A1669" t="s">
        <v>31</v>
      </c>
      <c r="B1669" s="1">
        <v>45961</v>
      </c>
      <c r="C1669">
        <v>520011</v>
      </c>
      <c r="D1669">
        <v>37779.358</v>
      </c>
      <c r="E1669" t="s">
        <v>6</v>
      </c>
      <c r="F1669" t="s">
        <v>53</v>
      </c>
      <c r="G1669" t="s">
        <v>8</v>
      </c>
    </row>
    <row r="1670" spans="1:7" x14ac:dyDescent="0.3">
      <c r="A1670" t="s">
        <v>31</v>
      </c>
      <c r="B1670" s="1">
        <v>45961</v>
      </c>
      <c r="C1670">
        <v>520020</v>
      </c>
      <c r="D1670">
        <v>-793.07299999999998</v>
      </c>
      <c r="E1670" t="s">
        <v>6</v>
      </c>
      <c r="F1670" t="s">
        <v>53</v>
      </c>
      <c r="G1670" t="s">
        <v>8</v>
      </c>
    </row>
    <row r="1671" spans="1:7" x14ac:dyDescent="0.3">
      <c r="A1671" t="s">
        <v>31</v>
      </c>
      <c r="B1671" s="1">
        <v>45961</v>
      </c>
      <c r="C1671">
        <v>520021</v>
      </c>
      <c r="D1671">
        <v>152.41</v>
      </c>
      <c r="E1671" t="s">
        <v>6</v>
      </c>
      <c r="F1671" t="s">
        <v>60</v>
      </c>
      <c r="G1671" t="s">
        <v>8</v>
      </c>
    </row>
    <row r="1672" spans="1:7" x14ac:dyDescent="0.3">
      <c r="A1672" t="s">
        <v>31</v>
      </c>
      <c r="B1672" s="1">
        <v>45961</v>
      </c>
      <c r="C1672">
        <v>530012</v>
      </c>
      <c r="D1672">
        <v>7637.2020000000002</v>
      </c>
      <c r="E1672" t="s">
        <v>6</v>
      </c>
      <c r="F1672" t="s">
        <v>53</v>
      </c>
      <c r="G1672" t="s">
        <v>8</v>
      </c>
    </row>
    <row r="1673" spans="1:7" x14ac:dyDescent="0.3">
      <c r="A1673" t="s">
        <v>31</v>
      </c>
      <c r="B1673" s="1">
        <v>45961</v>
      </c>
      <c r="C1673">
        <v>541004</v>
      </c>
      <c r="D1673">
        <v>2747.4070000000002</v>
      </c>
      <c r="E1673" t="s">
        <v>6</v>
      </c>
      <c r="F1673" t="s">
        <v>61</v>
      </c>
      <c r="G1673" t="s">
        <v>8</v>
      </c>
    </row>
    <row r="1674" spans="1:7" x14ac:dyDescent="0.3">
      <c r="A1674" t="s">
        <v>31</v>
      </c>
      <c r="B1674" s="1">
        <v>45961</v>
      </c>
      <c r="C1674">
        <v>541008</v>
      </c>
      <c r="D1674">
        <v>4460.1930000000002</v>
      </c>
      <c r="E1674" t="s">
        <v>6</v>
      </c>
      <c r="F1674" t="s">
        <v>61</v>
      </c>
      <c r="G1674" t="s">
        <v>8</v>
      </c>
    </row>
    <row r="1675" spans="1:7" x14ac:dyDescent="0.3">
      <c r="A1675" t="s">
        <v>31</v>
      </c>
      <c r="B1675" s="1">
        <v>45961</v>
      </c>
      <c r="C1675">
        <v>541009</v>
      </c>
      <c r="D1675">
        <v>1019.481</v>
      </c>
      <c r="E1675" t="s">
        <v>6</v>
      </c>
      <c r="F1675" t="s">
        <v>61</v>
      </c>
      <c r="G1675" t="s">
        <v>8</v>
      </c>
    </row>
    <row r="1676" spans="1:7" x14ac:dyDescent="0.3">
      <c r="A1676" t="s">
        <v>31</v>
      </c>
      <c r="B1676" s="1">
        <v>45961</v>
      </c>
      <c r="C1676">
        <v>541010</v>
      </c>
      <c r="D1676">
        <v>9250.0580000000009</v>
      </c>
      <c r="E1676" t="s">
        <v>6</v>
      </c>
      <c r="F1676" t="s">
        <v>61</v>
      </c>
      <c r="G1676" t="s">
        <v>8</v>
      </c>
    </row>
    <row r="1677" spans="1:7" x14ac:dyDescent="0.3">
      <c r="A1677" t="s">
        <v>31</v>
      </c>
      <c r="B1677" s="1">
        <v>45961</v>
      </c>
      <c r="C1677">
        <v>541012</v>
      </c>
      <c r="D1677">
        <v>275.39499999999998</v>
      </c>
      <c r="E1677" t="s">
        <v>6</v>
      </c>
      <c r="F1677" t="s">
        <v>61</v>
      </c>
      <c r="G1677" t="s">
        <v>8</v>
      </c>
    </row>
    <row r="1678" spans="1:7" x14ac:dyDescent="0.3">
      <c r="A1678" t="s">
        <v>31</v>
      </c>
      <c r="B1678" s="1">
        <v>45961</v>
      </c>
      <c r="C1678">
        <v>541013</v>
      </c>
      <c r="D1678">
        <v>56.622</v>
      </c>
      <c r="E1678" t="s">
        <v>6</v>
      </c>
      <c r="F1678" t="s">
        <v>61</v>
      </c>
      <c r="G1678" t="s">
        <v>8</v>
      </c>
    </row>
    <row r="1679" spans="1:7" x14ac:dyDescent="0.3">
      <c r="A1679" t="s">
        <v>31</v>
      </c>
      <c r="B1679" s="1">
        <v>45961</v>
      </c>
      <c r="C1679">
        <v>544003</v>
      </c>
      <c r="D1679">
        <v>51.575000000000003</v>
      </c>
      <c r="E1679" t="s">
        <v>6</v>
      </c>
      <c r="F1679" t="s">
        <v>61</v>
      </c>
      <c r="G1679" t="s">
        <v>8</v>
      </c>
    </row>
    <row r="1680" spans="1:7" x14ac:dyDescent="0.3">
      <c r="A1680" t="s">
        <v>31</v>
      </c>
      <c r="B1680" s="1">
        <v>45961</v>
      </c>
      <c r="C1680">
        <v>544006</v>
      </c>
      <c r="D1680">
        <v>42.207999999999998</v>
      </c>
      <c r="E1680" t="s">
        <v>6</v>
      </c>
      <c r="F1680" t="s">
        <v>61</v>
      </c>
      <c r="G1680" t="s">
        <v>8</v>
      </c>
    </row>
    <row r="1681" spans="1:7" x14ac:dyDescent="0.3">
      <c r="A1681" t="s">
        <v>31</v>
      </c>
      <c r="B1681" s="1">
        <v>45961</v>
      </c>
      <c r="C1681">
        <v>546002</v>
      </c>
      <c r="D1681">
        <v>558512.451</v>
      </c>
      <c r="E1681" t="s">
        <v>6</v>
      </c>
      <c r="F1681" t="s">
        <v>51</v>
      </c>
      <c r="G1681" t="s">
        <v>8</v>
      </c>
    </row>
    <row r="1682" spans="1:7" x14ac:dyDescent="0.3">
      <c r="A1682" t="s">
        <v>31</v>
      </c>
      <c r="B1682" s="1">
        <v>45961</v>
      </c>
      <c r="C1682">
        <v>546008</v>
      </c>
      <c r="D1682">
        <v>10.984999999999999</v>
      </c>
      <c r="E1682" t="s">
        <v>6</v>
      </c>
      <c r="F1682" t="s">
        <v>51</v>
      </c>
      <c r="G1682" t="s">
        <v>8</v>
      </c>
    </row>
    <row r="1683" spans="1:7" x14ac:dyDescent="0.3">
      <c r="A1683" t="s">
        <v>31</v>
      </c>
      <c r="B1683" s="1">
        <v>45961</v>
      </c>
      <c r="C1683">
        <v>546013</v>
      </c>
      <c r="D1683">
        <v>36412.262999999999</v>
      </c>
      <c r="E1683" t="s">
        <v>6</v>
      </c>
      <c r="F1683" t="s">
        <v>51</v>
      </c>
      <c r="G1683" t="s">
        <v>8</v>
      </c>
    </row>
    <row r="1684" spans="1:7" x14ac:dyDescent="0.3">
      <c r="A1684" t="s">
        <v>31</v>
      </c>
      <c r="B1684" s="1">
        <v>45961</v>
      </c>
      <c r="C1684">
        <v>546019</v>
      </c>
      <c r="D1684">
        <v>5486.4380000000001</v>
      </c>
      <c r="E1684" t="s">
        <v>6</v>
      </c>
      <c r="F1684" t="s">
        <v>51</v>
      </c>
      <c r="G1684" t="s">
        <v>8</v>
      </c>
    </row>
    <row r="1685" spans="1:7" x14ac:dyDescent="0.3">
      <c r="A1685" t="s">
        <v>31</v>
      </c>
      <c r="B1685" s="1">
        <v>45961</v>
      </c>
      <c r="C1685">
        <v>546035</v>
      </c>
      <c r="D1685">
        <v>35516.970999999998</v>
      </c>
      <c r="E1685" t="s">
        <v>6</v>
      </c>
      <c r="F1685" t="s">
        <v>51</v>
      </c>
      <c r="G1685" t="s">
        <v>8</v>
      </c>
    </row>
    <row r="1686" spans="1:7" x14ac:dyDescent="0.3">
      <c r="A1686" t="s">
        <v>31</v>
      </c>
      <c r="B1686" s="1">
        <v>45961</v>
      </c>
      <c r="C1686">
        <v>546040</v>
      </c>
      <c r="D1686">
        <v>10786.451999999999</v>
      </c>
      <c r="E1686" t="s">
        <v>6</v>
      </c>
      <c r="F1686" t="s">
        <v>51</v>
      </c>
      <c r="G1686" t="s">
        <v>8</v>
      </c>
    </row>
    <row r="1687" spans="1:7" x14ac:dyDescent="0.3">
      <c r="A1687" t="s">
        <v>31</v>
      </c>
      <c r="B1687" s="1">
        <v>45961</v>
      </c>
      <c r="C1687">
        <v>546047</v>
      </c>
      <c r="D1687">
        <v>1229.442</v>
      </c>
      <c r="E1687" t="s">
        <v>6</v>
      </c>
      <c r="F1687" t="s">
        <v>51</v>
      </c>
      <c r="G1687" t="s">
        <v>8</v>
      </c>
    </row>
    <row r="1688" spans="1:7" x14ac:dyDescent="0.3">
      <c r="A1688" t="s">
        <v>31</v>
      </c>
      <c r="B1688" s="1">
        <v>45961</v>
      </c>
      <c r="C1688">
        <v>547002</v>
      </c>
      <c r="D1688">
        <v>11369.112999999999</v>
      </c>
      <c r="E1688" t="s">
        <v>6</v>
      </c>
      <c r="F1688" t="s">
        <v>54</v>
      </c>
      <c r="G1688" t="s">
        <v>8</v>
      </c>
    </row>
    <row r="1689" spans="1:7" x14ac:dyDescent="0.3">
      <c r="A1689" t="s">
        <v>31</v>
      </c>
      <c r="B1689" s="1">
        <v>45961</v>
      </c>
      <c r="C1689">
        <v>547006</v>
      </c>
      <c r="D1689">
        <v>270.97699999999998</v>
      </c>
      <c r="E1689" t="s">
        <v>6</v>
      </c>
      <c r="F1689" t="s">
        <v>54</v>
      </c>
      <c r="G1689" t="s">
        <v>8</v>
      </c>
    </row>
    <row r="1690" spans="1:7" x14ac:dyDescent="0.3">
      <c r="A1690" t="s">
        <v>31</v>
      </c>
      <c r="B1690" s="1">
        <v>45961</v>
      </c>
      <c r="C1690">
        <v>547011</v>
      </c>
      <c r="D1690">
        <v>78.766999999999996</v>
      </c>
      <c r="E1690" t="s">
        <v>6</v>
      </c>
      <c r="F1690" t="s">
        <v>54</v>
      </c>
      <c r="G1690" t="s">
        <v>8</v>
      </c>
    </row>
    <row r="1691" spans="1:7" x14ac:dyDescent="0.3">
      <c r="A1691" t="s">
        <v>31</v>
      </c>
      <c r="B1691" s="1">
        <v>45961</v>
      </c>
      <c r="C1691">
        <v>551003</v>
      </c>
      <c r="D1691">
        <v>22949.050999999999</v>
      </c>
      <c r="E1691" t="s">
        <v>6</v>
      </c>
      <c r="F1691" t="s">
        <v>63</v>
      </c>
      <c r="G1691" t="s">
        <v>8</v>
      </c>
    </row>
    <row r="1692" spans="1:7" x14ac:dyDescent="0.3">
      <c r="A1692" t="s">
        <v>31</v>
      </c>
      <c r="B1692" s="1">
        <v>45961</v>
      </c>
      <c r="C1692">
        <v>551008</v>
      </c>
      <c r="D1692">
        <v>28.260999999999999</v>
      </c>
      <c r="E1692" t="s">
        <v>6</v>
      </c>
      <c r="F1692" t="s">
        <v>63</v>
      </c>
      <c r="G1692" t="s">
        <v>8</v>
      </c>
    </row>
    <row r="1693" spans="1:7" x14ac:dyDescent="0.3">
      <c r="A1693" t="s">
        <v>31</v>
      </c>
      <c r="B1693" s="1">
        <v>45961</v>
      </c>
      <c r="C1693">
        <v>552502</v>
      </c>
      <c r="D1693">
        <v>3782.373</v>
      </c>
      <c r="E1693" t="s">
        <v>6</v>
      </c>
      <c r="F1693" t="s">
        <v>55</v>
      </c>
      <c r="G1693" t="s">
        <v>8</v>
      </c>
    </row>
    <row r="1694" spans="1:7" x14ac:dyDescent="0.3">
      <c r="A1694" t="s">
        <v>31</v>
      </c>
      <c r="B1694" s="1">
        <v>45961</v>
      </c>
      <c r="C1694">
        <v>555007</v>
      </c>
      <c r="D1694">
        <v>872.33600000000001</v>
      </c>
      <c r="E1694" t="s">
        <v>6</v>
      </c>
      <c r="F1694" t="s">
        <v>55</v>
      </c>
      <c r="G1694" t="s">
        <v>8</v>
      </c>
    </row>
    <row r="1695" spans="1:7" x14ac:dyDescent="0.3">
      <c r="A1695" t="s">
        <v>31</v>
      </c>
      <c r="B1695" s="1">
        <v>45961</v>
      </c>
      <c r="C1695">
        <v>556002</v>
      </c>
      <c r="D1695">
        <v>543.75199999999995</v>
      </c>
      <c r="E1695" t="s">
        <v>6</v>
      </c>
      <c r="F1695" t="s">
        <v>60</v>
      </c>
      <c r="G1695" t="s">
        <v>8</v>
      </c>
    </row>
    <row r="1696" spans="1:7" x14ac:dyDescent="0.3">
      <c r="A1696" t="s">
        <v>31</v>
      </c>
      <c r="B1696" s="1">
        <v>45961</v>
      </c>
      <c r="C1696">
        <v>556004</v>
      </c>
      <c r="D1696">
        <v>81.224000000000004</v>
      </c>
      <c r="E1696" t="s">
        <v>6</v>
      </c>
      <c r="F1696" t="s">
        <v>55</v>
      </c>
      <c r="G1696" t="s">
        <v>8</v>
      </c>
    </row>
    <row r="1697" spans="1:7" x14ac:dyDescent="0.3">
      <c r="A1697" t="s">
        <v>31</v>
      </c>
      <c r="B1697" s="1">
        <v>45961</v>
      </c>
      <c r="C1697">
        <v>557002</v>
      </c>
      <c r="D1697">
        <v>4640.8180000000002</v>
      </c>
      <c r="E1697" t="s">
        <v>6</v>
      </c>
      <c r="F1697" t="s">
        <v>56</v>
      </c>
      <c r="G1697" t="s">
        <v>8</v>
      </c>
    </row>
    <row r="1698" spans="1:7" x14ac:dyDescent="0.3">
      <c r="A1698" t="s">
        <v>31</v>
      </c>
      <c r="B1698" s="1">
        <v>45961</v>
      </c>
      <c r="C1698">
        <v>558003</v>
      </c>
      <c r="D1698">
        <v>4602.192</v>
      </c>
      <c r="E1698" t="s">
        <v>6</v>
      </c>
      <c r="F1698" t="s">
        <v>57</v>
      </c>
      <c r="G1698" t="s">
        <v>8</v>
      </c>
    </row>
    <row r="1699" spans="1:7" x14ac:dyDescent="0.3">
      <c r="A1699" t="s">
        <v>31</v>
      </c>
      <c r="B1699" s="1">
        <v>45961</v>
      </c>
      <c r="C1699">
        <v>558006</v>
      </c>
      <c r="D1699">
        <v>-524.76599999999996</v>
      </c>
      <c r="E1699" t="s">
        <v>6</v>
      </c>
      <c r="F1699" t="s">
        <v>57</v>
      </c>
      <c r="G1699" t="s">
        <v>8</v>
      </c>
    </row>
    <row r="1700" spans="1:7" x14ac:dyDescent="0.3">
      <c r="A1700" t="s">
        <v>31</v>
      </c>
      <c r="B1700" s="1">
        <v>45961</v>
      </c>
      <c r="C1700">
        <v>558011</v>
      </c>
      <c r="D1700">
        <v>102.59099999999999</v>
      </c>
      <c r="E1700" t="s">
        <v>6</v>
      </c>
      <c r="F1700" t="s">
        <v>57</v>
      </c>
      <c r="G1700" t="s">
        <v>8</v>
      </c>
    </row>
    <row r="1701" spans="1:7" x14ac:dyDescent="0.3">
      <c r="A1701" t="s">
        <v>31</v>
      </c>
      <c r="B1701" s="1">
        <v>45961</v>
      </c>
      <c r="C1701">
        <v>558012</v>
      </c>
      <c r="D1701">
        <v>608.47900000000004</v>
      </c>
      <c r="E1701" t="s">
        <v>6</v>
      </c>
      <c r="F1701" t="s">
        <v>60</v>
      </c>
      <c r="G1701" t="s">
        <v>8</v>
      </c>
    </row>
    <row r="1702" spans="1:7" x14ac:dyDescent="0.3">
      <c r="A1702" t="s">
        <v>31</v>
      </c>
      <c r="B1702" s="1">
        <v>45961</v>
      </c>
      <c r="C1702">
        <v>559002</v>
      </c>
      <c r="D1702">
        <v>270.99200000000002</v>
      </c>
      <c r="E1702" t="s">
        <v>6</v>
      </c>
      <c r="F1702" t="s">
        <v>60</v>
      </c>
      <c r="G1702" t="s">
        <v>8</v>
      </c>
    </row>
    <row r="1703" spans="1:7" x14ac:dyDescent="0.3">
      <c r="A1703" t="s">
        <v>31</v>
      </c>
      <c r="B1703" s="1">
        <v>45961</v>
      </c>
      <c r="C1703">
        <v>560008</v>
      </c>
      <c r="D1703">
        <v>271.11</v>
      </c>
      <c r="E1703" t="s">
        <v>6</v>
      </c>
      <c r="F1703" t="s">
        <v>56</v>
      </c>
      <c r="G1703" t="s">
        <v>8</v>
      </c>
    </row>
    <row r="1704" spans="1:7" x14ac:dyDescent="0.3">
      <c r="A1704" t="s">
        <v>31</v>
      </c>
      <c r="B1704" s="1">
        <v>45961</v>
      </c>
      <c r="C1704">
        <v>564004</v>
      </c>
      <c r="D1704">
        <v>8586.1450000000004</v>
      </c>
      <c r="E1704" t="s">
        <v>6</v>
      </c>
      <c r="F1704" t="s">
        <v>51</v>
      </c>
      <c r="G1704" t="s">
        <v>8</v>
      </c>
    </row>
    <row r="1705" spans="1:7" x14ac:dyDescent="0.3">
      <c r="A1705" t="s">
        <v>31</v>
      </c>
      <c r="B1705" s="1">
        <v>45961</v>
      </c>
      <c r="C1705">
        <v>564006</v>
      </c>
      <c r="D1705">
        <v>-4.3999999999999997E-2</v>
      </c>
      <c r="E1705" t="s">
        <v>6</v>
      </c>
      <c r="F1705" t="s">
        <v>57</v>
      </c>
      <c r="G1705" t="s">
        <v>8</v>
      </c>
    </row>
    <row r="1706" spans="1:7" x14ac:dyDescent="0.3">
      <c r="A1706" t="s">
        <v>31</v>
      </c>
      <c r="B1706" s="1">
        <v>45961</v>
      </c>
      <c r="C1706">
        <v>564020</v>
      </c>
      <c r="D1706">
        <v>137.297</v>
      </c>
      <c r="E1706" t="s">
        <v>6</v>
      </c>
      <c r="F1706" t="s">
        <v>57</v>
      </c>
      <c r="G1706" t="s">
        <v>8</v>
      </c>
    </row>
    <row r="1707" spans="1:7" x14ac:dyDescent="0.3">
      <c r="A1707" t="s">
        <v>31</v>
      </c>
      <c r="B1707" s="1">
        <v>45961</v>
      </c>
      <c r="C1707">
        <v>564021</v>
      </c>
      <c r="D1707">
        <v>8.6050000000000004</v>
      </c>
      <c r="E1707" t="s">
        <v>6</v>
      </c>
      <c r="F1707" t="s">
        <v>57</v>
      </c>
      <c r="G1707" t="s">
        <v>8</v>
      </c>
    </row>
    <row r="1708" spans="1:7" x14ac:dyDescent="0.3">
      <c r="A1708" t="s">
        <v>31</v>
      </c>
      <c r="B1708" s="1">
        <v>45961</v>
      </c>
      <c r="C1708">
        <v>570002</v>
      </c>
      <c r="D1708">
        <v>471.01900000000001</v>
      </c>
      <c r="E1708" t="s">
        <v>6</v>
      </c>
      <c r="F1708" t="s">
        <v>66</v>
      </c>
      <c r="G1708" t="s">
        <v>8</v>
      </c>
    </row>
    <row r="1709" spans="1:7" x14ac:dyDescent="0.3">
      <c r="A1709" t="s">
        <v>31</v>
      </c>
      <c r="B1709" s="1">
        <v>45961</v>
      </c>
      <c r="C1709">
        <v>580002</v>
      </c>
      <c r="D1709">
        <v>2412.58</v>
      </c>
      <c r="E1709" t="s">
        <v>6</v>
      </c>
      <c r="F1709" t="s">
        <v>64</v>
      </c>
      <c r="G1709" t="s">
        <v>8</v>
      </c>
    </row>
    <row r="1710" spans="1:7" x14ac:dyDescent="0.3">
      <c r="A1710" t="s">
        <v>32</v>
      </c>
      <c r="B1710" s="1">
        <v>45961</v>
      </c>
      <c r="C1710">
        <v>210002</v>
      </c>
      <c r="D1710">
        <v>-7148075.6569999997</v>
      </c>
      <c r="E1710" t="s">
        <v>4</v>
      </c>
      <c r="F1710" t="s">
        <v>42</v>
      </c>
      <c r="G1710" t="s">
        <v>7</v>
      </c>
    </row>
    <row r="1711" spans="1:7" x14ac:dyDescent="0.3">
      <c r="A1711" t="s">
        <v>32</v>
      </c>
      <c r="B1711" s="1">
        <v>45961</v>
      </c>
      <c r="C1711">
        <v>220003</v>
      </c>
      <c r="D1711">
        <v>4358052.8899999997</v>
      </c>
      <c r="E1711" t="s">
        <v>4</v>
      </c>
      <c r="F1711" t="s">
        <v>42</v>
      </c>
      <c r="G1711" t="s">
        <v>7</v>
      </c>
    </row>
    <row r="1712" spans="1:7" x14ac:dyDescent="0.3">
      <c r="A1712" t="s">
        <v>32</v>
      </c>
      <c r="B1712" s="1">
        <v>45961</v>
      </c>
      <c r="C1712">
        <v>220004</v>
      </c>
      <c r="D1712">
        <v>-4077.66</v>
      </c>
      <c r="E1712" t="s">
        <v>4</v>
      </c>
      <c r="F1712" t="s">
        <v>42</v>
      </c>
      <c r="G1712" t="s">
        <v>7</v>
      </c>
    </row>
    <row r="1713" spans="1:7" x14ac:dyDescent="0.3">
      <c r="A1713" t="s">
        <v>32</v>
      </c>
      <c r="B1713" s="1">
        <v>45961</v>
      </c>
      <c r="C1713">
        <v>220006</v>
      </c>
      <c r="D1713">
        <v>-7340327.8470000001</v>
      </c>
      <c r="E1713" t="s">
        <v>4</v>
      </c>
      <c r="F1713" t="s">
        <v>42</v>
      </c>
      <c r="G1713" t="s">
        <v>7</v>
      </c>
    </row>
    <row r="1714" spans="1:7" x14ac:dyDescent="0.3">
      <c r="A1714" t="s">
        <v>32</v>
      </c>
      <c r="B1714" s="1">
        <v>45961</v>
      </c>
      <c r="C1714">
        <v>234003</v>
      </c>
      <c r="D1714">
        <v>-207186.43</v>
      </c>
      <c r="E1714" t="s">
        <v>4</v>
      </c>
      <c r="F1714" t="s">
        <v>43</v>
      </c>
      <c r="G1714" t="s">
        <v>7</v>
      </c>
    </row>
    <row r="1715" spans="1:7" x14ac:dyDescent="0.3">
      <c r="A1715" t="s">
        <v>32</v>
      </c>
      <c r="B1715" s="1">
        <v>45961</v>
      </c>
      <c r="C1715">
        <v>240002</v>
      </c>
      <c r="D1715">
        <v>-58541.747000000003</v>
      </c>
      <c r="E1715" t="s">
        <v>4</v>
      </c>
      <c r="F1715" t="s">
        <v>43</v>
      </c>
      <c r="G1715" t="s">
        <v>7</v>
      </c>
    </row>
    <row r="1716" spans="1:7" x14ac:dyDescent="0.3">
      <c r="A1716" t="s">
        <v>32</v>
      </c>
      <c r="B1716" s="1">
        <v>45961</v>
      </c>
      <c r="C1716">
        <v>240009</v>
      </c>
      <c r="D1716">
        <v>-13752</v>
      </c>
      <c r="E1716" t="s">
        <v>4</v>
      </c>
      <c r="F1716" t="s">
        <v>43</v>
      </c>
      <c r="G1716" t="s">
        <v>7</v>
      </c>
    </row>
    <row r="1717" spans="1:7" x14ac:dyDescent="0.3">
      <c r="A1717" t="s">
        <v>32</v>
      </c>
      <c r="B1717" s="1">
        <v>45961</v>
      </c>
      <c r="C1717">
        <v>242003</v>
      </c>
      <c r="D1717">
        <v>-973719.63699999999</v>
      </c>
      <c r="E1717" t="s">
        <v>4</v>
      </c>
      <c r="F1717" t="s">
        <v>43</v>
      </c>
      <c r="G1717" t="s">
        <v>7</v>
      </c>
    </row>
    <row r="1718" spans="1:7" x14ac:dyDescent="0.3">
      <c r="A1718" t="s">
        <v>32</v>
      </c>
      <c r="B1718" s="1">
        <v>45961</v>
      </c>
      <c r="C1718">
        <v>242007</v>
      </c>
      <c r="D1718">
        <v>-28848.941999999999</v>
      </c>
      <c r="E1718" t="s">
        <v>4</v>
      </c>
      <c r="F1718" t="s">
        <v>43</v>
      </c>
      <c r="G1718" t="s">
        <v>7</v>
      </c>
    </row>
    <row r="1719" spans="1:7" x14ac:dyDescent="0.3">
      <c r="A1719" t="s">
        <v>32</v>
      </c>
      <c r="B1719" s="1">
        <v>45961</v>
      </c>
      <c r="C1719">
        <v>242012</v>
      </c>
      <c r="D1719">
        <v>-1494295.3430000001</v>
      </c>
      <c r="E1719" t="s">
        <v>4</v>
      </c>
      <c r="F1719" t="s">
        <v>43</v>
      </c>
      <c r="G1719" t="s">
        <v>7</v>
      </c>
    </row>
    <row r="1720" spans="1:7" x14ac:dyDescent="0.3">
      <c r="A1720" t="s">
        <v>32</v>
      </c>
      <c r="B1720" s="1">
        <v>45961</v>
      </c>
      <c r="C1720">
        <v>242013</v>
      </c>
      <c r="D1720">
        <v>-350575.26500000001</v>
      </c>
      <c r="E1720" t="s">
        <v>4</v>
      </c>
      <c r="F1720" t="s">
        <v>43</v>
      </c>
      <c r="G1720" t="s">
        <v>7</v>
      </c>
    </row>
    <row r="1721" spans="1:7" x14ac:dyDescent="0.3">
      <c r="A1721" t="s">
        <v>32</v>
      </c>
      <c r="B1721" s="1">
        <v>45961</v>
      </c>
      <c r="C1721">
        <v>242014</v>
      </c>
      <c r="D1721">
        <v>-351827.50300000003</v>
      </c>
      <c r="E1721" t="s">
        <v>4</v>
      </c>
      <c r="F1721" t="s">
        <v>43</v>
      </c>
      <c r="G1721" t="s">
        <v>7</v>
      </c>
    </row>
    <row r="1722" spans="1:7" x14ac:dyDescent="0.3">
      <c r="A1722" t="s">
        <v>32</v>
      </c>
      <c r="B1722" s="1">
        <v>45961</v>
      </c>
      <c r="C1722">
        <v>242017</v>
      </c>
      <c r="D1722">
        <v>81137.788</v>
      </c>
      <c r="E1722" t="s">
        <v>4</v>
      </c>
      <c r="F1722" t="s">
        <v>43</v>
      </c>
      <c r="G1722" t="s">
        <v>7</v>
      </c>
    </row>
    <row r="1723" spans="1:7" x14ac:dyDescent="0.3">
      <c r="A1723" t="s">
        <v>32</v>
      </c>
      <c r="B1723" s="1">
        <v>45961</v>
      </c>
      <c r="C1723">
        <v>242019</v>
      </c>
      <c r="D1723">
        <v>-3756.2750000000001</v>
      </c>
      <c r="E1723" t="s">
        <v>4</v>
      </c>
      <c r="F1723" t="s">
        <v>43</v>
      </c>
      <c r="G1723" t="s">
        <v>7</v>
      </c>
    </row>
    <row r="1724" spans="1:7" x14ac:dyDescent="0.3">
      <c r="A1724" t="s">
        <v>32</v>
      </c>
      <c r="B1724" s="1">
        <v>45961</v>
      </c>
      <c r="C1724">
        <v>242022</v>
      </c>
      <c r="D1724">
        <v>-15372.337</v>
      </c>
      <c r="E1724" t="s">
        <v>4</v>
      </c>
      <c r="F1724" t="s">
        <v>43</v>
      </c>
      <c r="G1724" t="s">
        <v>7</v>
      </c>
    </row>
    <row r="1725" spans="1:7" x14ac:dyDescent="0.3">
      <c r="A1725" t="s">
        <v>32</v>
      </c>
      <c r="B1725" s="1">
        <v>45961</v>
      </c>
      <c r="C1725">
        <v>242023</v>
      </c>
      <c r="D1725">
        <v>-5271.5879999999997</v>
      </c>
      <c r="E1725" t="s">
        <v>4</v>
      </c>
      <c r="F1725" t="s">
        <v>43</v>
      </c>
      <c r="G1725" t="s">
        <v>7</v>
      </c>
    </row>
    <row r="1726" spans="1:7" x14ac:dyDescent="0.3">
      <c r="A1726" t="s">
        <v>32</v>
      </c>
      <c r="B1726" s="1">
        <v>45961</v>
      </c>
      <c r="C1726">
        <v>242027</v>
      </c>
      <c r="D1726">
        <v>-118739.734</v>
      </c>
      <c r="E1726" t="s">
        <v>4</v>
      </c>
      <c r="F1726" t="s">
        <v>43</v>
      </c>
      <c r="G1726" t="s">
        <v>7</v>
      </c>
    </row>
    <row r="1727" spans="1:7" x14ac:dyDescent="0.3">
      <c r="A1727" t="s">
        <v>32</v>
      </c>
      <c r="B1727" s="1">
        <v>45961</v>
      </c>
      <c r="C1727">
        <v>242030</v>
      </c>
      <c r="D1727">
        <v>-385416.95</v>
      </c>
      <c r="E1727" t="s">
        <v>4</v>
      </c>
      <c r="F1727" t="s">
        <v>43</v>
      </c>
      <c r="G1727" t="s">
        <v>7</v>
      </c>
    </row>
    <row r="1728" spans="1:7" x14ac:dyDescent="0.3">
      <c r="A1728" t="s">
        <v>32</v>
      </c>
      <c r="B1728" s="1">
        <v>45961</v>
      </c>
      <c r="C1728">
        <v>242032</v>
      </c>
      <c r="D1728">
        <v>-789.17200000000003</v>
      </c>
      <c r="E1728" t="s">
        <v>4</v>
      </c>
      <c r="F1728" t="s">
        <v>43</v>
      </c>
      <c r="G1728" t="s">
        <v>7</v>
      </c>
    </row>
    <row r="1729" spans="1:7" x14ac:dyDescent="0.3">
      <c r="A1729" t="s">
        <v>32</v>
      </c>
      <c r="B1729" s="1">
        <v>45961</v>
      </c>
      <c r="C1729">
        <v>242036</v>
      </c>
      <c r="D1729">
        <v>-29402.277999999998</v>
      </c>
      <c r="E1729" t="s">
        <v>4</v>
      </c>
      <c r="F1729" t="s">
        <v>43</v>
      </c>
      <c r="G1729" t="s">
        <v>7</v>
      </c>
    </row>
    <row r="1730" spans="1:7" x14ac:dyDescent="0.3">
      <c r="A1730" t="s">
        <v>32</v>
      </c>
      <c r="B1730" s="1">
        <v>45961</v>
      </c>
      <c r="C1730">
        <v>242037</v>
      </c>
      <c r="D1730">
        <v>-1886.204</v>
      </c>
      <c r="E1730" t="s">
        <v>4</v>
      </c>
      <c r="F1730" t="s">
        <v>43</v>
      </c>
      <c r="G1730" t="s">
        <v>7</v>
      </c>
    </row>
    <row r="1731" spans="1:7" x14ac:dyDescent="0.3">
      <c r="A1731" t="s">
        <v>32</v>
      </c>
      <c r="B1731" s="1">
        <v>45961</v>
      </c>
      <c r="C1731">
        <v>242038</v>
      </c>
      <c r="D1731">
        <v>-15487.28</v>
      </c>
      <c r="E1731" t="s">
        <v>4</v>
      </c>
      <c r="F1731" t="s">
        <v>43</v>
      </c>
      <c r="G1731" t="s">
        <v>7</v>
      </c>
    </row>
    <row r="1732" spans="1:7" x14ac:dyDescent="0.3">
      <c r="A1732" t="s">
        <v>32</v>
      </c>
      <c r="B1732" s="1">
        <v>45961</v>
      </c>
      <c r="C1732">
        <v>242039</v>
      </c>
      <c r="D1732">
        <v>-35828.084999999999</v>
      </c>
      <c r="E1732" t="s">
        <v>4</v>
      </c>
      <c r="F1732" t="s">
        <v>43</v>
      </c>
      <c r="G1732" t="s">
        <v>7</v>
      </c>
    </row>
    <row r="1733" spans="1:7" x14ac:dyDescent="0.3">
      <c r="A1733" t="s">
        <v>32</v>
      </c>
      <c r="B1733" s="1">
        <v>45961</v>
      </c>
      <c r="C1733">
        <v>242041</v>
      </c>
      <c r="D1733">
        <v>64490.349000000002</v>
      </c>
      <c r="E1733" t="s">
        <v>4</v>
      </c>
      <c r="F1733" t="s">
        <v>43</v>
      </c>
      <c r="G1733" t="s">
        <v>7</v>
      </c>
    </row>
    <row r="1734" spans="1:7" x14ac:dyDescent="0.3">
      <c r="A1734" t="s">
        <v>32</v>
      </c>
      <c r="B1734" s="1">
        <v>45961</v>
      </c>
      <c r="C1734">
        <v>242044</v>
      </c>
      <c r="D1734">
        <v>-32065.186000000002</v>
      </c>
      <c r="E1734" t="s">
        <v>4</v>
      </c>
      <c r="F1734" t="s">
        <v>43</v>
      </c>
      <c r="G1734" t="s">
        <v>7</v>
      </c>
    </row>
    <row r="1735" spans="1:7" x14ac:dyDescent="0.3">
      <c r="A1735" t="s">
        <v>32</v>
      </c>
      <c r="B1735" s="1">
        <v>45961</v>
      </c>
      <c r="C1735">
        <v>243002</v>
      </c>
      <c r="D1735">
        <v>-171194.66800000001</v>
      </c>
      <c r="E1735" t="s">
        <v>4</v>
      </c>
      <c r="F1735" t="s">
        <v>43</v>
      </c>
      <c r="G1735" t="s">
        <v>7</v>
      </c>
    </row>
    <row r="1736" spans="1:7" x14ac:dyDescent="0.3">
      <c r="A1736" t="s">
        <v>32</v>
      </c>
      <c r="B1736" s="1">
        <v>45961</v>
      </c>
      <c r="C1736">
        <v>243003</v>
      </c>
      <c r="D1736">
        <v>-406221.82799999998</v>
      </c>
      <c r="E1736" t="s">
        <v>4</v>
      </c>
      <c r="F1736" t="s">
        <v>43</v>
      </c>
      <c r="G1736" t="s">
        <v>7</v>
      </c>
    </row>
    <row r="1737" spans="1:7" x14ac:dyDescent="0.3">
      <c r="A1737" t="s">
        <v>32</v>
      </c>
      <c r="B1737" s="1">
        <v>45961</v>
      </c>
      <c r="C1737">
        <v>243009</v>
      </c>
      <c r="D1737">
        <v>-2100.547</v>
      </c>
      <c r="E1737" t="s">
        <v>4</v>
      </c>
      <c r="F1737" t="s">
        <v>43</v>
      </c>
      <c r="G1737" t="s">
        <v>7</v>
      </c>
    </row>
    <row r="1738" spans="1:7" x14ac:dyDescent="0.3">
      <c r="A1738" t="s">
        <v>32</v>
      </c>
      <c r="B1738" s="1">
        <v>45961</v>
      </c>
      <c r="C1738">
        <v>245010</v>
      </c>
      <c r="D1738">
        <v>-190372.93700000001</v>
      </c>
      <c r="E1738" t="s">
        <v>4</v>
      </c>
      <c r="F1738" t="s">
        <v>44</v>
      </c>
      <c r="G1738" t="s">
        <v>7</v>
      </c>
    </row>
    <row r="1739" spans="1:7" x14ac:dyDescent="0.3">
      <c r="A1739" t="s">
        <v>32</v>
      </c>
      <c r="B1739" s="1">
        <v>45961</v>
      </c>
      <c r="C1739">
        <v>245018</v>
      </c>
      <c r="D1739">
        <v>-32826.089999999997</v>
      </c>
      <c r="E1739" t="s">
        <v>4</v>
      </c>
      <c r="F1739" t="s">
        <v>43</v>
      </c>
      <c r="G1739" t="s">
        <v>7</v>
      </c>
    </row>
    <row r="1740" spans="1:7" x14ac:dyDescent="0.3">
      <c r="A1740" t="s">
        <v>32</v>
      </c>
      <c r="B1740" s="1">
        <v>45961</v>
      </c>
      <c r="C1740">
        <v>245062</v>
      </c>
      <c r="D1740">
        <v>-182394.4</v>
      </c>
      <c r="E1740" t="s">
        <v>4</v>
      </c>
      <c r="F1740" t="s">
        <v>43</v>
      </c>
      <c r="G1740" t="s">
        <v>7</v>
      </c>
    </row>
    <row r="1741" spans="1:7" x14ac:dyDescent="0.3">
      <c r="A1741" t="s">
        <v>32</v>
      </c>
      <c r="B1741" s="1">
        <v>45961</v>
      </c>
      <c r="C1741">
        <v>250003</v>
      </c>
      <c r="D1741">
        <v>-63247.033000000003</v>
      </c>
      <c r="E1741" t="s">
        <v>4</v>
      </c>
      <c r="F1741" t="s">
        <v>45</v>
      </c>
      <c r="G1741" t="s">
        <v>7</v>
      </c>
    </row>
    <row r="1742" spans="1:7" x14ac:dyDescent="0.3">
      <c r="A1742" t="s">
        <v>32</v>
      </c>
      <c r="B1742" s="1">
        <v>45961</v>
      </c>
      <c r="C1742">
        <v>250007</v>
      </c>
      <c r="D1742">
        <v>-140949.364</v>
      </c>
      <c r="E1742" t="s">
        <v>4</v>
      </c>
      <c r="F1742" t="s">
        <v>43</v>
      </c>
      <c r="G1742" t="s">
        <v>7</v>
      </c>
    </row>
    <row r="1743" spans="1:7" x14ac:dyDescent="0.3">
      <c r="A1743" t="s">
        <v>32</v>
      </c>
      <c r="B1743" s="1">
        <v>45961</v>
      </c>
      <c r="C1743">
        <v>250009</v>
      </c>
      <c r="D1743">
        <v>-1147.8520000000001</v>
      </c>
      <c r="E1743" t="s">
        <v>4</v>
      </c>
      <c r="F1743" t="s">
        <v>43</v>
      </c>
      <c r="G1743" t="s">
        <v>7</v>
      </c>
    </row>
    <row r="1744" spans="1:7" x14ac:dyDescent="0.3">
      <c r="A1744" t="s">
        <v>32</v>
      </c>
      <c r="B1744" s="1">
        <v>45961</v>
      </c>
      <c r="C1744">
        <v>251002</v>
      </c>
      <c r="D1744">
        <v>-23381.473000000002</v>
      </c>
      <c r="E1744" t="s">
        <v>4</v>
      </c>
      <c r="F1744" t="s">
        <v>45</v>
      </c>
      <c r="G1744" t="s">
        <v>7</v>
      </c>
    </row>
    <row r="1745" spans="1:7" x14ac:dyDescent="0.3">
      <c r="A1745" t="s">
        <v>32</v>
      </c>
      <c r="B1745" s="1">
        <v>45961</v>
      </c>
      <c r="C1745">
        <v>251003</v>
      </c>
      <c r="D1745">
        <v>-549268.38800000004</v>
      </c>
      <c r="E1745" t="s">
        <v>4</v>
      </c>
      <c r="F1745" t="s">
        <v>45</v>
      </c>
      <c r="G1745" t="s">
        <v>7</v>
      </c>
    </row>
    <row r="1746" spans="1:7" x14ac:dyDescent="0.3">
      <c r="A1746" t="s">
        <v>32</v>
      </c>
      <c r="B1746" s="1">
        <v>45961</v>
      </c>
      <c r="C1746">
        <v>251005</v>
      </c>
      <c r="D1746">
        <v>521384.31599999999</v>
      </c>
      <c r="E1746" t="s">
        <v>4</v>
      </c>
      <c r="F1746" t="s">
        <v>46</v>
      </c>
      <c r="G1746" t="s">
        <v>7</v>
      </c>
    </row>
    <row r="1747" spans="1:7" x14ac:dyDescent="0.3">
      <c r="A1747" t="s">
        <v>32</v>
      </c>
      <c r="B1747" s="1">
        <v>45961</v>
      </c>
      <c r="C1747">
        <v>257008</v>
      </c>
      <c r="D1747">
        <v>-10754.427</v>
      </c>
      <c r="E1747" t="s">
        <v>4</v>
      </c>
      <c r="F1747" t="s">
        <v>45</v>
      </c>
      <c r="G1747" t="s">
        <v>7</v>
      </c>
    </row>
    <row r="1748" spans="1:7" x14ac:dyDescent="0.3">
      <c r="A1748" t="s">
        <v>32</v>
      </c>
      <c r="B1748" s="1">
        <v>45961</v>
      </c>
      <c r="C1748">
        <v>257009</v>
      </c>
      <c r="D1748">
        <v>-29049.319</v>
      </c>
      <c r="E1748" t="s">
        <v>4</v>
      </c>
      <c r="F1748" t="s">
        <v>45</v>
      </c>
      <c r="G1748" t="s">
        <v>7</v>
      </c>
    </row>
    <row r="1749" spans="1:7" x14ac:dyDescent="0.3">
      <c r="A1749" t="s">
        <v>32</v>
      </c>
      <c r="B1749" s="1">
        <v>45961</v>
      </c>
      <c r="C1749">
        <v>257011</v>
      </c>
      <c r="D1749">
        <v>-12328.048000000001</v>
      </c>
      <c r="E1749" t="s">
        <v>4</v>
      </c>
      <c r="F1749" t="s">
        <v>45</v>
      </c>
      <c r="G1749" t="s">
        <v>7</v>
      </c>
    </row>
    <row r="1750" spans="1:7" x14ac:dyDescent="0.3">
      <c r="A1750" t="s">
        <v>32</v>
      </c>
      <c r="B1750" s="1">
        <v>45961</v>
      </c>
      <c r="C1750">
        <v>257022</v>
      </c>
      <c r="D1750">
        <v>6280.2120000000004</v>
      </c>
      <c r="E1750" t="s">
        <v>4</v>
      </c>
      <c r="F1750" t="s">
        <v>45</v>
      </c>
      <c r="G1750" t="s">
        <v>7</v>
      </c>
    </row>
    <row r="1751" spans="1:7" x14ac:dyDescent="0.3">
      <c r="A1751" t="s">
        <v>32</v>
      </c>
      <c r="B1751" s="1">
        <v>45961</v>
      </c>
      <c r="C1751">
        <v>257028</v>
      </c>
      <c r="D1751">
        <v>-124631.493</v>
      </c>
      <c r="E1751" t="s">
        <v>4</v>
      </c>
      <c r="F1751" t="s">
        <v>45</v>
      </c>
      <c r="G1751" t="s">
        <v>7</v>
      </c>
    </row>
    <row r="1752" spans="1:7" x14ac:dyDescent="0.3">
      <c r="A1752" t="s">
        <v>32</v>
      </c>
      <c r="B1752" s="1">
        <v>45961</v>
      </c>
      <c r="C1752">
        <v>260004</v>
      </c>
      <c r="D1752">
        <v>-1932.3579999999999</v>
      </c>
      <c r="E1752" t="s">
        <v>4</v>
      </c>
      <c r="F1752" t="s">
        <v>45</v>
      </c>
      <c r="G1752" t="s">
        <v>7</v>
      </c>
    </row>
    <row r="1753" spans="1:7" x14ac:dyDescent="0.3">
      <c r="A1753" t="s">
        <v>32</v>
      </c>
      <c r="B1753" s="1">
        <v>45961</v>
      </c>
      <c r="C1753">
        <v>270024</v>
      </c>
      <c r="D1753">
        <v>-29789.243999999999</v>
      </c>
      <c r="E1753" t="s">
        <v>4</v>
      </c>
      <c r="F1753" t="s">
        <v>58</v>
      </c>
      <c r="G1753" t="s">
        <v>7</v>
      </c>
    </row>
    <row r="1754" spans="1:7" x14ac:dyDescent="0.3">
      <c r="A1754" t="s">
        <v>32</v>
      </c>
      <c r="B1754" s="1">
        <v>45961</v>
      </c>
      <c r="C1754">
        <v>270025</v>
      </c>
      <c r="D1754">
        <v>-221780.56700000001</v>
      </c>
      <c r="E1754" t="s">
        <v>4</v>
      </c>
      <c r="F1754" t="s">
        <v>58</v>
      </c>
      <c r="G1754" t="s">
        <v>7</v>
      </c>
    </row>
    <row r="1755" spans="1:7" x14ac:dyDescent="0.3">
      <c r="A1755" t="s">
        <v>32</v>
      </c>
      <c r="B1755" s="1">
        <v>45961</v>
      </c>
      <c r="C1755">
        <v>270026</v>
      </c>
      <c r="D1755">
        <v>-88398.486000000004</v>
      </c>
      <c r="E1755" t="s">
        <v>4</v>
      </c>
      <c r="F1755" t="s">
        <v>58</v>
      </c>
      <c r="G1755" t="s">
        <v>7</v>
      </c>
    </row>
    <row r="1756" spans="1:7" x14ac:dyDescent="0.3">
      <c r="A1756" t="s">
        <v>32</v>
      </c>
      <c r="B1756" s="1">
        <v>45961</v>
      </c>
      <c r="C1756">
        <v>270027</v>
      </c>
      <c r="D1756">
        <v>-127927.79399999999</v>
      </c>
      <c r="E1756" t="s">
        <v>4</v>
      </c>
      <c r="F1756" t="s">
        <v>58</v>
      </c>
      <c r="G1756" t="s">
        <v>7</v>
      </c>
    </row>
    <row r="1757" spans="1:7" x14ac:dyDescent="0.3">
      <c r="A1757" t="s">
        <v>32</v>
      </c>
      <c r="B1757" s="1">
        <v>45961</v>
      </c>
      <c r="C1757">
        <v>300004</v>
      </c>
      <c r="D1757">
        <v>14218.661</v>
      </c>
      <c r="E1757" t="s">
        <v>4</v>
      </c>
      <c r="F1757" t="s">
        <v>65</v>
      </c>
      <c r="G1757" t="s">
        <v>7</v>
      </c>
    </row>
    <row r="1758" spans="1:7" x14ac:dyDescent="0.3">
      <c r="A1758" t="s">
        <v>32</v>
      </c>
      <c r="B1758" s="1">
        <v>45961</v>
      </c>
      <c r="C1758">
        <v>300005</v>
      </c>
      <c r="D1758">
        <v>61994.680999999997</v>
      </c>
      <c r="E1758" t="s">
        <v>4</v>
      </c>
      <c r="F1758" t="s">
        <v>65</v>
      </c>
      <c r="G1758" t="s">
        <v>7</v>
      </c>
    </row>
    <row r="1759" spans="1:7" x14ac:dyDescent="0.3">
      <c r="A1759" t="s">
        <v>32</v>
      </c>
      <c r="B1759" s="1">
        <v>45961</v>
      </c>
      <c r="C1759">
        <v>300008</v>
      </c>
      <c r="D1759">
        <v>245292.82199999999</v>
      </c>
      <c r="E1759" t="s">
        <v>4</v>
      </c>
      <c r="F1759" t="s">
        <v>65</v>
      </c>
      <c r="G1759" t="s">
        <v>7</v>
      </c>
    </row>
    <row r="1760" spans="1:7" x14ac:dyDescent="0.3">
      <c r="A1760" t="s">
        <v>32</v>
      </c>
      <c r="B1760" s="1">
        <v>45961</v>
      </c>
      <c r="C1760">
        <v>300009</v>
      </c>
      <c r="D1760">
        <v>5189.9549999999999</v>
      </c>
      <c r="E1760" t="s">
        <v>4</v>
      </c>
      <c r="F1760" t="s">
        <v>65</v>
      </c>
      <c r="G1760" t="s">
        <v>7</v>
      </c>
    </row>
    <row r="1761" spans="1:7" x14ac:dyDescent="0.3">
      <c r="A1761" t="s">
        <v>32</v>
      </c>
      <c r="B1761" s="1">
        <v>45961</v>
      </c>
      <c r="C1761">
        <v>300011</v>
      </c>
      <c r="D1761">
        <v>1105.1859999999999</v>
      </c>
      <c r="E1761" t="s">
        <v>4</v>
      </c>
      <c r="F1761" t="s">
        <v>65</v>
      </c>
      <c r="G1761" t="s">
        <v>7</v>
      </c>
    </row>
    <row r="1762" spans="1:7" x14ac:dyDescent="0.3">
      <c r="A1762" t="s">
        <v>32</v>
      </c>
      <c r="B1762" s="1">
        <v>45961</v>
      </c>
      <c r="C1762">
        <v>300012</v>
      </c>
      <c r="D1762">
        <v>63529.216999999997</v>
      </c>
      <c r="E1762" t="s">
        <v>4</v>
      </c>
      <c r="F1762" t="s">
        <v>65</v>
      </c>
      <c r="G1762" t="s">
        <v>7</v>
      </c>
    </row>
    <row r="1763" spans="1:7" x14ac:dyDescent="0.3">
      <c r="A1763" t="s">
        <v>32</v>
      </c>
      <c r="B1763" s="1">
        <v>45961</v>
      </c>
      <c r="C1763">
        <v>300014</v>
      </c>
      <c r="D1763">
        <v>23481.57</v>
      </c>
      <c r="E1763" t="s">
        <v>4</v>
      </c>
      <c r="F1763" t="s">
        <v>65</v>
      </c>
      <c r="G1763" t="s">
        <v>7</v>
      </c>
    </row>
    <row r="1764" spans="1:7" x14ac:dyDescent="0.3">
      <c r="A1764" t="s">
        <v>32</v>
      </c>
      <c r="B1764" s="1">
        <v>45961</v>
      </c>
      <c r="C1764">
        <v>300504</v>
      </c>
      <c r="D1764">
        <v>-13306.326999999999</v>
      </c>
      <c r="E1764" t="s">
        <v>4</v>
      </c>
      <c r="F1764" t="s">
        <v>65</v>
      </c>
      <c r="G1764" t="s">
        <v>7</v>
      </c>
    </row>
    <row r="1765" spans="1:7" x14ac:dyDescent="0.3">
      <c r="A1765" t="s">
        <v>32</v>
      </c>
      <c r="B1765" s="1">
        <v>45961</v>
      </c>
      <c r="C1765">
        <v>300505</v>
      </c>
      <c r="D1765">
        <v>-53568.839</v>
      </c>
      <c r="E1765" t="s">
        <v>4</v>
      </c>
      <c r="F1765" t="s">
        <v>65</v>
      </c>
      <c r="G1765" t="s">
        <v>7</v>
      </c>
    </row>
    <row r="1766" spans="1:7" x14ac:dyDescent="0.3">
      <c r="A1766" t="s">
        <v>32</v>
      </c>
      <c r="B1766" s="1">
        <v>45961</v>
      </c>
      <c r="C1766">
        <v>300508</v>
      </c>
      <c r="D1766">
        <v>-176372.921</v>
      </c>
      <c r="E1766" t="s">
        <v>4</v>
      </c>
      <c r="F1766" t="s">
        <v>65</v>
      </c>
      <c r="G1766" t="s">
        <v>7</v>
      </c>
    </row>
    <row r="1767" spans="1:7" x14ac:dyDescent="0.3">
      <c r="A1767" t="s">
        <v>32</v>
      </c>
      <c r="B1767" s="1">
        <v>45961</v>
      </c>
      <c r="C1767">
        <v>300509</v>
      </c>
      <c r="D1767">
        <v>-5183.0550000000003</v>
      </c>
      <c r="E1767" t="s">
        <v>4</v>
      </c>
      <c r="F1767" t="s">
        <v>65</v>
      </c>
      <c r="G1767" t="s">
        <v>7</v>
      </c>
    </row>
    <row r="1768" spans="1:7" x14ac:dyDescent="0.3">
      <c r="A1768" t="s">
        <v>32</v>
      </c>
      <c r="B1768" s="1">
        <v>45961</v>
      </c>
      <c r="C1768">
        <v>300511</v>
      </c>
      <c r="D1768">
        <v>-1097.261</v>
      </c>
      <c r="E1768" t="s">
        <v>4</v>
      </c>
      <c r="F1768" t="s">
        <v>65</v>
      </c>
      <c r="G1768" t="s">
        <v>7</v>
      </c>
    </row>
    <row r="1769" spans="1:7" x14ac:dyDescent="0.3">
      <c r="A1769" t="s">
        <v>32</v>
      </c>
      <c r="B1769" s="1">
        <v>45961</v>
      </c>
      <c r="C1769">
        <v>300512</v>
      </c>
      <c r="D1769">
        <v>-57362.392999999996</v>
      </c>
      <c r="E1769" t="s">
        <v>4</v>
      </c>
      <c r="F1769" t="s">
        <v>65</v>
      </c>
      <c r="G1769" t="s">
        <v>7</v>
      </c>
    </row>
    <row r="1770" spans="1:7" x14ac:dyDescent="0.3">
      <c r="A1770" t="s">
        <v>32</v>
      </c>
      <c r="B1770" s="1">
        <v>45961</v>
      </c>
      <c r="C1770">
        <v>300514</v>
      </c>
      <c r="D1770">
        <v>-23242.518</v>
      </c>
      <c r="E1770" t="s">
        <v>4</v>
      </c>
      <c r="F1770" t="s">
        <v>65</v>
      </c>
      <c r="G1770" t="s">
        <v>7</v>
      </c>
    </row>
    <row r="1771" spans="1:7" x14ac:dyDescent="0.3">
      <c r="A1771" t="s">
        <v>32</v>
      </c>
      <c r="B1771" s="1">
        <v>45961</v>
      </c>
      <c r="C1771">
        <v>301002</v>
      </c>
      <c r="D1771">
        <v>39521.184999999998</v>
      </c>
      <c r="E1771" t="s">
        <v>4</v>
      </c>
      <c r="F1771" t="s">
        <v>68</v>
      </c>
      <c r="G1771" t="s">
        <v>7</v>
      </c>
    </row>
    <row r="1772" spans="1:7" x14ac:dyDescent="0.3">
      <c r="A1772" t="s">
        <v>32</v>
      </c>
      <c r="B1772" s="1">
        <v>45961</v>
      </c>
      <c r="C1772">
        <v>301004</v>
      </c>
      <c r="D1772">
        <v>82881.796000000002</v>
      </c>
      <c r="E1772" t="s">
        <v>4</v>
      </c>
      <c r="F1772" t="s">
        <v>65</v>
      </c>
      <c r="G1772" t="s">
        <v>7</v>
      </c>
    </row>
    <row r="1773" spans="1:7" x14ac:dyDescent="0.3">
      <c r="A1773" t="s">
        <v>32</v>
      </c>
      <c r="B1773" s="1">
        <v>45961</v>
      </c>
      <c r="C1773">
        <v>301502</v>
      </c>
      <c r="D1773">
        <v>-39521.184999999998</v>
      </c>
      <c r="E1773" t="s">
        <v>4</v>
      </c>
      <c r="F1773" t="s">
        <v>68</v>
      </c>
      <c r="G1773" t="s">
        <v>7</v>
      </c>
    </row>
    <row r="1774" spans="1:7" x14ac:dyDescent="0.3">
      <c r="A1774" t="s">
        <v>32</v>
      </c>
      <c r="B1774" s="1">
        <v>45961</v>
      </c>
      <c r="C1774">
        <v>301504</v>
      </c>
      <c r="D1774">
        <v>-82881.796000000002</v>
      </c>
      <c r="E1774" t="s">
        <v>4</v>
      </c>
      <c r="F1774" t="s">
        <v>65</v>
      </c>
      <c r="G1774" t="s">
        <v>7</v>
      </c>
    </row>
    <row r="1775" spans="1:7" x14ac:dyDescent="0.3">
      <c r="A1775" t="s">
        <v>32</v>
      </c>
      <c r="B1775" s="1">
        <v>45961</v>
      </c>
      <c r="C1775">
        <v>304002</v>
      </c>
      <c r="D1775">
        <v>312674.34499999997</v>
      </c>
      <c r="E1775" t="s">
        <v>4</v>
      </c>
      <c r="F1775" t="s">
        <v>65</v>
      </c>
      <c r="G1775" t="s">
        <v>7</v>
      </c>
    </row>
    <row r="1776" spans="1:7" x14ac:dyDescent="0.3">
      <c r="A1776" t="s">
        <v>32</v>
      </c>
      <c r="B1776" s="1">
        <v>45961</v>
      </c>
      <c r="C1776">
        <v>304502</v>
      </c>
      <c r="D1776">
        <v>-131125.98000000001</v>
      </c>
      <c r="E1776" t="s">
        <v>4</v>
      </c>
      <c r="F1776" t="s">
        <v>65</v>
      </c>
      <c r="G1776" t="s">
        <v>7</v>
      </c>
    </row>
    <row r="1777" spans="1:7" x14ac:dyDescent="0.3">
      <c r="A1777" t="s">
        <v>32</v>
      </c>
      <c r="B1777" s="1">
        <v>45961</v>
      </c>
      <c r="C1777">
        <v>310010</v>
      </c>
      <c r="D1777">
        <v>4888422.9910000004</v>
      </c>
      <c r="E1777" t="s">
        <v>4</v>
      </c>
      <c r="F1777" t="s">
        <v>42</v>
      </c>
      <c r="G1777" t="s">
        <v>7</v>
      </c>
    </row>
    <row r="1778" spans="1:7" x14ac:dyDescent="0.3">
      <c r="A1778" t="s">
        <v>32</v>
      </c>
      <c r="B1778" s="1">
        <v>45961</v>
      </c>
      <c r="C1778">
        <v>310021</v>
      </c>
      <c r="D1778">
        <v>188614.23</v>
      </c>
      <c r="E1778" t="s">
        <v>4</v>
      </c>
      <c r="F1778" t="s">
        <v>42</v>
      </c>
      <c r="G1778" t="s">
        <v>7</v>
      </c>
    </row>
    <row r="1779" spans="1:7" x14ac:dyDescent="0.3">
      <c r="A1779" t="s">
        <v>32</v>
      </c>
      <c r="B1779" s="1">
        <v>45961</v>
      </c>
      <c r="C1779">
        <v>310032</v>
      </c>
      <c r="D1779">
        <v>317.68900000000002</v>
      </c>
      <c r="E1779" t="s">
        <v>4</v>
      </c>
      <c r="F1779" t="s">
        <v>42</v>
      </c>
      <c r="G1779" t="s">
        <v>7</v>
      </c>
    </row>
    <row r="1780" spans="1:7" x14ac:dyDescent="0.3">
      <c r="A1780" t="s">
        <v>32</v>
      </c>
      <c r="B1780" s="1">
        <v>45961</v>
      </c>
      <c r="C1780">
        <v>320002</v>
      </c>
      <c r="D1780">
        <v>128250.444</v>
      </c>
      <c r="E1780" t="s">
        <v>4</v>
      </c>
      <c r="F1780" t="s">
        <v>46</v>
      </c>
      <c r="G1780" t="s">
        <v>7</v>
      </c>
    </row>
    <row r="1781" spans="1:7" x14ac:dyDescent="0.3">
      <c r="A1781" t="s">
        <v>32</v>
      </c>
      <c r="B1781" s="1">
        <v>45961</v>
      </c>
      <c r="C1781">
        <v>320003</v>
      </c>
      <c r="D1781">
        <v>4628519.2529999996</v>
      </c>
      <c r="E1781" t="s">
        <v>4</v>
      </c>
      <c r="F1781" t="s">
        <v>46</v>
      </c>
      <c r="G1781" t="s">
        <v>7</v>
      </c>
    </row>
    <row r="1782" spans="1:7" x14ac:dyDescent="0.3">
      <c r="A1782" t="s">
        <v>32</v>
      </c>
      <c r="B1782" s="1">
        <v>45961</v>
      </c>
      <c r="C1782">
        <v>320013</v>
      </c>
      <c r="D1782">
        <v>37274.137999999999</v>
      </c>
      <c r="E1782" t="s">
        <v>4</v>
      </c>
      <c r="F1782" t="s">
        <v>46</v>
      </c>
      <c r="G1782" t="s">
        <v>7</v>
      </c>
    </row>
    <row r="1783" spans="1:7" x14ac:dyDescent="0.3">
      <c r="A1783" t="s">
        <v>32</v>
      </c>
      <c r="B1783" s="1">
        <v>45961</v>
      </c>
      <c r="C1783">
        <v>320023</v>
      </c>
      <c r="D1783">
        <v>-79137.212</v>
      </c>
      <c r="E1783" t="s">
        <v>4</v>
      </c>
      <c r="F1783" t="s">
        <v>46</v>
      </c>
      <c r="G1783" t="s">
        <v>7</v>
      </c>
    </row>
    <row r="1784" spans="1:7" x14ac:dyDescent="0.3">
      <c r="A1784" t="s">
        <v>32</v>
      </c>
      <c r="B1784" s="1">
        <v>45961</v>
      </c>
      <c r="C1784">
        <v>321004</v>
      </c>
      <c r="D1784">
        <v>1562.0440000000001</v>
      </c>
      <c r="E1784" t="s">
        <v>4</v>
      </c>
      <c r="F1784" t="s">
        <v>46</v>
      </c>
      <c r="G1784" t="s">
        <v>7</v>
      </c>
    </row>
    <row r="1785" spans="1:7" x14ac:dyDescent="0.3">
      <c r="A1785" t="s">
        <v>32</v>
      </c>
      <c r="B1785" s="1">
        <v>45961</v>
      </c>
      <c r="C1785">
        <v>321010</v>
      </c>
      <c r="D1785">
        <v>3787.348</v>
      </c>
      <c r="E1785" t="s">
        <v>4</v>
      </c>
      <c r="F1785" t="s">
        <v>46</v>
      </c>
      <c r="G1785" t="s">
        <v>7</v>
      </c>
    </row>
    <row r="1786" spans="1:7" x14ac:dyDescent="0.3">
      <c r="A1786" t="s">
        <v>32</v>
      </c>
      <c r="B1786" s="1">
        <v>45961</v>
      </c>
      <c r="C1786">
        <v>321012</v>
      </c>
      <c r="D1786">
        <v>612483.01899999997</v>
      </c>
      <c r="E1786" t="s">
        <v>4</v>
      </c>
      <c r="F1786" t="s">
        <v>46</v>
      </c>
      <c r="G1786" t="s">
        <v>7</v>
      </c>
    </row>
    <row r="1787" spans="1:7" x14ac:dyDescent="0.3">
      <c r="A1787" t="s">
        <v>32</v>
      </c>
      <c r="B1787" s="1">
        <v>45961</v>
      </c>
      <c r="C1787">
        <v>321013</v>
      </c>
      <c r="D1787">
        <v>138261.34700000001</v>
      </c>
      <c r="E1787" t="s">
        <v>4</v>
      </c>
      <c r="F1787" t="s">
        <v>46</v>
      </c>
      <c r="G1787" t="s">
        <v>7</v>
      </c>
    </row>
    <row r="1788" spans="1:7" x14ac:dyDescent="0.3">
      <c r="A1788" t="s">
        <v>32</v>
      </c>
      <c r="B1788" s="1">
        <v>45961</v>
      </c>
      <c r="C1788">
        <v>321014</v>
      </c>
      <c r="D1788">
        <v>59839.608999999997</v>
      </c>
      <c r="E1788" t="s">
        <v>4</v>
      </c>
      <c r="F1788" t="s">
        <v>46</v>
      </c>
      <c r="G1788" t="s">
        <v>7</v>
      </c>
    </row>
    <row r="1789" spans="1:7" x14ac:dyDescent="0.3">
      <c r="A1789" t="s">
        <v>32</v>
      </c>
      <c r="B1789" s="1">
        <v>45961</v>
      </c>
      <c r="C1789">
        <v>321021</v>
      </c>
      <c r="D1789">
        <v>11460.689</v>
      </c>
      <c r="E1789" t="s">
        <v>4</v>
      </c>
      <c r="F1789" t="s">
        <v>46</v>
      </c>
      <c r="G1789" t="s">
        <v>7</v>
      </c>
    </row>
    <row r="1790" spans="1:7" x14ac:dyDescent="0.3">
      <c r="A1790" t="s">
        <v>32</v>
      </c>
      <c r="B1790" s="1">
        <v>45961</v>
      </c>
      <c r="C1790">
        <v>321025</v>
      </c>
      <c r="D1790">
        <v>219655.05600000001</v>
      </c>
      <c r="E1790" t="s">
        <v>4</v>
      </c>
      <c r="F1790" t="s">
        <v>46</v>
      </c>
      <c r="G1790" t="s">
        <v>7</v>
      </c>
    </row>
    <row r="1791" spans="1:7" x14ac:dyDescent="0.3">
      <c r="A1791" t="s">
        <v>32</v>
      </c>
      <c r="B1791" s="1">
        <v>45961</v>
      </c>
      <c r="C1791">
        <v>321029</v>
      </c>
      <c r="D1791">
        <v>621598.86</v>
      </c>
      <c r="E1791" t="s">
        <v>4</v>
      </c>
      <c r="F1791" t="s">
        <v>46</v>
      </c>
      <c r="G1791" t="s">
        <v>7</v>
      </c>
    </row>
    <row r="1792" spans="1:7" x14ac:dyDescent="0.3">
      <c r="A1792" t="s">
        <v>32</v>
      </c>
      <c r="B1792" s="1">
        <v>45961</v>
      </c>
      <c r="C1792">
        <v>321030</v>
      </c>
      <c r="D1792">
        <v>-0.627</v>
      </c>
      <c r="E1792" t="s">
        <v>4</v>
      </c>
      <c r="F1792" t="s">
        <v>46</v>
      </c>
      <c r="G1792" t="s">
        <v>7</v>
      </c>
    </row>
    <row r="1793" spans="1:7" x14ac:dyDescent="0.3">
      <c r="A1793" t="s">
        <v>32</v>
      </c>
      <c r="B1793" s="1">
        <v>45961</v>
      </c>
      <c r="C1793">
        <v>321031</v>
      </c>
      <c r="D1793">
        <v>65032.879000000001</v>
      </c>
      <c r="E1793" t="s">
        <v>4</v>
      </c>
      <c r="F1793" t="s">
        <v>46</v>
      </c>
      <c r="G1793" t="s">
        <v>7</v>
      </c>
    </row>
    <row r="1794" spans="1:7" x14ac:dyDescent="0.3">
      <c r="A1794" t="s">
        <v>32</v>
      </c>
      <c r="B1794" s="1">
        <v>45961</v>
      </c>
      <c r="C1794">
        <v>321041</v>
      </c>
      <c r="D1794">
        <v>18844.475999999999</v>
      </c>
      <c r="E1794" t="s">
        <v>4</v>
      </c>
      <c r="F1794" t="s">
        <v>46</v>
      </c>
      <c r="G1794" t="s">
        <v>7</v>
      </c>
    </row>
    <row r="1795" spans="1:7" x14ac:dyDescent="0.3">
      <c r="A1795" t="s">
        <v>32</v>
      </c>
      <c r="B1795" s="1">
        <v>45961</v>
      </c>
      <c r="C1795">
        <v>321042</v>
      </c>
      <c r="D1795">
        <v>-102.298</v>
      </c>
      <c r="E1795" t="s">
        <v>4</v>
      </c>
      <c r="F1795" t="s">
        <v>46</v>
      </c>
      <c r="G1795" t="s">
        <v>7</v>
      </c>
    </row>
    <row r="1796" spans="1:7" x14ac:dyDescent="0.3">
      <c r="A1796" t="s">
        <v>32</v>
      </c>
      <c r="B1796" s="1">
        <v>45961</v>
      </c>
      <c r="C1796">
        <v>330002</v>
      </c>
      <c r="D1796">
        <v>-34289.535000000003</v>
      </c>
      <c r="E1796" t="s">
        <v>4</v>
      </c>
      <c r="F1796" t="s">
        <v>43</v>
      </c>
      <c r="G1796" t="s">
        <v>7</v>
      </c>
    </row>
    <row r="1797" spans="1:7" x14ac:dyDescent="0.3">
      <c r="A1797" t="s">
        <v>32</v>
      </c>
      <c r="B1797" s="1">
        <v>45961</v>
      </c>
      <c r="C1797">
        <v>330034</v>
      </c>
      <c r="D1797">
        <v>784.61</v>
      </c>
      <c r="E1797" t="s">
        <v>4</v>
      </c>
      <c r="F1797" t="s">
        <v>43</v>
      </c>
      <c r="G1797" t="s">
        <v>7</v>
      </c>
    </row>
    <row r="1798" spans="1:7" x14ac:dyDescent="0.3">
      <c r="A1798" t="s">
        <v>32</v>
      </c>
      <c r="B1798" s="1">
        <v>45961</v>
      </c>
      <c r="C1798">
        <v>330061</v>
      </c>
      <c r="D1798">
        <v>-507.077</v>
      </c>
      <c r="E1798" t="s">
        <v>4</v>
      </c>
      <c r="F1798" t="s">
        <v>43</v>
      </c>
      <c r="G1798" t="s">
        <v>7</v>
      </c>
    </row>
    <row r="1799" spans="1:7" x14ac:dyDescent="0.3">
      <c r="A1799" t="s">
        <v>32</v>
      </c>
      <c r="B1799" s="1">
        <v>45961</v>
      </c>
      <c r="C1799">
        <v>330100</v>
      </c>
      <c r="D1799">
        <v>346.43400000000003</v>
      </c>
      <c r="E1799" t="s">
        <v>4</v>
      </c>
      <c r="F1799" t="s">
        <v>43</v>
      </c>
      <c r="G1799" t="s">
        <v>7</v>
      </c>
    </row>
    <row r="1800" spans="1:7" x14ac:dyDescent="0.3">
      <c r="A1800" t="s">
        <v>32</v>
      </c>
      <c r="B1800" s="1">
        <v>45961</v>
      </c>
      <c r="C1800">
        <v>330115</v>
      </c>
      <c r="D1800">
        <v>-1238.8399999999999</v>
      </c>
      <c r="E1800" t="s">
        <v>4</v>
      </c>
      <c r="F1800" t="s">
        <v>43</v>
      </c>
      <c r="G1800" t="s">
        <v>7</v>
      </c>
    </row>
    <row r="1801" spans="1:7" x14ac:dyDescent="0.3">
      <c r="A1801" t="s">
        <v>32</v>
      </c>
      <c r="B1801" s="1">
        <v>45961</v>
      </c>
      <c r="C1801">
        <v>340053</v>
      </c>
      <c r="D1801">
        <v>2975681.327</v>
      </c>
      <c r="E1801" t="s">
        <v>4</v>
      </c>
      <c r="F1801" t="s">
        <v>47</v>
      </c>
      <c r="G1801" t="s">
        <v>7</v>
      </c>
    </row>
    <row r="1802" spans="1:7" x14ac:dyDescent="0.3">
      <c r="A1802" t="s">
        <v>32</v>
      </c>
      <c r="B1802" s="1">
        <v>45961</v>
      </c>
      <c r="C1802">
        <v>340054</v>
      </c>
      <c r="D1802">
        <v>-2962850.4270000001</v>
      </c>
      <c r="E1802" t="s">
        <v>4</v>
      </c>
      <c r="F1802" t="s">
        <v>47</v>
      </c>
      <c r="G1802" t="s">
        <v>7</v>
      </c>
    </row>
    <row r="1803" spans="1:7" x14ac:dyDescent="0.3">
      <c r="A1803" t="s">
        <v>32</v>
      </c>
      <c r="B1803" s="1">
        <v>45961</v>
      </c>
      <c r="C1803">
        <v>340102</v>
      </c>
      <c r="D1803">
        <v>519957.272</v>
      </c>
      <c r="E1803" t="s">
        <v>4</v>
      </c>
      <c r="F1803" t="s">
        <v>47</v>
      </c>
      <c r="G1803" t="s">
        <v>7</v>
      </c>
    </row>
    <row r="1804" spans="1:7" x14ac:dyDescent="0.3">
      <c r="A1804" t="s">
        <v>32</v>
      </c>
      <c r="B1804" s="1">
        <v>45961</v>
      </c>
      <c r="C1804">
        <v>340103</v>
      </c>
      <c r="D1804">
        <v>104813480.66500001</v>
      </c>
      <c r="E1804" t="s">
        <v>4</v>
      </c>
      <c r="F1804" t="s">
        <v>47</v>
      </c>
      <c r="G1804" t="s">
        <v>7</v>
      </c>
    </row>
    <row r="1805" spans="1:7" x14ac:dyDescent="0.3">
      <c r="A1805" t="s">
        <v>32</v>
      </c>
      <c r="B1805" s="1">
        <v>45961</v>
      </c>
      <c r="C1805">
        <v>340104</v>
      </c>
      <c r="D1805">
        <v>-104341810.742</v>
      </c>
      <c r="E1805" t="s">
        <v>4</v>
      </c>
      <c r="F1805" t="s">
        <v>47</v>
      </c>
      <c r="G1805" t="s">
        <v>7</v>
      </c>
    </row>
    <row r="1806" spans="1:7" x14ac:dyDescent="0.3">
      <c r="A1806" t="s">
        <v>32</v>
      </c>
      <c r="B1806" s="1">
        <v>45961</v>
      </c>
      <c r="C1806">
        <v>345019</v>
      </c>
      <c r="D1806">
        <v>52611.684999999998</v>
      </c>
      <c r="E1806" t="s">
        <v>4</v>
      </c>
      <c r="F1806" t="s">
        <v>47</v>
      </c>
      <c r="G1806" t="s">
        <v>7</v>
      </c>
    </row>
    <row r="1807" spans="1:7" x14ac:dyDescent="0.3">
      <c r="A1807" t="s">
        <v>32</v>
      </c>
      <c r="B1807" s="1">
        <v>45961</v>
      </c>
      <c r="C1807">
        <v>345020</v>
      </c>
      <c r="D1807">
        <v>6089029.5149999997</v>
      </c>
      <c r="E1807" t="s">
        <v>4</v>
      </c>
      <c r="F1807" t="s">
        <v>47</v>
      </c>
      <c r="G1807" t="s">
        <v>7</v>
      </c>
    </row>
    <row r="1808" spans="1:7" x14ac:dyDescent="0.3">
      <c r="A1808" t="s">
        <v>32</v>
      </c>
      <c r="B1808" s="1">
        <v>45961</v>
      </c>
      <c r="C1808">
        <v>345021</v>
      </c>
      <c r="D1808">
        <v>-6115805.9100000001</v>
      </c>
      <c r="E1808" t="s">
        <v>4</v>
      </c>
      <c r="F1808" t="s">
        <v>47</v>
      </c>
      <c r="G1808" t="s">
        <v>7</v>
      </c>
    </row>
    <row r="1809" spans="1:7" x14ac:dyDescent="0.3">
      <c r="A1809" t="s">
        <v>32</v>
      </c>
      <c r="B1809" s="1">
        <v>45961</v>
      </c>
      <c r="C1809">
        <v>345022</v>
      </c>
      <c r="D1809">
        <v>12653.487999999999</v>
      </c>
      <c r="E1809" t="s">
        <v>4</v>
      </c>
      <c r="F1809" t="s">
        <v>47</v>
      </c>
      <c r="G1809" t="s">
        <v>7</v>
      </c>
    </row>
    <row r="1810" spans="1:7" x14ac:dyDescent="0.3">
      <c r="A1810" t="s">
        <v>32</v>
      </c>
      <c r="B1810" s="1">
        <v>45961</v>
      </c>
      <c r="C1810">
        <v>350002</v>
      </c>
      <c r="D1810">
        <v>9930.6209999999992</v>
      </c>
      <c r="E1810" t="s">
        <v>4</v>
      </c>
      <c r="F1810" t="s">
        <v>49</v>
      </c>
      <c r="G1810" t="s">
        <v>7</v>
      </c>
    </row>
    <row r="1811" spans="1:7" x14ac:dyDescent="0.3">
      <c r="A1811" t="s">
        <v>32</v>
      </c>
      <c r="B1811" s="1">
        <v>45961</v>
      </c>
      <c r="C1811">
        <v>350003</v>
      </c>
      <c r="D1811">
        <v>1748.672</v>
      </c>
      <c r="E1811" t="s">
        <v>4</v>
      </c>
      <c r="F1811" t="s">
        <v>49</v>
      </c>
      <c r="G1811" t="s">
        <v>7</v>
      </c>
    </row>
    <row r="1812" spans="1:7" x14ac:dyDescent="0.3">
      <c r="A1812" t="s">
        <v>32</v>
      </c>
      <c r="B1812" s="1">
        <v>45961</v>
      </c>
      <c r="C1812">
        <v>350031</v>
      </c>
      <c r="D1812">
        <v>13752</v>
      </c>
      <c r="E1812" t="s">
        <v>4</v>
      </c>
      <c r="F1812" t="s">
        <v>43</v>
      </c>
      <c r="G1812" t="s">
        <v>7</v>
      </c>
    </row>
    <row r="1813" spans="1:7" x14ac:dyDescent="0.3">
      <c r="A1813" t="s">
        <v>32</v>
      </c>
      <c r="B1813" s="1">
        <v>45961</v>
      </c>
      <c r="C1813">
        <v>351004</v>
      </c>
      <c r="D1813">
        <v>8766.0589999999993</v>
      </c>
      <c r="E1813" t="s">
        <v>4</v>
      </c>
      <c r="F1813" t="s">
        <v>45</v>
      </c>
      <c r="G1813" t="s">
        <v>7</v>
      </c>
    </row>
    <row r="1814" spans="1:7" x14ac:dyDescent="0.3">
      <c r="A1814" t="s">
        <v>32</v>
      </c>
      <c r="B1814" s="1">
        <v>45961</v>
      </c>
      <c r="C1814">
        <v>352002</v>
      </c>
      <c r="D1814">
        <v>1690.7280000000001</v>
      </c>
      <c r="E1814" t="s">
        <v>4</v>
      </c>
      <c r="F1814" t="s">
        <v>48</v>
      </c>
      <c r="G1814" t="s">
        <v>7</v>
      </c>
    </row>
    <row r="1815" spans="1:7" x14ac:dyDescent="0.3">
      <c r="A1815" t="s">
        <v>32</v>
      </c>
      <c r="B1815" s="1">
        <v>45961</v>
      </c>
      <c r="C1815">
        <v>354012</v>
      </c>
      <c r="D1815">
        <v>2384180.3760000002</v>
      </c>
      <c r="E1815" t="s">
        <v>4</v>
      </c>
      <c r="F1815" t="s">
        <v>46</v>
      </c>
      <c r="G1815" t="s">
        <v>7</v>
      </c>
    </row>
    <row r="1816" spans="1:7" x14ac:dyDescent="0.3">
      <c r="A1816" t="s">
        <v>32</v>
      </c>
      <c r="B1816" s="1">
        <v>45961</v>
      </c>
      <c r="C1816">
        <v>354013</v>
      </c>
      <c r="D1816">
        <v>76849.760999999999</v>
      </c>
      <c r="E1816" t="s">
        <v>4</v>
      </c>
      <c r="F1816" t="s">
        <v>46</v>
      </c>
      <c r="G1816" t="s">
        <v>7</v>
      </c>
    </row>
    <row r="1817" spans="1:7" x14ac:dyDescent="0.3">
      <c r="A1817" t="s">
        <v>32</v>
      </c>
      <c r="B1817" s="1">
        <v>45961</v>
      </c>
      <c r="C1817">
        <v>354014</v>
      </c>
      <c r="D1817">
        <v>399357.29499999998</v>
      </c>
      <c r="E1817" t="s">
        <v>4</v>
      </c>
      <c r="F1817" t="s">
        <v>46</v>
      </c>
      <c r="G1817" t="s">
        <v>7</v>
      </c>
    </row>
    <row r="1818" spans="1:7" x14ac:dyDescent="0.3">
      <c r="A1818" t="s">
        <v>32</v>
      </c>
      <c r="B1818" s="1">
        <v>45961</v>
      </c>
      <c r="C1818">
        <v>354015</v>
      </c>
      <c r="D1818">
        <v>136510.64000000001</v>
      </c>
      <c r="E1818" t="s">
        <v>4</v>
      </c>
      <c r="F1818" t="s">
        <v>46</v>
      </c>
      <c r="G1818" t="s">
        <v>7</v>
      </c>
    </row>
    <row r="1819" spans="1:7" x14ac:dyDescent="0.3">
      <c r="A1819" t="s">
        <v>32</v>
      </c>
      <c r="B1819" s="1">
        <v>45961</v>
      </c>
      <c r="C1819">
        <v>355016</v>
      </c>
      <c r="D1819">
        <v>7052.375</v>
      </c>
      <c r="E1819" t="s">
        <v>4</v>
      </c>
      <c r="F1819" t="s">
        <v>49</v>
      </c>
      <c r="G1819" t="s">
        <v>7</v>
      </c>
    </row>
    <row r="1820" spans="1:7" x14ac:dyDescent="0.3">
      <c r="A1820" t="s">
        <v>32</v>
      </c>
      <c r="B1820" s="1">
        <v>45961</v>
      </c>
      <c r="C1820">
        <v>355017</v>
      </c>
      <c r="D1820">
        <v>136891.22500000001</v>
      </c>
      <c r="E1820" t="s">
        <v>4</v>
      </c>
      <c r="F1820" t="s">
        <v>49</v>
      </c>
      <c r="G1820" t="s">
        <v>7</v>
      </c>
    </row>
    <row r="1821" spans="1:7" x14ac:dyDescent="0.3">
      <c r="A1821" t="s">
        <v>32</v>
      </c>
      <c r="B1821" s="1">
        <v>45961</v>
      </c>
      <c r="C1821">
        <v>355018</v>
      </c>
      <c r="D1821">
        <v>107325.175</v>
      </c>
      <c r="E1821" t="s">
        <v>4</v>
      </c>
      <c r="F1821" t="s">
        <v>49</v>
      </c>
      <c r="G1821" t="s">
        <v>7</v>
      </c>
    </row>
    <row r="1822" spans="1:7" x14ac:dyDescent="0.3">
      <c r="A1822" t="s">
        <v>32</v>
      </c>
      <c r="B1822" s="1">
        <v>45961</v>
      </c>
      <c r="C1822">
        <v>356002</v>
      </c>
      <c r="D1822">
        <v>-424.62200000000001</v>
      </c>
      <c r="E1822" t="s">
        <v>4</v>
      </c>
      <c r="F1822" t="s">
        <v>48</v>
      </c>
      <c r="G1822" t="s">
        <v>7</v>
      </c>
    </row>
    <row r="1823" spans="1:7" x14ac:dyDescent="0.3">
      <c r="A1823" t="s">
        <v>32</v>
      </c>
      <c r="B1823" s="1">
        <v>45961</v>
      </c>
      <c r="C1823">
        <v>360021</v>
      </c>
      <c r="D1823">
        <v>-56.584000000000003</v>
      </c>
      <c r="E1823" t="s">
        <v>4</v>
      </c>
      <c r="F1823" t="s">
        <v>45</v>
      </c>
      <c r="G1823" t="s">
        <v>7</v>
      </c>
    </row>
    <row r="1824" spans="1:7" x14ac:dyDescent="0.3">
      <c r="A1824" t="s">
        <v>32</v>
      </c>
      <c r="B1824" s="1">
        <v>45961</v>
      </c>
      <c r="C1824">
        <v>360026</v>
      </c>
      <c r="D1824">
        <v>329261.16200000001</v>
      </c>
      <c r="E1824" t="s">
        <v>4</v>
      </c>
      <c r="F1824" t="s">
        <v>58</v>
      </c>
      <c r="G1824" t="s">
        <v>7</v>
      </c>
    </row>
    <row r="1825" spans="1:7" x14ac:dyDescent="0.3">
      <c r="A1825" t="s">
        <v>32</v>
      </c>
      <c r="B1825" s="1">
        <v>45961</v>
      </c>
      <c r="C1825">
        <v>360028</v>
      </c>
      <c r="D1825">
        <v>120956.232</v>
      </c>
      <c r="E1825" t="s">
        <v>4</v>
      </c>
      <c r="F1825" t="s">
        <v>58</v>
      </c>
      <c r="G1825" t="s">
        <v>7</v>
      </c>
    </row>
    <row r="1826" spans="1:7" x14ac:dyDescent="0.3">
      <c r="A1826" t="s">
        <v>32</v>
      </c>
      <c r="B1826" s="1">
        <v>45961</v>
      </c>
      <c r="C1826">
        <v>360030</v>
      </c>
      <c r="D1826">
        <v>76100.067999999999</v>
      </c>
      <c r="E1826" t="s">
        <v>4</v>
      </c>
      <c r="F1826" t="s">
        <v>58</v>
      </c>
      <c r="G1826" t="s">
        <v>7</v>
      </c>
    </row>
    <row r="1827" spans="1:7" x14ac:dyDescent="0.3">
      <c r="A1827" t="s">
        <v>32</v>
      </c>
      <c r="B1827" s="1">
        <v>45961</v>
      </c>
      <c r="C1827">
        <v>360032</v>
      </c>
      <c r="D1827">
        <v>50239.612999999998</v>
      </c>
      <c r="E1827" t="s">
        <v>4</v>
      </c>
      <c r="F1827" t="s">
        <v>58</v>
      </c>
      <c r="G1827" t="s">
        <v>7</v>
      </c>
    </row>
    <row r="1828" spans="1:7" x14ac:dyDescent="0.3">
      <c r="A1828" t="s">
        <v>32</v>
      </c>
      <c r="B1828" s="1">
        <v>45961</v>
      </c>
      <c r="C1828">
        <v>364502</v>
      </c>
      <c r="D1828">
        <v>148520.81200000001</v>
      </c>
      <c r="E1828" t="s">
        <v>4</v>
      </c>
      <c r="F1828" t="s">
        <v>58</v>
      </c>
      <c r="G1828" t="s">
        <v>7</v>
      </c>
    </row>
    <row r="1829" spans="1:7" x14ac:dyDescent="0.3">
      <c r="A1829" t="s">
        <v>32</v>
      </c>
      <c r="B1829" s="1">
        <v>45961</v>
      </c>
      <c r="C1829">
        <v>400002</v>
      </c>
      <c r="D1829">
        <v>-155003.003</v>
      </c>
      <c r="E1829" t="s">
        <v>6</v>
      </c>
      <c r="F1829" t="s">
        <v>50</v>
      </c>
      <c r="G1829" t="s">
        <v>7</v>
      </c>
    </row>
    <row r="1830" spans="1:7" x14ac:dyDescent="0.3">
      <c r="A1830" t="s">
        <v>32</v>
      </c>
      <c r="B1830" s="1">
        <v>45961</v>
      </c>
      <c r="C1830">
        <v>400004</v>
      </c>
      <c r="D1830">
        <v>-194943.07800000001</v>
      </c>
      <c r="E1830" t="s">
        <v>6</v>
      </c>
      <c r="F1830" t="s">
        <v>50</v>
      </c>
      <c r="G1830" t="s">
        <v>7</v>
      </c>
    </row>
    <row r="1831" spans="1:7" x14ac:dyDescent="0.3">
      <c r="A1831" t="s">
        <v>32</v>
      </c>
      <c r="B1831" s="1">
        <v>45961</v>
      </c>
      <c r="C1831">
        <v>410005</v>
      </c>
      <c r="D1831">
        <v>-1498.8969999999999</v>
      </c>
      <c r="E1831" t="s">
        <v>6</v>
      </c>
      <c r="F1831" t="s">
        <v>51</v>
      </c>
      <c r="G1831" t="s">
        <v>7</v>
      </c>
    </row>
    <row r="1832" spans="1:7" x14ac:dyDescent="0.3">
      <c r="A1832" t="s">
        <v>32</v>
      </c>
      <c r="B1832" s="1">
        <v>45961</v>
      </c>
      <c r="C1832">
        <v>410006</v>
      </c>
      <c r="D1832">
        <v>-227456.18400000001</v>
      </c>
      <c r="E1832" t="s">
        <v>6</v>
      </c>
      <c r="F1832" t="s">
        <v>51</v>
      </c>
      <c r="G1832" t="s">
        <v>7</v>
      </c>
    </row>
    <row r="1833" spans="1:7" x14ac:dyDescent="0.3">
      <c r="A1833" t="s">
        <v>32</v>
      </c>
      <c r="B1833" s="1">
        <v>45961</v>
      </c>
      <c r="C1833">
        <v>410009</v>
      </c>
      <c r="D1833">
        <v>-32323.385999999999</v>
      </c>
      <c r="E1833" t="s">
        <v>6</v>
      </c>
      <c r="F1833" t="s">
        <v>51</v>
      </c>
      <c r="G1833" t="s">
        <v>7</v>
      </c>
    </row>
    <row r="1834" spans="1:7" x14ac:dyDescent="0.3">
      <c r="A1834" t="s">
        <v>32</v>
      </c>
      <c r="B1834" s="1">
        <v>45961</v>
      </c>
      <c r="C1834">
        <v>410015</v>
      </c>
      <c r="D1834">
        <v>-183790.21900000001</v>
      </c>
      <c r="E1834" t="s">
        <v>6</v>
      </c>
      <c r="F1834" t="s">
        <v>51</v>
      </c>
      <c r="G1834" t="s">
        <v>7</v>
      </c>
    </row>
    <row r="1835" spans="1:7" x14ac:dyDescent="0.3">
      <c r="A1835" t="s">
        <v>32</v>
      </c>
      <c r="B1835" s="1">
        <v>45961</v>
      </c>
      <c r="C1835">
        <v>410018</v>
      </c>
      <c r="D1835">
        <v>-11222.305</v>
      </c>
      <c r="E1835" t="s">
        <v>6</v>
      </c>
      <c r="F1835" t="s">
        <v>51</v>
      </c>
      <c r="G1835" t="s">
        <v>7</v>
      </c>
    </row>
    <row r="1836" spans="1:7" x14ac:dyDescent="0.3">
      <c r="A1836" t="s">
        <v>32</v>
      </c>
      <c r="B1836" s="1">
        <v>45961</v>
      </c>
      <c r="C1836">
        <v>410019</v>
      </c>
      <c r="D1836">
        <v>-3180.3939999999998</v>
      </c>
      <c r="E1836" t="s">
        <v>6</v>
      </c>
      <c r="F1836" t="s">
        <v>51</v>
      </c>
      <c r="G1836" t="s">
        <v>7</v>
      </c>
    </row>
    <row r="1837" spans="1:7" x14ac:dyDescent="0.3">
      <c r="A1837" t="s">
        <v>32</v>
      </c>
      <c r="B1837" s="1">
        <v>45961</v>
      </c>
      <c r="C1837">
        <v>410032</v>
      </c>
      <c r="D1837">
        <v>-119318.496</v>
      </c>
      <c r="E1837" t="s">
        <v>6</v>
      </c>
      <c r="F1837" t="s">
        <v>51</v>
      </c>
      <c r="G1837" t="s">
        <v>7</v>
      </c>
    </row>
    <row r="1838" spans="1:7" x14ac:dyDescent="0.3">
      <c r="A1838" t="s">
        <v>32</v>
      </c>
      <c r="B1838" s="1">
        <v>45961</v>
      </c>
      <c r="C1838">
        <v>410037</v>
      </c>
      <c r="D1838">
        <v>-1006469.571</v>
      </c>
      <c r="E1838" t="s">
        <v>6</v>
      </c>
      <c r="F1838" t="s">
        <v>51</v>
      </c>
      <c r="G1838" t="s">
        <v>7</v>
      </c>
    </row>
    <row r="1839" spans="1:7" x14ac:dyDescent="0.3">
      <c r="A1839" t="s">
        <v>32</v>
      </c>
      <c r="B1839" s="1">
        <v>45961</v>
      </c>
      <c r="C1839">
        <v>410039</v>
      </c>
      <c r="D1839">
        <v>-36970.216999999997</v>
      </c>
      <c r="E1839" t="s">
        <v>6</v>
      </c>
      <c r="F1839" t="s">
        <v>51</v>
      </c>
      <c r="G1839" t="s">
        <v>7</v>
      </c>
    </row>
    <row r="1840" spans="1:7" x14ac:dyDescent="0.3">
      <c r="A1840" t="s">
        <v>32</v>
      </c>
      <c r="B1840" s="1">
        <v>45961</v>
      </c>
      <c r="C1840">
        <v>410040</v>
      </c>
      <c r="D1840">
        <v>-96.356999999999999</v>
      </c>
      <c r="E1840" t="s">
        <v>6</v>
      </c>
      <c r="F1840" t="s">
        <v>51</v>
      </c>
      <c r="G1840" t="s">
        <v>7</v>
      </c>
    </row>
    <row r="1841" spans="1:7" x14ac:dyDescent="0.3">
      <c r="A1841" t="s">
        <v>32</v>
      </c>
      <c r="B1841" s="1">
        <v>45961</v>
      </c>
      <c r="C1841">
        <v>410046</v>
      </c>
      <c r="D1841">
        <v>-672</v>
      </c>
      <c r="E1841" t="s">
        <v>6</v>
      </c>
      <c r="F1841" t="s">
        <v>51</v>
      </c>
      <c r="G1841" t="s">
        <v>7</v>
      </c>
    </row>
    <row r="1842" spans="1:7" x14ac:dyDescent="0.3">
      <c r="A1842" t="s">
        <v>32</v>
      </c>
      <c r="B1842" s="1">
        <v>45961</v>
      </c>
      <c r="C1842">
        <v>415002</v>
      </c>
      <c r="D1842">
        <v>-6479915.8590000002</v>
      </c>
      <c r="E1842" t="s">
        <v>6</v>
      </c>
      <c r="F1842" t="s">
        <v>50</v>
      </c>
      <c r="G1842" t="s">
        <v>7</v>
      </c>
    </row>
    <row r="1843" spans="1:7" x14ac:dyDescent="0.3">
      <c r="A1843" t="s">
        <v>32</v>
      </c>
      <c r="B1843" s="1">
        <v>45961</v>
      </c>
      <c r="C1843">
        <v>415003</v>
      </c>
      <c r="D1843">
        <v>-18732.896000000001</v>
      </c>
      <c r="E1843" t="s">
        <v>6</v>
      </c>
      <c r="F1843" t="s">
        <v>50</v>
      </c>
      <c r="G1843" t="s">
        <v>7</v>
      </c>
    </row>
    <row r="1844" spans="1:7" x14ac:dyDescent="0.3">
      <c r="A1844" t="s">
        <v>32</v>
      </c>
      <c r="B1844" s="1">
        <v>45961</v>
      </c>
      <c r="C1844">
        <v>415004</v>
      </c>
      <c r="D1844">
        <v>-6537153.4570000004</v>
      </c>
      <c r="E1844" t="s">
        <v>6</v>
      </c>
      <c r="F1844" t="s">
        <v>50</v>
      </c>
      <c r="G1844" t="s">
        <v>7</v>
      </c>
    </row>
    <row r="1845" spans="1:7" x14ac:dyDescent="0.3">
      <c r="A1845" t="s">
        <v>32</v>
      </c>
      <c r="B1845" s="1">
        <v>45961</v>
      </c>
      <c r="C1845">
        <v>415008</v>
      </c>
      <c r="D1845">
        <v>-2628.0390000000002</v>
      </c>
      <c r="E1845" t="s">
        <v>6</v>
      </c>
      <c r="F1845" t="s">
        <v>50</v>
      </c>
      <c r="G1845" t="s">
        <v>7</v>
      </c>
    </row>
    <row r="1846" spans="1:7" x14ac:dyDescent="0.3">
      <c r="A1846" t="s">
        <v>32</v>
      </c>
      <c r="B1846" s="1">
        <v>45961</v>
      </c>
      <c r="C1846">
        <v>420003</v>
      </c>
      <c r="D1846">
        <v>-414.96499999999997</v>
      </c>
      <c r="E1846" t="s">
        <v>6</v>
      </c>
      <c r="F1846" t="s">
        <v>52</v>
      </c>
      <c r="G1846" t="s">
        <v>7</v>
      </c>
    </row>
    <row r="1847" spans="1:7" x14ac:dyDescent="0.3">
      <c r="A1847" t="s">
        <v>32</v>
      </c>
      <c r="B1847" s="1">
        <v>45961</v>
      </c>
      <c r="C1847">
        <v>420004</v>
      </c>
      <c r="D1847">
        <v>-622.89599999999996</v>
      </c>
      <c r="E1847" t="s">
        <v>6</v>
      </c>
      <c r="F1847" t="s">
        <v>52</v>
      </c>
      <c r="G1847" t="s">
        <v>7</v>
      </c>
    </row>
    <row r="1848" spans="1:7" x14ac:dyDescent="0.3">
      <c r="A1848" t="s">
        <v>32</v>
      </c>
      <c r="B1848" s="1">
        <v>45961</v>
      </c>
      <c r="C1848">
        <v>421003</v>
      </c>
      <c r="D1848">
        <v>-63229.195</v>
      </c>
      <c r="E1848" t="s">
        <v>6</v>
      </c>
      <c r="F1848" t="s">
        <v>52</v>
      </c>
      <c r="G1848" t="s">
        <v>7</v>
      </c>
    </row>
    <row r="1849" spans="1:7" x14ac:dyDescent="0.3">
      <c r="A1849" t="s">
        <v>32</v>
      </c>
      <c r="B1849" s="1">
        <v>45961</v>
      </c>
      <c r="C1849">
        <v>421007</v>
      </c>
      <c r="D1849">
        <v>98.650999999999996</v>
      </c>
      <c r="E1849" t="s">
        <v>6</v>
      </c>
      <c r="F1849" t="s">
        <v>52</v>
      </c>
      <c r="G1849" t="s">
        <v>7</v>
      </c>
    </row>
    <row r="1850" spans="1:7" x14ac:dyDescent="0.3">
      <c r="A1850" t="s">
        <v>32</v>
      </c>
      <c r="B1850" s="1">
        <v>45961</v>
      </c>
      <c r="C1850">
        <v>423002</v>
      </c>
      <c r="D1850">
        <v>-578.995</v>
      </c>
      <c r="E1850" t="s">
        <v>6</v>
      </c>
      <c r="F1850" t="s">
        <v>52</v>
      </c>
      <c r="G1850" t="s">
        <v>7</v>
      </c>
    </row>
    <row r="1851" spans="1:7" x14ac:dyDescent="0.3">
      <c r="A1851" t="s">
        <v>32</v>
      </c>
      <c r="B1851" s="1">
        <v>45961</v>
      </c>
      <c r="C1851">
        <v>510002</v>
      </c>
      <c r="D1851">
        <v>2404720.0109999999</v>
      </c>
      <c r="E1851" t="s">
        <v>6</v>
      </c>
      <c r="F1851" t="s">
        <v>53</v>
      </c>
      <c r="G1851" t="s">
        <v>7</v>
      </c>
    </row>
    <row r="1852" spans="1:7" x14ac:dyDescent="0.3">
      <c r="A1852" t="s">
        <v>32</v>
      </c>
      <c r="B1852" s="1">
        <v>45961</v>
      </c>
      <c r="C1852">
        <v>510005</v>
      </c>
      <c r="D1852">
        <v>108258.82799999999</v>
      </c>
      <c r="E1852" t="s">
        <v>6</v>
      </c>
      <c r="F1852" t="s">
        <v>53</v>
      </c>
      <c r="G1852" t="s">
        <v>7</v>
      </c>
    </row>
    <row r="1853" spans="1:7" x14ac:dyDescent="0.3">
      <c r="A1853" t="s">
        <v>32</v>
      </c>
      <c r="B1853" s="1">
        <v>45961</v>
      </c>
      <c r="C1853">
        <v>510007</v>
      </c>
      <c r="D1853">
        <v>29571.67</v>
      </c>
      <c r="E1853" t="s">
        <v>6</v>
      </c>
      <c r="F1853" t="s">
        <v>53</v>
      </c>
      <c r="G1853" t="s">
        <v>7</v>
      </c>
    </row>
    <row r="1854" spans="1:7" x14ac:dyDescent="0.3">
      <c r="A1854" t="s">
        <v>32</v>
      </c>
      <c r="B1854" s="1">
        <v>45961</v>
      </c>
      <c r="C1854">
        <v>510008</v>
      </c>
      <c r="D1854">
        <v>3629.8530000000001</v>
      </c>
      <c r="E1854" t="s">
        <v>6</v>
      </c>
      <c r="F1854" t="s">
        <v>53</v>
      </c>
      <c r="G1854" t="s">
        <v>7</v>
      </c>
    </row>
    <row r="1855" spans="1:7" x14ac:dyDescent="0.3">
      <c r="A1855" t="s">
        <v>32</v>
      </c>
      <c r="B1855" s="1">
        <v>45961</v>
      </c>
      <c r="C1855">
        <v>510010</v>
      </c>
      <c r="D1855">
        <v>19660.362000000001</v>
      </c>
      <c r="E1855" t="s">
        <v>6</v>
      </c>
      <c r="F1855" t="s">
        <v>53</v>
      </c>
      <c r="G1855" t="s">
        <v>7</v>
      </c>
    </row>
    <row r="1856" spans="1:7" x14ac:dyDescent="0.3">
      <c r="A1856" t="s">
        <v>32</v>
      </c>
      <c r="B1856" s="1">
        <v>45961</v>
      </c>
      <c r="C1856">
        <v>510012</v>
      </c>
      <c r="D1856">
        <v>28189.142</v>
      </c>
      <c r="E1856" t="s">
        <v>6</v>
      </c>
      <c r="F1856" t="s">
        <v>53</v>
      </c>
      <c r="G1856" t="s">
        <v>7</v>
      </c>
    </row>
    <row r="1857" spans="1:7" x14ac:dyDescent="0.3">
      <c r="A1857" t="s">
        <v>32</v>
      </c>
      <c r="B1857" s="1">
        <v>45961</v>
      </c>
      <c r="C1857">
        <v>510015</v>
      </c>
      <c r="D1857">
        <v>198635.549</v>
      </c>
      <c r="E1857" t="s">
        <v>6</v>
      </c>
      <c r="F1857" t="s">
        <v>53</v>
      </c>
      <c r="G1857" t="s">
        <v>7</v>
      </c>
    </row>
    <row r="1858" spans="1:7" x14ac:dyDescent="0.3">
      <c r="A1858" t="s">
        <v>32</v>
      </c>
      <c r="B1858" s="1">
        <v>45961</v>
      </c>
      <c r="C1858">
        <v>510018</v>
      </c>
      <c r="D1858">
        <v>204395.87700000001</v>
      </c>
      <c r="E1858" t="s">
        <v>6</v>
      </c>
      <c r="F1858" t="s">
        <v>53</v>
      </c>
      <c r="G1858" t="s">
        <v>7</v>
      </c>
    </row>
    <row r="1859" spans="1:7" x14ac:dyDescent="0.3">
      <c r="A1859" t="s">
        <v>32</v>
      </c>
      <c r="B1859" s="1">
        <v>45961</v>
      </c>
      <c r="C1859">
        <v>510048</v>
      </c>
      <c r="D1859">
        <v>88.869</v>
      </c>
      <c r="E1859" t="s">
        <v>6</v>
      </c>
      <c r="F1859" t="s">
        <v>61</v>
      </c>
      <c r="G1859" t="s">
        <v>7</v>
      </c>
    </row>
    <row r="1860" spans="1:7" x14ac:dyDescent="0.3">
      <c r="A1860" t="s">
        <v>32</v>
      </c>
      <c r="B1860" s="1">
        <v>45961</v>
      </c>
      <c r="C1860">
        <v>510059</v>
      </c>
      <c r="D1860">
        <v>12718.897999999999</v>
      </c>
      <c r="E1860" t="s">
        <v>6</v>
      </c>
      <c r="F1860" t="s">
        <v>53</v>
      </c>
      <c r="G1860" t="s">
        <v>7</v>
      </c>
    </row>
    <row r="1861" spans="1:7" x14ac:dyDescent="0.3">
      <c r="A1861" t="s">
        <v>32</v>
      </c>
      <c r="B1861" s="1">
        <v>45961</v>
      </c>
      <c r="C1861">
        <v>510062</v>
      </c>
      <c r="D1861">
        <v>35775.898999999998</v>
      </c>
      <c r="E1861" t="s">
        <v>6</v>
      </c>
      <c r="F1861" t="s">
        <v>53</v>
      </c>
      <c r="G1861" t="s">
        <v>7</v>
      </c>
    </row>
    <row r="1862" spans="1:7" x14ac:dyDescent="0.3">
      <c r="A1862" t="s">
        <v>32</v>
      </c>
      <c r="B1862" s="1">
        <v>45961</v>
      </c>
      <c r="C1862">
        <v>510064</v>
      </c>
      <c r="D1862">
        <v>5486.1310000000003</v>
      </c>
      <c r="E1862" t="s">
        <v>6</v>
      </c>
      <c r="F1862" t="s">
        <v>53</v>
      </c>
      <c r="G1862" t="s">
        <v>7</v>
      </c>
    </row>
    <row r="1863" spans="1:7" x14ac:dyDescent="0.3">
      <c r="A1863" t="s">
        <v>32</v>
      </c>
      <c r="B1863" s="1">
        <v>45961</v>
      </c>
      <c r="C1863">
        <v>510065</v>
      </c>
      <c r="D1863">
        <v>42625.625999999997</v>
      </c>
      <c r="E1863" t="s">
        <v>6</v>
      </c>
      <c r="F1863" t="s">
        <v>53</v>
      </c>
      <c r="G1863" t="s">
        <v>7</v>
      </c>
    </row>
    <row r="1864" spans="1:7" x14ac:dyDescent="0.3">
      <c r="A1864" t="s">
        <v>32</v>
      </c>
      <c r="B1864" s="1">
        <v>45961</v>
      </c>
      <c r="C1864">
        <v>520020</v>
      </c>
      <c r="D1864">
        <v>5140.4629999999997</v>
      </c>
      <c r="E1864" t="s">
        <v>6</v>
      </c>
      <c r="F1864" t="s">
        <v>53</v>
      </c>
      <c r="G1864" t="s">
        <v>7</v>
      </c>
    </row>
    <row r="1865" spans="1:7" x14ac:dyDescent="0.3">
      <c r="A1865" t="s">
        <v>32</v>
      </c>
      <c r="B1865" s="1">
        <v>45961</v>
      </c>
      <c r="C1865">
        <v>520021</v>
      </c>
      <c r="D1865">
        <v>3031.768</v>
      </c>
      <c r="E1865" t="s">
        <v>6</v>
      </c>
      <c r="F1865" t="s">
        <v>60</v>
      </c>
      <c r="G1865" t="s">
        <v>7</v>
      </c>
    </row>
    <row r="1866" spans="1:7" x14ac:dyDescent="0.3">
      <c r="A1866" t="s">
        <v>32</v>
      </c>
      <c r="B1866" s="1">
        <v>45961</v>
      </c>
      <c r="C1866">
        <v>530012</v>
      </c>
      <c r="D1866">
        <v>14222.701999999999</v>
      </c>
      <c r="E1866" t="s">
        <v>6</v>
      </c>
      <c r="F1866" t="s">
        <v>53</v>
      </c>
      <c r="G1866" t="s">
        <v>7</v>
      </c>
    </row>
    <row r="1867" spans="1:7" x14ac:dyDescent="0.3">
      <c r="A1867" t="s">
        <v>32</v>
      </c>
      <c r="B1867" s="1">
        <v>45961</v>
      </c>
      <c r="C1867">
        <v>540004</v>
      </c>
      <c r="D1867">
        <v>68.914000000000001</v>
      </c>
      <c r="E1867" t="s">
        <v>6</v>
      </c>
      <c r="F1867" t="s">
        <v>67</v>
      </c>
      <c r="G1867" t="s">
        <v>7</v>
      </c>
    </row>
    <row r="1868" spans="1:7" x14ac:dyDescent="0.3">
      <c r="A1868" t="s">
        <v>32</v>
      </c>
      <c r="B1868" s="1">
        <v>45961</v>
      </c>
      <c r="C1868">
        <v>540008</v>
      </c>
      <c r="D1868">
        <v>3641.8870000000002</v>
      </c>
      <c r="E1868" t="s">
        <v>6</v>
      </c>
      <c r="F1868" t="s">
        <v>67</v>
      </c>
      <c r="G1868" t="s">
        <v>7</v>
      </c>
    </row>
    <row r="1869" spans="1:7" x14ac:dyDescent="0.3">
      <c r="A1869" t="s">
        <v>32</v>
      </c>
      <c r="B1869" s="1">
        <v>45961</v>
      </c>
      <c r="C1869">
        <v>541002</v>
      </c>
      <c r="D1869">
        <v>4907.598</v>
      </c>
      <c r="E1869" t="s">
        <v>6</v>
      </c>
      <c r="F1869" t="s">
        <v>61</v>
      </c>
      <c r="G1869" t="s">
        <v>7</v>
      </c>
    </row>
    <row r="1870" spans="1:7" x14ac:dyDescent="0.3">
      <c r="A1870" t="s">
        <v>32</v>
      </c>
      <c r="B1870" s="1">
        <v>45961</v>
      </c>
      <c r="C1870">
        <v>541004</v>
      </c>
      <c r="D1870">
        <v>65305.016000000003</v>
      </c>
      <c r="E1870" t="s">
        <v>6</v>
      </c>
      <c r="F1870" t="s">
        <v>61</v>
      </c>
      <c r="G1870" t="s">
        <v>7</v>
      </c>
    </row>
    <row r="1871" spans="1:7" x14ac:dyDescent="0.3">
      <c r="A1871" t="s">
        <v>32</v>
      </c>
      <c r="B1871" s="1">
        <v>45961</v>
      </c>
      <c r="C1871">
        <v>541008</v>
      </c>
      <c r="D1871">
        <v>16476.911</v>
      </c>
      <c r="E1871" t="s">
        <v>6</v>
      </c>
      <c r="F1871" t="s">
        <v>61</v>
      </c>
      <c r="G1871" t="s">
        <v>7</v>
      </c>
    </row>
    <row r="1872" spans="1:7" x14ac:dyDescent="0.3">
      <c r="A1872" t="s">
        <v>32</v>
      </c>
      <c r="B1872" s="1">
        <v>45961</v>
      </c>
      <c r="C1872">
        <v>541009</v>
      </c>
      <c r="D1872">
        <v>13122.921</v>
      </c>
      <c r="E1872" t="s">
        <v>6</v>
      </c>
      <c r="F1872" t="s">
        <v>61</v>
      </c>
      <c r="G1872" t="s">
        <v>7</v>
      </c>
    </row>
    <row r="1873" spans="1:7" x14ac:dyDescent="0.3">
      <c r="A1873" t="s">
        <v>32</v>
      </c>
      <c r="B1873" s="1">
        <v>45961</v>
      </c>
      <c r="C1873">
        <v>541010</v>
      </c>
      <c r="D1873">
        <v>19789.974999999999</v>
      </c>
      <c r="E1873" t="s">
        <v>6</v>
      </c>
      <c r="F1873" t="s">
        <v>61</v>
      </c>
      <c r="G1873" t="s">
        <v>7</v>
      </c>
    </row>
    <row r="1874" spans="1:7" x14ac:dyDescent="0.3">
      <c r="A1874" t="s">
        <v>32</v>
      </c>
      <c r="B1874" s="1">
        <v>45961</v>
      </c>
      <c r="C1874">
        <v>541013</v>
      </c>
      <c r="D1874">
        <v>8339.518</v>
      </c>
      <c r="E1874" t="s">
        <v>6</v>
      </c>
      <c r="F1874" t="s">
        <v>61</v>
      </c>
      <c r="G1874" t="s">
        <v>7</v>
      </c>
    </row>
    <row r="1875" spans="1:7" x14ac:dyDescent="0.3">
      <c r="A1875" t="s">
        <v>32</v>
      </c>
      <c r="B1875" s="1">
        <v>45961</v>
      </c>
      <c r="C1875">
        <v>541023</v>
      </c>
      <c r="D1875">
        <v>10615.578</v>
      </c>
      <c r="E1875" t="s">
        <v>6</v>
      </c>
      <c r="F1875" t="s">
        <v>61</v>
      </c>
      <c r="G1875" t="s">
        <v>7</v>
      </c>
    </row>
    <row r="1876" spans="1:7" x14ac:dyDescent="0.3">
      <c r="A1876" t="s">
        <v>32</v>
      </c>
      <c r="B1876" s="1">
        <v>45961</v>
      </c>
      <c r="C1876">
        <v>544003</v>
      </c>
      <c r="D1876">
        <v>186.61</v>
      </c>
      <c r="E1876" t="s">
        <v>6</v>
      </c>
      <c r="F1876" t="s">
        <v>61</v>
      </c>
      <c r="G1876" t="s">
        <v>7</v>
      </c>
    </row>
    <row r="1877" spans="1:7" x14ac:dyDescent="0.3">
      <c r="A1877" t="s">
        <v>32</v>
      </c>
      <c r="B1877" s="1">
        <v>45961</v>
      </c>
      <c r="C1877">
        <v>544006</v>
      </c>
      <c r="D1877">
        <v>47559.427000000003</v>
      </c>
      <c r="E1877" t="s">
        <v>6</v>
      </c>
      <c r="F1877" t="s">
        <v>61</v>
      </c>
      <c r="G1877" t="s">
        <v>7</v>
      </c>
    </row>
    <row r="1878" spans="1:7" x14ac:dyDescent="0.3">
      <c r="A1878" t="s">
        <v>32</v>
      </c>
      <c r="B1878" s="1">
        <v>45961</v>
      </c>
      <c r="C1878">
        <v>546002</v>
      </c>
      <c r="D1878">
        <v>6395491.8629999999</v>
      </c>
      <c r="E1878" t="s">
        <v>6</v>
      </c>
      <c r="F1878" t="s">
        <v>51</v>
      </c>
      <c r="G1878" t="s">
        <v>7</v>
      </c>
    </row>
    <row r="1879" spans="1:7" x14ac:dyDescent="0.3">
      <c r="A1879" t="s">
        <v>32</v>
      </c>
      <c r="B1879" s="1">
        <v>45961</v>
      </c>
      <c r="C1879">
        <v>546005</v>
      </c>
      <c r="D1879">
        <v>35740.733</v>
      </c>
      <c r="E1879" t="s">
        <v>6</v>
      </c>
      <c r="F1879" t="s">
        <v>51</v>
      </c>
      <c r="G1879" t="s">
        <v>7</v>
      </c>
    </row>
    <row r="1880" spans="1:7" x14ac:dyDescent="0.3">
      <c r="A1880" t="s">
        <v>32</v>
      </c>
      <c r="B1880" s="1">
        <v>45961</v>
      </c>
      <c r="C1880">
        <v>546008</v>
      </c>
      <c r="D1880">
        <v>162539.51500000001</v>
      </c>
      <c r="E1880" t="s">
        <v>6</v>
      </c>
      <c r="F1880" t="s">
        <v>51</v>
      </c>
      <c r="G1880" t="s">
        <v>7</v>
      </c>
    </row>
    <row r="1881" spans="1:7" x14ac:dyDescent="0.3">
      <c r="A1881" t="s">
        <v>32</v>
      </c>
      <c r="B1881" s="1">
        <v>45961</v>
      </c>
      <c r="C1881">
        <v>546012</v>
      </c>
      <c r="D1881">
        <v>-31179.962</v>
      </c>
      <c r="E1881" t="s">
        <v>6</v>
      </c>
      <c r="F1881" t="s">
        <v>51</v>
      </c>
      <c r="G1881" t="s">
        <v>7</v>
      </c>
    </row>
    <row r="1882" spans="1:7" x14ac:dyDescent="0.3">
      <c r="A1882" t="s">
        <v>32</v>
      </c>
      <c r="B1882" s="1">
        <v>45961</v>
      </c>
      <c r="C1882">
        <v>546015</v>
      </c>
      <c r="D1882">
        <v>572489.277</v>
      </c>
      <c r="E1882" t="s">
        <v>6</v>
      </c>
      <c r="F1882" t="s">
        <v>51</v>
      </c>
      <c r="G1882" t="s">
        <v>7</v>
      </c>
    </row>
    <row r="1883" spans="1:7" x14ac:dyDescent="0.3">
      <c r="A1883" t="s">
        <v>32</v>
      </c>
      <c r="B1883" s="1">
        <v>45961</v>
      </c>
      <c r="C1883">
        <v>546016</v>
      </c>
      <c r="D1883">
        <v>279276.92200000002</v>
      </c>
      <c r="E1883" t="s">
        <v>6</v>
      </c>
      <c r="F1883" t="s">
        <v>51</v>
      </c>
      <c r="G1883" t="s">
        <v>7</v>
      </c>
    </row>
    <row r="1884" spans="1:7" x14ac:dyDescent="0.3">
      <c r="A1884" t="s">
        <v>32</v>
      </c>
      <c r="B1884" s="1">
        <v>45961</v>
      </c>
      <c r="C1884">
        <v>546018</v>
      </c>
      <c r="D1884">
        <v>10891.380999999999</v>
      </c>
      <c r="E1884" t="s">
        <v>6</v>
      </c>
      <c r="F1884" t="s">
        <v>51</v>
      </c>
      <c r="G1884" t="s">
        <v>7</v>
      </c>
    </row>
    <row r="1885" spans="1:7" x14ac:dyDescent="0.3">
      <c r="A1885" t="s">
        <v>32</v>
      </c>
      <c r="B1885" s="1">
        <v>45961</v>
      </c>
      <c r="C1885">
        <v>546022</v>
      </c>
      <c r="D1885">
        <v>88877.271999999997</v>
      </c>
      <c r="E1885" t="s">
        <v>6</v>
      </c>
      <c r="F1885" t="s">
        <v>51</v>
      </c>
      <c r="G1885" t="s">
        <v>7</v>
      </c>
    </row>
    <row r="1886" spans="1:7" x14ac:dyDescent="0.3">
      <c r="A1886" t="s">
        <v>32</v>
      </c>
      <c r="B1886" s="1">
        <v>45961</v>
      </c>
      <c r="C1886">
        <v>546024</v>
      </c>
      <c r="D1886">
        <v>5046.152</v>
      </c>
      <c r="E1886" t="s">
        <v>6</v>
      </c>
      <c r="F1886" t="s">
        <v>51</v>
      </c>
      <c r="G1886" t="s">
        <v>7</v>
      </c>
    </row>
    <row r="1887" spans="1:7" x14ac:dyDescent="0.3">
      <c r="A1887" t="s">
        <v>32</v>
      </c>
      <c r="B1887" s="1">
        <v>45961</v>
      </c>
      <c r="C1887">
        <v>546035</v>
      </c>
      <c r="D1887">
        <v>36199.017999999996</v>
      </c>
      <c r="E1887" t="s">
        <v>6</v>
      </c>
      <c r="F1887" t="s">
        <v>51</v>
      </c>
      <c r="G1887" t="s">
        <v>7</v>
      </c>
    </row>
    <row r="1888" spans="1:7" x14ac:dyDescent="0.3">
      <c r="A1888" t="s">
        <v>32</v>
      </c>
      <c r="B1888" s="1">
        <v>45961</v>
      </c>
      <c r="C1888">
        <v>546038</v>
      </c>
      <c r="D1888">
        <v>7462.5410000000002</v>
      </c>
      <c r="E1888" t="s">
        <v>6</v>
      </c>
      <c r="F1888" t="s">
        <v>51</v>
      </c>
      <c r="G1888" t="s">
        <v>7</v>
      </c>
    </row>
    <row r="1889" spans="1:7" x14ac:dyDescent="0.3">
      <c r="A1889" t="s">
        <v>32</v>
      </c>
      <c r="B1889" s="1">
        <v>45961</v>
      </c>
      <c r="C1889">
        <v>546040</v>
      </c>
      <c r="D1889">
        <v>418778.04200000002</v>
      </c>
      <c r="E1889" t="s">
        <v>6</v>
      </c>
      <c r="F1889" t="s">
        <v>51</v>
      </c>
      <c r="G1889" t="s">
        <v>7</v>
      </c>
    </row>
    <row r="1890" spans="1:7" x14ac:dyDescent="0.3">
      <c r="A1890" t="s">
        <v>32</v>
      </c>
      <c r="B1890" s="1">
        <v>45961</v>
      </c>
      <c r="C1890">
        <v>546042</v>
      </c>
      <c r="D1890">
        <v>2717.174</v>
      </c>
      <c r="E1890" t="s">
        <v>6</v>
      </c>
      <c r="F1890" t="s">
        <v>51</v>
      </c>
      <c r="G1890" t="s">
        <v>7</v>
      </c>
    </row>
    <row r="1891" spans="1:7" x14ac:dyDescent="0.3">
      <c r="A1891" t="s">
        <v>32</v>
      </c>
      <c r="B1891" s="1">
        <v>45961</v>
      </c>
      <c r="C1891">
        <v>546045</v>
      </c>
      <c r="D1891">
        <v>21646.342000000001</v>
      </c>
      <c r="E1891" t="s">
        <v>6</v>
      </c>
      <c r="F1891" t="s">
        <v>51</v>
      </c>
      <c r="G1891" t="s">
        <v>7</v>
      </c>
    </row>
    <row r="1892" spans="1:7" x14ac:dyDescent="0.3">
      <c r="A1892" t="s">
        <v>32</v>
      </c>
      <c r="B1892" s="1">
        <v>45961</v>
      </c>
      <c r="C1892">
        <v>546046</v>
      </c>
      <c r="D1892">
        <v>28213.664000000001</v>
      </c>
      <c r="E1892" t="s">
        <v>6</v>
      </c>
      <c r="F1892" t="s">
        <v>51</v>
      </c>
      <c r="G1892" t="s">
        <v>7</v>
      </c>
    </row>
    <row r="1893" spans="1:7" x14ac:dyDescent="0.3">
      <c r="A1893" t="s">
        <v>32</v>
      </c>
      <c r="B1893" s="1">
        <v>45961</v>
      </c>
      <c r="C1893">
        <v>546047</v>
      </c>
      <c r="D1893">
        <v>15212.709000000001</v>
      </c>
      <c r="E1893" t="s">
        <v>6</v>
      </c>
      <c r="F1893" t="s">
        <v>51</v>
      </c>
      <c r="G1893" t="s">
        <v>7</v>
      </c>
    </row>
    <row r="1894" spans="1:7" x14ac:dyDescent="0.3">
      <c r="A1894" t="s">
        <v>32</v>
      </c>
      <c r="B1894" s="1">
        <v>45961</v>
      </c>
      <c r="C1894">
        <v>546050</v>
      </c>
      <c r="D1894">
        <v>30768.921999999999</v>
      </c>
      <c r="E1894" t="s">
        <v>6</v>
      </c>
      <c r="F1894" t="s">
        <v>51</v>
      </c>
      <c r="G1894" t="s">
        <v>7</v>
      </c>
    </row>
    <row r="1895" spans="1:7" x14ac:dyDescent="0.3">
      <c r="A1895" t="s">
        <v>32</v>
      </c>
      <c r="B1895" s="1">
        <v>45961</v>
      </c>
      <c r="C1895">
        <v>547002</v>
      </c>
      <c r="D1895">
        <v>630202.34100000001</v>
      </c>
      <c r="E1895" t="s">
        <v>6</v>
      </c>
      <c r="F1895" t="s">
        <v>54</v>
      </c>
      <c r="G1895" t="s">
        <v>7</v>
      </c>
    </row>
    <row r="1896" spans="1:7" x14ac:dyDescent="0.3">
      <c r="A1896" t="s">
        <v>32</v>
      </c>
      <c r="B1896" s="1">
        <v>45961</v>
      </c>
      <c r="C1896">
        <v>547006</v>
      </c>
      <c r="D1896">
        <v>31758.441999999999</v>
      </c>
      <c r="E1896" t="s">
        <v>6</v>
      </c>
      <c r="F1896" t="s">
        <v>54</v>
      </c>
      <c r="G1896" t="s">
        <v>7</v>
      </c>
    </row>
    <row r="1897" spans="1:7" x14ac:dyDescent="0.3">
      <c r="A1897" t="s">
        <v>32</v>
      </c>
      <c r="B1897" s="1">
        <v>45961</v>
      </c>
      <c r="C1897">
        <v>547011</v>
      </c>
      <c r="D1897">
        <v>1338.742</v>
      </c>
      <c r="E1897" t="s">
        <v>6</v>
      </c>
      <c r="F1897" t="s">
        <v>54</v>
      </c>
      <c r="G1897" t="s">
        <v>7</v>
      </c>
    </row>
    <row r="1898" spans="1:7" x14ac:dyDescent="0.3">
      <c r="A1898" t="s">
        <v>32</v>
      </c>
      <c r="B1898" s="1">
        <v>45961</v>
      </c>
      <c r="C1898">
        <v>550002</v>
      </c>
      <c r="D1898">
        <v>-4390.8379999999997</v>
      </c>
      <c r="E1898" t="s">
        <v>6</v>
      </c>
      <c r="F1898" t="s">
        <v>62</v>
      </c>
      <c r="G1898" t="s">
        <v>7</v>
      </c>
    </row>
    <row r="1899" spans="1:7" x14ac:dyDescent="0.3">
      <c r="A1899" t="s">
        <v>32</v>
      </c>
      <c r="B1899" s="1">
        <v>45961</v>
      </c>
      <c r="C1899">
        <v>550003</v>
      </c>
      <c r="D1899">
        <v>1672034.4790000001</v>
      </c>
      <c r="E1899" t="s">
        <v>6</v>
      </c>
      <c r="F1899" t="s">
        <v>62</v>
      </c>
      <c r="G1899" t="s">
        <v>7</v>
      </c>
    </row>
    <row r="1900" spans="1:7" x14ac:dyDescent="0.3">
      <c r="A1900" t="s">
        <v>32</v>
      </c>
      <c r="B1900" s="1">
        <v>45961</v>
      </c>
      <c r="C1900">
        <v>551002</v>
      </c>
      <c r="D1900">
        <v>12102.414000000001</v>
      </c>
      <c r="E1900" t="s">
        <v>6</v>
      </c>
      <c r="F1900" t="s">
        <v>63</v>
      </c>
      <c r="G1900" t="s">
        <v>7</v>
      </c>
    </row>
    <row r="1901" spans="1:7" x14ac:dyDescent="0.3">
      <c r="A1901" t="s">
        <v>32</v>
      </c>
      <c r="B1901" s="1">
        <v>45961</v>
      </c>
      <c r="C1901">
        <v>551003</v>
      </c>
      <c r="D1901">
        <v>48849.159</v>
      </c>
      <c r="E1901" t="s">
        <v>6</v>
      </c>
      <c r="F1901" t="s">
        <v>63</v>
      </c>
      <c r="G1901" t="s">
        <v>7</v>
      </c>
    </row>
    <row r="1902" spans="1:7" x14ac:dyDescent="0.3">
      <c r="A1902" t="s">
        <v>32</v>
      </c>
      <c r="B1902" s="1">
        <v>45961</v>
      </c>
      <c r="C1902">
        <v>551008</v>
      </c>
      <c r="D1902">
        <v>534.47299999999996</v>
      </c>
      <c r="E1902" t="s">
        <v>6</v>
      </c>
      <c r="F1902" t="s">
        <v>63</v>
      </c>
      <c r="G1902" t="s">
        <v>7</v>
      </c>
    </row>
    <row r="1903" spans="1:7" x14ac:dyDescent="0.3">
      <c r="A1903" t="s">
        <v>32</v>
      </c>
      <c r="B1903" s="1">
        <v>45961</v>
      </c>
      <c r="C1903">
        <v>551011</v>
      </c>
      <c r="D1903">
        <v>742.72400000000005</v>
      </c>
      <c r="E1903" t="s">
        <v>6</v>
      </c>
      <c r="F1903" t="s">
        <v>61</v>
      </c>
      <c r="G1903" t="s">
        <v>7</v>
      </c>
    </row>
    <row r="1904" spans="1:7" x14ac:dyDescent="0.3">
      <c r="A1904" t="s">
        <v>32</v>
      </c>
      <c r="B1904" s="1">
        <v>45961</v>
      </c>
      <c r="C1904">
        <v>552002</v>
      </c>
      <c r="D1904">
        <v>2202.777</v>
      </c>
      <c r="E1904" t="s">
        <v>6</v>
      </c>
      <c r="F1904" t="s">
        <v>55</v>
      </c>
      <c r="G1904" t="s">
        <v>7</v>
      </c>
    </row>
    <row r="1905" spans="1:7" x14ac:dyDescent="0.3">
      <c r="A1905" t="s">
        <v>32</v>
      </c>
      <c r="B1905" s="1">
        <v>45961</v>
      </c>
      <c r="C1905">
        <v>552502</v>
      </c>
      <c r="D1905">
        <v>1.9219999999999999</v>
      </c>
      <c r="E1905" t="s">
        <v>6</v>
      </c>
      <c r="F1905" t="s">
        <v>55</v>
      </c>
      <c r="G1905" t="s">
        <v>7</v>
      </c>
    </row>
    <row r="1906" spans="1:7" x14ac:dyDescent="0.3">
      <c r="A1906" t="s">
        <v>32</v>
      </c>
      <c r="B1906" s="1">
        <v>45961</v>
      </c>
      <c r="C1906">
        <v>552504</v>
      </c>
      <c r="D1906">
        <v>3021.52</v>
      </c>
      <c r="E1906" t="s">
        <v>6</v>
      </c>
      <c r="F1906" t="s">
        <v>55</v>
      </c>
      <c r="G1906" t="s">
        <v>7</v>
      </c>
    </row>
    <row r="1907" spans="1:7" x14ac:dyDescent="0.3">
      <c r="A1907" t="s">
        <v>32</v>
      </c>
      <c r="B1907" s="1">
        <v>45961</v>
      </c>
      <c r="C1907">
        <v>554005</v>
      </c>
      <c r="D1907">
        <v>2689.2179999999998</v>
      </c>
      <c r="E1907" t="s">
        <v>6</v>
      </c>
      <c r="F1907" t="s">
        <v>55</v>
      </c>
      <c r="G1907" t="s">
        <v>7</v>
      </c>
    </row>
    <row r="1908" spans="1:7" x14ac:dyDescent="0.3">
      <c r="A1908" t="s">
        <v>32</v>
      </c>
      <c r="B1908" s="1">
        <v>45961</v>
      </c>
      <c r="C1908">
        <v>554007</v>
      </c>
      <c r="D1908">
        <v>1337.9670000000001</v>
      </c>
      <c r="E1908" t="s">
        <v>6</v>
      </c>
      <c r="F1908" t="s">
        <v>55</v>
      </c>
      <c r="G1908" t="s">
        <v>7</v>
      </c>
    </row>
    <row r="1909" spans="1:7" x14ac:dyDescent="0.3">
      <c r="A1909" t="s">
        <v>32</v>
      </c>
      <c r="B1909" s="1">
        <v>45961</v>
      </c>
      <c r="C1909">
        <v>555007</v>
      </c>
      <c r="D1909">
        <v>13571.736999999999</v>
      </c>
      <c r="E1909" t="s">
        <v>6</v>
      </c>
      <c r="F1909" t="s">
        <v>55</v>
      </c>
      <c r="G1909" t="s">
        <v>7</v>
      </c>
    </row>
    <row r="1910" spans="1:7" x14ac:dyDescent="0.3">
      <c r="A1910" t="s">
        <v>32</v>
      </c>
      <c r="B1910" s="1">
        <v>45961</v>
      </c>
      <c r="C1910">
        <v>555502</v>
      </c>
      <c r="D1910">
        <v>15555.498</v>
      </c>
      <c r="E1910" t="s">
        <v>6</v>
      </c>
      <c r="F1910" t="s">
        <v>55</v>
      </c>
      <c r="G1910" t="s">
        <v>7</v>
      </c>
    </row>
    <row r="1911" spans="1:7" x14ac:dyDescent="0.3">
      <c r="A1911" t="s">
        <v>32</v>
      </c>
      <c r="B1911" s="1">
        <v>45961</v>
      </c>
      <c r="C1911">
        <v>555508</v>
      </c>
      <c r="D1911">
        <v>2255.6289999999999</v>
      </c>
      <c r="E1911" t="s">
        <v>6</v>
      </c>
      <c r="F1911" t="s">
        <v>55</v>
      </c>
      <c r="G1911" t="s">
        <v>7</v>
      </c>
    </row>
    <row r="1912" spans="1:7" x14ac:dyDescent="0.3">
      <c r="A1912" t="s">
        <v>32</v>
      </c>
      <c r="B1912" s="1">
        <v>45961</v>
      </c>
      <c r="C1912">
        <v>556002</v>
      </c>
      <c r="D1912">
        <v>2769.355</v>
      </c>
      <c r="E1912" t="s">
        <v>6</v>
      </c>
      <c r="F1912" t="s">
        <v>60</v>
      </c>
      <c r="G1912" t="s">
        <v>7</v>
      </c>
    </row>
    <row r="1913" spans="1:7" x14ac:dyDescent="0.3">
      <c r="A1913" t="s">
        <v>32</v>
      </c>
      <c r="B1913" s="1">
        <v>45961</v>
      </c>
      <c r="C1913">
        <v>556004</v>
      </c>
      <c r="D1913">
        <v>6739.6869999999999</v>
      </c>
      <c r="E1913" t="s">
        <v>6</v>
      </c>
      <c r="F1913" t="s">
        <v>55</v>
      </c>
      <c r="G1913" t="s">
        <v>7</v>
      </c>
    </row>
    <row r="1914" spans="1:7" x14ac:dyDescent="0.3">
      <c r="A1914" t="s">
        <v>32</v>
      </c>
      <c r="B1914" s="1">
        <v>45961</v>
      </c>
      <c r="C1914">
        <v>557002</v>
      </c>
      <c r="D1914">
        <v>74175.764999999999</v>
      </c>
      <c r="E1914" t="s">
        <v>6</v>
      </c>
      <c r="F1914" t="s">
        <v>56</v>
      </c>
      <c r="G1914" t="s">
        <v>7</v>
      </c>
    </row>
    <row r="1915" spans="1:7" x14ac:dyDescent="0.3">
      <c r="A1915" t="s">
        <v>32</v>
      </c>
      <c r="B1915" s="1">
        <v>45961</v>
      </c>
      <c r="C1915">
        <v>557003</v>
      </c>
      <c r="D1915">
        <v>13220.134</v>
      </c>
      <c r="E1915" t="s">
        <v>6</v>
      </c>
      <c r="F1915" t="s">
        <v>56</v>
      </c>
      <c r="G1915" t="s">
        <v>7</v>
      </c>
    </row>
    <row r="1916" spans="1:7" x14ac:dyDescent="0.3">
      <c r="A1916" t="s">
        <v>32</v>
      </c>
      <c r="B1916" s="1">
        <v>45961</v>
      </c>
      <c r="C1916">
        <v>558003</v>
      </c>
      <c r="D1916">
        <v>10588.491</v>
      </c>
      <c r="E1916" t="s">
        <v>6</v>
      </c>
      <c r="F1916" t="s">
        <v>57</v>
      </c>
      <c r="G1916" t="s">
        <v>7</v>
      </c>
    </row>
    <row r="1917" spans="1:7" x14ac:dyDescent="0.3">
      <c r="A1917" t="s">
        <v>32</v>
      </c>
      <c r="B1917" s="1">
        <v>45961</v>
      </c>
      <c r="C1917">
        <v>558006</v>
      </c>
      <c r="D1917">
        <v>10261.946</v>
      </c>
      <c r="E1917" t="s">
        <v>6</v>
      </c>
      <c r="F1917" t="s">
        <v>57</v>
      </c>
      <c r="G1917" t="s">
        <v>7</v>
      </c>
    </row>
    <row r="1918" spans="1:7" x14ac:dyDescent="0.3">
      <c r="A1918" t="s">
        <v>32</v>
      </c>
      <c r="B1918" s="1">
        <v>45961</v>
      </c>
      <c r="C1918">
        <v>558007</v>
      </c>
      <c r="D1918">
        <v>443.048</v>
      </c>
      <c r="E1918" t="s">
        <v>6</v>
      </c>
      <c r="F1918" t="s">
        <v>60</v>
      </c>
      <c r="G1918" t="s">
        <v>7</v>
      </c>
    </row>
    <row r="1919" spans="1:7" x14ac:dyDescent="0.3">
      <c r="A1919" t="s">
        <v>32</v>
      </c>
      <c r="B1919" s="1">
        <v>45961</v>
      </c>
      <c r="C1919">
        <v>558011</v>
      </c>
      <c r="D1919">
        <v>4420.7089999999998</v>
      </c>
      <c r="E1919" t="s">
        <v>6</v>
      </c>
      <c r="F1919" t="s">
        <v>57</v>
      </c>
      <c r="G1919" t="s">
        <v>7</v>
      </c>
    </row>
    <row r="1920" spans="1:7" x14ac:dyDescent="0.3">
      <c r="A1920" t="s">
        <v>32</v>
      </c>
      <c r="B1920" s="1">
        <v>45961</v>
      </c>
      <c r="C1920">
        <v>558012</v>
      </c>
      <c r="D1920">
        <v>4144.8559999999998</v>
      </c>
      <c r="E1920" t="s">
        <v>6</v>
      </c>
      <c r="F1920" t="s">
        <v>60</v>
      </c>
      <c r="G1920" t="s">
        <v>7</v>
      </c>
    </row>
    <row r="1921" spans="1:7" x14ac:dyDescent="0.3">
      <c r="A1921" t="s">
        <v>32</v>
      </c>
      <c r="B1921" s="1">
        <v>45961</v>
      </c>
      <c r="C1921">
        <v>559002</v>
      </c>
      <c r="D1921">
        <v>312.04399999999998</v>
      </c>
      <c r="E1921" t="s">
        <v>6</v>
      </c>
      <c r="F1921" t="s">
        <v>60</v>
      </c>
      <c r="G1921" t="s">
        <v>7</v>
      </c>
    </row>
    <row r="1922" spans="1:7" x14ac:dyDescent="0.3">
      <c r="A1922" t="s">
        <v>32</v>
      </c>
      <c r="B1922" s="1">
        <v>45961</v>
      </c>
      <c r="C1922">
        <v>562002</v>
      </c>
      <c r="D1922">
        <v>5525.7150000000001</v>
      </c>
      <c r="E1922" t="s">
        <v>6</v>
      </c>
      <c r="F1922" t="s">
        <v>57</v>
      </c>
      <c r="G1922" t="s">
        <v>7</v>
      </c>
    </row>
    <row r="1923" spans="1:7" x14ac:dyDescent="0.3">
      <c r="A1923" t="s">
        <v>32</v>
      </c>
      <c r="B1923" s="1">
        <v>45961</v>
      </c>
      <c r="C1923">
        <v>563002</v>
      </c>
      <c r="D1923">
        <v>-4937.2889999999998</v>
      </c>
      <c r="E1923" t="s">
        <v>6</v>
      </c>
      <c r="F1923" t="s">
        <v>57</v>
      </c>
      <c r="G1923" t="s">
        <v>7</v>
      </c>
    </row>
    <row r="1924" spans="1:7" x14ac:dyDescent="0.3">
      <c r="A1924" t="s">
        <v>32</v>
      </c>
      <c r="B1924" s="1">
        <v>45961</v>
      </c>
      <c r="C1924">
        <v>564004</v>
      </c>
      <c r="D1924">
        <v>198430.17300000001</v>
      </c>
      <c r="E1924" t="s">
        <v>6</v>
      </c>
      <c r="F1924" t="s">
        <v>51</v>
      </c>
      <c r="G1924" t="s">
        <v>7</v>
      </c>
    </row>
    <row r="1925" spans="1:7" x14ac:dyDescent="0.3">
      <c r="A1925" t="s">
        <v>32</v>
      </c>
      <c r="B1925" s="1">
        <v>45961</v>
      </c>
      <c r="C1925">
        <v>564006</v>
      </c>
      <c r="D1925">
        <v>-3.1160000000000001</v>
      </c>
      <c r="E1925" t="s">
        <v>6</v>
      </c>
      <c r="F1925" t="s">
        <v>57</v>
      </c>
      <c r="G1925" t="s">
        <v>7</v>
      </c>
    </row>
    <row r="1926" spans="1:7" x14ac:dyDescent="0.3">
      <c r="A1926" t="s">
        <v>32</v>
      </c>
      <c r="B1926" s="1">
        <v>45961</v>
      </c>
      <c r="C1926">
        <v>564007</v>
      </c>
      <c r="D1926">
        <v>1E-3</v>
      </c>
      <c r="E1926" t="s">
        <v>6</v>
      </c>
      <c r="F1926" t="s">
        <v>57</v>
      </c>
      <c r="G1926" t="s">
        <v>7</v>
      </c>
    </row>
    <row r="1927" spans="1:7" x14ac:dyDescent="0.3">
      <c r="A1927" t="s">
        <v>32</v>
      </c>
      <c r="B1927" s="1">
        <v>45961</v>
      </c>
      <c r="C1927">
        <v>564008</v>
      </c>
      <c r="D1927">
        <v>412.22</v>
      </c>
      <c r="E1927" t="s">
        <v>6</v>
      </c>
      <c r="F1927" t="s">
        <v>55</v>
      </c>
      <c r="G1927" t="s">
        <v>7</v>
      </c>
    </row>
    <row r="1928" spans="1:7" x14ac:dyDescent="0.3">
      <c r="A1928" t="s">
        <v>32</v>
      </c>
      <c r="B1928" s="1">
        <v>45961</v>
      </c>
      <c r="C1928">
        <v>564013</v>
      </c>
      <c r="D1928">
        <v>3901.0279999999998</v>
      </c>
      <c r="E1928" t="s">
        <v>6</v>
      </c>
      <c r="F1928" t="s">
        <v>69</v>
      </c>
      <c r="G1928" t="s">
        <v>7</v>
      </c>
    </row>
    <row r="1929" spans="1:7" x14ac:dyDescent="0.3">
      <c r="A1929" t="s">
        <v>32</v>
      </c>
      <c r="B1929" s="1">
        <v>45961</v>
      </c>
      <c r="C1929">
        <v>564020</v>
      </c>
      <c r="D1929">
        <v>775.30200000000002</v>
      </c>
      <c r="E1929" t="s">
        <v>6</v>
      </c>
      <c r="F1929" t="s">
        <v>57</v>
      </c>
      <c r="G1929" t="s">
        <v>7</v>
      </c>
    </row>
    <row r="1930" spans="1:7" x14ac:dyDescent="0.3">
      <c r="A1930" t="s">
        <v>32</v>
      </c>
      <c r="B1930" s="1">
        <v>45961</v>
      </c>
      <c r="C1930">
        <v>564021</v>
      </c>
      <c r="D1930">
        <v>282.64100000000002</v>
      </c>
      <c r="E1930" t="s">
        <v>6</v>
      </c>
      <c r="F1930" t="s">
        <v>57</v>
      </c>
      <c r="G1930" t="s">
        <v>7</v>
      </c>
    </row>
    <row r="1931" spans="1:7" x14ac:dyDescent="0.3">
      <c r="A1931" t="s">
        <v>32</v>
      </c>
      <c r="B1931" s="1">
        <v>45961</v>
      </c>
      <c r="C1931">
        <v>564022</v>
      </c>
      <c r="D1931">
        <v>15340.088</v>
      </c>
      <c r="E1931" t="s">
        <v>6</v>
      </c>
      <c r="F1931" t="s">
        <v>67</v>
      </c>
      <c r="G1931" t="s">
        <v>7</v>
      </c>
    </row>
    <row r="1932" spans="1:7" x14ac:dyDescent="0.3">
      <c r="A1932" t="s">
        <v>32</v>
      </c>
      <c r="B1932" s="1">
        <v>45961</v>
      </c>
      <c r="C1932">
        <v>570002</v>
      </c>
      <c r="D1932">
        <v>18429.812999999998</v>
      </c>
      <c r="E1932" t="s">
        <v>6</v>
      </c>
      <c r="F1932" t="s">
        <v>66</v>
      </c>
      <c r="G1932" t="s">
        <v>7</v>
      </c>
    </row>
    <row r="1933" spans="1:7" x14ac:dyDescent="0.3">
      <c r="A1933" t="s">
        <v>32</v>
      </c>
      <c r="B1933" s="1">
        <v>45961</v>
      </c>
      <c r="C1933">
        <v>570004</v>
      </c>
      <c r="D1933">
        <v>28954.123</v>
      </c>
      <c r="E1933" t="s">
        <v>6</v>
      </c>
      <c r="F1933" t="s">
        <v>66</v>
      </c>
      <c r="G1933" t="s">
        <v>7</v>
      </c>
    </row>
    <row r="1934" spans="1:7" x14ac:dyDescent="0.3">
      <c r="A1934" t="s">
        <v>32</v>
      </c>
      <c r="B1934" s="1">
        <v>45961</v>
      </c>
      <c r="C1934">
        <v>580002</v>
      </c>
      <c r="D1934">
        <v>122756.196</v>
      </c>
      <c r="E1934" t="s">
        <v>6</v>
      </c>
      <c r="F1934" t="s">
        <v>64</v>
      </c>
      <c r="G1934" t="s">
        <v>7</v>
      </c>
    </row>
    <row r="1935" spans="1:7" x14ac:dyDescent="0.3">
      <c r="A1935" t="s">
        <v>32</v>
      </c>
      <c r="B1935" s="1">
        <v>45961</v>
      </c>
      <c r="C1935">
        <v>580003</v>
      </c>
      <c r="D1935">
        <v>40528.928</v>
      </c>
      <c r="E1935" t="s">
        <v>6</v>
      </c>
      <c r="F1935" t="s">
        <v>64</v>
      </c>
      <c r="G1935" t="s">
        <v>7</v>
      </c>
    </row>
    <row r="1936" spans="1:7" x14ac:dyDescent="0.3">
      <c r="A1936" t="s">
        <v>32</v>
      </c>
      <c r="B1936" s="1">
        <v>45961</v>
      </c>
      <c r="C1936">
        <v>580005</v>
      </c>
      <c r="D1936">
        <v>-101791.476</v>
      </c>
      <c r="E1936" t="s">
        <v>6</v>
      </c>
      <c r="F1936" t="s">
        <v>64</v>
      </c>
      <c r="G1936" t="s">
        <v>7</v>
      </c>
    </row>
    <row r="1937" spans="1:7" x14ac:dyDescent="0.3">
      <c r="A1937" t="s">
        <v>33</v>
      </c>
      <c r="B1937" s="1">
        <v>45961</v>
      </c>
      <c r="C1937">
        <v>210002</v>
      </c>
      <c r="D1937">
        <v>-655043.10699999996</v>
      </c>
      <c r="E1937" t="s">
        <v>4</v>
      </c>
      <c r="F1937" t="s">
        <v>42</v>
      </c>
      <c r="G1937" t="s">
        <v>7</v>
      </c>
    </row>
    <row r="1938" spans="1:7" x14ac:dyDescent="0.3">
      <c r="A1938" t="s">
        <v>33</v>
      </c>
      <c r="B1938" s="1">
        <v>45961</v>
      </c>
      <c r="C1938">
        <v>220006</v>
      </c>
      <c r="D1938">
        <v>-332598.99200000003</v>
      </c>
      <c r="E1938" t="s">
        <v>4</v>
      </c>
      <c r="F1938" t="s">
        <v>42</v>
      </c>
      <c r="G1938" t="s">
        <v>7</v>
      </c>
    </row>
    <row r="1939" spans="1:7" x14ac:dyDescent="0.3">
      <c r="A1939" t="s">
        <v>33</v>
      </c>
      <c r="B1939" s="1">
        <v>45961</v>
      </c>
      <c r="C1939">
        <v>220011</v>
      </c>
      <c r="D1939">
        <v>683540.00800000003</v>
      </c>
      <c r="E1939" t="s">
        <v>4</v>
      </c>
      <c r="F1939" t="s">
        <v>42</v>
      </c>
      <c r="G1939" t="s">
        <v>7</v>
      </c>
    </row>
    <row r="1940" spans="1:7" x14ac:dyDescent="0.3">
      <c r="A1940" t="s">
        <v>33</v>
      </c>
      <c r="B1940" s="1">
        <v>45961</v>
      </c>
      <c r="C1940">
        <v>240002</v>
      </c>
      <c r="D1940">
        <v>-2574.8449999999998</v>
      </c>
      <c r="E1940" t="s">
        <v>4</v>
      </c>
      <c r="F1940" t="s">
        <v>43</v>
      </c>
      <c r="G1940" t="s">
        <v>7</v>
      </c>
    </row>
    <row r="1941" spans="1:7" x14ac:dyDescent="0.3">
      <c r="A1941" t="s">
        <v>33</v>
      </c>
      <c r="B1941" s="1">
        <v>45961</v>
      </c>
      <c r="C1941">
        <v>240009</v>
      </c>
      <c r="D1941">
        <v>-164.524</v>
      </c>
      <c r="E1941" t="s">
        <v>4</v>
      </c>
      <c r="F1941" t="s">
        <v>43</v>
      </c>
      <c r="G1941" t="s">
        <v>7</v>
      </c>
    </row>
    <row r="1942" spans="1:7" x14ac:dyDescent="0.3">
      <c r="A1942" t="s">
        <v>33</v>
      </c>
      <c r="B1942" s="1">
        <v>45961</v>
      </c>
      <c r="C1942">
        <v>242003</v>
      </c>
      <c r="D1942">
        <v>-689309.46600000001</v>
      </c>
      <c r="E1942" t="s">
        <v>4</v>
      </c>
      <c r="F1942" t="s">
        <v>43</v>
      </c>
      <c r="G1942" t="s">
        <v>7</v>
      </c>
    </row>
    <row r="1943" spans="1:7" x14ac:dyDescent="0.3">
      <c r="A1943" t="s">
        <v>33</v>
      </c>
      <c r="B1943" s="1">
        <v>45961</v>
      </c>
      <c r="C1943">
        <v>242011</v>
      </c>
      <c r="D1943">
        <v>-138261.34700000001</v>
      </c>
      <c r="E1943" t="s">
        <v>4</v>
      </c>
      <c r="F1943" t="s">
        <v>43</v>
      </c>
      <c r="G1943" t="s">
        <v>7</v>
      </c>
    </row>
    <row r="1944" spans="1:7" x14ac:dyDescent="0.3">
      <c r="A1944" t="s">
        <v>33</v>
      </c>
      <c r="B1944" s="1">
        <v>45961</v>
      </c>
      <c r="C1944">
        <v>242012</v>
      </c>
      <c r="D1944">
        <v>-965.19299999999998</v>
      </c>
      <c r="E1944" t="s">
        <v>4</v>
      </c>
      <c r="F1944" t="s">
        <v>43</v>
      </c>
      <c r="G1944" t="s">
        <v>7</v>
      </c>
    </row>
    <row r="1945" spans="1:7" x14ac:dyDescent="0.3">
      <c r="A1945" t="s">
        <v>33</v>
      </c>
      <c r="B1945" s="1">
        <v>45961</v>
      </c>
      <c r="C1945">
        <v>242014</v>
      </c>
      <c r="D1945">
        <v>-33246.917000000001</v>
      </c>
      <c r="E1945" t="s">
        <v>4</v>
      </c>
      <c r="F1945" t="s">
        <v>43</v>
      </c>
      <c r="G1945" t="s">
        <v>7</v>
      </c>
    </row>
    <row r="1946" spans="1:7" x14ac:dyDescent="0.3">
      <c r="A1946" t="s">
        <v>33</v>
      </c>
      <c r="B1946" s="1">
        <v>45961</v>
      </c>
      <c r="C1946">
        <v>242027</v>
      </c>
      <c r="D1946">
        <v>-6361.0940000000001</v>
      </c>
      <c r="E1946" t="s">
        <v>4</v>
      </c>
      <c r="F1946" t="s">
        <v>43</v>
      </c>
      <c r="G1946" t="s">
        <v>7</v>
      </c>
    </row>
    <row r="1947" spans="1:7" x14ac:dyDescent="0.3">
      <c r="A1947" t="s">
        <v>33</v>
      </c>
      <c r="B1947" s="1">
        <v>45961</v>
      </c>
      <c r="C1947">
        <v>242030</v>
      </c>
      <c r="D1947">
        <v>-77270.619000000006</v>
      </c>
      <c r="E1947" t="s">
        <v>4</v>
      </c>
      <c r="F1947" t="s">
        <v>43</v>
      </c>
      <c r="G1947" t="s">
        <v>7</v>
      </c>
    </row>
    <row r="1948" spans="1:7" x14ac:dyDescent="0.3">
      <c r="A1948" t="s">
        <v>33</v>
      </c>
      <c r="B1948" s="1">
        <v>45961</v>
      </c>
      <c r="C1948">
        <v>242041</v>
      </c>
      <c r="D1948">
        <v>2649.5</v>
      </c>
      <c r="E1948" t="s">
        <v>4</v>
      </c>
      <c r="F1948" t="s">
        <v>43</v>
      </c>
      <c r="G1948" t="s">
        <v>7</v>
      </c>
    </row>
    <row r="1949" spans="1:7" x14ac:dyDescent="0.3">
      <c r="A1949" t="s">
        <v>33</v>
      </c>
      <c r="B1949" s="1">
        <v>45961</v>
      </c>
      <c r="C1949">
        <v>243002</v>
      </c>
      <c r="D1949">
        <v>-2268.7600000000002</v>
      </c>
      <c r="E1949" t="s">
        <v>4</v>
      </c>
      <c r="F1949" t="s">
        <v>43</v>
      </c>
      <c r="G1949" t="s">
        <v>7</v>
      </c>
    </row>
    <row r="1950" spans="1:7" x14ac:dyDescent="0.3">
      <c r="A1950" t="s">
        <v>33</v>
      </c>
      <c r="B1950" s="1">
        <v>45961</v>
      </c>
      <c r="C1950">
        <v>243003</v>
      </c>
      <c r="D1950">
        <v>-12218.609</v>
      </c>
      <c r="E1950" t="s">
        <v>4</v>
      </c>
      <c r="F1950" t="s">
        <v>43</v>
      </c>
      <c r="G1950" t="s">
        <v>7</v>
      </c>
    </row>
    <row r="1951" spans="1:7" x14ac:dyDescent="0.3">
      <c r="A1951" t="s">
        <v>33</v>
      </c>
      <c r="B1951" s="1">
        <v>45961</v>
      </c>
      <c r="C1951">
        <v>243009</v>
      </c>
      <c r="D1951">
        <v>-192.84800000000001</v>
      </c>
      <c r="E1951" t="s">
        <v>4</v>
      </c>
      <c r="F1951" t="s">
        <v>43</v>
      </c>
      <c r="G1951" t="s">
        <v>7</v>
      </c>
    </row>
    <row r="1952" spans="1:7" x14ac:dyDescent="0.3">
      <c r="A1952" t="s">
        <v>33</v>
      </c>
      <c r="B1952" s="1">
        <v>45961</v>
      </c>
      <c r="C1952">
        <v>245010</v>
      </c>
      <c r="D1952">
        <v>-42337.862999999998</v>
      </c>
      <c r="E1952" t="s">
        <v>4</v>
      </c>
      <c r="F1952" t="s">
        <v>44</v>
      </c>
      <c r="G1952" t="s">
        <v>7</v>
      </c>
    </row>
    <row r="1953" spans="1:7" x14ac:dyDescent="0.3">
      <c r="A1953" t="s">
        <v>33</v>
      </c>
      <c r="B1953" s="1">
        <v>45961</v>
      </c>
      <c r="C1953">
        <v>245018</v>
      </c>
      <c r="D1953">
        <v>-9579.0759999999991</v>
      </c>
      <c r="E1953" t="s">
        <v>4</v>
      </c>
      <c r="F1953" t="s">
        <v>43</v>
      </c>
      <c r="G1953" t="s">
        <v>7</v>
      </c>
    </row>
    <row r="1954" spans="1:7" x14ac:dyDescent="0.3">
      <c r="A1954" t="s">
        <v>33</v>
      </c>
      <c r="B1954" s="1">
        <v>45961</v>
      </c>
      <c r="C1954">
        <v>245062</v>
      </c>
      <c r="D1954">
        <v>-52879.347000000002</v>
      </c>
      <c r="E1954" t="s">
        <v>4</v>
      </c>
      <c r="F1954" t="s">
        <v>43</v>
      </c>
      <c r="G1954" t="s">
        <v>7</v>
      </c>
    </row>
    <row r="1955" spans="1:7" x14ac:dyDescent="0.3">
      <c r="A1955" t="s">
        <v>33</v>
      </c>
      <c r="B1955" s="1">
        <v>45961</v>
      </c>
      <c r="C1955">
        <v>250003</v>
      </c>
      <c r="D1955">
        <v>-11074.601000000001</v>
      </c>
      <c r="E1955" t="s">
        <v>4</v>
      </c>
      <c r="F1955" t="s">
        <v>45</v>
      </c>
      <c r="G1955" t="s">
        <v>7</v>
      </c>
    </row>
    <row r="1956" spans="1:7" x14ac:dyDescent="0.3">
      <c r="A1956" t="s">
        <v>33</v>
      </c>
      <c r="B1956" s="1">
        <v>45961</v>
      </c>
      <c r="C1956">
        <v>250007</v>
      </c>
      <c r="D1956">
        <v>-40441.084999999999</v>
      </c>
      <c r="E1956" t="s">
        <v>4</v>
      </c>
      <c r="F1956" t="s">
        <v>43</v>
      </c>
      <c r="G1956" t="s">
        <v>7</v>
      </c>
    </row>
    <row r="1957" spans="1:7" x14ac:dyDescent="0.3">
      <c r="A1957" t="s">
        <v>33</v>
      </c>
      <c r="B1957" s="1">
        <v>45961</v>
      </c>
      <c r="C1957">
        <v>251005</v>
      </c>
      <c r="D1957">
        <v>2369.6109999999999</v>
      </c>
      <c r="E1957" t="s">
        <v>4</v>
      </c>
      <c r="F1957" t="s">
        <v>46</v>
      </c>
      <c r="G1957" t="s">
        <v>7</v>
      </c>
    </row>
    <row r="1958" spans="1:7" x14ac:dyDescent="0.3">
      <c r="A1958" t="s">
        <v>33</v>
      </c>
      <c r="B1958" s="1">
        <v>45961</v>
      </c>
      <c r="C1958">
        <v>257008</v>
      </c>
      <c r="D1958">
        <v>-8979.1489999999994</v>
      </c>
      <c r="E1958" t="s">
        <v>4</v>
      </c>
      <c r="F1958" t="s">
        <v>45</v>
      </c>
      <c r="G1958" t="s">
        <v>7</v>
      </c>
    </row>
    <row r="1959" spans="1:7" x14ac:dyDescent="0.3">
      <c r="A1959" t="s">
        <v>33</v>
      </c>
      <c r="B1959" s="1">
        <v>45961</v>
      </c>
      <c r="C1959">
        <v>257009</v>
      </c>
      <c r="D1959">
        <v>-7937.2629999999999</v>
      </c>
      <c r="E1959" t="s">
        <v>4</v>
      </c>
      <c r="F1959" t="s">
        <v>45</v>
      </c>
      <c r="G1959" t="s">
        <v>7</v>
      </c>
    </row>
    <row r="1960" spans="1:7" x14ac:dyDescent="0.3">
      <c r="A1960" t="s">
        <v>33</v>
      </c>
      <c r="B1960" s="1">
        <v>45961</v>
      </c>
      <c r="C1960">
        <v>257011</v>
      </c>
      <c r="D1960">
        <v>-5376.2070000000003</v>
      </c>
      <c r="E1960" t="s">
        <v>4</v>
      </c>
      <c r="F1960" t="s">
        <v>45</v>
      </c>
      <c r="G1960" t="s">
        <v>7</v>
      </c>
    </row>
    <row r="1961" spans="1:7" x14ac:dyDescent="0.3">
      <c r="A1961" t="s">
        <v>33</v>
      </c>
      <c r="B1961" s="1">
        <v>45961</v>
      </c>
      <c r="C1961">
        <v>257028</v>
      </c>
      <c r="D1961">
        <v>-32751.933000000001</v>
      </c>
      <c r="E1961" t="s">
        <v>4</v>
      </c>
      <c r="F1961" t="s">
        <v>45</v>
      </c>
      <c r="G1961" t="s">
        <v>7</v>
      </c>
    </row>
    <row r="1962" spans="1:7" x14ac:dyDescent="0.3">
      <c r="A1962" t="s">
        <v>33</v>
      </c>
      <c r="B1962" s="1">
        <v>45961</v>
      </c>
      <c r="C1962">
        <v>260004</v>
      </c>
      <c r="D1962">
        <v>8892.1990000000005</v>
      </c>
      <c r="E1962" t="s">
        <v>4</v>
      </c>
      <c r="F1962" t="s">
        <v>45</v>
      </c>
      <c r="G1962" t="s">
        <v>7</v>
      </c>
    </row>
    <row r="1963" spans="1:7" x14ac:dyDescent="0.3">
      <c r="A1963" t="s">
        <v>33</v>
      </c>
      <c r="B1963" s="1">
        <v>45961</v>
      </c>
      <c r="C1963">
        <v>270024</v>
      </c>
      <c r="D1963">
        <v>-111.88500000000001</v>
      </c>
      <c r="E1963" t="s">
        <v>4</v>
      </c>
      <c r="F1963" t="s">
        <v>58</v>
      </c>
      <c r="G1963" t="s">
        <v>7</v>
      </c>
    </row>
    <row r="1964" spans="1:7" x14ac:dyDescent="0.3">
      <c r="A1964" t="s">
        <v>33</v>
      </c>
      <c r="B1964" s="1">
        <v>45961</v>
      </c>
      <c r="C1964">
        <v>270025</v>
      </c>
      <c r="D1964">
        <v>-71.930999999999997</v>
      </c>
      <c r="E1964" t="s">
        <v>4</v>
      </c>
      <c r="F1964" t="s">
        <v>58</v>
      </c>
      <c r="G1964" t="s">
        <v>7</v>
      </c>
    </row>
    <row r="1965" spans="1:7" x14ac:dyDescent="0.3">
      <c r="A1965" t="s">
        <v>33</v>
      </c>
      <c r="B1965" s="1">
        <v>45961</v>
      </c>
      <c r="C1965">
        <v>270026</v>
      </c>
      <c r="D1965">
        <v>-79.552000000000007</v>
      </c>
      <c r="E1965" t="s">
        <v>4</v>
      </c>
      <c r="F1965" t="s">
        <v>58</v>
      </c>
      <c r="G1965" t="s">
        <v>7</v>
      </c>
    </row>
    <row r="1966" spans="1:7" x14ac:dyDescent="0.3">
      <c r="A1966" t="s">
        <v>33</v>
      </c>
      <c r="B1966" s="1">
        <v>45961</v>
      </c>
      <c r="C1966">
        <v>270027</v>
      </c>
      <c r="D1966">
        <v>-35.412999999999997</v>
      </c>
      <c r="E1966" t="s">
        <v>4</v>
      </c>
      <c r="F1966" t="s">
        <v>58</v>
      </c>
      <c r="G1966" t="s">
        <v>7</v>
      </c>
    </row>
    <row r="1967" spans="1:7" x14ac:dyDescent="0.3">
      <c r="A1967" t="s">
        <v>33</v>
      </c>
      <c r="B1967" s="1">
        <v>45961</v>
      </c>
      <c r="C1967">
        <v>300004</v>
      </c>
      <c r="D1967">
        <v>96527.98</v>
      </c>
      <c r="E1967" t="s">
        <v>4</v>
      </c>
      <c r="F1967" t="s">
        <v>65</v>
      </c>
      <c r="G1967" t="s">
        <v>7</v>
      </c>
    </row>
    <row r="1968" spans="1:7" x14ac:dyDescent="0.3">
      <c r="A1968" t="s">
        <v>33</v>
      </c>
      <c r="B1968" s="1">
        <v>45961</v>
      </c>
      <c r="C1968">
        <v>300005</v>
      </c>
      <c r="D1968">
        <v>16088.939</v>
      </c>
      <c r="E1968" t="s">
        <v>4</v>
      </c>
      <c r="F1968" t="s">
        <v>65</v>
      </c>
      <c r="G1968" t="s">
        <v>7</v>
      </c>
    </row>
    <row r="1969" spans="1:7" x14ac:dyDescent="0.3">
      <c r="A1969" t="s">
        <v>33</v>
      </c>
      <c r="B1969" s="1">
        <v>45961</v>
      </c>
      <c r="C1969">
        <v>300008</v>
      </c>
      <c r="D1969">
        <v>20489.328000000001</v>
      </c>
      <c r="E1969" t="s">
        <v>4</v>
      </c>
      <c r="F1969" t="s">
        <v>65</v>
      </c>
      <c r="G1969" t="s">
        <v>7</v>
      </c>
    </row>
    <row r="1970" spans="1:7" x14ac:dyDescent="0.3">
      <c r="A1970" t="s">
        <v>33</v>
      </c>
      <c r="B1970" s="1">
        <v>45961</v>
      </c>
      <c r="C1970">
        <v>300009</v>
      </c>
      <c r="D1970">
        <v>1413.5229999999999</v>
      </c>
      <c r="E1970" t="s">
        <v>4</v>
      </c>
      <c r="F1970" t="s">
        <v>65</v>
      </c>
      <c r="G1970" t="s">
        <v>7</v>
      </c>
    </row>
    <row r="1971" spans="1:7" x14ac:dyDescent="0.3">
      <c r="A1971" t="s">
        <v>33</v>
      </c>
      <c r="B1971" s="1">
        <v>45961</v>
      </c>
      <c r="C1971">
        <v>300011</v>
      </c>
      <c r="D1971">
        <v>2478.8290000000002</v>
      </c>
      <c r="E1971" t="s">
        <v>4</v>
      </c>
      <c r="F1971" t="s">
        <v>65</v>
      </c>
      <c r="G1971" t="s">
        <v>7</v>
      </c>
    </row>
    <row r="1972" spans="1:7" x14ac:dyDescent="0.3">
      <c r="A1972" t="s">
        <v>33</v>
      </c>
      <c r="B1972" s="1">
        <v>45961</v>
      </c>
      <c r="C1972">
        <v>300012</v>
      </c>
      <c r="D1972">
        <v>24066.957999999999</v>
      </c>
      <c r="E1972" t="s">
        <v>4</v>
      </c>
      <c r="F1972" t="s">
        <v>65</v>
      </c>
      <c r="G1972" t="s">
        <v>7</v>
      </c>
    </row>
    <row r="1973" spans="1:7" x14ac:dyDescent="0.3">
      <c r="A1973" t="s">
        <v>33</v>
      </c>
      <c r="B1973" s="1">
        <v>45961</v>
      </c>
      <c r="C1973">
        <v>300014</v>
      </c>
      <c r="D1973">
        <v>4188.451</v>
      </c>
      <c r="E1973" t="s">
        <v>4</v>
      </c>
      <c r="F1973" t="s">
        <v>65</v>
      </c>
      <c r="G1973" t="s">
        <v>7</v>
      </c>
    </row>
    <row r="1974" spans="1:7" x14ac:dyDescent="0.3">
      <c r="A1974" t="s">
        <v>33</v>
      </c>
      <c r="B1974" s="1">
        <v>45961</v>
      </c>
      <c r="C1974">
        <v>300504</v>
      </c>
      <c r="D1974">
        <v>-94797.728000000003</v>
      </c>
      <c r="E1974" t="s">
        <v>4</v>
      </c>
      <c r="F1974" t="s">
        <v>65</v>
      </c>
      <c r="G1974" t="s">
        <v>7</v>
      </c>
    </row>
    <row r="1975" spans="1:7" x14ac:dyDescent="0.3">
      <c r="A1975" t="s">
        <v>33</v>
      </c>
      <c r="B1975" s="1">
        <v>45961</v>
      </c>
      <c r="C1975">
        <v>300505</v>
      </c>
      <c r="D1975">
        <v>-15969.174000000001</v>
      </c>
      <c r="E1975" t="s">
        <v>4</v>
      </c>
      <c r="F1975" t="s">
        <v>65</v>
      </c>
      <c r="G1975" t="s">
        <v>7</v>
      </c>
    </row>
    <row r="1976" spans="1:7" x14ac:dyDescent="0.3">
      <c r="A1976" t="s">
        <v>33</v>
      </c>
      <c r="B1976" s="1">
        <v>45961</v>
      </c>
      <c r="C1976">
        <v>300508</v>
      </c>
      <c r="D1976">
        <v>-20489.328000000001</v>
      </c>
      <c r="E1976" t="s">
        <v>4</v>
      </c>
      <c r="F1976" t="s">
        <v>65</v>
      </c>
      <c r="G1976" t="s">
        <v>7</v>
      </c>
    </row>
    <row r="1977" spans="1:7" x14ac:dyDescent="0.3">
      <c r="A1977" t="s">
        <v>33</v>
      </c>
      <c r="B1977" s="1">
        <v>45961</v>
      </c>
      <c r="C1977">
        <v>300509</v>
      </c>
      <c r="D1977">
        <v>-1413.5229999999999</v>
      </c>
      <c r="E1977" t="s">
        <v>4</v>
      </c>
      <c r="F1977" t="s">
        <v>65</v>
      </c>
      <c r="G1977" t="s">
        <v>7</v>
      </c>
    </row>
    <row r="1978" spans="1:7" x14ac:dyDescent="0.3">
      <c r="A1978" t="s">
        <v>33</v>
      </c>
      <c r="B1978" s="1">
        <v>45961</v>
      </c>
      <c r="C1978">
        <v>300511</v>
      </c>
      <c r="D1978">
        <v>-2478.8290000000002</v>
      </c>
      <c r="E1978" t="s">
        <v>4</v>
      </c>
      <c r="F1978" t="s">
        <v>65</v>
      </c>
      <c r="G1978" t="s">
        <v>7</v>
      </c>
    </row>
    <row r="1979" spans="1:7" x14ac:dyDescent="0.3">
      <c r="A1979" t="s">
        <v>33</v>
      </c>
      <c r="B1979" s="1">
        <v>45961</v>
      </c>
      <c r="C1979">
        <v>300512</v>
      </c>
      <c r="D1979">
        <v>-24039.319</v>
      </c>
      <c r="E1979" t="s">
        <v>4</v>
      </c>
      <c r="F1979" t="s">
        <v>65</v>
      </c>
      <c r="G1979" t="s">
        <v>7</v>
      </c>
    </row>
    <row r="1980" spans="1:7" x14ac:dyDescent="0.3">
      <c r="A1980" t="s">
        <v>33</v>
      </c>
      <c r="B1980" s="1">
        <v>45961</v>
      </c>
      <c r="C1980">
        <v>300514</v>
      </c>
      <c r="D1980">
        <v>-4188.451</v>
      </c>
      <c r="E1980" t="s">
        <v>4</v>
      </c>
      <c r="F1980" t="s">
        <v>65</v>
      </c>
      <c r="G1980" t="s">
        <v>7</v>
      </c>
    </row>
    <row r="1981" spans="1:7" x14ac:dyDescent="0.3">
      <c r="A1981" t="s">
        <v>33</v>
      </c>
      <c r="B1981" s="1">
        <v>45961</v>
      </c>
      <c r="C1981">
        <v>301002</v>
      </c>
      <c r="D1981">
        <v>396436.61800000002</v>
      </c>
      <c r="E1981" t="s">
        <v>4</v>
      </c>
      <c r="F1981" t="s">
        <v>68</v>
      </c>
      <c r="G1981" t="s">
        <v>7</v>
      </c>
    </row>
    <row r="1982" spans="1:7" x14ac:dyDescent="0.3">
      <c r="A1982" t="s">
        <v>33</v>
      </c>
      <c r="B1982" s="1">
        <v>45961</v>
      </c>
      <c r="C1982">
        <v>301004</v>
      </c>
      <c r="D1982">
        <v>27635.811000000002</v>
      </c>
      <c r="E1982" t="s">
        <v>4</v>
      </c>
      <c r="F1982" t="s">
        <v>65</v>
      </c>
      <c r="G1982" t="s">
        <v>7</v>
      </c>
    </row>
    <row r="1983" spans="1:7" x14ac:dyDescent="0.3">
      <c r="A1983" t="s">
        <v>33</v>
      </c>
      <c r="B1983" s="1">
        <v>45961</v>
      </c>
      <c r="C1983">
        <v>301502</v>
      </c>
      <c r="D1983">
        <v>-396436.61800000002</v>
      </c>
      <c r="E1983" t="s">
        <v>4</v>
      </c>
      <c r="F1983" t="s">
        <v>68</v>
      </c>
      <c r="G1983" t="s">
        <v>7</v>
      </c>
    </row>
    <row r="1984" spans="1:7" x14ac:dyDescent="0.3">
      <c r="A1984" t="s">
        <v>33</v>
      </c>
      <c r="B1984" s="1">
        <v>45961</v>
      </c>
      <c r="C1984">
        <v>301504</v>
      </c>
      <c r="D1984">
        <v>-27635.811000000002</v>
      </c>
      <c r="E1984" t="s">
        <v>4</v>
      </c>
      <c r="F1984" t="s">
        <v>65</v>
      </c>
      <c r="G1984" t="s">
        <v>7</v>
      </c>
    </row>
    <row r="1985" spans="1:7" x14ac:dyDescent="0.3">
      <c r="A1985" t="s">
        <v>33</v>
      </c>
      <c r="B1985" s="1">
        <v>45961</v>
      </c>
      <c r="C1985">
        <v>310032</v>
      </c>
      <c r="D1985">
        <v>6.4829999999999997</v>
      </c>
      <c r="E1985" t="s">
        <v>4</v>
      </c>
      <c r="F1985" t="s">
        <v>42</v>
      </c>
      <c r="G1985" t="s">
        <v>7</v>
      </c>
    </row>
    <row r="1986" spans="1:7" x14ac:dyDescent="0.3">
      <c r="A1986" t="s">
        <v>33</v>
      </c>
      <c r="B1986" s="1">
        <v>45961</v>
      </c>
      <c r="C1986">
        <v>320003</v>
      </c>
      <c r="D1986">
        <v>777033.13899999997</v>
      </c>
      <c r="E1986" t="s">
        <v>4</v>
      </c>
      <c r="F1986" t="s">
        <v>46</v>
      </c>
      <c r="G1986" t="s">
        <v>7</v>
      </c>
    </row>
    <row r="1987" spans="1:7" x14ac:dyDescent="0.3">
      <c r="A1987" t="s">
        <v>33</v>
      </c>
      <c r="B1987" s="1">
        <v>45961</v>
      </c>
      <c r="C1987">
        <v>320010</v>
      </c>
      <c r="D1987">
        <v>86829.293000000005</v>
      </c>
      <c r="E1987" t="s">
        <v>4</v>
      </c>
      <c r="F1987" t="s">
        <v>46</v>
      </c>
      <c r="G1987" t="s">
        <v>7</v>
      </c>
    </row>
    <row r="1988" spans="1:7" x14ac:dyDescent="0.3">
      <c r="A1988" t="s">
        <v>33</v>
      </c>
      <c r="B1988" s="1">
        <v>45961</v>
      </c>
      <c r="C1988">
        <v>320023</v>
      </c>
      <c r="D1988">
        <v>-315748.179</v>
      </c>
      <c r="E1988" t="s">
        <v>4</v>
      </c>
      <c r="F1988" t="s">
        <v>46</v>
      </c>
      <c r="G1988" t="s">
        <v>7</v>
      </c>
    </row>
    <row r="1989" spans="1:7" x14ac:dyDescent="0.3">
      <c r="A1989" t="s">
        <v>33</v>
      </c>
      <c r="B1989" s="1">
        <v>45961</v>
      </c>
      <c r="C1989">
        <v>321002</v>
      </c>
      <c r="D1989">
        <v>350575.21</v>
      </c>
      <c r="E1989" t="s">
        <v>4</v>
      </c>
      <c r="F1989" t="s">
        <v>46</v>
      </c>
      <c r="G1989" t="s">
        <v>7</v>
      </c>
    </row>
    <row r="1990" spans="1:7" x14ac:dyDescent="0.3">
      <c r="A1990" t="s">
        <v>33</v>
      </c>
      <c r="B1990" s="1">
        <v>45961</v>
      </c>
      <c r="C1990">
        <v>321012</v>
      </c>
      <c r="D1990">
        <v>86942.422000000006</v>
      </c>
      <c r="E1990" t="s">
        <v>4</v>
      </c>
      <c r="F1990" t="s">
        <v>46</v>
      </c>
      <c r="G1990" t="s">
        <v>7</v>
      </c>
    </row>
    <row r="1991" spans="1:7" x14ac:dyDescent="0.3">
      <c r="A1991" t="s">
        <v>33</v>
      </c>
      <c r="B1991" s="1">
        <v>45961</v>
      </c>
      <c r="C1991">
        <v>321014</v>
      </c>
      <c r="D1991">
        <v>17960.419000000002</v>
      </c>
      <c r="E1991" t="s">
        <v>4</v>
      </c>
      <c r="F1991" t="s">
        <v>46</v>
      </c>
      <c r="G1991" t="s">
        <v>7</v>
      </c>
    </row>
    <row r="1992" spans="1:7" x14ac:dyDescent="0.3">
      <c r="A1992" t="s">
        <v>33</v>
      </c>
      <c r="B1992" s="1">
        <v>45961</v>
      </c>
      <c r="C1992">
        <v>321021</v>
      </c>
      <c r="D1992">
        <v>11925.647000000001</v>
      </c>
      <c r="E1992" t="s">
        <v>4</v>
      </c>
      <c r="F1992" t="s">
        <v>46</v>
      </c>
      <c r="G1992" t="s">
        <v>7</v>
      </c>
    </row>
    <row r="1993" spans="1:7" x14ac:dyDescent="0.3">
      <c r="A1993" t="s">
        <v>33</v>
      </c>
      <c r="B1993" s="1">
        <v>45961</v>
      </c>
      <c r="C1993">
        <v>321028</v>
      </c>
      <c r="D1993">
        <v>-2330.3879999999999</v>
      </c>
      <c r="E1993" t="s">
        <v>4</v>
      </c>
      <c r="F1993" t="s">
        <v>46</v>
      </c>
      <c r="G1993" t="s">
        <v>7</v>
      </c>
    </row>
    <row r="1994" spans="1:7" x14ac:dyDescent="0.3">
      <c r="A1994" t="s">
        <v>33</v>
      </c>
      <c r="B1994" s="1">
        <v>45961</v>
      </c>
      <c r="C1994">
        <v>321029</v>
      </c>
      <c r="D1994">
        <v>35638.108</v>
      </c>
      <c r="E1994" t="s">
        <v>4</v>
      </c>
      <c r="F1994" t="s">
        <v>46</v>
      </c>
      <c r="G1994" t="s">
        <v>7</v>
      </c>
    </row>
    <row r="1995" spans="1:7" x14ac:dyDescent="0.3">
      <c r="A1995" t="s">
        <v>33</v>
      </c>
      <c r="B1995" s="1">
        <v>45961</v>
      </c>
      <c r="C1995">
        <v>321041</v>
      </c>
      <c r="D1995">
        <v>357.93</v>
      </c>
      <c r="E1995" t="s">
        <v>4</v>
      </c>
      <c r="F1995" t="s">
        <v>46</v>
      </c>
      <c r="G1995" t="s">
        <v>7</v>
      </c>
    </row>
    <row r="1996" spans="1:7" x14ac:dyDescent="0.3">
      <c r="A1996" t="s">
        <v>33</v>
      </c>
      <c r="B1996" s="1">
        <v>45961</v>
      </c>
      <c r="C1996">
        <v>321042</v>
      </c>
      <c r="D1996">
        <v>122.577</v>
      </c>
      <c r="E1996" t="s">
        <v>4</v>
      </c>
      <c r="F1996" t="s">
        <v>46</v>
      </c>
      <c r="G1996" t="s">
        <v>7</v>
      </c>
    </row>
    <row r="1997" spans="1:7" x14ac:dyDescent="0.3">
      <c r="A1997" t="s">
        <v>33</v>
      </c>
      <c r="B1997" s="1">
        <v>45961</v>
      </c>
      <c r="C1997">
        <v>330034</v>
      </c>
      <c r="D1997">
        <v>-784.61</v>
      </c>
      <c r="E1997" t="s">
        <v>4</v>
      </c>
      <c r="F1997" t="s">
        <v>43</v>
      </c>
      <c r="G1997" t="s">
        <v>7</v>
      </c>
    </row>
    <row r="1998" spans="1:7" x14ac:dyDescent="0.3">
      <c r="A1998" t="s">
        <v>33</v>
      </c>
      <c r="B1998" s="1">
        <v>45961</v>
      </c>
      <c r="C1998">
        <v>330052</v>
      </c>
      <c r="D1998">
        <v>-1298.123</v>
      </c>
      <c r="E1998" t="s">
        <v>4</v>
      </c>
      <c r="F1998" t="s">
        <v>43</v>
      </c>
      <c r="G1998" t="s">
        <v>7</v>
      </c>
    </row>
    <row r="1999" spans="1:7" x14ac:dyDescent="0.3">
      <c r="A1999" t="s">
        <v>33</v>
      </c>
      <c r="B1999" s="1">
        <v>45961</v>
      </c>
      <c r="C1999">
        <v>330065</v>
      </c>
      <c r="D1999">
        <v>-296.935</v>
      </c>
      <c r="E1999" t="s">
        <v>4</v>
      </c>
      <c r="F1999" t="s">
        <v>43</v>
      </c>
      <c r="G1999" t="s">
        <v>7</v>
      </c>
    </row>
    <row r="2000" spans="1:7" x14ac:dyDescent="0.3">
      <c r="A2000" t="s">
        <v>33</v>
      </c>
      <c r="B2000" s="1">
        <v>45961</v>
      </c>
      <c r="C2000">
        <v>330136</v>
      </c>
      <c r="D2000">
        <v>-3703.049</v>
      </c>
      <c r="E2000" t="s">
        <v>4</v>
      </c>
      <c r="F2000" t="s">
        <v>43</v>
      </c>
      <c r="G2000" t="s">
        <v>7</v>
      </c>
    </row>
    <row r="2001" spans="1:7" x14ac:dyDescent="0.3">
      <c r="A2001" t="s">
        <v>33</v>
      </c>
      <c r="B2001" s="1">
        <v>45961</v>
      </c>
      <c r="C2001">
        <v>340156</v>
      </c>
      <c r="D2001">
        <v>83179.717000000004</v>
      </c>
      <c r="E2001" t="s">
        <v>4</v>
      </c>
      <c r="F2001" t="s">
        <v>47</v>
      </c>
      <c r="G2001" t="s">
        <v>7</v>
      </c>
    </row>
    <row r="2002" spans="1:7" x14ac:dyDescent="0.3">
      <c r="A2002" t="s">
        <v>33</v>
      </c>
      <c r="B2002" s="1">
        <v>45961</v>
      </c>
      <c r="C2002">
        <v>340157</v>
      </c>
      <c r="D2002">
        <v>19641120.059</v>
      </c>
      <c r="E2002" t="s">
        <v>4</v>
      </c>
      <c r="F2002" t="s">
        <v>47</v>
      </c>
      <c r="G2002" t="s">
        <v>7</v>
      </c>
    </row>
    <row r="2003" spans="1:7" x14ac:dyDescent="0.3">
      <c r="A2003" t="s">
        <v>33</v>
      </c>
      <c r="B2003" s="1">
        <v>45961</v>
      </c>
      <c r="C2003">
        <v>340158</v>
      </c>
      <c r="D2003">
        <v>-19487431.524</v>
      </c>
      <c r="E2003" t="s">
        <v>4</v>
      </c>
      <c r="F2003" t="s">
        <v>47</v>
      </c>
      <c r="G2003" t="s">
        <v>7</v>
      </c>
    </row>
    <row r="2004" spans="1:7" x14ac:dyDescent="0.3">
      <c r="A2004" t="s">
        <v>33</v>
      </c>
      <c r="B2004" s="1">
        <v>45961</v>
      </c>
      <c r="C2004">
        <v>350002</v>
      </c>
      <c r="D2004">
        <v>528.63300000000004</v>
      </c>
      <c r="E2004" t="s">
        <v>4</v>
      </c>
      <c r="F2004" t="s">
        <v>49</v>
      </c>
      <c r="G2004" t="s">
        <v>7</v>
      </c>
    </row>
    <row r="2005" spans="1:7" x14ac:dyDescent="0.3">
      <c r="A2005" t="s">
        <v>33</v>
      </c>
      <c r="B2005" s="1">
        <v>45961</v>
      </c>
      <c r="C2005">
        <v>350003</v>
      </c>
      <c r="D2005">
        <v>769.85400000000004</v>
      </c>
      <c r="E2005" t="s">
        <v>4</v>
      </c>
      <c r="F2005" t="s">
        <v>49</v>
      </c>
      <c r="G2005" t="s">
        <v>7</v>
      </c>
    </row>
    <row r="2006" spans="1:7" x14ac:dyDescent="0.3">
      <c r="A2006" t="s">
        <v>33</v>
      </c>
      <c r="B2006" s="1">
        <v>45961</v>
      </c>
      <c r="C2006">
        <v>350005</v>
      </c>
      <c r="D2006">
        <v>-157.87700000000001</v>
      </c>
      <c r="E2006" t="s">
        <v>4</v>
      </c>
      <c r="F2006" t="s">
        <v>49</v>
      </c>
      <c r="G2006" t="s">
        <v>7</v>
      </c>
    </row>
    <row r="2007" spans="1:7" x14ac:dyDescent="0.3">
      <c r="A2007" t="s">
        <v>33</v>
      </c>
      <c r="B2007" s="1">
        <v>45961</v>
      </c>
      <c r="C2007">
        <v>350031</v>
      </c>
      <c r="D2007">
        <v>164.524</v>
      </c>
      <c r="E2007" t="s">
        <v>4</v>
      </c>
      <c r="F2007" t="s">
        <v>43</v>
      </c>
      <c r="G2007" t="s">
        <v>7</v>
      </c>
    </row>
    <row r="2008" spans="1:7" x14ac:dyDescent="0.3">
      <c r="A2008" t="s">
        <v>33</v>
      </c>
      <c r="B2008" s="1">
        <v>45961</v>
      </c>
      <c r="C2008">
        <v>351004</v>
      </c>
      <c r="D2008">
        <v>9549.9079999999994</v>
      </c>
      <c r="E2008" t="s">
        <v>4</v>
      </c>
      <c r="F2008" t="s">
        <v>45</v>
      </c>
      <c r="G2008" t="s">
        <v>7</v>
      </c>
    </row>
    <row r="2009" spans="1:7" x14ac:dyDescent="0.3">
      <c r="A2009" t="s">
        <v>33</v>
      </c>
      <c r="B2009" s="1">
        <v>45961</v>
      </c>
      <c r="C2009">
        <v>352002</v>
      </c>
      <c r="D2009">
        <v>1322.8030000000001</v>
      </c>
      <c r="E2009" t="s">
        <v>4</v>
      </c>
      <c r="F2009" t="s">
        <v>48</v>
      </c>
      <c r="G2009" t="s">
        <v>7</v>
      </c>
    </row>
    <row r="2010" spans="1:7" x14ac:dyDescent="0.3">
      <c r="A2010" t="s">
        <v>33</v>
      </c>
      <c r="B2010" s="1">
        <v>45961</v>
      </c>
      <c r="C2010">
        <v>354014</v>
      </c>
      <c r="D2010">
        <v>26711.624</v>
      </c>
      <c r="E2010" t="s">
        <v>4</v>
      </c>
      <c r="F2010" t="s">
        <v>46</v>
      </c>
      <c r="G2010" t="s">
        <v>7</v>
      </c>
    </row>
    <row r="2011" spans="1:7" x14ac:dyDescent="0.3">
      <c r="A2011" t="s">
        <v>33</v>
      </c>
      <c r="B2011" s="1">
        <v>45961</v>
      </c>
      <c r="C2011">
        <v>355018</v>
      </c>
      <c r="D2011">
        <v>35.847000000000001</v>
      </c>
      <c r="E2011" t="s">
        <v>4</v>
      </c>
      <c r="F2011" t="s">
        <v>49</v>
      </c>
      <c r="G2011" t="s">
        <v>7</v>
      </c>
    </row>
    <row r="2012" spans="1:7" x14ac:dyDescent="0.3">
      <c r="A2012" t="s">
        <v>33</v>
      </c>
      <c r="B2012" s="1">
        <v>45961</v>
      </c>
      <c r="C2012">
        <v>360026</v>
      </c>
      <c r="D2012">
        <v>-100292.94500000001</v>
      </c>
      <c r="E2012" t="s">
        <v>4</v>
      </c>
      <c r="F2012" t="s">
        <v>58</v>
      </c>
      <c r="G2012" t="s">
        <v>7</v>
      </c>
    </row>
    <row r="2013" spans="1:7" x14ac:dyDescent="0.3">
      <c r="A2013" t="s">
        <v>33</v>
      </c>
      <c r="B2013" s="1">
        <v>45961</v>
      </c>
      <c r="C2013">
        <v>360028</v>
      </c>
      <c r="D2013">
        <v>-5384.0240000000003</v>
      </c>
      <c r="E2013" t="s">
        <v>4</v>
      </c>
      <c r="F2013" t="s">
        <v>58</v>
      </c>
      <c r="G2013" t="s">
        <v>7</v>
      </c>
    </row>
    <row r="2014" spans="1:7" x14ac:dyDescent="0.3">
      <c r="A2014" t="s">
        <v>33</v>
      </c>
      <c r="B2014" s="1">
        <v>45961</v>
      </c>
      <c r="C2014">
        <v>360030</v>
      </c>
      <c r="D2014">
        <v>38.493000000000002</v>
      </c>
      <c r="E2014" t="s">
        <v>4</v>
      </c>
      <c r="F2014" t="s">
        <v>58</v>
      </c>
      <c r="G2014" t="s">
        <v>7</v>
      </c>
    </row>
    <row r="2015" spans="1:7" x14ac:dyDescent="0.3">
      <c r="A2015" t="s">
        <v>33</v>
      </c>
      <c r="B2015" s="1">
        <v>45961</v>
      </c>
      <c r="C2015">
        <v>360032</v>
      </c>
      <c r="D2015">
        <v>25.661999999999999</v>
      </c>
      <c r="E2015" t="s">
        <v>4</v>
      </c>
      <c r="F2015" t="s">
        <v>58</v>
      </c>
      <c r="G2015" t="s">
        <v>7</v>
      </c>
    </row>
    <row r="2016" spans="1:7" x14ac:dyDescent="0.3">
      <c r="A2016" t="s">
        <v>33</v>
      </c>
      <c r="B2016" s="1">
        <v>45961</v>
      </c>
      <c r="C2016">
        <v>364502</v>
      </c>
      <c r="D2016">
        <v>98864.557000000001</v>
      </c>
      <c r="E2016" t="s">
        <v>4</v>
      </c>
      <c r="F2016" t="s">
        <v>58</v>
      </c>
      <c r="G2016" t="s">
        <v>7</v>
      </c>
    </row>
    <row r="2017" spans="1:7" x14ac:dyDescent="0.3">
      <c r="A2017" t="s">
        <v>33</v>
      </c>
      <c r="B2017" s="1">
        <v>45961</v>
      </c>
      <c r="C2017">
        <v>410002</v>
      </c>
      <c r="D2017">
        <v>-279276.92200000002</v>
      </c>
      <c r="E2017" t="s">
        <v>6</v>
      </c>
      <c r="F2017" t="s">
        <v>51</v>
      </c>
      <c r="G2017" t="s">
        <v>7</v>
      </c>
    </row>
    <row r="2018" spans="1:7" x14ac:dyDescent="0.3">
      <c r="A2018" t="s">
        <v>33</v>
      </c>
      <c r="B2018" s="1">
        <v>45961</v>
      </c>
      <c r="C2018">
        <v>410006</v>
      </c>
      <c r="D2018">
        <v>-34358.36</v>
      </c>
      <c r="E2018" t="s">
        <v>6</v>
      </c>
      <c r="F2018" t="s">
        <v>51</v>
      </c>
      <c r="G2018" t="s">
        <v>7</v>
      </c>
    </row>
    <row r="2019" spans="1:7" x14ac:dyDescent="0.3">
      <c r="A2019" t="s">
        <v>33</v>
      </c>
      <c r="B2019" s="1">
        <v>45961</v>
      </c>
      <c r="C2019">
        <v>410009</v>
      </c>
      <c r="D2019">
        <v>-6437.0469999999996</v>
      </c>
      <c r="E2019" t="s">
        <v>6</v>
      </c>
      <c r="F2019" t="s">
        <v>51</v>
      </c>
      <c r="G2019" t="s">
        <v>7</v>
      </c>
    </row>
    <row r="2020" spans="1:7" x14ac:dyDescent="0.3">
      <c r="A2020" t="s">
        <v>33</v>
      </c>
      <c r="B2020" s="1">
        <v>45961</v>
      </c>
      <c r="C2020">
        <v>410036</v>
      </c>
      <c r="D2020">
        <v>-90.495000000000005</v>
      </c>
      <c r="E2020" t="s">
        <v>6</v>
      </c>
      <c r="F2020" t="s">
        <v>51</v>
      </c>
      <c r="G2020" t="s">
        <v>7</v>
      </c>
    </row>
    <row r="2021" spans="1:7" x14ac:dyDescent="0.3">
      <c r="A2021" t="s">
        <v>33</v>
      </c>
      <c r="B2021" s="1">
        <v>45961</v>
      </c>
      <c r="C2021">
        <v>410037</v>
      </c>
      <c r="D2021">
        <v>-81973.263999999996</v>
      </c>
      <c r="E2021" t="s">
        <v>6</v>
      </c>
      <c r="F2021" t="s">
        <v>51</v>
      </c>
      <c r="G2021" t="s">
        <v>7</v>
      </c>
    </row>
    <row r="2022" spans="1:7" x14ac:dyDescent="0.3">
      <c r="A2022" t="s">
        <v>33</v>
      </c>
      <c r="B2022" s="1">
        <v>45961</v>
      </c>
      <c r="C2022">
        <v>410046</v>
      </c>
      <c r="D2022">
        <v>-343.46</v>
      </c>
      <c r="E2022" t="s">
        <v>6</v>
      </c>
      <c r="F2022" t="s">
        <v>51</v>
      </c>
      <c r="G2022" t="s">
        <v>7</v>
      </c>
    </row>
    <row r="2023" spans="1:7" x14ac:dyDescent="0.3">
      <c r="A2023" t="s">
        <v>33</v>
      </c>
      <c r="B2023" s="1">
        <v>45961</v>
      </c>
      <c r="C2023">
        <v>415002</v>
      </c>
      <c r="D2023">
        <v>-519826.45299999998</v>
      </c>
      <c r="E2023" t="s">
        <v>6</v>
      </c>
      <c r="F2023" t="s">
        <v>50</v>
      </c>
      <c r="G2023" t="s">
        <v>7</v>
      </c>
    </row>
    <row r="2024" spans="1:7" x14ac:dyDescent="0.3">
      <c r="A2024" t="s">
        <v>33</v>
      </c>
      <c r="B2024" s="1">
        <v>45961</v>
      </c>
      <c r="C2024">
        <v>415004</v>
      </c>
      <c r="D2024">
        <v>-499539.842</v>
      </c>
      <c r="E2024" t="s">
        <v>6</v>
      </c>
      <c r="F2024" t="s">
        <v>50</v>
      </c>
      <c r="G2024" t="s">
        <v>7</v>
      </c>
    </row>
    <row r="2025" spans="1:7" x14ac:dyDescent="0.3">
      <c r="A2025" t="s">
        <v>33</v>
      </c>
      <c r="B2025" s="1">
        <v>45961</v>
      </c>
      <c r="C2025">
        <v>421003</v>
      </c>
      <c r="D2025">
        <v>-2612.4470000000001</v>
      </c>
      <c r="E2025" t="s">
        <v>6</v>
      </c>
      <c r="F2025" t="s">
        <v>52</v>
      </c>
      <c r="G2025" t="s">
        <v>7</v>
      </c>
    </row>
    <row r="2026" spans="1:7" x14ac:dyDescent="0.3">
      <c r="A2026" t="s">
        <v>33</v>
      </c>
      <c r="B2026" s="1">
        <v>45961</v>
      </c>
      <c r="C2026">
        <v>421007</v>
      </c>
      <c r="D2026">
        <v>-117.11</v>
      </c>
      <c r="E2026" t="s">
        <v>6</v>
      </c>
      <c r="F2026" t="s">
        <v>52</v>
      </c>
      <c r="G2026" t="s">
        <v>7</v>
      </c>
    </row>
    <row r="2027" spans="1:7" x14ac:dyDescent="0.3">
      <c r="A2027" t="s">
        <v>33</v>
      </c>
      <c r="B2027" s="1">
        <v>45961</v>
      </c>
      <c r="C2027">
        <v>510002</v>
      </c>
      <c r="D2027">
        <v>453253.05099999998</v>
      </c>
      <c r="E2027" t="s">
        <v>6</v>
      </c>
      <c r="F2027" t="s">
        <v>53</v>
      </c>
      <c r="G2027" t="s">
        <v>7</v>
      </c>
    </row>
    <row r="2028" spans="1:7" x14ac:dyDescent="0.3">
      <c r="A2028" t="s">
        <v>33</v>
      </c>
      <c r="B2028" s="1">
        <v>45961</v>
      </c>
      <c r="C2028">
        <v>510005</v>
      </c>
      <c r="D2028">
        <v>10734.883</v>
      </c>
      <c r="E2028" t="s">
        <v>6</v>
      </c>
      <c r="F2028" t="s">
        <v>53</v>
      </c>
      <c r="G2028" t="s">
        <v>7</v>
      </c>
    </row>
    <row r="2029" spans="1:7" x14ac:dyDescent="0.3">
      <c r="A2029" t="s">
        <v>33</v>
      </c>
      <c r="B2029" s="1">
        <v>45961</v>
      </c>
      <c r="C2029">
        <v>510007</v>
      </c>
      <c r="D2029">
        <v>45846.781999999999</v>
      </c>
      <c r="E2029" t="s">
        <v>6</v>
      </c>
      <c r="F2029" t="s">
        <v>53</v>
      </c>
      <c r="G2029" t="s">
        <v>7</v>
      </c>
    </row>
    <row r="2030" spans="1:7" x14ac:dyDescent="0.3">
      <c r="A2030" t="s">
        <v>33</v>
      </c>
      <c r="B2030" s="1">
        <v>45961</v>
      </c>
      <c r="C2030">
        <v>510010</v>
      </c>
      <c r="D2030">
        <v>4041.91</v>
      </c>
      <c r="E2030" t="s">
        <v>6</v>
      </c>
      <c r="F2030" t="s">
        <v>53</v>
      </c>
      <c r="G2030" t="s">
        <v>7</v>
      </c>
    </row>
    <row r="2031" spans="1:7" x14ac:dyDescent="0.3">
      <c r="A2031" t="s">
        <v>33</v>
      </c>
      <c r="B2031" s="1">
        <v>45961</v>
      </c>
      <c r="C2031">
        <v>510012</v>
      </c>
      <c r="D2031">
        <v>622.76499999999999</v>
      </c>
      <c r="E2031" t="s">
        <v>6</v>
      </c>
      <c r="F2031" t="s">
        <v>53</v>
      </c>
      <c r="G2031" t="s">
        <v>7</v>
      </c>
    </row>
    <row r="2032" spans="1:7" x14ac:dyDescent="0.3">
      <c r="A2032" t="s">
        <v>33</v>
      </c>
      <c r="B2032" s="1">
        <v>45961</v>
      </c>
      <c r="C2032">
        <v>510015</v>
      </c>
      <c r="D2032">
        <v>34281.580999999998</v>
      </c>
      <c r="E2032" t="s">
        <v>6</v>
      </c>
      <c r="F2032" t="s">
        <v>53</v>
      </c>
      <c r="G2032" t="s">
        <v>7</v>
      </c>
    </row>
    <row r="2033" spans="1:7" x14ac:dyDescent="0.3">
      <c r="A2033" t="s">
        <v>33</v>
      </c>
      <c r="B2033" s="1">
        <v>45961</v>
      </c>
      <c r="C2033">
        <v>510018</v>
      </c>
      <c r="D2033">
        <v>143310.424</v>
      </c>
      <c r="E2033" t="s">
        <v>6</v>
      </c>
      <c r="F2033" t="s">
        <v>53</v>
      </c>
      <c r="G2033" t="s">
        <v>7</v>
      </c>
    </row>
    <row r="2034" spans="1:7" x14ac:dyDescent="0.3">
      <c r="A2034" t="s">
        <v>33</v>
      </c>
      <c r="B2034" s="1">
        <v>45961</v>
      </c>
      <c r="C2034">
        <v>510059</v>
      </c>
      <c r="D2034">
        <v>1183.6099999999999</v>
      </c>
      <c r="E2034" t="s">
        <v>6</v>
      </c>
      <c r="F2034" t="s">
        <v>53</v>
      </c>
      <c r="G2034" t="s">
        <v>7</v>
      </c>
    </row>
    <row r="2035" spans="1:7" x14ac:dyDescent="0.3">
      <c r="A2035" t="s">
        <v>33</v>
      </c>
      <c r="B2035" s="1">
        <v>45961</v>
      </c>
      <c r="C2035">
        <v>510062</v>
      </c>
      <c r="D2035">
        <v>3724.902</v>
      </c>
      <c r="E2035" t="s">
        <v>6</v>
      </c>
      <c r="F2035" t="s">
        <v>53</v>
      </c>
      <c r="G2035" t="s">
        <v>7</v>
      </c>
    </row>
    <row r="2036" spans="1:7" x14ac:dyDescent="0.3">
      <c r="A2036" t="s">
        <v>33</v>
      </c>
      <c r="B2036" s="1">
        <v>45961</v>
      </c>
      <c r="C2036">
        <v>510064</v>
      </c>
      <c r="D2036">
        <v>376.64499999999998</v>
      </c>
      <c r="E2036" t="s">
        <v>6</v>
      </c>
      <c r="F2036" t="s">
        <v>53</v>
      </c>
      <c r="G2036" t="s">
        <v>7</v>
      </c>
    </row>
    <row r="2037" spans="1:7" x14ac:dyDescent="0.3">
      <c r="A2037" t="s">
        <v>33</v>
      </c>
      <c r="B2037" s="1">
        <v>45961</v>
      </c>
      <c r="C2037">
        <v>510065</v>
      </c>
      <c r="D2037">
        <v>4175.6279999999997</v>
      </c>
      <c r="E2037" t="s">
        <v>6</v>
      </c>
      <c r="F2037" t="s">
        <v>53</v>
      </c>
      <c r="G2037" t="s">
        <v>7</v>
      </c>
    </row>
    <row r="2038" spans="1:7" x14ac:dyDescent="0.3">
      <c r="A2038" t="s">
        <v>33</v>
      </c>
      <c r="B2038" s="1">
        <v>45961</v>
      </c>
      <c r="C2038">
        <v>520021</v>
      </c>
      <c r="D2038">
        <v>1301.4939999999999</v>
      </c>
      <c r="E2038" t="s">
        <v>6</v>
      </c>
      <c r="F2038" t="s">
        <v>60</v>
      </c>
      <c r="G2038" t="s">
        <v>7</v>
      </c>
    </row>
    <row r="2039" spans="1:7" x14ac:dyDescent="0.3">
      <c r="A2039" t="s">
        <v>33</v>
      </c>
      <c r="B2039" s="1">
        <v>45961</v>
      </c>
      <c r="C2039">
        <v>530012</v>
      </c>
      <c r="D2039">
        <v>2468.0300000000002</v>
      </c>
      <c r="E2039" t="s">
        <v>6</v>
      </c>
      <c r="F2039" t="s">
        <v>53</v>
      </c>
      <c r="G2039" t="s">
        <v>7</v>
      </c>
    </row>
    <row r="2040" spans="1:7" x14ac:dyDescent="0.3">
      <c r="A2040" t="s">
        <v>33</v>
      </c>
      <c r="B2040" s="1">
        <v>45961</v>
      </c>
      <c r="C2040">
        <v>541004</v>
      </c>
      <c r="D2040">
        <v>840.64</v>
      </c>
      <c r="E2040" t="s">
        <v>6</v>
      </c>
      <c r="F2040" t="s">
        <v>61</v>
      </c>
      <c r="G2040" t="s">
        <v>7</v>
      </c>
    </row>
    <row r="2041" spans="1:7" x14ac:dyDescent="0.3">
      <c r="A2041" t="s">
        <v>33</v>
      </c>
      <c r="B2041" s="1">
        <v>45961</v>
      </c>
      <c r="C2041">
        <v>541009</v>
      </c>
      <c r="D2041">
        <v>5350.0209999999997</v>
      </c>
      <c r="E2041" t="s">
        <v>6</v>
      </c>
      <c r="F2041" t="s">
        <v>61</v>
      </c>
      <c r="G2041" t="s">
        <v>7</v>
      </c>
    </row>
    <row r="2042" spans="1:7" x14ac:dyDescent="0.3">
      <c r="A2042" t="s">
        <v>33</v>
      </c>
      <c r="B2042" s="1">
        <v>45961</v>
      </c>
      <c r="C2042">
        <v>541010</v>
      </c>
      <c r="D2042">
        <v>4756.5519999999997</v>
      </c>
      <c r="E2042" t="s">
        <v>6</v>
      </c>
      <c r="F2042" t="s">
        <v>61</v>
      </c>
      <c r="G2042" t="s">
        <v>7</v>
      </c>
    </row>
    <row r="2043" spans="1:7" x14ac:dyDescent="0.3">
      <c r="A2043" t="s">
        <v>33</v>
      </c>
      <c r="B2043" s="1">
        <v>45961</v>
      </c>
      <c r="C2043">
        <v>541013</v>
      </c>
      <c r="D2043">
        <v>326.435</v>
      </c>
      <c r="E2043" t="s">
        <v>6</v>
      </c>
      <c r="F2043" t="s">
        <v>61</v>
      </c>
      <c r="G2043" t="s">
        <v>7</v>
      </c>
    </row>
    <row r="2044" spans="1:7" x14ac:dyDescent="0.3">
      <c r="A2044" t="s">
        <v>33</v>
      </c>
      <c r="B2044" s="1">
        <v>45961</v>
      </c>
      <c r="C2044">
        <v>541023</v>
      </c>
      <c r="D2044">
        <v>343.51</v>
      </c>
      <c r="E2044" t="s">
        <v>6</v>
      </c>
      <c r="F2044" t="s">
        <v>61</v>
      </c>
      <c r="G2044" t="s">
        <v>7</v>
      </c>
    </row>
    <row r="2045" spans="1:7" x14ac:dyDescent="0.3">
      <c r="A2045" t="s">
        <v>33</v>
      </c>
      <c r="B2045" s="1">
        <v>45961</v>
      </c>
      <c r="C2045">
        <v>546002</v>
      </c>
      <c r="D2045">
        <v>474562.86</v>
      </c>
      <c r="E2045" t="s">
        <v>6</v>
      </c>
      <c r="F2045" t="s">
        <v>51</v>
      </c>
      <c r="G2045" t="s">
        <v>7</v>
      </c>
    </row>
    <row r="2046" spans="1:7" x14ac:dyDescent="0.3">
      <c r="A2046" t="s">
        <v>33</v>
      </c>
      <c r="B2046" s="1">
        <v>45961</v>
      </c>
      <c r="C2046">
        <v>546008</v>
      </c>
      <c r="D2046">
        <v>15658.129000000001</v>
      </c>
      <c r="E2046" t="s">
        <v>6</v>
      </c>
      <c r="F2046" t="s">
        <v>51</v>
      </c>
      <c r="G2046" t="s">
        <v>7</v>
      </c>
    </row>
    <row r="2047" spans="1:7" x14ac:dyDescent="0.3">
      <c r="A2047" t="s">
        <v>33</v>
      </c>
      <c r="B2047" s="1">
        <v>45961</v>
      </c>
      <c r="C2047">
        <v>546013</v>
      </c>
      <c r="D2047">
        <v>183790.21900000001</v>
      </c>
      <c r="E2047" t="s">
        <v>6</v>
      </c>
      <c r="F2047" t="s">
        <v>51</v>
      </c>
      <c r="G2047" t="s">
        <v>7</v>
      </c>
    </row>
    <row r="2048" spans="1:7" x14ac:dyDescent="0.3">
      <c r="A2048" t="s">
        <v>33</v>
      </c>
      <c r="B2048" s="1">
        <v>45961</v>
      </c>
      <c r="C2048">
        <v>546015</v>
      </c>
      <c r="D2048">
        <v>543.49699999999996</v>
      </c>
      <c r="E2048" t="s">
        <v>6</v>
      </c>
      <c r="F2048" t="s">
        <v>51</v>
      </c>
      <c r="G2048" t="s">
        <v>7</v>
      </c>
    </row>
    <row r="2049" spans="1:7" x14ac:dyDescent="0.3">
      <c r="A2049" t="s">
        <v>33</v>
      </c>
      <c r="B2049" s="1">
        <v>45961</v>
      </c>
      <c r="C2049">
        <v>546035</v>
      </c>
      <c r="D2049">
        <v>4763.4579999999996</v>
      </c>
      <c r="E2049" t="s">
        <v>6</v>
      </c>
      <c r="F2049" t="s">
        <v>51</v>
      </c>
      <c r="G2049" t="s">
        <v>7</v>
      </c>
    </row>
    <row r="2050" spans="1:7" x14ac:dyDescent="0.3">
      <c r="A2050" t="s">
        <v>33</v>
      </c>
      <c r="B2050" s="1">
        <v>45961</v>
      </c>
      <c r="C2050">
        <v>546040</v>
      </c>
      <c r="D2050">
        <v>30962.496999999999</v>
      </c>
      <c r="E2050" t="s">
        <v>6</v>
      </c>
      <c r="F2050" t="s">
        <v>51</v>
      </c>
      <c r="G2050" t="s">
        <v>7</v>
      </c>
    </row>
    <row r="2051" spans="1:7" x14ac:dyDescent="0.3">
      <c r="A2051" t="s">
        <v>33</v>
      </c>
      <c r="B2051" s="1">
        <v>45961</v>
      </c>
      <c r="C2051">
        <v>547002</v>
      </c>
      <c r="D2051">
        <v>91.873999999999995</v>
      </c>
      <c r="E2051" t="s">
        <v>6</v>
      </c>
      <c r="F2051" t="s">
        <v>54</v>
      </c>
      <c r="G2051" t="s">
        <v>7</v>
      </c>
    </row>
    <row r="2052" spans="1:7" x14ac:dyDescent="0.3">
      <c r="A2052" t="s">
        <v>33</v>
      </c>
      <c r="B2052" s="1">
        <v>45961</v>
      </c>
      <c r="C2052">
        <v>550003</v>
      </c>
      <c r="D2052">
        <v>108476.13800000001</v>
      </c>
      <c r="E2052" t="s">
        <v>6</v>
      </c>
      <c r="F2052" t="s">
        <v>62</v>
      </c>
      <c r="G2052" t="s">
        <v>7</v>
      </c>
    </row>
    <row r="2053" spans="1:7" x14ac:dyDescent="0.3">
      <c r="A2053" t="s">
        <v>33</v>
      </c>
      <c r="B2053" s="1">
        <v>45961</v>
      </c>
      <c r="C2053">
        <v>551008</v>
      </c>
      <c r="D2053">
        <v>12.43</v>
      </c>
      <c r="E2053" t="s">
        <v>6</v>
      </c>
      <c r="F2053" t="s">
        <v>63</v>
      </c>
      <c r="G2053" t="s">
        <v>7</v>
      </c>
    </row>
    <row r="2054" spans="1:7" x14ac:dyDescent="0.3">
      <c r="A2054" t="s">
        <v>33</v>
      </c>
      <c r="B2054" s="1">
        <v>45961</v>
      </c>
      <c r="C2054">
        <v>552504</v>
      </c>
      <c r="D2054">
        <v>164.911</v>
      </c>
      <c r="E2054" t="s">
        <v>6</v>
      </c>
      <c r="F2054" t="s">
        <v>55</v>
      </c>
      <c r="G2054" t="s">
        <v>7</v>
      </c>
    </row>
    <row r="2055" spans="1:7" x14ac:dyDescent="0.3">
      <c r="A2055" t="s">
        <v>33</v>
      </c>
      <c r="B2055" s="1">
        <v>45961</v>
      </c>
      <c r="C2055">
        <v>554005</v>
      </c>
      <c r="D2055">
        <v>99.867000000000004</v>
      </c>
      <c r="E2055" t="s">
        <v>6</v>
      </c>
      <c r="F2055" t="s">
        <v>55</v>
      </c>
      <c r="G2055" t="s">
        <v>7</v>
      </c>
    </row>
    <row r="2056" spans="1:7" x14ac:dyDescent="0.3">
      <c r="A2056" t="s">
        <v>33</v>
      </c>
      <c r="B2056" s="1">
        <v>45961</v>
      </c>
      <c r="C2056">
        <v>555007</v>
      </c>
      <c r="D2056">
        <v>2.4620000000000002</v>
      </c>
      <c r="E2056" t="s">
        <v>6</v>
      </c>
      <c r="F2056" t="s">
        <v>55</v>
      </c>
      <c r="G2056" t="s">
        <v>7</v>
      </c>
    </row>
    <row r="2057" spans="1:7" x14ac:dyDescent="0.3">
      <c r="A2057" t="s">
        <v>33</v>
      </c>
      <c r="B2057" s="1">
        <v>45961</v>
      </c>
      <c r="C2057">
        <v>555502</v>
      </c>
      <c r="D2057">
        <v>232.93700000000001</v>
      </c>
      <c r="E2057" t="s">
        <v>6</v>
      </c>
      <c r="F2057" t="s">
        <v>55</v>
      </c>
      <c r="G2057" t="s">
        <v>7</v>
      </c>
    </row>
    <row r="2058" spans="1:7" x14ac:dyDescent="0.3">
      <c r="A2058" t="s">
        <v>33</v>
      </c>
      <c r="B2058" s="1">
        <v>45961</v>
      </c>
      <c r="C2058">
        <v>555508</v>
      </c>
      <c r="D2058">
        <v>1060</v>
      </c>
      <c r="E2058" t="s">
        <v>6</v>
      </c>
      <c r="F2058" t="s">
        <v>55</v>
      </c>
      <c r="G2058" t="s">
        <v>7</v>
      </c>
    </row>
    <row r="2059" spans="1:7" x14ac:dyDescent="0.3">
      <c r="A2059" t="s">
        <v>33</v>
      </c>
      <c r="B2059" s="1">
        <v>45961</v>
      </c>
      <c r="C2059">
        <v>556002</v>
      </c>
      <c r="D2059">
        <v>1.847</v>
      </c>
      <c r="E2059" t="s">
        <v>6</v>
      </c>
      <c r="F2059" t="s">
        <v>60</v>
      </c>
      <c r="G2059" t="s">
        <v>7</v>
      </c>
    </row>
    <row r="2060" spans="1:7" x14ac:dyDescent="0.3">
      <c r="A2060" t="s">
        <v>33</v>
      </c>
      <c r="B2060" s="1">
        <v>45961</v>
      </c>
      <c r="C2060">
        <v>556003</v>
      </c>
      <c r="D2060">
        <v>-1019.751</v>
      </c>
      <c r="E2060" t="s">
        <v>6</v>
      </c>
      <c r="F2060" t="s">
        <v>55</v>
      </c>
      <c r="G2060" t="s">
        <v>7</v>
      </c>
    </row>
    <row r="2061" spans="1:7" x14ac:dyDescent="0.3">
      <c r="A2061" t="s">
        <v>33</v>
      </c>
      <c r="B2061" s="1">
        <v>45961</v>
      </c>
      <c r="C2061">
        <v>557002</v>
      </c>
      <c r="D2061">
        <v>9148.8590000000004</v>
      </c>
      <c r="E2061" t="s">
        <v>6</v>
      </c>
      <c r="F2061" t="s">
        <v>56</v>
      </c>
      <c r="G2061" t="s">
        <v>7</v>
      </c>
    </row>
    <row r="2062" spans="1:7" x14ac:dyDescent="0.3">
      <c r="A2062" t="s">
        <v>33</v>
      </c>
      <c r="B2062" s="1">
        <v>45961</v>
      </c>
      <c r="C2062">
        <v>557003</v>
      </c>
      <c r="D2062">
        <v>2524.0010000000002</v>
      </c>
      <c r="E2062" t="s">
        <v>6</v>
      </c>
      <c r="F2062" t="s">
        <v>56</v>
      </c>
      <c r="G2062" t="s">
        <v>7</v>
      </c>
    </row>
    <row r="2063" spans="1:7" x14ac:dyDescent="0.3">
      <c r="A2063" t="s">
        <v>33</v>
      </c>
      <c r="B2063" s="1">
        <v>45961</v>
      </c>
      <c r="C2063">
        <v>558012</v>
      </c>
      <c r="D2063">
        <v>76.070999999999998</v>
      </c>
      <c r="E2063" t="s">
        <v>6</v>
      </c>
      <c r="F2063" t="s">
        <v>60</v>
      </c>
      <c r="G2063" t="s">
        <v>7</v>
      </c>
    </row>
    <row r="2064" spans="1:7" x14ac:dyDescent="0.3">
      <c r="A2064" t="s">
        <v>33</v>
      </c>
      <c r="B2064" s="1">
        <v>45961</v>
      </c>
      <c r="C2064">
        <v>559002</v>
      </c>
      <c r="D2064">
        <v>85.271000000000001</v>
      </c>
      <c r="E2064" t="s">
        <v>6</v>
      </c>
      <c r="F2064" t="s">
        <v>60</v>
      </c>
      <c r="G2064" t="s">
        <v>7</v>
      </c>
    </row>
    <row r="2065" spans="1:7" x14ac:dyDescent="0.3">
      <c r="A2065" t="s">
        <v>33</v>
      </c>
      <c r="B2065" s="1">
        <v>45961</v>
      </c>
      <c r="C2065">
        <v>563002</v>
      </c>
      <c r="D2065">
        <v>659.71699999999998</v>
      </c>
      <c r="E2065" t="s">
        <v>6</v>
      </c>
      <c r="F2065" t="s">
        <v>57</v>
      </c>
      <c r="G2065" t="s">
        <v>7</v>
      </c>
    </row>
    <row r="2066" spans="1:7" x14ac:dyDescent="0.3">
      <c r="A2066" t="s">
        <v>33</v>
      </c>
      <c r="B2066" s="1">
        <v>45961</v>
      </c>
      <c r="C2066">
        <v>564004</v>
      </c>
      <c r="D2066">
        <v>17274.384999999998</v>
      </c>
      <c r="E2066" t="s">
        <v>6</v>
      </c>
      <c r="F2066" t="s">
        <v>51</v>
      </c>
      <c r="G2066" t="s">
        <v>7</v>
      </c>
    </row>
    <row r="2067" spans="1:7" x14ac:dyDescent="0.3">
      <c r="A2067" t="s">
        <v>33</v>
      </c>
      <c r="B2067" s="1">
        <v>45961</v>
      </c>
      <c r="C2067">
        <v>564006</v>
      </c>
      <c r="D2067">
        <v>2.1000000000000001E-2</v>
      </c>
      <c r="E2067" t="s">
        <v>6</v>
      </c>
      <c r="F2067" t="s">
        <v>57</v>
      </c>
      <c r="G2067" t="s">
        <v>7</v>
      </c>
    </row>
    <row r="2068" spans="1:7" x14ac:dyDescent="0.3">
      <c r="A2068" t="s">
        <v>33</v>
      </c>
      <c r="B2068" s="1">
        <v>45961</v>
      </c>
      <c r="C2068">
        <v>564020</v>
      </c>
      <c r="D2068">
        <v>159.62299999999999</v>
      </c>
      <c r="E2068" t="s">
        <v>6</v>
      </c>
      <c r="F2068" t="s">
        <v>57</v>
      </c>
      <c r="G2068" t="s">
        <v>7</v>
      </c>
    </row>
    <row r="2069" spans="1:7" x14ac:dyDescent="0.3">
      <c r="A2069" t="s">
        <v>33</v>
      </c>
      <c r="B2069" s="1">
        <v>45961</v>
      </c>
      <c r="C2069">
        <v>570002</v>
      </c>
      <c r="D2069">
        <v>904.92899999999997</v>
      </c>
      <c r="E2069" t="s">
        <v>6</v>
      </c>
      <c r="F2069" t="s">
        <v>66</v>
      </c>
      <c r="G2069" t="s">
        <v>7</v>
      </c>
    </row>
    <row r="2070" spans="1:7" x14ac:dyDescent="0.3">
      <c r="A2070" t="s">
        <v>33</v>
      </c>
      <c r="B2070" s="1">
        <v>45961</v>
      </c>
      <c r="C2070">
        <v>580002</v>
      </c>
      <c r="D2070">
        <v>33.981999999999999</v>
      </c>
      <c r="E2070" t="s">
        <v>6</v>
      </c>
      <c r="F2070" t="s">
        <v>64</v>
      </c>
      <c r="G2070" t="s">
        <v>7</v>
      </c>
    </row>
    <row r="2071" spans="1:7" x14ac:dyDescent="0.3">
      <c r="A2071" t="s">
        <v>33</v>
      </c>
      <c r="B2071" s="1">
        <v>45961</v>
      </c>
      <c r="C2071">
        <v>580003</v>
      </c>
      <c r="D2071">
        <v>1807.1849999999999</v>
      </c>
      <c r="E2071" t="s">
        <v>6</v>
      </c>
      <c r="F2071" t="s">
        <v>64</v>
      </c>
      <c r="G2071" t="s">
        <v>7</v>
      </c>
    </row>
    <row r="2072" spans="1:7" x14ac:dyDescent="0.3">
      <c r="A2072" t="s">
        <v>33</v>
      </c>
      <c r="B2072" s="1">
        <v>45961</v>
      </c>
      <c r="C2072">
        <v>580005</v>
      </c>
      <c r="D2072">
        <v>1.306</v>
      </c>
      <c r="E2072" t="s">
        <v>6</v>
      </c>
      <c r="F2072" t="s">
        <v>64</v>
      </c>
      <c r="G2072" t="s">
        <v>7</v>
      </c>
    </row>
    <row r="2073" spans="1:7" x14ac:dyDescent="0.3">
      <c r="A2073" t="s">
        <v>34</v>
      </c>
      <c r="B2073" s="1">
        <v>45961</v>
      </c>
      <c r="C2073">
        <v>210002</v>
      </c>
      <c r="D2073">
        <v>-14113.99</v>
      </c>
      <c r="E2073" t="s">
        <v>4</v>
      </c>
      <c r="F2073" t="s">
        <v>42</v>
      </c>
      <c r="G2073" t="s">
        <v>7</v>
      </c>
    </row>
    <row r="2074" spans="1:7" x14ac:dyDescent="0.3">
      <c r="A2074" t="s">
        <v>34</v>
      </c>
      <c r="B2074" s="1">
        <v>45961</v>
      </c>
      <c r="C2074">
        <v>220006</v>
      </c>
      <c r="D2074">
        <v>-1762175.1569999999</v>
      </c>
      <c r="E2074" t="s">
        <v>4</v>
      </c>
      <c r="F2074" t="s">
        <v>42</v>
      </c>
      <c r="G2074" t="s">
        <v>7</v>
      </c>
    </row>
    <row r="2075" spans="1:7" x14ac:dyDescent="0.3">
      <c r="A2075" t="s">
        <v>34</v>
      </c>
      <c r="B2075" s="1">
        <v>45961</v>
      </c>
      <c r="C2075">
        <v>240002</v>
      </c>
      <c r="D2075">
        <v>45.731000000000002</v>
      </c>
      <c r="E2075" t="s">
        <v>4</v>
      </c>
      <c r="F2075" t="s">
        <v>43</v>
      </c>
      <c r="G2075" t="s">
        <v>7</v>
      </c>
    </row>
    <row r="2076" spans="1:7" x14ac:dyDescent="0.3">
      <c r="A2076" t="s">
        <v>34</v>
      </c>
      <c r="B2076" s="1">
        <v>45961</v>
      </c>
      <c r="C2076">
        <v>240003</v>
      </c>
      <c r="D2076">
        <v>-2.1970000000000001</v>
      </c>
      <c r="E2076" t="s">
        <v>4</v>
      </c>
      <c r="F2076" t="s">
        <v>43</v>
      </c>
      <c r="G2076" t="s">
        <v>7</v>
      </c>
    </row>
    <row r="2077" spans="1:7" x14ac:dyDescent="0.3">
      <c r="A2077" t="s">
        <v>34</v>
      </c>
      <c r="B2077" s="1">
        <v>45961</v>
      </c>
      <c r="C2077">
        <v>240009</v>
      </c>
      <c r="D2077">
        <v>-234.88</v>
      </c>
      <c r="E2077" t="s">
        <v>4</v>
      </c>
      <c r="F2077" t="s">
        <v>43</v>
      </c>
      <c r="G2077" t="s">
        <v>7</v>
      </c>
    </row>
    <row r="2078" spans="1:7" x14ac:dyDescent="0.3">
      <c r="A2078" t="s">
        <v>34</v>
      </c>
      <c r="B2078" s="1">
        <v>45961</v>
      </c>
      <c r="C2078">
        <v>242003</v>
      </c>
      <c r="D2078">
        <v>-296479.78899999999</v>
      </c>
      <c r="E2078" t="s">
        <v>4</v>
      </c>
      <c r="F2078" t="s">
        <v>43</v>
      </c>
      <c r="G2078" t="s">
        <v>7</v>
      </c>
    </row>
    <row r="2079" spans="1:7" x14ac:dyDescent="0.3">
      <c r="A2079" t="s">
        <v>34</v>
      </c>
      <c r="B2079" s="1">
        <v>45961</v>
      </c>
      <c r="C2079">
        <v>242011</v>
      </c>
      <c r="D2079">
        <v>-612483.01899999997</v>
      </c>
      <c r="E2079" t="s">
        <v>4</v>
      </c>
      <c r="F2079" t="s">
        <v>43</v>
      </c>
      <c r="G2079" t="s">
        <v>7</v>
      </c>
    </row>
    <row r="2080" spans="1:7" x14ac:dyDescent="0.3">
      <c r="A2080" t="s">
        <v>34</v>
      </c>
      <c r="B2080" s="1">
        <v>45961</v>
      </c>
      <c r="C2080">
        <v>242013</v>
      </c>
      <c r="D2080">
        <v>-86942.422000000006</v>
      </c>
      <c r="E2080" t="s">
        <v>4</v>
      </c>
      <c r="F2080" t="s">
        <v>43</v>
      </c>
      <c r="G2080" t="s">
        <v>7</v>
      </c>
    </row>
    <row r="2081" spans="1:7" x14ac:dyDescent="0.3">
      <c r="A2081" t="s">
        <v>34</v>
      </c>
      <c r="B2081" s="1">
        <v>45961</v>
      </c>
      <c r="C2081">
        <v>242014</v>
      </c>
      <c r="D2081">
        <v>-24147.696</v>
      </c>
      <c r="E2081" t="s">
        <v>4</v>
      </c>
      <c r="F2081" t="s">
        <v>43</v>
      </c>
      <c r="G2081" t="s">
        <v>7</v>
      </c>
    </row>
    <row r="2082" spans="1:7" x14ac:dyDescent="0.3">
      <c r="A2082" t="s">
        <v>34</v>
      </c>
      <c r="B2082" s="1">
        <v>45961</v>
      </c>
      <c r="C2082">
        <v>242027</v>
      </c>
      <c r="D2082">
        <v>-172579.38800000001</v>
      </c>
      <c r="E2082" t="s">
        <v>4</v>
      </c>
      <c r="F2082" t="s">
        <v>43</v>
      </c>
      <c r="G2082" t="s">
        <v>7</v>
      </c>
    </row>
    <row r="2083" spans="1:7" x14ac:dyDescent="0.3">
      <c r="A2083" t="s">
        <v>34</v>
      </c>
      <c r="B2083" s="1">
        <v>45961</v>
      </c>
      <c r="C2083">
        <v>242030</v>
      </c>
      <c r="D2083">
        <v>-98016.402000000002</v>
      </c>
      <c r="E2083" t="s">
        <v>4</v>
      </c>
      <c r="F2083" t="s">
        <v>43</v>
      </c>
      <c r="G2083" t="s">
        <v>7</v>
      </c>
    </row>
    <row r="2084" spans="1:7" x14ac:dyDescent="0.3">
      <c r="A2084" t="s">
        <v>34</v>
      </c>
      <c r="B2084" s="1">
        <v>45961</v>
      </c>
      <c r="C2084">
        <v>242038</v>
      </c>
      <c r="D2084">
        <v>-4235.7749999999996</v>
      </c>
      <c r="E2084" t="s">
        <v>4</v>
      </c>
      <c r="F2084" t="s">
        <v>43</v>
      </c>
      <c r="G2084" t="s">
        <v>7</v>
      </c>
    </row>
    <row r="2085" spans="1:7" x14ac:dyDescent="0.3">
      <c r="A2085" t="s">
        <v>34</v>
      </c>
      <c r="B2085" s="1">
        <v>45961</v>
      </c>
      <c r="C2085">
        <v>242041</v>
      </c>
      <c r="D2085">
        <v>19719.975999999999</v>
      </c>
      <c r="E2085" t="s">
        <v>4</v>
      </c>
      <c r="F2085" t="s">
        <v>43</v>
      </c>
      <c r="G2085" t="s">
        <v>7</v>
      </c>
    </row>
    <row r="2086" spans="1:7" x14ac:dyDescent="0.3">
      <c r="A2086" t="s">
        <v>34</v>
      </c>
      <c r="B2086" s="1">
        <v>45961</v>
      </c>
      <c r="C2086">
        <v>243002</v>
      </c>
      <c r="D2086">
        <v>-25850.936000000002</v>
      </c>
      <c r="E2086" t="s">
        <v>4</v>
      </c>
      <c r="F2086" t="s">
        <v>43</v>
      </c>
      <c r="G2086" t="s">
        <v>7</v>
      </c>
    </row>
    <row r="2087" spans="1:7" x14ac:dyDescent="0.3">
      <c r="A2087" t="s">
        <v>34</v>
      </c>
      <c r="B2087" s="1">
        <v>45961</v>
      </c>
      <c r="C2087">
        <v>243003</v>
      </c>
      <c r="D2087">
        <v>-18090.543000000001</v>
      </c>
      <c r="E2087" t="s">
        <v>4</v>
      </c>
      <c r="F2087" t="s">
        <v>43</v>
      </c>
      <c r="G2087" t="s">
        <v>7</v>
      </c>
    </row>
    <row r="2088" spans="1:7" x14ac:dyDescent="0.3">
      <c r="A2088" t="s">
        <v>34</v>
      </c>
      <c r="B2088" s="1">
        <v>45961</v>
      </c>
      <c r="C2088">
        <v>243010</v>
      </c>
      <c r="D2088">
        <v>-4237.9539999999997</v>
      </c>
      <c r="E2088" t="s">
        <v>4</v>
      </c>
      <c r="F2088" t="s">
        <v>43</v>
      </c>
      <c r="G2088" t="s">
        <v>7</v>
      </c>
    </row>
    <row r="2089" spans="1:7" x14ac:dyDescent="0.3">
      <c r="A2089" t="s">
        <v>34</v>
      </c>
      <c r="B2089" s="1">
        <v>45961</v>
      </c>
      <c r="C2089">
        <v>245010</v>
      </c>
      <c r="D2089">
        <v>-87327.551000000007</v>
      </c>
      <c r="E2089" t="s">
        <v>4</v>
      </c>
      <c r="F2089" t="s">
        <v>44</v>
      </c>
      <c r="G2089" t="s">
        <v>7</v>
      </c>
    </row>
    <row r="2090" spans="1:7" x14ac:dyDescent="0.3">
      <c r="A2090" t="s">
        <v>34</v>
      </c>
      <c r="B2090" s="1">
        <v>45961</v>
      </c>
      <c r="C2090">
        <v>245018</v>
      </c>
      <c r="D2090">
        <v>-42543.281999999999</v>
      </c>
      <c r="E2090" t="s">
        <v>4</v>
      </c>
      <c r="F2090" t="s">
        <v>43</v>
      </c>
      <c r="G2090" t="s">
        <v>7</v>
      </c>
    </row>
    <row r="2091" spans="1:7" x14ac:dyDescent="0.3">
      <c r="A2091" t="s">
        <v>34</v>
      </c>
      <c r="B2091" s="1">
        <v>45961</v>
      </c>
      <c r="C2091">
        <v>245062</v>
      </c>
      <c r="D2091">
        <v>-80696.462</v>
      </c>
      <c r="E2091" t="s">
        <v>4</v>
      </c>
      <c r="F2091" t="s">
        <v>43</v>
      </c>
      <c r="G2091" t="s">
        <v>7</v>
      </c>
    </row>
    <row r="2092" spans="1:7" x14ac:dyDescent="0.3">
      <c r="A2092" t="s">
        <v>34</v>
      </c>
      <c r="B2092" s="1">
        <v>45961</v>
      </c>
      <c r="C2092">
        <v>250003</v>
      </c>
      <c r="D2092">
        <v>-524.774</v>
      </c>
      <c r="E2092" t="s">
        <v>4</v>
      </c>
      <c r="F2092" t="s">
        <v>45</v>
      </c>
      <c r="G2092" t="s">
        <v>7</v>
      </c>
    </row>
    <row r="2093" spans="1:7" x14ac:dyDescent="0.3">
      <c r="A2093" t="s">
        <v>34</v>
      </c>
      <c r="B2093" s="1">
        <v>45961</v>
      </c>
      <c r="C2093">
        <v>250007</v>
      </c>
      <c r="D2093">
        <v>-47741.067999999999</v>
      </c>
      <c r="E2093" t="s">
        <v>4</v>
      </c>
      <c r="F2093" t="s">
        <v>43</v>
      </c>
      <c r="G2093" t="s">
        <v>7</v>
      </c>
    </row>
    <row r="2094" spans="1:7" x14ac:dyDescent="0.3">
      <c r="A2094" t="s">
        <v>34</v>
      </c>
      <c r="B2094" s="1">
        <v>45961</v>
      </c>
      <c r="C2094">
        <v>251002</v>
      </c>
      <c r="D2094">
        <v>-1266.6479999999999</v>
      </c>
      <c r="E2094" t="s">
        <v>4</v>
      </c>
      <c r="F2094" t="s">
        <v>45</v>
      </c>
      <c r="G2094" t="s">
        <v>7</v>
      </c>
    </row>
    <row r="2095" spans="1:7" x14ac:dyDescent="0.3">
      <c r="A2095" t="s">
        <v>34</v>
      </c>
      <c r="B2095" s="1">
        <v>45961</v>
      </c>
      <c r="C2095">
        <v>251003</v>
      </c>
      <c r="D2095">
        <v>-14026.933999999999</v>
      </c>
      <c r="E2095" t="s">
        <v>4</v>
      </c>
      <c r="F2095" t="s">
        <v>45</v>
      </c>
      <c r="G2095" t="s">
        <v>7</v>
      </c>
    </row>
    <row r="2096" spans="1:7" x14ac:dyDescent="0.3">
      <c r="A2096" t="s">
        <v>34</v>
      </c>
      <c r="B2096" s="1">
        <v>45961</v>
      </c>
      <c r="C2096">
        <v>251005</v>
      </c>
      <c r="D2096">
        <v>5982.17</v>
      </c>
      <c r="E2096" t="s">
        <v>4</v>
      </c>
      <c r="F2096" t="s">
        <v>46</v>
      </c>
      <c r="G2096" t="s">
        <v>7</v>
      </c>
    </row>
    <row r="2097" spans="1:7" x14ac:dyDescent="0.3">
      <c r="A2097" t="s">
        <v>34</v>
      </c>
      <c r="B2097" s="1">
        <v>45961</v>
      </c>
      <c r="C2097">
        <v>257008</v>
      </c>
      <c r="D2097">
        <v>-756.05200000000002</v>
      </c>
      <c r="E2097" t="s">
        <v>4</v>
      </c>
      <c r="F2097" t="s">
        <v>45</v>
      </c>
      <c r="G2097" t="s">
        <v>7</v>
      </c>
    </row>
    <row r="2098" spans="1:7" x14ac:dyDescent="0.3">
      <c r="A2098" t="s">
        <v>34</v>
      </c>
      <c r="B2098" s="1">
        <v>45961</v>
      </c>
      <c r="C2098">
        <v>257009</v>
      </c>
      <c r="D2098">
        <v>-5233.5069999999996</v>
      </c>
      <c r="E2098" t="s">
        <v>4</v>
      </c>
      <c r="F2098" t="s">
        <v>45</v>
      </c>
      <c r="G2098" t="s">
        <v>7</v>
      </c>
    </row>
    <row r="2099" spans="1:7" x14ac:dyDescent="0.3">
      <c r="A2099" t="s">
        <v>34</v>
      </c>
      <c r="B2099" s="1">
        <v>45961</v>
      </c>
      <c r="C2099">
        <v>257011</v>
      </c>
      <c r="D2099">
        <v>-3537.569</v>
      </c>
      <c r="E2099" t="s">
        <v>4</v>
      </c>
      <c r="F2099" t="s">
        <v>45</v>
      </c>
      <c r="G2099" t="s">
        <v>7</v>
      </c>
    </row>
    <row r="2100" spans="1:7" x14ac:dyDescent="0.3">
      <c r="A2100" t="s">
        <v>34</v>
      </c>
      <c r="B2100" s="1">
        <v>45961</v>
      </c>
      <c r="C2100">
        <v>257028</v>
      </c>
      <c r="D2100">
        <v>-37332.572</v>
      </c>
      <c r="E2100" t="s">
        <v>4</v>
      </c>
      <c r="F2100" t="s">
        <v>45</v>
      </c>
      <c r="G2100" t="s">
        <v>7</v>
      </c>
    </row>
    <row r="2101" spans="1:7" x14ac:dyDescent="0.3">
      <c r="A2101" t="s">
        <v>34</v>
      </c>
      <c r="B2101" s="1">
        <v>45961</v>
      </c>
      <c r="C2101">
        <v>260004</v>
      </c>
      <c r="D2101">
        <v>1971.5519999999999</v>
      </c>
      <c r="E2101" t="s">
        <v>4</v>
      </c>
      <c r="F2101" t="s">
        <v>45</v>
      </c>
      <c r="G2101" t="s">
        <v>7</v>
      </c>
    </row>
    <row r="2102" spans="1:7" x14ac:dyDescent="0.3">
      <c r="A2102" t="s">
        <v>34</v>
      </c>
      <c r="B2102" s="1">
        <v>45961</v>
      </c>
      <c r="C2102">
        <v>270024</v>
      </c>
      <c r="D2102">
        <v>-14726.794</v>
      </c>
      <c r="E2102" t="s">
        <v>4</v>
      </c>
      <c r="F2102" t="s">
        <v>58</v>
      </c>
      <c r="G2102" t="s">
        <v>7</v>
      </c>
    </row>
    <row r="2103" spans="1:7" x14ac:dyDescent="0.3">
      <c r="A2103" t="s">
        <v>34</v>
      </c>
      <c r="B2103" s="1">
        <v>45961</v>
      </c>
      <c r="C2103">
        <v>270025</v>
      </c>
      <c r="D2103">
        <v>-133.31299999999999</v>
      </c>
      <c r="E2103" t="s">
        <v>4</v>
      </c>
      <c r="F2103" t="s">
        <v>58</v>
      </c>
      <c r="G2103" t="s">
        <v>7</v>
      </c>
    </row>
    <row r="2104" spans="1:7" x14ac:dyDescent="0.3">
      <c r="A2104" t="s">
        <v>34</v>
      </c>
      <c r="B2104" s="1">
        <v>45961</v>
      </c>
      <c r="C2104">
        <v>270026</v>
      </c>
      <c r="D2104">
        <v>-17590.522000000001</v>
      </c>
      <c r="E2104" t="s">
        <v>4</v>
      </c>
      <c r="F2104" t="s">
        <v>58</v>
      </c>
      <c r="G2104" t="s">
        <v>7</v>
      </c>
    </row>
    <row r="2105" spans="1:7" x14ac:dyDescent="0.3">
      <c r="A2105" t="s">
        <v>34</v>
      </c>
      <c r="B2105" s="1">
        <v>45961</v>
      </c>
      <c r="C2105">
        <v>270027</v>
      </c>
      <c r="D2105">
        <v>-66.721000000000004</v>
      </c>
      <c r="E2105" t="s">
        <v>4</v>
      </c>
      <c r="F2105" t="s">
        <v>58</v>
      </c>
      <c r="G2105" t="s">
        <v>7</v>
      </c>
    </row>
    <row r="2106" spans="1:7" x14ac:dyDescent="0.3">
      <c r="A2106" t="s">
        <v>34</v>
      </c>
      <c r="B2106" s="1">
        <v>45961</v>
      </c>
      <c r="C2106">
        <v>300004</v>
      </c>
      <c r="D2106">
        <v>1773.83</v>
      </c>
      <c r="E2106" t="s">
        <v>4</v>
      </c>
      <c r="F2106" t="s">
        <v>65</v>
      </c>
      <c r="G2106" t="s">
        <v>7</v>
      </c>
    </row>
    <row r="2107" spans="1:7" x14ac:dyDescent="0.3">
      <c r="A2107" t="s">
        <v>34</v>
      </c>
      <c r="B2107" s="1">
        <v>45961</v>
      </c>
      <c r="C2107">
        <v>300005</v>
      </c>
      <c r="D2107">
        <v>5773.9049999999997</v>
      </c>
      <c r="E2107" t="s">
        <v>4</v>
      </c>
      <c r="F2107" t="s">
        <v>65</v>
      </c>
      <c r="G2107" t="s">
        <v>7</v>
      </c>
    </row>
    <row r="2108" spans="1:7" x14ac:dyDescent="0.3">
      <c r="A2108" t="s">
        <v>34</v>
      </c>
      <c r="B2108" s="1">
        <v>45961</v>
      </c>
      <c r="C2108">
        <v>300008</v>
      </c>
      <c r="D2108">
        <v>16644.276999999998</v>
      </c>
      <c r="E2108" t="s">
        <v>4</v>
      </c>
      <c r="F2108" t="s">
        <v>65</v>
      </c>
      <c r="G2108" t="s">
        <v>7</v>
      </c>
    </row>
    <row r="2109" spans="1:7" x14ac:dyDescent="0.3">
      <c r="A2109" t="s">
        <v>34</v>
      </c>
      <c r="B2109" s="1">
        <v>45961</v>
      </c>
      <c r="C2109">
        <v>300009</v>
      </c>
      <c r="D2109">
        <v>288.93099999999998</v>
      </c>
      <c r="E2109" t="s">
        <v>4</v>
      </c>
      <c r="F2109" t="s">
        <v>65</v>
      </c>
      <c r="G2109" t="s">
        <v>7</v>
      </c>
    </row>
    <row r="2110" spans="1:7" x14ac:dyDescent="0.3">
      <c r="A2110" t="s">
        <v>34</v>
      </c>
      <c r="B2110" s="1">
        <v>45961</v>
      </c>
      <c r="C2110">
        <v>300011</v>
      </c>
      <c r="D2110">
        <v>145.93899999999999</v>
      </c>
      <c r="E2110" t="s">
        <v>4</v>
      </c>
      <c r="F2110" t="s">
        <v>65</v>
      </c>
      <c r="G2110" t="s">
        <v>7</v>
      </c>
    </row>
    <row r="2111" spans="1:7" x14ac:dyDescent="0.3">
      <c r="A2111" t="s">
        <v>34</v>
      </c>
      <c r="B2111" s="1">
        <v>45961</v>
      </c>
      <c r="C2111">
        <v>300012</v>
      </c>
      <c r="D2111">
        <v>5158.4219999999996</v>
      </c>
      <c r="E2111" t="s">
        <v>4</v>
      </c>
      <c r="F2111" t="s">
        <v>65</v>
      </c>
      <c r="G2111" t="s">
        <v>7</v>
      </c>
    </row>
    <row r="2112" spans="1:7" x14ac:dyDescent="0.3">
      <c r="A2112" t="s">
        <v>34</v>
      </c>
      <c r="B2112" s="1">
        <v>45961</v>
      </c>
      <c r="C2112">
        <v>300504</v>
      </c>
      <c r="D2112">
        <v>-1773.83</v>
      </c>
      <c r="E2112" t="s">
        <v>4</v>
      </c>
      <c r="F2112" t="s">
        <v>65</v>
      </c>
      <c r="G2112" t="s">
        <v>7</v>
      </c>
    </row>
    <row r="2113" spans="1:7" x14ac:dyDescent="0.3">
      <c r="A2113" t="s">
        <v>34</v>
      </c>
      <c r="B2113" s="1">
        <v>45961</v>
      </c>
      <c r="C2113">
        <v>300505</v>
      </c>
      <c r="D2113">
        <v>-5773.9049999999997</v>
      </c>
      <c r="E2113" t="s">
        <v>4</v>
      </c>
      <c r="F2113" t="s">
        <v>65</v>
      </c>
      <c r="G2113" t="s">
        <v>7</v>
      </c>
    </row>
    <row r="2114" spans="1:7" x14ac:dyDescent="0.3">
      <c r="A2114" t="s">
        <v>34</v>
      </c>
      <c r="B2114" s="1">
        <v>45961</v>
      </c>
      <c r="C2114">
        <v>300508</v>
      </c>
      <c r="D2114">
        <v>-16644.276999999998</v>
      </c>
      <c r="E2114" t="s">
        <v>4</v>
      </c>
      <c r="F2114" t="s">
        <v>65</v>
      </c>
      <c r="G2114" t="s">
        <v>7</v>
      </c>
    </row>
    <row r="2115" spans="1:7" x14ac:dyDescent="0.3">
      <c r="A2115" t="s">
        <v>34</v>
      </c>
      <c r="B2115" s="1">
        <v>45961</v>
      </c>
      <c r="C2115">
        <v>300509</v>
      </c>
      <c r="D2115">
        <v>-288.93099999999998</v>
      </c>
      <c r="E2115" t="s">
        <v>4</v>
      </c>
      <c r="F2115" t="s">
        <v>65</v>
      </c>
      <c r="G2115" t="s">
        <v>7</v>
      </c>
    </row>
    <row r="2116" spans="1:7" x14ac:dyDescent="0.3">
      <c r="A2116" t="s">
        <v>34</v>
      </c>
      <c r="B2116" s="1">
        <v>45961</v>
      </c>
      <c r="C2116">
        <v>300511</v>
      </c>
      <c r="D2116">
        <v>-118.44499999999999</v>
      </c>
      <c r="E2116" t="s">
        <v>4</v>
      </c>
      <c r="F2116" t="s">
        <v>65</v>
      </c>
      <c r="G2116" t="s">
        <v>7</v>
      </c>
    </row>
    <row r="2117" spans="1:7" x14ac:dyDescent="0.3">
      <c r="A2117" t="s">
        <v>34</v>
      </c>
      <c r="B2117" s="1">
        <v>45961</v>
      </c>
      <c r="C2117">
        <v>300512</v>
      </c>
      <c r="D2117">
        <v>-5158.4219999999996</v>
      </c>
      <c r="E2117" t="s">
        <v>4</v>
      </c>
      <c r="F2117" t="s">
        <v>65</v>
      </c>
      <c r="G2117" t="s">
        <v>7</v>
      </c>
    </row>
    <row r="2118" spans="1:7" x14ac:dyDescent="0.3">
      <c r="A2118" t="s">
        <v>34</v>
      </c>
      <c r="B2118" s="1">
        <v>45961</v>
      </c>
      <c r="C2118">
        <v>310019</v>
      </c>
      <c r="D2118">
        <v>0.126</v>
      </c>
      <c r="E2118" t="s">
        <v>4</v>
      </c>
      <c r="F2118" t="s">
        <v>42</v>
      </c>
      <c r="G2118" t="s">
        <v>7</v>
      </c>
    </row>
    <row r="2119" spans="1:7" x14ac:dyDescent="0.3">
      <c r="A2119" t="s">
        <v>34</v>
      </c>
      <c r="B2119" s="1">
        <v>45961</v>
      </c>
      <c r="C2119">
        <v>320002</v>
      </c>
      <c r="D2119">
        <v>825.28300000000002</v>
      </c>
      <c r="E2119" t="s">
        <v>4</v>
      </c>
      <c r="F2119" t="s">
        <v>46</v>
      </c>
      <c r="G2119" t="s">
        <v>7</v>
      </c>
    </row>
    <row r="2120" spans="1:7" x14ac:dyDescent="0.3">
      <c r="A2120" t="s">
        <v>34</v>
      </c>
      <c r="B2120" s="1">
        <v>45961</v>
      </c>
      <c r="C2120">
        <v>320003</v>
      </c>
      <c r="D2120">
        <v>802228.89199999999</v>
      </c>
      <c r="E2120" t="s">
        <v>4</v>
      </c>
      <c r="F2120" t="s">
        <v>46</v>
      </c>
      <c r="G2120" t="s">
        <v>7</v>
      </c>
    </row>
    <row r="2121" spans="1:7" x14ac:dyDescent="0.3">
      <c r="A2121" t="s">
        <v>34</v>
      </c>
      <c r="B2121" s="1">
        <v>45961</v>
      </c>
      <c r="C2121">
        <v>320016</v>
      </c>
      <c r="D2121">
        <v>29814.712</v>
      </c>
      <c r="E2121" t="s">
        <v>4</v>
      </c>
      <c r="F2121" t="s">
        <v>46</v>
      </c>
      <c r="G2121" t="s">
        <v>7</v>
      </c>
    </row>
    <row r="2122" spans="1:7" x14ac:dyDescent="0.3">
      <c r="A2122" t="s">
        <v>34</v>
      </c>
      <c r="B2122" s="1">
        <v>45961</v>
      </c>
      <c r="C2122">
        <v>320023</v>
      </c>
      <c r="D2122">
        <v>-40236.663999999997</v>
      </c>
      <c r="E2122" t="s">
        <v>4</v>
      </c>
      <c r="F2122" t="s">
        <v>46</v>
      </c>
      <c r="G2122" t="s">
        <v>7</v>
      </c>
    </row>
    <row r="2123" spans="1:7" x14ac:dyDescent="0.3">
      <c r="A2123" t="s">
        <v>34</v>
      </c>
      <c r="B2123" s="1">
        <v>45961</v>
      </c>
      <c r="C2123">
        <v>321002</v>
      </c>
      <c r="D2123">
        <v>1494295.385</v>
      </c>
      <c r="E2123" t="s">
        <v>4</v>
      </c>
      <c r="F2123" t="s">
        <v>46</v>
      </c>
      <c r="G2123" t="s">
        <v>7</v>
      </c>
    </row>
    <row r="2124" spans="1:7" x14ac:dyDescent="0.3">
      <c r="A2124" t="s">
        <v>34</v>
      </c>
      <c r="B2124" s="1">
        <v>45961</v>
      </c>
      <c r="C2124">
        <v>321010</v>
      </c>
      <c r="D2124">
        <v>0.96199999999999997</v>
      </c>
      <c r="E2124" t="s">
        <v>4</v>
      </c>
      <c r="F2124" t="s">
        <v>46</v>
      </c>
      <c r="G2124" t="s">
        <v>7</v>
      </c>
    </row>
    <row r="2125" spans="1:7" x14ac:dyDescent="0.3">
      <c r="A2125" t="s">
        <v>34</v>
      </c>
      <c r="B2125" s="1">
        <v>45961</v>
      </c>
      <c r="C2125">
        <v>321013</v>
      </c>
      <c r="D2125">
        <v>965.19299999999998</v>
      </c>
      <c r="E2125" t="s">
        <v>4</v>
      </c>
      <c r="F2125" t="s">
        <v>46</v>
      </c>
      <c r="G2125" t="s">
        <v>7</v>
      </c>
    </row>
    <row r="2126" spans="1:7" x14ac:dyDescent="0.3">
      <c r="A2126" t="s">
        <v>34</v>
      </c>
      <c r="B2126" s="1">
        <v>45961</v>
      </c>
      <c r="C2126">
        <v>321014</v>
      </c>
      <c r="D2126">
        <v>14280.563</v>
      </c>
      <c r="E2126" t="s">
        <v>4</v>
      </c>
      <c r="F2126" t="s">
        <v>46</v>
      </c>
      <c r="G2126" t="s">
        <v>7</v>
      </c>
    </row>
    <row r="2127" spans="1:7" x14ac:dyDescent="0.3">
      <c r="A2127" t="s">
        <v>34</v>
      </c>
      <c r="B2127" s="1">
        <v>45961</v>
      </c>
      <c r="C2127">
        <v>321025</v>
      </c>
      <c r="D2127">
        <v>95912.672000000006</v>
      </c>
      <c r="E2127" t="s">
        <v>4</v>
      </c>
      <c r="F2127" t="s">
        <v>46</v>
      </c>
      <c r="G2127" t="s">
        <v>7</v>
      </c>
    </row>
    <row r="2128" spans="1:7" x14ac:dyDescent="0.3">
      <c r="A2128" t="s">
        <v>34</v>
      </c>
      <c r="B2128" s="1">
        <v>45961</v>
      </c>
      <c r="C2128">
        <v>321029</v>
      </c>
      <c r="D2128">
        <v>30634.192999999999</v>
      </c>
      <c r="E2128" t="s">
        <v>4</v>
      </c>
      <c r="F2128" t="s">
        <v>46</v>
      </c>
      <c r="G2128" t="s">
        <v>7</v>
      </c>
    </row>
    <row r="2129" spans="1:7" x14ac:dyDescent="0.3">
      <c r="A2129" t="s">
        <v>34</v>
      </c>
      <c r="B2129" s="1">
        <v>45961</v>
      </c>
      <c r="C2129">
        <v>321041</v>
      </c>
      <c r="D2129">
        <v>15068.476000000001</v>
      </c>
      <c r="E2129" t="s">
        <v>4</v>
      </c>
      <c r="F2129" t="s">
        <v>46</v>
      </c>
      <c r="G2129" t="s">
        <v>7</v>
      </c>
    </row>
    <row r="2130" spans="1:7" x14ac:dyDescent="0.3">
      <c r="A2130" t="s">
        <v>34</v>
      </c>
      <c r="B2130" s="1">
        <v>45961</v>
      </c>
      <c r="C2130">
        <v>321042</v>
      </c>
      <c r="D2130">
        <v>-135.37799999999999</v>
      </c>
      <c r="E2130" t="s">
        <v>4</v>
      </c>
      <c r="F2130" t="s">
        <v>46</v>
      </c>
      <c r="G2130" t="s">
        <v>7</v>
      </c>
    </row>
    <row r="2131" spans="1:7" x14ac:dyDescent="0.3">
      <c r="A2131" t="s">
        <v>34</v>
      </c>
      <c r="B2131" s="1">
        <v>45961</v>
      </c>
      <c r="C2131">
        <v>330051</v>
      </c>
      <c r="D2131">
        <v>-11918.244000000001</v>
      </c>
      <c r="E2131" t="s">
        <v>4</v>
      </c>
      <c r="F2131" t="s">
        <v>43</v>
      </c>
      <c r="G2131" t="s">
        <v>7</v>
      </c>
    </row>
    <row r="2132" spans="1:7" x14ac:dyDescent="0.3">
      <c r="A2132" t="s">
        <v>34</v>
      </c>
      <c r="B2132" s="1">
        <v>45961</v>
      </c>
      <c r="C2132">
        <v>330065</v>
      </c>
      <c r="D2132">
        <v>296.935</v>
      </c>
      <c r="E2132" t="s">
        <v>4</v>
      </c>
      <c r="F2132" t="s">
        <v>43</v>
      </c>
      <c r="G2132" t="s">
        <v>7</v>
      </c>
    </row>
    <row r="2133" spans="1:7" x14ac:dyDescent="0.3">
      <c r="A2133" t="s">
        <v>34</v>
      </c>
      <c r="B2133" s="1">
        <v>45961</v>
      </c>
      <c r="C2133">
        <v>330138</v>
      </c>
      <c r="D2133">
        <v>-565.08100000000002</v>
      </c>
      <c r="E2133" t="s">
        <v>4</v>
      </c>
      <c r="F2133" t="s">
        <v>43</v>
      </c>
      <c r="G2133" t="s">
        <v>7</v>
      </c>
    </row>
    <row r="2134" spans="1:7" x14ac:dyDescent="0.3">
      <c r="A2134" t="s">
        <v>34</v>
      </c>
      <c r="B2134" s="1">
        <v>45961</v>
      </c>
      <c r="C2134">
        <v>340062</v>
      </c>
      <c r="D2134">
        <v>358771.04</v>
      </c>
      <c r="E2134" t="s">
        <v>4</v>
      </c>
      <c r="F2134" t="s">
        <v>47</v>
      </c>
      <c r="G2134" t="s">
        <v>7</v>
      </c>
    </row>
    <row r="2135" spans="1:7" x14ac:dyDescent="0.3">
      <c r="A2135" t="s">
        <v>34</v>
      </c>
      <c r="B2135" s="1">
        <v>45961</v>
      </c>
      <c r="C2135">
        <v>340063</v>
      </c>
      <c r="D2135">
        <v>14949889.916999999</v>
      </c>
      <c r="E2135" t="s">
        <v>4</v>
      </c>
      <c r="F2135" t="s">
        <v>47</v>
      </c>
      <c r="G2135" t="s">
        <v>7</v>
      </c>
    </row>
    <row r="2136" spans="1:7" x14ac:dyDescent="0.3">
      <c r="A2136" t="s">
        <v>34</v>
      </c>
      <c r="B2136" s="1">
        <v>45961</v>
      </c>
      <c r="C2136">
        <v>340064</v>
      </c>
      <c r="D2136">
        <v>-15193484.225</v>
      </c>
      <c r="E2136" t="s">
        <v>4</v>
      </c>
      <c r="F2136" t="s">
        <v>47</v>
      </c>
      <c r="G2136" t="s">
        <v>7</v>
      </c>
    </row>
    <row r="2137" spans="1:7" x14ac:dyDescent="0.3">
      <c r="A2137" t="s">
        <v>34</v>
      </c>
      <c r="B2137" s="1">
        <v>45961</v>
      </c>
      <c r="C2137">
        <v>340098</v>
      </c>
      <c r="D2137">
        <v>741.35699999999997</v>
      </c>
      <c r="E2137" t="s">
        <v>4</v>
      </c>
      <c r="F2137" t="s">
        <v>47</v>
      </c>
      <c r="G2137" t="s">
        <v>7</v>
      </c>
    </row>
    <row r="2138" spans="1:7" x14ac:dyDescent="0.3">
      <c r="A2138" t="s">
        <v>34</v>
      </c>
      <c r="B2138" s="1">
        <v>45961</v>
      </c>
      <c r="C2138">
        <v>340162</v>
      </c>
      <c r="D2138">
        <v>76453.501000000004</v>
      </c>
      <c r="E2138" t="s">
        <v>4</v>
      </c>
      <c r="F2138" t="s">
        <v>47</v>
      </c>
      <c r="G2138" t="s">
        <v>7</v>
      </c>
    </row>
    <row r="2139" spans="1:7" x14ac:dyDescent="0.3">
      <c r="A2139" t="s">
        <v>34</v>
      </c>
      <c r="B2139" s="1">
        <v>45961</v>
      </c>
      <c r="C2139">
        <v>340163</v>
      </c>
      <c r="D2139">
        <v>7555800.3090000004</v>
      </c>
      <c r="E2139" t="s">
        <v>4</v>
      </c>
      <c r="F2139" t="s">
        <v>47</v>
      </c>
      <c r="G2139" t="s">
        <v>7</v>
      </c>
    </row>
    <row r="2140" spans="1:7" x14ac:dyDescent="0.3">
      <c r="A2140" t="s">
        <v>34</v>
      </c>
      <c r="B2140" s="1">
        <v>45961</v>
      </c>
      <c r="C2140">
        <v>340164</v>
      </c>
      <c r="D2140">
        <v>-7408081.1969999997</v>
      </c>
      <c r="E2140" t="s">
        <v>4</v>
      </c>
      <c r="F2140" t="s">
        <v>47</v>
      </c>
      <c r="G2140" t="s">
        <v>7</v>
      </c>
    </row>
    <row r="2141" spans="1:7" x14ac:dyDescent="0.3">
      <c r="A2141" t="s">
        <v>34</v>
      </c>
      <c r="B2141" s="1">
        <v>45961</v>
      </c>
      <c r="C2141">
        <v>350002</v>
      </c>
      <c r="D2141">
        <v>811.39400000000001</v>
      </c>
      <c r="E2141" t="s">
        <v>4</v>
      </c>
      <c r="F2141" t="s">
        <v>49</v>
      </c>
      <c r="G2141" t="s">
        <v>7</v>
      </c>
    </row>
    <row r="2142" spans="1:7" x14ac:dyDescent="0.3">
      <c r="A2142" t="s">
        <v>34</v>
      </c>
      <c r="B2142" s="1">
        <v>45961</v>
      </c>
      <c r="C2142">
        <v>350003</v>
      </c>
      <c r="D2142">
        <v>-6048.884</v>
      </c>
      <c r="E2142" t="s">
        <v>4</v>
      </c>
      <c r="F2142" t="s">
        <v>49</v>
      </c>
      <c r="G2142" t="s">
        <v>7</v>
      </c>
    </row>
    <row r="2143" spans="1:7" x14ac:dyDescent="0.3">
      <c r="A2143" t="s">
        <v>34</v>
      </c>
      <c r="B2143" s="1">
        <v>45961</v>
      </c>
      <c r="C2143">
        <v>350031</v>
      </c>
      <c r="D2143">
        <v>234.88</v>
      </c>
      <c r="E2143" t="s">
        <v>4</v>
      </c>
      <c r="F2143" t="s">
        <v>43</v>
      </c>
      <c r="G2143" t="s">
        <v>7</v>
      </c>
    </row>
    <row r="2144" spans="1:7" x14ac:dyDescent="0.3">
      <c r="A2144" t="s">
        <v>34</v>
      </c>
      <c r="B2144" s="1">
        <v>45961</v>
      </c>
      <c r="C2144">
        <v>351004</v>
      </c>
      <c r="D2144">
        <v>3515.4769999999999</v>
      </c>
      <c r="E2144" t="s">
        <v>4</v>
      </c>
      <c r="F2144" t="s">
        <v>45</v>
      </c>
      <c r="G2144" t="s">
        <v>7</v>
      </c>
    </row>
    <row r="2145" spans="1:7" x14ac:dyDescent="0.3">
      <c r="A2145" t="s">
        <v>34</v>
      </c>
      <c r="B2145" s="1">
        <v>45961</v>
      </c>
      <c r="C2145">
        <v>354012</v>
      </c>
      <c r="D2145">
        <v>308491.88099999999</v>
      </c>
      <c r="E2145" t="s">
        <v>4</v>
      </c>
      <c r="F2145" t="s">
        <v>46</v>
      </c>
      <c r="G2145" t="s">
        <v>7</v>
      </c>
    </row>
    <row r="2146" spans="1:7" x14ac:dyDescent="0.3">
      <c r="A2146" t="s">
        <v>34</v>
      </c>
      <c r="B2146" s="1">
        <v>45961</v>
      </c>
      <c r="C2146">
        <v>354014</v>
      </c>
      <c r="D2146">
        <v>153694.109</v>
      </c>
      <c r="E2146" t="s">
        <v>4</v>
      </c>
      <c r="F2146" t="s">
        <v>46</v>
      </c>
      <c r="G2146" t="s">
        <v>7</v>
      </c>
    </row>
    <row r="2147" spans="1:7" x14ac:dyDescent="0.3">
      <c r="A2147" t="s">
        <v>34</v>
      </c>
      <c r="B2147" s="1">
        <v>45961</v>
      </c>
      <c r="C2147">
        <v>354015</v>
      </c>
      <c r="D2147">
        <v>8695.8780000000006</v>
      </c>
      <c r="E2147" t="s">
        <v>4</v>
      </c>
      <c r="F2147" t="s">
        <v>46</v>
      </c>
      <c r="G2147" t="s">
        <v>7</v>
      </c>
    </row>
    <row r="2148" spans="1:7" x14ac:dyDescent="0.3">
      <c r="A2148" t="s">
        <v>34</v>
      </c>
      <c r="B2148" s="1">
        <v>45961</v>
      </c>
      <c r="C2148">
        <v>360026</v>
      </c>
      <c r="D2148">
        <v>48574.447999999997</v>
      </c>
      <c r="E2148" t="s">
        <v>4</v>
      </c>
      <c r="F2148" t="s">
        <v>58</v>
      </c>
      <c r="G2148" t="s">
        <v>7</v>
      </c>
    </row>
    <row r="2149" spans="1:7" x14ac:dyDescent="0.3">
      <c r="A2149" t="s">
        <v>34</v>
      </c>
      <c r="B2149" s="1">
        <v>45961</v>
      </c>
      <c r="C2149">
        <v>360027</v>
      </c>
      <c r="D2149">
        <v>14459.397999999999</v>
      </c>
      <c r="E2149" t="s">
        <v>4</v>
      </c>
      <c r="F2149" t="s">
        <v>58</v>
      </c>
      <c r="G2149" t="s">
        <v>7</v>
      </c>
    </row>
    <row r="2150" spans="1:7" x14ac:dyDescent="0.3">
      <c r="A2150" t="s">
        <v>34</v>
      </c>
      <c r="B2150" s="1">
        <v>45961</v>
      </c>
      <c r="C2150">
        <v>360028</v>
      </c>
      <c r="D2150">
        <v>1473.915</v>
      </c>
      <c r="E2150" t="s">
        <v>4</v>
      </c>
      <c r="F2150" t="s">
        <v>58</v>
      </c>
      <c r="G2150" t="s">
        <v>7</v>
      </c>
    </row>
    <row r="2151" spans="1:7" x14ac:dyDescent="0.3">
      <c r="A2151" t="s">
        <v>34</v>
      </c>
      <c r="B2151" s="1">
        <v>45961</v>
      </c>
      <c r="C2151">
        <v>360030</v>
      </c>
      <c r="D2151">
        <v>29600.885999999999</v>
      </c>
      <c r="E2151" t="s">
        <v>4</v>
      </c>
      <c r="F2151" t="s">
        <v>58</v>
      </c>
      <c r="G2151" t="s">
        <v>7</v>
      </c>
    </row>
    <row r="2152" spans="1:7" x14ac:dyDescent="0.3">
      <c r="A2152" t="s">
        <v>34</v>
      </c>
      <c r="B2152" s="1">
        <v>45961</v>
      </c>
      <c r="C2152">
        <v>360032</v>
      </c>
      <c r="D2152">
        <v>102.64700000000001</v>
      </c>
      <c r="E2152" t="s">
        <v>4</v>
      </c>
      <c r="F2152" t="s">
        <v>58</v>
      </c>
      <c r="G2152" t="s">
        <v>7</v>
      </c>
    </row>
    <row r="2153" spans="1:7" x14ac:dyDescent="0.3">
      <c r="A2153" t="s">
        <v>34</v>
      </c>
      <c r="B2153" s="1">
        <v>45961</v>
      </c>
      <c r="C2153">
        <v>364502</v>
      </c>
      <c r="D2153">
        <v>40474.131999999998</v>
      </c>
      <c r="E2153" t="s">
        <v>4</v>
      </c>
      <c r="F2153" t="s">
        <v>58</v>
      </c>
      <c r="G2153" t="s">
        <v>7</v>
      </c>
    </row>
    <row r="2154" spans="1:7" x14ac:dyDescent="0.3">
      <c r="A2154" t="s">
        <v>34</v>
      </c>
      <c r="B2154" s="1">
        <v>45961</v>
      </c>
      <c r="C2154">
        <v>400002</v>
      </c>
      <c r="D2154">
        <v>-390.904</v>
      </c>
      <c r="E2154" t="s">
        <v>6</v>
      </c>
      <c r="F2154" t="s">
        <v>50</v>
      </c>
      <c r="G2154" t="s">
        <v>7</v>
      </c>
    </row>
    <row r="2155" spans="1:7" x14ac:dyDescent="0.3">
      <c r="A2155" t="s">
        <v>34</v>
      </c>
      <c r="B2155" s="1">
        <v>45961</v>
      </c>
      <c r="C2155">
        <v>400004</v>
      </c>
      <c r="D2155">
        <v>7760.5770000000002</v>
      </c>
      <c r="E2155" t="s">
        <v>6</v>
      </c>
      <c r="F2155" t="s">
        <v>50</v>
      </c>
      <c r="G2155" t="s">
        <v>7</v>
      </c>
    </row>
    <row r="2156" spans="1:7" x14ac:dyDescent="0.3">
      <c r="A2156" t="s">
        <v>34</v>
      </c>
      <c r="B2156" s="1">
        <v>45961</v>
      </c>
      <c r="C2156">
        <v>410002</v>
      </c>
      <c r="D2156">
        <v>-572489.277</v>
      </c>
      <c r="E2156" t="s">
        <v>6</v>
      </c>
      <c r="F2156" t="s">
        <v>51</v>
      </c>
      <c r="G2156" t="s">
        <v>7</v>
      </c>
    </row>
    <row r="2157" spans="1:7" x14ac:dyDescent="0.3">
      <c r="A2157" t="s">
        <v>34</v>
      </c>
      <c r="B2157" s="1">
        <v>45961</v>
      </c>
      <c r="C2157">
        <v>410009</v>
      </c>
      <c r="D2157">
        <v>-38724.747000000003</v>
      </c>
      <c r="E2157" t="s">
        <v>6</v>
      </c>
      <c r="F2157" t="s">
        <v>51</v>
      </c>
      <c r="G2157" t="s">
        <v>7</v>
      </c>
    </row>
    <row r="2158" spans="1:7" x14ac:dyDescent="0.3">
      <c r="A2158" t="s">
        <v>34</v>
      </c>
      <c r="B2158" s="1">
        <v>45961</v>
      </c>
      <c r="C2158">
        <v>410015</v>
      </c>
      <c r="D2158">
        <v>-543.49699999999996</v>
      </c>
      <c r="E2158" t="s">
        <v>6</v>
      </c>
      <c r="F2158" t="s">
        <v>51</v>
      </c>
      <c r="G2158" t="s">
        <v>7</v>
      </c>
    </row>
    <row r="2159" spans="1:7" x14ac:dyDescent="0.3">
      <c r="A2159" t="s">
        <v>34</v>
      </c>
      <c r="B2159" s="1">
        <v>45961</v>
      </c>
      <c r="C2159">
        <v>410019</v>
      </c>
      <c r="D2159">
        <v>75.513999999999996</v>
      </c>
      <c r="E2159" t="s">
        <v>6</v>
      </c>
      <c r="F2159" t="s">
        <v>51</v>
      </c>
      <c r="G2159" t="s">
        <v>7</v>
      </c>
    </row>
    <row r="2160" spans="1:7" x14ac:dyDescent="0.3">
      <c r="A2160" t="s">
        <v>34</v>
      </c>
      <c r="B2160" s="1">
        <v>45961</v>
      </c>
      <c r="C2160">
        <v>410032</v>
      </c>
      <c r="D2160">
        <v>-50266.911999999997</v>
      </c>
      <c r="E2160" t="s">
        <v>6</v>
      </c>
      <c r="F2160" t="s">
        <v>51</v>
      </c>
      <c r="G2160" t="s">
        <v>7</v>
      </c>
    </row>
    <row r="2161" spans="1:7" x14ac:dyDescent="0.3">
      <c r="A2161" t="s">
        <v>34</v>
      </c>
      <c r="B2161" s="1">
        <v>45961</v>
      </c>
      <c r="C2161">
        <v>410036</v>
      </c>
      <c r="D2161">
        <v>-285.65199999999999</v>
      </c>
      <c r="E2161" t="s">
        <v>6</v>
      </c>
      <c r="F2161" t="s">
        <v>51</v>
      </c>
      <c r="G2161" t="s">
        <v>7</v>
      </c>
    </row>
    <row r="2162" spans="1:7" x14ac:dyDescent="0.3">
      <c r="A2162" t="s">
        <v>34</v>
      </c>
      <c r="B2162" s="1">
        <v>45961</v>
      </c>
      <c r="C2162">
        <v>410037</v>
      </c>
      <c r="D2162">
        <v>-53705.953000000001</v>
      </c>
      <c r="E2162" t="s">
        <v>6</v>
      </c>
      <c r="F2162" t="s">
        <v>51</v>
      </c>
      <c r="G2162" t="s">
        <v>7</v>
      </c>
    </row>
    <row r="2163" spans="1:7" x14ac:dyDescent="0.3">
      <c r="A2163" t="s">
        <v>34</v>
      </c>
      <c r="B2163" s="1">
        <v>45961</v>
      </c>
      <c r="C2163">
        <v>415002</v>
      </c>
      <c r="D2163">
        <v>-801699.16399999999</v>
      </c>
      <c r="E2163" t="s">
        <v>6</v>
      </c>
      <c r="F2163" t="s">
        <v>50</v>
      </c>
      <c r="G2163" t="s">
        <v>7</v>
      </c>
    </row>
    <row r="2164" spans="1:7" x14ac:dyDescent="0.3">
      <c r="A2164" t="s">
        <v>34</v>
      </c>
      <c r="B2164" s="1">
        <v>45961</v>
      </c>
      <c r="C2164">
        <v>415003</v>
      </c>
      <c r="D2164">
        <v>-5171.1239999999998</v>
      </c>
      <c r="E2164" t="s">
        <v>6</v>
      </c>
      <c r="F2164" t="s">
        <v>50</v>
      </c>
      <c r="G2164" t="s">
        <v>7</v>
      </c>
    </row>
    <row r="2165" spans="1:7" x14ac:dyDescent="0.3">
      <c r="A2165" t="s">
        <v>34</v>
      </c>
      <c r="B2165" s="1">
        <v>45961</v>
      </c>
      <c r="C2165">
        <v>415004</v>
      </c>
      <c r="D2165">
        <v>-1156852.1170000001</v>
      </c>
      <c r="E2165" t="s">
        <v>6</v>
      </c>
      <c r="F2165" t="s">
        <v>50</v>
      </c>
      <c r="G2165" t="s">
        <v>7</v>
      </c>
    </row>
    <row r="2166" spans="1:7" x14ac:dyDescent="0.3">
      <c r="A2166" t="s">
        <v>34</v>
      </c>
      <c r="B2166" s="1">
        <v>45961</v>
      </c>
      <c r="C2166">
        <v>420002</v>
      </c>
      <c r="D2166">
        <v>-4.3999999999999997E-2</v>
      </c>
      <c r="E2166" t="s">
        <v>6</v>
      </c>
      <c r="F2166" t="s">
        <v>52</v>
      </c>
      <c r="G2166" t="s">
        <v>7</v>
      </c>
    </row>
    <row r="2167" spans="1:7" x14ac:dyDescent="0.3">
      <c r="A2167" t="s">
        <v>34</v>
      </c>
      <c r="B2167" s="1">
        <v>45961</v>
      </c>
      <c r="C2167">
        <v>420004</v>
      </c>
      <c r="D2167">
        <v>-0.17499999999999999</v>
      </c>
      <c r="E2167" t="s">
        <v>6</v>
      </c>
      <c r="F2167" t="s">
        <v>52</v>
      </c>
      <c r="G2167" t="s">
        <v>7</v>
      </c>
    </row>
    <row r="2168" spans="1:7" x14ac:dyDescent="0.3">
      <c r="A2168" t="s">
        <v>34</v>
      </c>
      <c r="B2168" s="1">
        <v>45961</v>
      </c>
      <c r="C2168">
        <v>421002</v>
      </c>
      <c r="D2168">
        <v>1445.309</v>
      </c>
      <c r="E2168" t="s">
        <v>6</v>
      </c>
      <c r="F2168" t="s">
        <v>52</v>
      </c>
      <c r="G2168" t="s">
        <v>7</v>
      </c>
    </row>
    <row r="2169" spans="1:7" x14ac:dyDescent="0.3">
      <c r="A2169" t="s">
        <v>34</v>
      </c>
      <c r="B2169" s="1">
        <v>45961</v>
      </c>
      <c r="C2169">
        <v>421003</v>
      </c>
      <c r="D2169">
        <v>-15770.103999999999</v>
      </c>
      <c r="E2169" t="s">
        <v>6</v>
      </c>
      <c r="F2169" t="s">
        <v>52</v>
      </c>
      <c r="G2169" t="s">
        <v>7</v>
      </c>
    </row>
    <row r="2170" spans="1:7" x14ac:dyDescent="0.3">
      <c r="A2170" t="s">
        <v>34</v>
      </c>
      <c r="B2170" s="1">
        <v>45961</v>
      </c>
      <c r="C2170">
        <v>421007</v>
      </c>
      <c r="D2170">
        <v>114.101</v>
      </c>
      <c r="E2170" t="s">
        <v>6</v>
      </c>
      <c r="F2170" t="s">
        <v>52</v>
      </c>
      <c r="G2170" t="s">
        <v>7</v>
      </c>
    </row>
    <row r="2171" spans="1:7" x14ac:dyDescent="0.3">
      <c r="A2171" t="s">
        <v>34</v>
      </c>
      <c r="B2171" s="1">
        <v>45961</v>
      </c>
      <c r="C2171">
        <v>510002</v>
      </c>
      <c r="D2171">
        <v>724539.49699999997</v>
      </c>
      <c r="E2171" t="s">
        <v>6</v>
      </c>
      <c r="F2171" t="s">
        <v>53</v>
      </c>
      <c r="G2171" t="s">
        <v>7</v>
      </c>
    </row>
    <row r="2172" spans="1:7" x14ac:dyDescent="0.3">
      <c r="A2172" t="s">
        <v>34</v>
      </c>
      <c r="B2172" s="1">
        <v>45961</v>
      </c>
      <c r="C2172">
        <v>510005</v>
      </c>
      <c r="D2172">
        <v>34242.425000000003</v>
      </c>
      <c r="E2172" t="s">
        <v>6</v>
      </c>
      <c r="F2172" t="s">
        <v>53</v>
      </c>
      <c r="G2172" t="s">
        <v>7</v>
      </c>
    </row>
    <row r="2173" spans="1:7" x14ac:dyDescent="0.3">
      <c r="A2173" t="s">
        <v>34</v>
      </c>
      <c r="B2173" s="1">
        <v>45961</v>
      </c>
      <c r="C2173">
        <v>510007</v>
      </c>
      <c r="D2173">
        <v>86712.235000000001</v>
      </c>
      <c r="E2173" t="s">
        <v>6</v>
      </c>
      <c r="F2173" t="s">
        <v>53</v>
      </c>
      <c r="G2173" t="s">
        <v>7</v>
      </c>
    </row>
    <row r="2174" spans="1:7" x14ac:dyDescent="0.3">
      <c r="A2174" t="s">
        <v>34</v>
      </c>
      <c r="B2174" s="1">
        <v>45961</v>
      </c>
      <c r="C2174">
        <v>510010</v>
      </c>
      <c r="D2174">
        <v>13394.029</v>
      </c>
      <c r="E2174" t="s">
        <v>6</v>
      </c>
      <c r="F2174" t="s">
        <v>53</v>
      </c>
      <c r="G2174" t="s">
        <v>7</v>
      </c>
    </row>
    <row r="2175" spans="1:7" x14ac:dyDescent="0.3">
      <c r="A2175" t="s">
        <v>34</v>
      </c>
      <c r="B2175" s="1">
        <v>45961</v>
      </c>
      <c r="C2175">
        <v>510012</v>
      </c>
      <c r="D2175">
        <v>13679.023999999999</v>
      </c>
      <c r="E2175" t="s">
        <v>6</v>
      </c>
      <c r="F2175" t="s">
        <v>53</v>
      </c>
      <c r="G2175" t="s">
        <v>7</v>
      </c>
    </row>
    <row r="2176" spans="1:7" x14ac:dyDescent="0.3">
      <c r="A2176" t="s">
        <v>34</v>
      </c>
      <c r="B2176" s="1">
        <v>45961</v>
      </c>
      <c r="C2176">
        <v>510015</v>
      </c>
      <c r="D2176">
        <v>56313.470999999998</v>
      </c>
      <c r="E2176" t="s">
        <v>6</v>
      </c>
      <c r="F2176" t="s">
        <v>53</v>
      </c>
      <c r="G2176" t="s">
        <v>7</v>
      </c>
    </row>
    <row r="2177" spans="1:7" x14ac:dyDescent="0.3">
      <c r="A2177" t="s">
        <v>34</v>
      </c>
      <c r="B2177" s="1">
        <v>45961</v>
      </c>
      <c r="C2177">
        <v>510018</v>
      </c>
      <c r="D2177">
        <v>108105.73699999999</v>
      </c>
      <c r="E2177" t="s">
        <v>6</v>
      </c>
      <c r="F2177" t="s">
        <v>53</v>
      </c>
      <c r="G2177" t="s">
        <v>7</v>
      </c>
    </row>
    <row r="2178" spans="1:7" x14ac:dyDescent="0.3">
      <c r="A2178" t="s">
        <v>34</v>
      </c>
      <c r="B2178" s="1">
        <v>45961</v>
      </c>
      <c r="C2178">
        <v>510059</v>
      </c>
      <c r="D2178">
        <v>1391.8889999999999</v>
      </c>
      <c r="E2178" t="s">
        <v>6</v>
      </c>
      <c r="F2178" t="s">
        <v>53</v>
      </c>
      <c r="G2178" t="s">
        <v>7</v>
      </c>
    </row>
    <row r="2179" spans="1:7" x14ac:dyDescent="0.3">
      <c r="A2179" t="s">
        <v>34</v>
      </c>
      <c r="B2179" s="1">
        <v>45961</v>
      </c>
      <c r="C2179">
        <v>510062</v>
      </c>
      <c r="D2179">
        <v>18896.949000000001</v>
      </c>
      <c r="E2179" t="s">
        <v>6</v>
      </c>
      <c r="F2179" t="s">
        <v>53</v>
      </c>
      <c r="G2179" t="s">
        <v>7</v>
      </c>
    </row>
    <row r="2180" spans="1:7" x14ac:dyDescent="0.3">
      <c r="A2180" t="s">
        <v>34</v>
      </c>
      <c r="B2180" s="1">
        <v>45961</v>
      </c>
      <c r="C2180">
        <v>510064</v>
      </c>
      <c r="D2180">
        <v>495.61799999999999</v>
      </c>
      <c r="E2180" t="s">
        <v>6</v>
      </c>
      <c r="F2180" t="s">
        <v>53</v>
      </c>
      <c r="G2180" t="s">
        <v>7</v>
      </c>
    </row>
    <row r="2181" spans="1:7" x14ac:dyDescent="0.3">
      <c r="A2181" t="s">
        <v>34</v>
      </c>
      <c r="B2181" s="1">
        <v>45961</v>
      </c>
      <c r="C2181">
        <v>510065</v>
      </c>
      <c r="D2181">
        <v>4871.723</v>
      </c>
      <c r="E2181" t="s">
        <v>6</v>
      </c>
      <c r="F2181" t="s">
        <v>53</v>
      </c>
      <c r="G2181" t="s">
        <v>7</v>
      </c>
    </row>
    <row r="2182" spans="1:7" x14ac:dyDescent="0.3">
      <c r="A2182" t="s">
        <v>34</v>
      </c>
      <c r="B2182" s="1">
        <v>45961</v>
      </c>
      <c r="C2182">
        <v>520021</v>
      </c>
      <c r="D2182">
        <v>2117.7539999999999</v>
      </c>
      <c r="E2182" t="s">
        <v>6</v>
      </c>
      <c r="F2182" t="s">
        <v>60</v>
      </c>
      <c r="G2182" t="s">
        <v>7</v>
      </c>
    </row>
    <row r="2183" spans="1:7" x14ac:dyDescent="0.3">
      <c r="A2183" t="s">
        <v>34</v>
      </c>
      <c r="B2183" s="1">
        <v>45961</v>
      </c>
      <c r="C2183">
        <v>530012</v>
      </c>
      <c r="D2183">
        <v>42128.332999999999</v>
      </c>
      <c r="E2183" t="s">
        <v>6</v>
      </c>
      <c r="F2183" t="s">
        <v>53</v>
      </c>
      <c r="G2183" t="s">
        <v>7</v>
      </c>
    </row>
    <row r="2184" spans="1:7" x14ac:dyDescent="0.3">
      <c r="A2184" t="s">
        <v>34</v>
      </c>
      <c r="B2184" s="1">
        <v>45961</v>
      </c>
      <c r="C2184">
        <v>541002</v>
      </c>
      <c r="D2184">
        <v>4930.1629999999996</v>
      </c>
      <c r="E2184" t="s">
        <v>6</v>
      </c>
      <c r="F2184" t="s">
        <v>61</v>
      </c>
      <c r="G2184" t="s">
        <v>7</v>
      </c>
    </row>
    <row r="2185" spans="1:7" x14ac:dyDescent="0.3">
      <c r="A2185" t="s">
        <v>34</v>
      </c>
      <c r="B2185" s="1">
        <v>45961</v>
      </c>
      <c r="C2185">
        <v>541004</v>
      </c>
      <c r="D2185">
        <v>1979.443</v>
      </c>
      <c r="E2185" t="s">
        <v>6</v>
      </c>
      <c r="F2185" t="s">
        <v>61</v>
      </c>
      <c r="G2185" t="s">
        <v>7</v>
      </c>
    </row>
    <row r="2186" spans="1:7" x14ac:dyDescent="0.3">
      <c r="A2186" t="s">
        <v>34</v>
      </c>
      <c r="B2186" s="1">
        <v>45961</v>
      </c>
      <c r="C2186">
        <v>541008</v>
      </c>
      <c r="D2186">
        <v>3106.0070000000001</v>
      </c>
      <c r="E2186" t="s">
        <v>6</v>
      </c>
      <c r="F2186" t="s">
        <v>61</v>
      </c>
      <c r="G2186" t="s">
        <v>7</v>
      </c>
    </row>
    <row r="2187" spans="1:7" x14ac:dyDescent="0.3">
      <c r="A2187" t="s">
        <v>34</v>
      </c>
      <c r="B2187" s="1">
        <v>45961</v>
      </c>
      <c r="C2187">
        <v>541009</v>
      </c>
      <c r="D2187">
        <v>19978.839</v>
      </c>
      <c r="E2187" t="s">
        <v>6</v>
      </c>
      <c r="F2187" t="s">
        <v>61</v>
      </c>
      <c r="G2187" t="s">
        <v>7</v>
      </c>
    </row>
    <row r="2188" spans="1:7" x14ac:dyDescent="0.3">
      <c r="A2188" t="s">
        <v>34</v>
      </c>
      <c r="B2188" s="1">
        <v>45961</v>
      </c>
      <c r="C2188">
        <v>541010</v>
      </c>
      <c r="D2188">
        <v>9218.6319999999996</v>
      </c>
      <c r="E2188" t="s">
        <v>6</v>
      </c>
      <c r="F2188" t="s">
        <v>61</v>
      </c>
      <c r="G2188" t="s">
        <v>7</v>
      </c>
    </row>
    <row r="2189" spans="1:7" x14ac:dyDescent="0.3">
      <c r="A2189" t="s">
        <v>34</v>
      </c>
      <c r="B2189" s="1">
        <v>45961</v>
      </c>
      <c r="C2189">
        <v>541012</v>
      </c>
      <c r="D2189">
        <v>33.859000000000002</v>
      </c>
      <c r="E2189" t="s">
        <v>6</v>
      </c>
      <c r="F2189" t="s">
        <v>61</v>
      </c>
      <c r="G2189" t="s">
        <v>7</v>
      </c>
    </row>
    <row r="2190" spans="1:7" x14ac:dyDescent="0.3">
      <c r="A2190" t="s">
        <v>34</v>
      </c>
      <c r="B2190" s="1">
        <v>45961</v>
      </c>
      <c r="C2190">
        <v>541013</v>
      </c>
      <c r="D2190">
        <v>3136.8110000000001</v>
      </c>
      <c r="E2190" t="s">
        <v>6</v>
      </c>
      <c r="F2190" t="s">
        <v>61</v>
      </c>
      <c r="G2190" t="s">
        <v>7</v>
      </c>
    </row>
    <row r="2191" spans="1:7" x14ac:dyDescent="0.3">
      <c r="A2191" t="s">
        <v>34</v>
      </c>
      <c r="B2191" s="1">
        <v>45961</v>
      </c>
      <c r="C2191">
        <v>541023</v>
      </c>
      <c r="D2191">
        <v>625.46</v>
      </c>
      <c r="E2191" t="s">
        <v>6</v>
      </c>
      <c r="F2191" t="s">
        <v>61</v>
      </c>
      <c r="G2191" t="s">
        <v>7</v>
      </c>
    </row>
    <row r="2192" spans="1:7" x14ac:dyDescent="0.3">
      <c r="A2192" t="s">
        <v>34</v>
      </c>
      <c r="B2192" s="1">
        <v>45961</v>
      </c>
      <c r="C2192">
        <v>544003</v>
      </c>
      <c r="D2192">
        <v>56.267000000000003</v>
      </c>
      <c r="E2192" t="s">
        <v>6</v>
      </c>
      <c r="F2192" t="s">
        <v>61</v>
      </c>
      <c r="G2192" t="s">
        <v>7</v>
      </c>
    </row>
    <row r="2193" spans="1:7" x14ac:dyDescent="0.3">
      <c r="A2193" t="s">
        <v>34</v>
      </c>
      <c r="B2193" s="1">
        <v>45961</v>
      </c>
      <c r="C2193">
        <v>544006</v>
      </c>
      <c r="D2193">
        <v>-1205.712</v>
      </c>
      <c r="E2193" t="s">
        <v>6</v>
      </c>
      <c r="F2193" t="s">
        <v>61</v>
      </c>
      <c r="G2193" t="s">
        <v>7</v>
      </c>
    </row>
    <row r="2194" spans="1:7" x14ac:dyDescent="0.3">
      <c r="A2194" t="s">
        <v>34</v>
      </c>
      <c r="B2194" s="1">
        <v>45961</v>
      </c>
      <c r="C2194">
        <v>546002</v>
      </c>
      <c r="D2194">
        <v>1091637.0120000001</v>
      </c>
      <c r="E2194" t="s">
        <v>6</v>
      </c>
      <c r="F2194" t="s">
        <v>51</v>
      </c>
      <c r="G2194" t="s">
        <v>7</v>
      </c>
    </row>
    <row r="2195" spans="1:7" x14ac:dyDescent="0.3">
      <c r="A2195" t="s">
        <v>34</v>
      </c>
      <c r="B2195" s="1">
        <v>45961</v>
      </c>
      <c r="C2195">
        <v>546008</v>
      </c>
      <c r="D2195">
        <v>4298.3609999999999</v>
      </c>
      <c r="E2195" t="s">
        <v>6</v>
      </c>
      <c r="F2195" t="s">
        <v>51</v>
      </c>
      <c r="G2195" t="s">
        <v>7</v>
      </c>
    </row>
    <row r="2196" spans="1:7" x14ac:dyDescent="0.3">
      <c r="A2196" t="s">
        <v>34</v>
      </c>
      <c r="B2196" s="1">
        <v>45961</v>
      </c>
      <c r="C2196">
        <v>546013</v>
      </c>
      <c r="D2196">
        <v>227456.18400000001</v>
      </c>
      <c r="E2196" t="s">
        <v>6</v>
      </c>
      <c r="F2196" t="s">
        <v>51</v>
      </c>
      <c r="G2196" t="s">
        <v>7</v>
      </c>
    </row>
    <row r="2197" spans="1:7" x14ac:dyDescent="0.3">
      <c r="A2197" t="s">
        <v>34</v>
      </c>
      <c r="B2197" s="1">
        <v>45961</v>
      </c>
      <c r="C2197">
        <v>546016</v>
      </c>
      <c r="D2197">
        <v>34358.36</v>
      </c>
      <c r="E2197" t="s">
        <v>6</v>
      </c>
      <c r="F2197" t="s">
        <v>51</v>
      </c>
      <c r="G2197" t="s">
        <v>7</v>
      </c>
    </row>
    <row r="2198" spans="1:7" x14ac:dyDescent="0.3">
      <c r="A2198" t="s">
        <v>34</v>
      </c>
      <c r="B2198" s="1">
        <v>45961</v>
      </c>
      <c r="C2198">
        <v>546035</v>
      </c>
      <c r="D2198">
        <v>66923.866999999998</v>
      </c>
      <c r="E2198" t="s">
        <v>6</v>
      </c>
      <c r="F2198" t="s">
        <v>51</v>
      </c>
      <c r="G2198" t="s">
        <v>7</v>
      </c>
    </row>
    <row r="2199" spans="1:7" x14ac:dyDescent="0.3">
      <c r="A2199" t="s">
        <v>34</v>
      </c>
      <c r="B2199" s="1">
        <v>45961</v>
      </c>
      <c r="C2199">
        <v>546040</v>
      </c>
      <c r="D2199">
        <v>28355.830999999998</v>
      </c>
      <c r="E2199" t="s">
        <v>6</v>
      </c>
      <c r="F2199" t="s">
        <v>51</v>
      </c>
      <c r="G2199" t="s">
        <v>7</v>
      </c>
    </row>
    <row r="2200" spans="1:7" x14ac:dyDescent="0.3">
      <c r="A2200" t="s">
        <v>34</v>
      </c>
      <c r="B2200" s="1">
        <v>45961</v>
      </c>
      <c r="C2200">
        <v>546045</v>
      </c>
      <c r="D2200">
        <v>1465.7</v>
      </c>
      <c r="E2200" t="s">
        <v>6</v>
      </c>
      <c r="F2200" t="s">
        <v>51</v>
      </c>
      <c r="G2200" t="s">
        <v>7</v>
      </c>
    </row>
    <row r="2201" spans="1:7" x14ac:dyDescent="0.3">
      <c r="A2201" t="s">
        <v>34</v>
      </c>
      <c r="B2201" s="1">
        <v>45961</v>
      </c>
      <c r="C2201">
        <v>546047</v>
      </c>
      <c r="D2201">
        <v>44.667000000000002</v>
      </c>
      <c r="E2201" t="s">
        <v>6</v>
      </c>
      <c r="F2201" t="s">
        <v>51</v>
      </c>
      <c r="G2201" t="s">
        <v>7</v>
      </c>
    </row>
    <row r="2202" spans="1:7" x14ac:dyDescent="0.3">
      <c r="A2202" t="s">
        <v>34</v>
      </c>
      <c r="B2202" s="1">
        <v>45961</v>
      </c>
      <c r="C2202">
        <v>547002</v>
      </c>
      <c r="D2202">
        <v>13490.76</v>
      </c>
      <c r="E2202" t="s">
        <v>6</v>
      </c>
      <c r="F2202" t="s">
        <v>54</v>
      </c>
      <c r="G2202" t="s">
        <v>7</v>
      </c>
    </row>
    <row r="2203" spans="1:7" x14ac:dyDescent="0.3">
      <c r="A2203" t="s">
        <v>34</v>
      </c>
      <c r="B2203" s="1">
        <v>45961</v>
      </c>
      <c r="C2203">
        <v>547006</v>
      </c>
      <c r="D2203">
        <v>22482.076000000001</v>
      </c>
      <c r="E2203" t="s">
        <v>6</v>
      </c>
      <c r="F2203" t="s">
        <v>54</v>
      </c>
      <c r="G2203" t="s">
        <v>7</v>
      </c>
    </row>
    <row r="2204" spans="1:7" x14ac:dyDescent="0.3">
      <c r="A2204" t="s">
        <v>34</v>
      </c>
      <c r="B2204" s="1">
        <v>45961</v>
      </c>
      <c r="C2204">
        <v>550003</v>
      </c>
      <c r="D2204">
        <v>79902.232999999993</v>
      </c>
      <c r="E2204" t="s">
        <v>6</v>
      </c>
      <c r="F2204" t="s">
        <v>62</v>
      </c>
      <c r="G2204" t="s">
        <v>7</v>
      </c>
    </row>
    <row r="2205" spans="1:7" x14ac:dyDescent="0.3">
      <c r="A2205" t="s">
        <v>34</v>
      </c>
      <c r="B2205" s="1">
        <v>45961</v>
      </c>
      <c r="C2205">
        <v>551008</v>
      </c>
      <c r="D2205">
        <v>156.51599999999999</v>
      </c>
      <c r="E2205" t="s">
        <v>6</v>
      </c>
      <c r="F2205" t="s">
        <v>63</v>
      </c>
      <c r="G2205" t="s">
        <v>7</v>
      </c>
    </row>
    <row r="2206" spans="1:7" x14ac:dyDescent="0.3">
      <c r="A2206" t="s">
        <v>34</v>
      </c>
      <c r="B2206" s="1">
        <v>45961</v>
      </c>
      <c r="C2206">
        <v>552504</v>
      </c>
      <c r="D2206">
        <v>41.100999999999999</v>
      </c>
      <c r="E2206" t="s">
        <v>6</v>
      </c>
      <c r="F2206" t="s">
        <v>55</v>
      </c>
      <c r="G2206" t="s">
        <v>7</v>
      </c>
    </row>
    <row r="2207" spans="1:7" x14ac:dyDescent="0.3">
      <c r="A2207" t="s">
        <v>34</v>
      </c>
      <c r="B2207" s="1">
        <v>45961</v>
      </c>
      <c r="C2207">
        <v>555007</v>
      </c>
      <c r="D2207">
        <v>39.159999999999997</v>
      </c>
      <c r="E2207" t="s">
        <v>6</v>
      </c>
      <c r="F2207" t="s">
        <v>55</v>
      </c>
      <c r="G2207" t="s">
        <v>7</v>
      </c>
    </row>
    <row r="2208" spans="1:7" x14ac:dyDescent="0.3">
      <c r="A2208" t="s">
        <v>34</v>
      </c>
      <c r="B2208" s="1">
        <v>45961</v>
      </c>
      <c r="C2208">
        <v>555508</v>
      </c>
      <c r="D2208">
        <v>27.116</v>
      </c>
      <c r="E2208" t="s">
        <v>6</v>
      </c>
      <c r="F2208" t="s">
        <v>55</v>
      </c>
      <c r="G2208" t="s">
        <v>7</v>
      </c>
    </row>
    <row r="2209" spans="1:7" x14ac:dyDescent="0.3">
      <c r="A2209" t="s">
        <v>34</v>
      </c>
      <c r="B2209" s="1">
        <v>45961</v>
      </c>
      <c r="C2209">
        <v>556002</v>
      </c>
      <c r="D2209">
        <v>150.78399999999999</v>
      </c>
      <c r="E2209" t="s">
        <v>6</v>
      </c>
      <c r="F2209" t="s">
        <v>60</v>
      </c>
      <c r="G2209" t="s">
        <v>7</v>
      </c>
    </row>
    <row r="2210" spans="1:7" x14ac:dyDescent="0.3">
      <c r="A2210" t="s">
        <v>34</v>
      </c>
      <c r="B2210" s="1">
        <v>45961</v>
      </c>
      <c r="C2210">
        <v>557002</v>
      </c>
      <c r="D2210">
        <v>4035.8240000000001</v>
      </c>
      <c r="E2210" t="s">
        <v>6</v>
      </c>
      <c r="F2210" t="s">
        <v>56</v>
      </c>
      <c r="G2210" t="s">
        <v>7</v>
      </c>
    </row>
    <row r="2211" spans="1:7" x14ac:dyDescent="0.3">
      <c r="A2211" t="s">
        <v>34</v>
      </c>
      <c r="B2211" s="1">
        <v>45961</v>
      </c>
      <c r="C2211">
        <v>557003</v>
      </c>
      <c r="D2211">
        <v>258.125</v>
      </c>
      <c r="E2211" t="s">
        <v>6</v>
      </c>
      <c r="F2211" t="s">
        <v>56</v>
      </c>
      <c r="G2211" t="s">
        <v>7</v>
      </c>
    </row>
    <row r="2212" spans="1:7" x14ac:dyDescent="0.3">
      <c r="A2212" t="s">
        <v>34</v>
      </c>
      <c r="B2212" s="1">
        <v>45961</v>
      </c>
      <c r="C2212">
        <v>558012</v>
      </c>
      <c r="D2212">
        <v>6792.7190000000001</v>
      </c>
      <c r="E2212" t="s">
        <v>6</v>
      </c>
      <c r="F2212" t="s">
        <v>60</v>
      </c>
      <c r="G2212" t="s">
        <v>7</v>
      </c>
    </row>
    <row r="2213" spans="1:7" x14ac:dyDescent="0.3">
      <c r="A2213" t="s">
        <v>34</v>
      </c>
      <c r="B2213" s="1">
        <v>45961</v>
      </c>
      <c r="C2213">
        <v>559002</v>
      </c>
      <c r="D2213">
        <v>59.895000000000003</v>
      </c>
      <c r="E2213" t="s">
        <v>6</v>
      </c>
      <c r="F2213" t="s">
        <v>60</v>
      </c>
      <c r="G2213" t="s">
        <v>7</v>
      </c>
    </row>
    <row r="2214" spans="1:7" x14ac:dyDescent="0.3">
      <c r="A2214" t="s">
        <v>34</v>
      </c>
      <c r="B2214" s="1">
        <v>45961</v>
      </c>
      <c r="C2214">
        <v>563002</v>
      </c>
      <c r="D2214">
        <v>5641.3890000000001</v>
      </c>
      <c r="E2214" t="s">
        <v>6</v>
      </c>
      <c r="F2214" t="s">
        <v>57</v>
      </c>
      <c r="G2214" t="s">
        <v>7</v>
      </c>
    </row>
    <row r="2215" spans="1:7" x14ac:dyDescent="0.3">
      <c r="A2215" t="s">
        <v>34</v>
      </c>
      <c r="B2215" s="1">
        <v>45961</v>
      </c>
      <c r="C2215">
        <v>564004</v>
      </c>
      <c r="D2215">
        <v>21057.308000000001</v>
      </c>
      <c r="E2215" t="s">
        <v>6</v>
      </c>
      <c r="F2215" t="s">
        <v>51</v>
      </c>
      <c r="G2215" t="s">
        <v>7</v>
      </c>
    </row>
    <row r="2216" spans="1:7" x14ac:dyDescent="0.3">
      <c r="A2216" t="s">
        <v>34</v>
      </c>
      <c r="B2216" s="1">
        <v>45961</v>
      </c>
      <c r="C2216">
        <v>564006</v>
      </c>
      <c r="D2216">
        <v>-0.122</v>
      </c>
      <c r="E2216" t="s">
        <v>6</v>
      </c>
      <c r="F2216" t="s">
        <v>57</v>
      </c>
      <c r="G2216" t="s">
        <v>7</v>
      </c>
    </row>
    <row r="2217" spans="1:7" x14ac:dyDescent="0.3">
      <c r="A2217" t="s">
        <v>34</v>
      </c>
      <c r="B2217" s="1">
        <v>45961</v>
      </c>
      <c r="C2217">
        <v>564020</v>
      </c>
      <c r="D2217">
        <v>107.87</v>
      </c>
      <c r="E2217" t="s">
        <v>6</v>
      </c>
      <c r="F2217" t="s">
        <v>57</v>
      </c>
      <c r="G2217" t="s">
        <v>7</v>
      </c>
    </row>
    <row r="2218" spans="1:7" x14ac:dyDescent="0.3">
      <c r="A2218" t="s">
        <v>34</v>
      </c>
      <c r="B2218" s="1">
        <v>45961</v>
      </c>
      <c r="C2218">
        <v>564021</v>
      </c>
      <c r="D2218">
        <v>2.9550000000000001</v>
      </c>
      <c r="E2218" t="s">
        <v>6</v>
      </c>
      <c r="F2218" t="s">
        <v>57</v>
      </c>
      <c r="G2218" t="s">
        <v>7</v>
      </c>
    </row>
    <row r="2219" spans="1:7" x14ac:dyDescent="0.3">
      <c r="A2219" t="s">
        <v>34</v>
      </c>
      <c r="B2219" s="1">
        <v>45961</v>
      </c>
      <c r="C2219">
        <v>570002</v>
      </c>
      <c r="D2219">
        <v>13.263999999999999</v>
      </c>
      <c r="E2219" t="s">
        <v>6</v>
      </c>
      <c r="F2219" t="s">
        <v>66</v>
      </c>
      <c r="G2219" t="s">
        <v>7</v>
      </c>
    </row>
    <row r="2220" spans="1:7" x14ac:dyDescent="0.3">
      <c r="A2220" t="s">
        <v>34</v>
      </c>
      <c r="B2220" s="1">
        <v>45961</v>
      </c>
      <c r="C2220">
        <v>580002</v>
      </c>
      <c r="D2220">
        <v>64.022999999999996</v>
      </c>
      <c r="E2220" t="s">
        <v>6</v>
      </c>
      <c r="F2220" t="s">
        <v>64</v>
      </c>
      <c r="G2220" t="s">
        <v>7</v>
      </c>
    </row>
    <row r="2221" spans="1:7" x14ac:dyDescent="0.3">
      <c r="A2221" t="s">
        <v>34</v>
      </c>
      <c r="B2221" s="1">
        <v>45961</v>
      </c>
      <c r="C2221">
        <v>580003</v>
      </c>
      <c r="D2221">
        <v>-4217.174</v>
      </c>
      <c r="E2221" t="s">
        <v>6</v>
      </c>
      <c r="F2221" t="s">
        <v>64</v>
      </c>
      <c r="G2221" t="s">
        <v>7</v>
      </c>
    </row>
    <row r="2222" spans="1:7" x14ac:dyDescent="0.3">
      <c r="A2222" t="s">
        <v>35</v>
      </c>
      <c r="B2222" s="1">
        <v>45961</v>
      </c>
      <c r="C2222">
        <v>210002</v>
      </c>
      <c r="D2222">
        <v>-64154.5</v>
      </c>
      <c r="E2222" t="s">
        <v>4</v>
      </c>
      <c r="F2222" t="s">
        <v>42</v>
      </c>
      <c r="G2222" t="s">
        <v>7</v>
      </c>
    </row>
    <row r="2223" spans="1:7" x14ac:dyDescent="0.3">
      <c r="A2223" t="s">
        <v>35</v>
      </c>
      <c r="B2223" s="1">
        <v>45961</v>
      </c>
      <c r="C2223">
        <v>220006</v>
      </c>
      <c r="D2223">
        <v>-7511893.4210000001</v>
      </c>
      <c r="E2223" t="s">
        <v>4</v>
      </c>
      <c r="F2223" t="s">
        <v>42</v>
      </c>
      <c r="G2223" t="s">
        <v>7</v>
      </c>
    </row>
    <row r="2224" spans="1:7" x14ac:dyDescent="0.3">
      <c r="A2224" t="s">
        <v>35</v>
      </c>
      <c r="B2224" s="1">
        <v>45961</v>
      </c>
      <c r="C2224">
        <v>240002</v>
      </c>
      <c r="D2224">
        <v>-48335.186000000002</v>
      </c>
      <c r="E2224" t="s">
        <v>4</v>
      </c>
      <c r="F2224" t="s">
        <v>43</v>
      </c>
      <c r="G2224" t="s">
        <v>7</v>
      </c>
    </row>
    <row r="2225" spans="1:7" x14ac:dyDescent="0.3">
      <c r="A2225" t="s">
        <v>35</v>
      </c>
      <c r="B2225" s="1">
        <v>45961</v>
      </c>
      <c r="C2225">
        <v>240003</v>
      </c>
      <c r="D2225">
        <v>2015.683</v>
      </c>
      <c r="E2225" t="s">
        <v>4</v>
      </c>
      <c r="F2225" t="s">
        <v>43</v>
      </c>
      <c r="G2225" t="s">
        <v>7</v>
      </c>
    </row>
    <row r="2226" spans="1:7" x14ac:dyDescent="0.3">
      <c r="A2226" t="s">
        <v>35</v>
      </c>
      <c r="B2226" s="1">
        <v>45961</v>
      </c>
      <c r="C2226">
        <v>240009</v>
      </c>
      <c r="D2226">
        <v>-21356.937999999998</v>
      </c>
      <c r="E2226" t="s">
        <v>4</v>
      </c>
      <c r="F2226" t="s">
        <v>43</v>
      </c>
      <c r="G2226" t="s">
        <v>7</v>
      </c>
    </row>
    <row r="2227" spans="1:7" x14ac:dyDescent="0.3">
      <c r="A2227" t="s">
        <v>35</v>
      </c>
      <c r="B2227" s="1">
        <v>45961</v>
      </c>
      <c r="C2227">
        <v>242003</v>
      </c>
      <c r="D2227">
        <v>26378.383999999998</v>
      </c>
      <c r="E2227" t="s">
        <v>4</v>
      </c>
      <c r="F2227" t="s">
        <v>43</v>
      </c>
      <c r="G2227" t="s">
        <v>7</v>
      </c>
    </row>
    <row r="2228" spans="1:7" x14ac:dyDescent="0.3">
      <c r="A2228" t="s">
        <v>35</v>
      </c>
      <c r="B2228" s="1">
        <v>45961</v>
      </c>
      <c r="C2228">
        <v>242007</v>
      </c>
      <c r="D2228">
        <v>-8558.5859999999993</v>
      </c>
      <c r="E2228" t="s">
        <v>4</v>
      </c>
      <c r="F2228" t="s">
        <v>43</v>
      </c>
      <c r="G2228" t="s">
        <v>7</v>
      </c>
    </row>
    <row r="2229" spans="1:7" x14ac:dyDescent="0.3">
      <c r="A2229" t="s">
        <v>35</v>
      </c>
      <c r="B2229" s="1">
        <v>45961</v>
      </c>
      <c r="C2229">
        <v>242011</v>
      </c>
      <c r="D2229">
        <v>-1002589.46</v>
      </c>
      <c r="E2229" t="s">
        <v>4</v>
      </c>
      <c r="F2229" t="s">
        <v>43</v>
      </c>
      <c r="G2229" t="s">
        <v>7</v>
      </c>
    </row>
    <row r="2230" spans="1:7" x14ac:dyDescent="0.3">
      <c r="A2230" t="s">
        <v>35</v>
      </c>
      <c r="B2230" s="1">
        <v>45961</v>
      </c>
      <c r="C2230">
        <v>242012</v>
      </c>
      <c r="D2230">
        <v>-30634.192999999999</v>
      </c>
      <c r="E2230" t="s">
        <v>4</v>
      </c>
      <c r="F2230" t="s">
        <v>43</v>
      </c>
      <c r="G2230" t="s">
        <v>7</v>
      </c>
    </row>
    <row r="2231" spans="1:7" x14ac:dyDescent="0.3">
      <c r="A2231" t="s">
        <v>35</v>
      </c>
      <c r="B2231" s="1">
        <v>45961</v>
      </c>
      <c r="C2231">
        <v>242013</v>
      </c>
      <c r="D2231">
        <v>-35638.108</v>
      </c>
      <c r="E2231" t="s">
        <v>4</v>
      </c>
      <c r="F2231" t="s">
        <v>43</v>
      </c>
      <c r="G2231" t="s">
        <v>7</v>
      </c>
    </row>
    <row r="2232" spans="1:7" x14ac:dyDescent="0.3">
      <c r="A2232" t="s">
        <v>35</v>
      </c>
      <c r="B2232" s="1">
        <v>45961</v>
      </c>
      <c r="C2232">
        <v>242014</v>
      </c>
      <c r="D2232">
        <v>-30034.73</v>
      </c>
      <c r="E2232" t="s">
        <v>4</v>
      </c>
      <c r="F2232" t="s">
        <v>43</v>
      </c>
      <c r="G2232" t="s">
        <v>7</v>
      </c>
    </row>
    <row r="2233" spans="1:7" x14ac:dyDescent="0.3">
      <c r="A2233" t="s">
        <v>35</v>
      </c>
      <c r="B2233" s="1">
        <v>45961</v>
      </c>
      <c r="C2233">
        <v>242017</v>
      </c>
      <c r="D2233">
        <v>-1980.492</v>
      </c>
      <c r="E2233" t="s">
        <v>4</v>
      </c>
      <c r="F2233" t="s">
        <v>43</v>
      </c>
      <c r="G2233" t="s">
        <v>7</v>
      </c>
    </row>
    <row r="2234" spans="1:7" x14ac:dyDescent="0.3">
      <c r="A2234" t="s">
        <v>35</v>
      </c>
      <c r="B2234" s="1">
        <v>45961</v>
      </c>
      <c r="C2234">
        <v>242019</v>
      </c>
      <c r="D2234">
        <v>129.5</v>
      </c>
      <c r="E2234" t="s">
        <v>4</v>
      </c>
      <c r="F2234" t="s">
        <v>43</v>
      </c>
      <c r="G2234" t="s">
        <v>7</v>
      </c>
    </row>
    <row r="2235" spans="1:7" x14ac:dyDescent="0.3">
      <c r="A2235" t="s">
        <v>35</v>
      </c>
      <c r="B2235" s="1">
        <v>45961</v>
      </c>
      <c r="C2235">
        <v>242023</v>
      </c>
      <c r="D2235">
        <v>-1551.519</v>
      </c>
      <c r="E2235" t="s">
        <v>4</v>
      </c>
      <c r="F2235" t="s">
        <v>43</v>
      </c>
      <c r="G2235" t="s">
        <v>7</v>
      </c>
    </row>
    <row r="2236" spans="1:7" x14ac:dyDescent="0.3">
      <c r="A2236" t="s">
        <v>35</v>
      </c>
      <c r="B2236" s="1">
        <v>45961</v>
      </c>
      <c r="C2236">
        <v>242027</v>
      </c>
      <c r="D2236">
        <v>-92922.373000000007</v>
      </c>
      <c r="E2236" t="s">
        <v>4</v>
      </c>
      <c r="F2236" t="s">
        <v>43</v>
      </c>
      <c r="G2236" t="s">
        <v>7</v>
      </c>
    </row>
    <row r="2237" spans="1:7" x14ac:dyDescent="0.3">
      <c r="A2237" t="s">
        <v>35</v>
      </c>
      <c r="B2237" s="1">
        <v>45961</v>
      </c>
      <c r="C2237">
        <v>242038</v>
      </c>
      <c r="D2237">
        <v>-8297.8250000000007</v>
      </c>
      <c r="E2237" t="s">
        <v>4</v>
      </c>
      <c r="F2237" t="s">
        <v>43</v>
      </c>
      <c r="G2237" t="s">
        <v>7</v>
      </c>
    </row>
    <row r="2238" spans="1:7" x14ac:dyDescent="0.3">
      <c r="A2238" t="s">
        <v>35</v>
      </c>
      <c r="B2238" s="1">
        <v>45961</v>
      </c>
      <c r="C2238">
        <v>242039</v>
      </c>
      <c r="D2238">
        <v>-24277.867999999999</v>
      </c>
      <c r="E2238" t="s">
        <v>4</v>
      </c>
      <c r="F2238" t="s">
        <v>43</v>
      </c>
      <c r="G2238" t="s">
        <v>7</v>
      </c>
    </row>
    <row r="2239" spans="1:7" x14ac:dyDescent="0.3">
      <c r="A2239" t="s">
        <v>35</v>
      </c>
      <c r="B2239" s="1">
        <v>45961</v>
      </c>
      <c r="C2239">
        <v>242041</v>
      </c>
      <c r="D2239">
        <v>1022.595</v>
      </c>
      <c r="E2239" t="s">
        <v>4</v>
      </c>
      <c r="F2239" t="s">
        <v>43</v>
      </c>
      <c r="G2239" t="s">
        <v>7</v>
      </c>
    </row>
    <row r="2240" spans="1:7" x14ac:dyDescent="0.3">
      <c r="A2240" t="s">
        <v>35</v>
      </c>
      <c r="B2240" s="1">
        <v>45961</v>
      </c>
      <c r="C2240">
        <v>243002</v>
      </c>
      <c r="D2240">
        <v>-66450.524999999994</v>
      </c>
      <c r="E2240" t="s">
        <v>4</v>
      </c>
      <c r="F2240" t="s">
        <v>43</v>
      </c>
      <c r="G2240" t="s">
        <v>7</v>
      </c>
    </row>
    <row r="2241" spans="1:7" x14ac:dyDescent="0.3">
      <c r="A2241" t="s">
        <v>35</v>
      </c>
      <c r="B2241" s="1">
        <v>45961</v>
      </c>
      <c r="C2241">
        <v>243003</v>
      </c>
      <c r="D2241">
        <v>-941362.223</v>
      </c>
      <c r="E2241" t="s">
        <v>4</v>
      </c>
      <c r="F2241" t="s">
        <v>43</v>
      </c>
      <c r="G2241" t="s">
        <v>7</v>
      </c>
    </row>
    <row r="2242" spans="1:7" x14ac:dyDescent="0.3">
      <c r="A2242" t="s">
        <v>35</v>
      </c>
      <c r="B2242" s="1">
        <v>45961</v>
      </c>
      <c r="C2242">
        <v>243009</v>
      </c>
      <c r="D2242">
        <v>-8880.76</v>
      </c>
      <c r="E2242" t="s">
        <v>4</v>
      </c>
      <c r="F2242" t="s">
        <v>43</v>
      </c>
      <c r="G2242" t="s">
        <v>7</v>
      </c>
    </row>
    <row r="2243" spans="1:7" x14ac:dyDescent="0.3">
      <c r="A2243" t="s">
        <v>35</v>
      </c>
      <c r="B2243" s="1">
        <v>45961</v>
      </c>
      <c r="C2243">
        <v>243010</v>
      </c>
      <c r="D2243">
        <v>-5127.0720000000001</v>
      </c>
      <c r="E2243" t="s">
        <v>4</v>
      </c>
      <c r="F2243" t="s">
        <v>43</v>
      </c>
      <c r="G2243" t="s">
        <v>7</v>
      </c>
    </row>
    <row r="2244" spans="1:7" x14ac:dyDescent="0.3">
      <c r="A2244" t="s">
        <v>35</v>
      </c>
      <c r="B2244" s="1">
        <v>45961</v>
      </c>
      <c r="C2244">
        <v>245006</v>
      </c>
      <c r="D2244">
        <v>-1106.2380000000001</v>
      </c>
      <c r="E2244" t="s">
        <v>4</v>
      </c>
      <c r="F2244" t="s">
        <v>43</v>
      </c>
      <c r="G2244" t="s">
        <v>7</v>
      </c>
    </row>
    <row r="2245" spans="1:7" x14ac:dyDescent="0.3">
      <c r="A2245" t="s">
        <v>35</v>
      </c>
      <c r="B2245" s="1">
        <v>45961</v>
      </c>
      <c r="C2245">
        <v>245010</v>
      </c>
      <c r="D2245">
        <v>-268043.55200000003</v>
      </c>
      <c r="E2245" t="s">
        <v>4</v>
      </c>
      <c r="F2245" t="s">
        <v>44</v>
      </c>
      <c r="G2245" t="s">
        <v>7</v>
      </c>
    </row>
    <row r="2246" spans="1:7" x14ac:dyDescent="0.3">
      <c r="A2246" t="s">
        <v>35</v>
      </c>
      <c r="B2246" s="1">
        <v>45961</v>
      </c>
      <c r="C2246">
        <v>245018</v>
      </c>
      <c r="D2246">
        <v>-87130.854000000007</v>
      </c>
      <c r="E2246" t="s">
        <v>4</v>
      </c>
      <c r="F2246" t="s">
        <v>43</v>
      </c>
      <c r="G2246" t="s">
        <v>7</v>
      </c>
    </row>
    <row r="2247" spans="1:7" x14ac:dyDescent="0.3">
      <c r="A2247" t="s">
        <v>35</v>
      </c>
      <c r="B2247" s="1">
        <v>45961</v>
      </c>
      <c r="C2247">
        <v>245055</v>
      </c>
      <c r="D2247">
        <v>-1211.876</v>
      </c>
      <c r="E2247" t="s">
        <v>4</v>
      </c>
      <c r="F2247" t="s">
        <v>43</v>
      </c>
      <c r="G2247" t="s">
        <v>7</v>
      </c>
    </row>
    <row r="2248" spans="1:7" x14ac:dyDescent="0.3">
      <c r="A2248" t="s">
        <v>35</v>
      </c>
      <c r="B2248" s="1">
        <v>45961</v>
      </c>
      <c r="C2248">
        <v>245062</v>
      </c>
      <c r="D2248">
        <v>-210415.47399999999</v>
      </c>
      <c r="E2248" t="s">
        <v>4</v>
      </c>
      <c r="F2248" t="s">
        <v>43</v>
      </c>
      <c r="G2248" t="s">
        <v>7</v>
      </c>
    </row>
    <row r="2249" spans="1:7" x14ac:dyDescent="0.3">
      <c r="A2249" t="s">
        <v>35</v>
      </c>
      <c r="B2249" s="1">
        <v>45961</v>
      </c>
      <c r="C2249">
        <v>250003</v>
      </c>
      <c r="D2249">
        <v>-33765.582999999999</v>
      </c>
      <c r="E2249" t="s">
        <v>4</v>
      </c>
      <c r="F2249" t="s">
        <v>45</v>
      </c>
      <c r="G2249" t="s">
        <v>7</v>
      </c>
    </row>
    <row r="2250" spans="1:7" x14ac:dyDescent="0.3">
      <c r="A2250" t="s">
        <v>35</v>
      </c>
      <c r="B2250" s="1">
        <v>45961</v>
      </c>
      <c r="C2250">
        <v>250007</v>
      </c>
      <c r="D2250">
        <v>-112543.245</v>
      </c>
      <c r="E2250" t="s">
        <v>4</v>
      </c>
      <c r="F2250" t="s">
        <v>43</v>
      </c>
      <c r="G2250" t="s">
        <v>7</v>
      </c>
    </row>
    <row r="2251" spans="1:7" x14ac:dyDescent="0.3">
      <c r="A2251" t="s">
        <v>35</v>
      </c>
      <c r="B2251" s="1">
        <v>45961</v>
      </c>
      <c r="C2251">
        <v>251002</v>
      </c>
      <c r="D2251">
        <v>-350967.42</v>
      </c>
      <c r="E2251" t="s">
        <v>4</v>
      </c>
      <c r="F2251" t="s">
        <v>45</v>
      </c>
      <c r="G2251" t="s">
        <v>7</v>
      </c>
    </row>
    <row r="2252" spans="1:7" x14ac:dyDescent="0.3">
      <c r="A2252" t="s">
        <v>35</v>
      </c>
      <c r="B2252" s="1">
        <v>45961</v>
      </c>
      <c r="C2252">
        <v>251003</v>
      </c>
      <c r="D2252">
        <v>-32098.785</v>
      </c>
      <c r="E2252" t="s">
        <v>4</v>
      </c>
      <c r="F2252" t="s">
        <v>45</v>
      </c>
      <c r="G2252" t="s">
        <v>7</v>
      </c>
    </row>
    <row r="2253" spans="1:7" x14ac:dyDescent="0.3">
      <c r="A2253" t="s">
        <v>35</v>
      </c>
      <c r="B2253" s="1">
        <v>45961</v>
      </c>
      <c r="C2253">
        <v>251005</v>
      </c>
      <c r="D2253">
        <v>7094.0659999999998</v>
      </c>
      <c r="E2253" t="s">
        <v>4</v>
      </c>
      <c r="F2253" t="s">
        <v>46</v>
      </c>
      <c r="G2253" t="s">
        <v>7</v>
      </c>
    </row>
    <row r="2254" spans="1:7" x14ac:dyDescent="0.3">
      <c r="A2254" t="s">
        <v>35</v>
      </c>
      <c r="B2254" s="1">
        <v>45961</v>
      </c>
      <c r="C2254">
        <v>257008</v>
      </c>
      <c r="D2254">
        <v>-12959.844999999999</v>
      </c>
      <c r="E2254" t="s">
        <v>4</v>
      </c>
      <c r="F2254" t="s">
        <v>45</v>
      </c>
      <c r="G2254" t="s">
        <v>7</v>
      </c>
    </row>
    <row r="2255" spans="1:7" x14ac:dyDescent="0.3">
      <c r="A2255" t="s">
        <v>35</v>
      </c>
      <c r="B2255" s="1">
        <v>45961</v>
      </c>
      <c r="C2255">
        <v>257009</v>
      </c>
      <c r="D2255">
        <v>-4670.0240000000003</v>
      </c>
      <c r="E2255" t="s">
        <v>4</v>
      </c>
      <c r="F2255" t="s">
        <v>45</v>
      </c>
      <c r="G2255" t="s">
        <v>7</v>
      </c>
    </row>
    <row r="2256" spans="1:7" x14ac:dyDescent="0.3">
      <c r="A2256" t="s">
        <v>35</v>
      </c>
      <c r="B2256" s="1">
        <v>45961</v>
      </c>
      <c r="C2256">
        <v>257011</v>
      </c>
      <c r="D2256">
        <v>174.935</v>
      </c>
      <c r="E2256" t="s">
        <v>4</v>
      </c>
      <c r="F2256" t="s">
        <v>45</v>
      </c>
      <c r="G2256" t="s">
        <v>7</v>
      </c>
    </row>
    <row r="2257" spans="1:7" x14ac:dyDescent="0.3">
      <c r="A2257" t="s">
        <v>35</v>
      </c>
      <c r="B2257" s="1">
        <v>45961</v>
      </c>
      <c r="C2257">
        <v>257022</v>
      </c>
      <c r="D2257">
        <v>1686.7329999999999</v>
      </c>
      <c r="E2257" t="s">
        <v>4</v>
      </c>
      <c r="F2257" t="s">
        <v>45</v>
      </c>
      <c r="G2257" t="s">
        <v>7</v>
      </c>
    </row>
    <row r="2258" spans="1:7" x14ac:dyDescent="0.3">
      <c r="A2258" t="s">
        <v>35</v>
      </c>
      <c r="B2258" s="1">
        <v>45961</v>
      </c>
      <c r="C2258">
        <v>257028</v>
      </c>
      <c r="D2258">
        <v>-108947.94</v>
      </c>
      <c r="E2258" t="s">
        <v>4</v>
      </c>
      <c r="F2258" t="s">
        <v>45</v>
      </c>
      <c r="G2258" t="s">
        <v>7</v>
      </c>
    </row>
    <row r="2259" spans="1:7" x14ac:dyDescent="0.3">
      <c r="A2259" t="s">
        <v>35</v>
      </c>
      <c r="B2259" s="1">
        <v>45961</v>
      </c>
      <c r="C2259">
        <v>260004</v>
      </c>
      <c r="D2259">
        <v>-15933.567999999999</v>
      </c>
      <c r="E2259" t="s">
        <v>4</v>
      </c>
      <c r="F2259" t="s">
        <v>45</v>
      </c>
      <c r="G2259" t="s">
        <v>7</v>
      </c>
    </row>
    <row r="2260" spans="1:7" x14ac:dyDescent="0.3">
      <c r="A2260" t="s">
        <v>35</v>
      </c>
      <c r="B2260" s="1">
        <v>45961</v>
      </c>
      <c r="C2260">
        <v>270024</v>
      </c>
      <c r="D2260">
        <v>-1.7000000000000001E-2</v>
      </c>
      <c r="E2260" t="s">
        <v>4</v>
      </c>
      <c r="F2260" t="s">
        <v>58</v>
      </c>
      <c r="G2260" t="s">
        <v>7</v>
      </c>
    </row>
    <row r="2261" spans="1:7" x14ac:dyDescent="0.3">
      <c r="A2261" t="s">
        <v>35</v>
      </c>
      <c r="B2261" s="1">
        <v>45961</v>
      </c>
      <c r="C2261">
        <v>270025</v>
      </c>
      <c r="D2261">
        <v>-0.05</v>
      </c>
      <c r="E2261" t="s">
        <v>4</v>
      </c>
      <c r="F2261" t="s">
        <v>58</v>
      </c>
      <c r="G2261" t="s">
        <v>7</v>
      </c>
    </row>
    <row r="2262" spans="1:7" x14ac:dyDescent="0.3">
      <c r="A2262" t="s">
        <v>35</v>
      </c>
      <c r="B2262" s="1">
        <v>45961</v>
      </c>
      <c r="C2262">
        <v>270027</v>
      </c>
      <c r="D2262">
        <v>-344108.05800000002</v>
      </c>
      <c r="E2262" t="s">
        <v>4</v>
      </c>
      <c r="F2262" t="s">
        <v>58</v>
      </c>
      <c r="G2262" t="s">
        <v>7</v>
      </c>
    </row>
    <row r="2263" spans="1:7" x14ac:dyDescent="0.3">
      <c r="A2263" t="s">
        <v>35</v>
      </c>
      <c r="B2263" s="1">
        <v>45961</v>
      </c>
      <c r="C2263">
        <v>300004</v>
      </c>
      <c r="D2263">
        <v>5564.0749999999998</v>
      </c>
      <c r="E2263" t="s">
        <v>4</v>
      </c>
      <c r="F2263" t="s">
        <v>65</v>
      </c>
      <c r="G2263" t="s">
        <v>7</v>
      </c>
    </row>
    <row r="2264" spans="1:7" x14ac:dyDescent="0.3">
      <c r="A2264" t="s">
        <v>35</v>
      </c>
      <c r="B2264" s="1">
        <v>45961</v>
      </c>
      <c r="C2264">
        <v>300005</v>
      </c>
      <c r="D2264">
        <v>33292.099000000002</v>
      </c>
      <c r="E2264" t="s">
        <v>4</v>
      </c>
      <c r="F2264" t="s">
        <v>65</v>
      </c>
      <c r="G2264" t="s">
        <v>7</v>
      </c>
    </row>
    <row r="2265" spans="1:7" x14ac:dyDescent="0.3">
      <c r="A2265" t="s">
        <v>35</v>
      </c>
      <c r="B2265" s="1">
        <v>45961</v>
      </c>
      <c r="C2265">
        <v>300008</v>
      </c>
      <c r="D2265">
        <v>50015.059000000001</v>
      </c>
      <c r="E2265" t="s">
        <v>4</v>
      </c>
      <c r="F2265" t="s">
        <v>65</v>
      </c>
      <c r="G2265" t="s">
        <v>7</v>
      </c>
    </row>
    <row r="2266" spans="1:7" x14ac:dyDescent="0.3">
      <c r="A2266" t="s">
        <v>35</v>
      </c>
      <c r="B2266" s="1">
        <v>45961</v>
      </c>
      <c r="C2266">
        <v>300009</v>
      </c>
      <c r="D2266">
        <v>40.088999999999999</v>
      </c>
      <c r="E2266" t="s">
        <v>4</v>
      </c>
      <c r="F2266" t="s">
        <v>65</v>
      </c>
      <c r="G2266" t="s">
        <v>7</v>
      </c>
    </row>
    <row r="2267" spans="1:7" x14ac:dyDescent="0.3">
      <c r="A2267" t="s">
        <v>35</v>
      </c>
      <c r="B2267" s="1">
        <v>45961</v>
      </c>
      <c r="C2267">
        <v>300012</v>
      </c>
      <c r="D2267">
        <v>89.194999999999993</v>
      </c>
      <c r="E2267" t="s">
        <v>4</v>
      </c>
      <c r="F2267" t="s">
        <v>65</v>
      </c>
      <c r="G2267" t="s">
        <v>7</v>
      </c>
    </row>
    <row r="2268" spans="1:7" x14ac:dyDescent="0.3">
      <c r="A2268" t="s">
        <v>35</v>
      </c>
      <c r="B2268" s="1">
        <v>45961</v>
      </c>
      <c r="C2268">
        <v>300504</v>
      </c>
      <c r="D2268">
        <v>-5095.1750000000002</v>
      </c>
      <c r="E2268" t="s">
        <v>4</v>
      </c>
      <c r="F2268" t="s">
        <v>65</v>
      </c>
      <c r="G2268" t="s">
        <v>7</v>
      </c>
    </row>
    <row r="2269" spans="1:7" x14ac:dyDescent="0.3">
      <c r="A2269" t="s">
        <v>35</v>
      </c>
      <c r="B2269" s="1">
        <v>45961</v>
      </c>
      <c r="C2269">
        <v>300505</v>
      </c>
      <c r="D2269">
        <v>-31718.208999999999</v>
      </c>
      <c r="E2269" t="s">
        <v>4</v>
      </c>
      <c r="F2269" t="s">
        <v>65</v>
      </c>
      <c r="G2269" t="s">
        <v>7</v>
      </c>
    </row>
    <row r="2270" spans="1:7" x14ac:dyDescent="0.3">
      <c r="A2270" t="s">
        <v>35</v>
      </c>
      <c r="B2270" s="1">
        <v>45961</v>
      </c>
      <c r="C2270">
        <v>300508</v>
      </c>
      <c r="D2270">
        <v>-47553.597000000002</v>
      </c>
      <c r="E2270" t="s">
        <v>4</v>
      </c>
      <c r="F2270" t="s">
        <v>65</v>
      </c>
      <c r="G2270" t="s">
        <v>7</v>
      </c>
    </row>
    <row r="2271" spans="1:7" x14ac:dyDescent="0.3">
      <c r="A2271" t="s">
        <v>35</v>
      </c>
      <c r="B2271" s="1">
        <v>45961</v>
      </c>
      <c r="C2271">
        <v>300509</v>
      </c>
      <c r="D2271">
        <v>-13.016</v>
      </c>
      <c r="E2271" t="s">
        <v>4</v>
      </c>
      <c r="F2271" t="s">
        <v>65</v>
      </c>
      <c r="G2271" t="s">
        <v>7</v>
      </c>
    </row>
    <row r="2272" spans="1:7" x14ac:dyDescent="0.3">
      <c r="A2272" t="s">
        <v>35</v>
      </c>
      <c r="B2272" s="1">
        <v>45961</v>
      </c>
      <c r="C2272">
        <v>300512</v>
      </c>
      <c r="D2272">
        <v>-33.384999999999998</v>
      </c>
      <c r="E2272" t="s">
        <v>4</v>
      </c>
      <c r="F2272" t="s">
        <v>65</v>
      </c>
      <c r="G2272" t="s">
        <v>7</v>
      </c>
    </row>
    <row r="2273" spans="1:7" x14ac:dyDescent="0.3">
      <c r="A2273" t="s">
        <v>35</v>
      </c>
      <c r="B2273" s="1">
        <v>45961</v>
      </c>
      <c r="C2273">
        <v>301004</v>
      </c>
      <c r="D2273">
        <v>80817.486999999994</v>
      </c>
      <c r="E2273" t="s">
        <v>4</v>
      </c>
      <c r="F2273" t="s">
        <v>65</v>
      </c>
      <c r="G2273" t="s">
        <v>7</v>
      </c>
    </row>
    <row r="2274" spans="1:7" x14ac:dyDescent="0.3">
      <c r="A2274" t="s">
        <v>35</v>
      </c>
      <c r="B2274" s="1">
        <v>45961</v>
      </c>
      <c r="C2274">
        <v>301504</v>
      </c>
      <c r="D2274">
        <v>-80817.486999999994</v>
      </c>
      <c r="E2274" t="s">
        <v>4</v>
      </c>
      <c r="F2274" t="s">
        <v>65</v>
      </c>
      <c r="G2274" t="s">
        <v>7</v>
      </c>
    </row>
    <row r="2275" spans="1:7" x14ac:dyDescent="0.3">
      <c r="A2275" t="s">
        <v>35</v>
      </c>
      <c r="B2275" s="1">
        <v>45961</v>
      </c>
      <c r="C2275">
        <v>310033</v>
      </c>
      <c r="D2275">
        <v>35769.983</v>
      </c>
      <c r="E2275" t="s">
        <v>4</v>
      </c>
      <c r="F2275" t="s">
        <v>42</v>
      </c>
      <c r="G2275" t="s">
        <v>7</v>
      </c>
    </row>
    <row r="2276" spans="1:7" x14ac:dyDescent="0.3">
      <c r="A2276" t="s">
        <v>35</v>
      </c>
      <c r="B2276" s="1">
        <v>45961</v>
      </c>
      <c r="C2276">
        <v>310035</v>
      </c>
      <c r="D2276">
        <v>1034489.26</v>
      </c>
      <c r="E2276" t="s">
        <v>4</v>
      </c>
      <c r="F2276" t="s">
        <v>42</v>
      </c>
      <c r="G2276" t="s">
        <v>7</v>
      </c>
    </row>
    <row r="2277" spans="1:7" x14ac:dyDescent="0.3">
      <c r="A2277" t="s">
        <v>35</v>
      </c>
      <c r="B2277" s="1">
        <v>45961</v>
      </c>
      <c r="C2277">
        <v>315016</v>
      </c>
      <c r="D2277">
        <v>641948.77899999998</v>
      </c>
      <c r="E2277" t="s">
        <v>4</v>
      </c>
      <c r="F2277" t="s">
        <v>47</v>
      </c>
      <c r="G2277" t="s">
        <v>7</v>
      </c>
    </row>
    <row r="2278" spans="1:7" x14ac:dyDescent="0.3">
      <c r="A2278" t="s">
        <v>35</v>
      </c>
      <c r="B2278" s="1">
        <v>45961</v>
      </c>
      <c r="C2278">
        <v>320002</v>
      </c>
      <c r="D2278">
        <v>11754.352999999999</v>
      </c>
      <c r="E2278" t="s">
        <v>4</v>
      </c>
      <c r="F2278" t="s">
        <v>46</v>
      </c>
      <c r="G2278" t="s">
        <v>7</v>
      </c>
    </row>
    <row r="2279" spans="1:7" x14ac:dyDescent="0.3">
      <c r="A2279" t="s">
        <v>35</v>
      </c>
      <c r="B2279" s="1">
        <v>45961</v>
      </c>
      <c r="C2279">
        <v>320003</v>
      </c>
      <c r="D2279">
        <v>2036750.004</v>
      </c>
      <c r="E2279" t="s">
        <v>4</v>
      </c>
      <c r="F2279" t="s">
        <v>46</v>
      </c>
      <c r="G2279" t="s">
        <v>7</v>
      </c>
    </row>
    <row r="2280" spans="1:7" x14ac:dyDescent="0.3">
      <c r="A2280" t="s">
        <v>35</v>
      </c>
      <c r="B2280" s="1">
        <v>45961</v>
      </c>
      <c r="C2280">
        <v>320004</v>
      </c>
      <c r="D2280">
        <v>2.8959999999999999</v>
      </c>
      <c r="E2280" t="s">
        <v>4</v>
      </c>
      <c r="F2280" t="s">
        <v>46</v>
      </c>
      <c r="G2280" t="s">
        <v>7</v>
      </c>
    </row>
    <row r="2281" spans="1:7" x14ac:dyDescent="0.3">
      <c r="A2281" t="s">
        <v>35</v>
      </c>
      <c r="B2281" s="1">
        <v>45961</v>
      </c>
      <c r="C2281">
        <v>320020</v>
      </c>
      <c r="D2281">
        <v>2500.4859999999999</v>
      </c>
      <c r="E2281" t="s">
        <v>4</v>
      </c>
      <c r="F2281" t="s">
        <v>46</v>
      </c>
      <c r="G2281" t="s">
        <v>7</v>
      </c>
    </row>
    <row r="2282" spans="1:7" x14ac:dyDescent="0.3">
      <c r="A2282" t="s">
        <v>35</v>
      </c>
      <c r="B2282" s="1">
        <v>45961</v>
      </c>
      <c r="C2282">
        <v>320023</v>
      </c>
      <c r="D2282">
        <v>-2500.4859999999999</v>
      </c>
      <c r="E2282" t="s">
        <v>4</v>
      </c>
      <c r="F2282" t="s">
        <v>46</v>
      </c>
      <c r="G2282" t="s">
        <v>7</v>
      </c>
    </row>
    <row r="2283" spans="1:7" x14ac:dyDescent="0.3">
      <c r="A2283" t="s">
        <v>35</v>
      </c>
      <c r="B2283" s="1">
        <v>45961</v>
      </c>
      <c r="C2283">
        <v>320024</v>
      </c>
      <c r="D2283">
        <v>679843.18400000001</v>
      </c>
      <c r="E2283" t="s">
        <v>4</v>
      </c>
      <c r="F2283" t="s">
        <v>46</v>
      </c>
      <c r="G2283" t="s">
        <v>7</v>
      </c>
    </row>
    <row r="2284" spans="1:7" x14ac:dyDescent="0.3">
      <c r="A2284" t="s">
        <v>35</v>
      </c>
      <c r="B2284" s="1">
        <v>45961</v>
      </c>
      <c r="C2284">
        <v>321002</v>
      </c>
      <c r="D2284">
        <v>766407.55</v>
      </c>
      <c r="E2284" t="s">
        <v>4</v>
      </c>
      <c r="F2284" t="s">
        <v>46</v>
      </c>
      <c r="G2284" t="s">
        <v>7</v>
      </c>
    </row>
    <row r="2285" spans="1:7" x14ac:dyDescent="0.3">
      <c r="A2285" t="s">
        <v>35</v>
      </c>
      <c r="B2285" s="1">
        <v>45961</v>
      </c>
      <c r="C2285">
        <v>321004</v>
      </c>
      <c r="D2285">
        <v>459.77199999999999</v>
      </c>
      <c r="E2285" t="s">
        <v>4</v>
      </c>
      <c r="F2285" t="s">
        <v>46</v>
      </c>
      <c r="G2285" t="s">
        <v>7</v>
      </c>
    </row>
    <row r="2286" spans="1:7" x14ac:dyDescent="0.3">
      <c r="A2286" t="s">
        <v>35</v>
      </c>
      <c r="B2286" s="1">
        <v>45961</v>
      </c>
      <c r="C2286">
        <v>321012</v>
      </c>
      <c r="D2286">
        <v>98016.402000000002</v>
      </c>
      <c r="E2286" t="s">
        <v>4</v>
      </c>
      <c r="F2286" t="s">
        <v>46</v>
      </c>
      <c r="G2286" t="s">
        <v>7</v>
      </c>
    </row>
    <row r="2287" spans="1:7" x14ac:dyDescent="0.3">
      <c r="A2287" t="s">
        <v>35</v>
      </c>
      <c r="B2287" s="1">
        <v>45961</v>
      </c>
      <c r="C2287">
        <v>321013</v>
      </c>
      <c r="D2287">
        <v>77270.619000000006</v>
      </c>
      <c r="E2287" t="s">
        <v>4</v>
      </c>
      <c r="F2287" t="s">
        <v>46</v>
      </c>
      <c r="G2287" t="s">
        <v>7</v>
      </c>
    </row>
    <row r="2288" spans="1:7" x14ac:dyDescent="0.3">
      <c r="A2288" t="s">
        <v>35</v>
      </c>
      <c r="B2288" s="1">
        <v>45961</v>
      </c>
      <c r="C2288">
        <v>321025</v>
      </c>
      <c r="D2288">
        <v>120170.345</v>
      </c>
      <c r="E2288" t="s">
        <v>4</v>
      </c>
      <c r="F2288" t="s">
        <v>46</v>
      </c>
      <c r="G2288" t="s">
        <v>7</v>
      </c>
    </row>
    <row r="2289" spans="1:7" x14ac:dyDescent="0.3">
      <c r="A2289" t="s">
        <v>35</v>
      </c>
      <c r="B2289" s="1">
        <v>45961</v>
      </c>
      <c r="C2289">
        <v>321028</v>
      </c>
      <c r="D2289">
        <v>501.74599999999998</v>
      </c>
      <c r="E2289" t="s">
        <v>4</v>
      </c>
      <c r="F2289" t="s">
        <v>46</v>
      </c>
      <c r="G2289" t="s">
        <v>7</v>
      </c>
    </row>
    <row r="2290" spans="1:7" x14ac:dyDescent="0.3">
      <c r="A2290" t="s">
        <v>35</v>
      </c>
      <c r="B2290" s="1">
        <v>45961</v>
      </c>
      <c r="C2290">
        <v>321030</v>
      </c>
      <c r="D2290">
        <v>313.88400000000001</v>
      </c>
      <c r="E2290" t="s">
        <v>4</v>
      </c>
      <c r="F2290" t="s">
        <v>46</v>
      </c>
      <c r="G2290" t="s">
        <v>7</v>
      </c>
    </row>
    <row r="2291" spans="1:7" x14ac:dyDescent="0.3">
      <c r="A2291" t="s">
        <v>35</v>
      </c>
      <c r="B2291" s="1">
        <v>45961</v>
      </c>
      <c r="C2291">
        <v>321031</v>
      </c>
      <c r="D2291">
        <v>22957.778999999999</v>
      </c>
      <c r="E2291" t="s">
        <v>4</v>
      </c>
      <c r="F2291" t="s">
        <v>46</v>
      </c>
      <c r="G2291" t="s">
        <v>7</v>
      </c>
    </row>
    <row r="2292" spans="1:7" x14ac:dyDescent="0.3">
      <c r="A2292" t="s">
        <v>35</v>
      </c>
      <c r="B2292" s="1">
        <v>45961</v>
      </c>
      <c r="C2292">
        <v>321041</v>
      </c>
      <c r="D2292">
        <v>1833.8579999999999</v>
      </c>
      <c r="E2292" t="s">
        <v>4</v>
      </c>
      <c r="F2292" t="s">
        <v>46</v>
      </c>
      <c r="G2292" t="s">
        <v>7</v>
      </c>
    </row>
    <row r="2293" spans="1:7" x14ac:dyDescent="0.3">
      <c r="A2293" t="s">
        <v>35</v>
      </c>
      <c r="B2293" s="1">
        <v>45961</v>
      </c>
      <c r="C2293">
        <v>321042</v>
      </c>
      <c r="D2293">
        <v>-145.523</v>
      </c>
      <c r="E2293" t="s">
        <v>4</v>
      </c>
      <c r="F2293" t="s">
        <v>46</v>
      </c>
      <c r="G2293" t="s">
        <v>7</v>
      </c>
    </row>
    <row r="2294" spans="1:7" x14ac:dyDescent="0.3">
      <c r="A2294" t="s">
        <v>35</v>
      </c>
      <c r="B2294" s="1">
        <v>45961</v>
      </c>
      <c r="C2294">
        <v>330115</v>
      </c>
      <c r="D2294">
        <v>1238.8399999999999</v>
      </c>
      <c r="E2294" t="s">
        <v>4</v>
      </c>
      <c r="F2294" t="s">
        <v>43</v>
      </c>
      <c r="G2294" t="s">
        <v>7</v>
      </c>
    </row>
    <row r="2295" spans="1:7" x14ac:dyDescent="0.3">
      <c r="A2295" t="s">
        <v>35</v>
      </c>
      <c r="B2295" s="1">
        <v>45961</v>
      </c>
      <c r="C2295">
        <v>330123</v>
      </c>
      <c r="D2295">
        <v>960578.00300000003</v>
      </c>
      <c r="E2295" t="s">
        <v>4</v>
      </c>
      <c r="F2295" t="s">
        <v>43</v>
      </c>
      <c r="G2295" t="s">
        <v>7</v>
      </c>
    </row>
    <row r="2296" spans="1:7" x14ac:dyDescent="0.3">
      <c r="A2296" t="s">
        <v>35</v>
      </c>
      <c r="B2296" s="1">
        <v>45961</v>
      </c>
      <c r="C2296">
        <v>330129</v>
      </c>
      <c r="D2296">
        <v>-50802.667999999998</v>
      </c>
      <c r="E2296" t="s">
        <v>4</v>
      </c>
      <c r="F2296" t="s">
        <v>43</v>
      </c>
      <c r="G2296" t="s">
        <v>7</v>
      </c>
    </row>
    <row r="2297" spans="1:7" x14ac:dyDescent="0.3">
      <c r="A2297" t="s">
        <v>35</v>
      </c>
      <c r="B2297" s="1">
        <v>45961</v>
      </c>
      <c r="C2297">
        <v>330136</v>
      </c>
      <c r="D2297">
        <v>3703.049</v>
      </c>
      <c r="E2297" t="s">
        <v>4</v>
      </c>
      <c r="F2297" t="s">
        <v>43</v>
      </c>
      <c r="G2297" t="s">
        <v>7</v>
      </c>
    </row>
    <row r="2298" spans="1:7" x14ac:dyDescent="0.3">
      <c r="A2298" t="s">
        <v>35</v>
      </c>
      <c r="B2298" s="1">
        <v>45961</v>
      </c>
      <c r="C2298">
        <v>330138</v>
      </c>
      <c r="D2298">
        <v>565.08100000000002</v>
      </c>
      <c r="E2298" t="s">
        <v>4</v>
      </c>
      <c r="F2298" t="s">
        <v>43</v>
      </c>
      <c r="G2298" t="s">
        <v>7</v>
      </c>
    </row>
    <row r="2299" spans="1:7" x14ac:dyDescent="0.3">
      <c r="A2299" t="s">
        <v>35</v>
      </c>
      <c r="B2299" s="1">
        <v>45961</v>
      </c>
      <c r="C2299">
        <v>340255</v>
      </c>
      <c r="D2299">
        <v>1669955.264</v>
      </c>
      <c r="E2299" t="s">
        <v>4</v>
      </c>
      <c r="F2299" t="s">
        <v>47</v>
      </c>
      <c r="G2299" t="s">
        <v>7</v>
      </c>
    </row>
    <row r="2300" spans="1:7" x14ac:dyDescent="0.3">
      <c r="A2300" t="s">
        <v>35</v>
      </c>
      <c r="B2300" s="1">
        <v>45961</v>
      </c>
      <c r="C2300">
        <v>340256</v>
      </c>
      <c r="D2300">
        <v>68365914.432999998</v>
      </c>
      <c r="E2300" t="s">
        <v>4</v>
      </c>
      <c r="F2300" t="s">
        <v>47</v>
      </c>
      <c r="G2300" t="s">
        <v>7</v>
      </c>
    </row>
    <row r="2301" spans="1:7" x14ac:dyDescent="0.3">
      <c r="A2301" t="s">
        <v>35</v>
      </c>
      <c r="B2301" s="1">
        <v>45961</v>
      </c>
      <c r="C2301">
        <v>340257</v>
      </c>
      <c r="D2301">
        <v>-67158436.316</v>
      </c>
      <c r="E2301" t="s">
        <v>4</v>
      </c>
      <c r="F2301" t="s">
        <v>47</v>
      </c>
      <c r="G2301" t="s">
        <v>7</v>
      </c>
    </row>
    <row r="2302" spans="1:7" x14ac:dyDescent="0.3">
      <c r="A2302" t="s">
        <v>35</v>
      </c>
      <c r="B2302" s="1">
        <v>45961</v>
      </c>
      <c r="C2302">
        <v>350002</v>
      </c>
      <c r="D2302">
        <v>116064.636</v>
      </c>
      <c r="E2302" t="s">
        <v>4</v>
      </c>
      <c r="F2302" t="s">
        <v>49</v>
      </c>
      <c r="G2302" t="s">
        <v>7</v>
      </c>
    </row>
    <row r="2303" spans="1:7" x14ac:dyDescent="0.3">
      <c r="A2303" t="s">
        <v>35</v>
      </c>
      <c r="B2303" s="1">
        <v>45961</v>
      </c>
      <c r="C2303">
        <v>350003</v>
      </c>
      <c r="D2303">
        <v>-808.673</v>
      </c>
      <c r="E2303" t="s">
        <v>4</v>
      </c>
      <c r="F2303" t="s">
        <v>49</v>
      </c>
      <c r="G2303" t="s">
        <v>7</v>
      </c>
    </row>
    <row r="2304" spans="1:7" x14ac:dyDescent="0.3">
      <c r="A2304" t="s">
        <v>35</v>
      </c>
      <c r="B2304" s="1">
        <v>45961</v>
      </c>
      <c r="C2304">
        <v>350031</v>
      </c>
      <c r="D2304">
        <v>21356.937999999998</v>
      </c>
      <c r="E2304" t="s">
        <v>4</v>
      </c>
      <c r="F2304" t="s">
        <v>43</v>
      </c>
      <c r="G2304" t="s">
        <v>7</v>
      </c>
    </row>
    <row r="2305" spans="1:7" x14ac:dyDescent="0.3">
      <c r="A2305" t="s">
        <v>35</v>
      </c>
      <c r="B2305" s="1">
        <v>45961</v>
      </c>
      <c r="C2305">
        <v>351004</v>
      </c>
      <c r="D2305">
        <v>14240.503000000001</v>
      </c>
      <c r="E2305" t="s">
        <v>4</v>
      </c>
      <c r="F2305" t="s">
        <v>45</v>
      </c>
      <c r="G2305" t="s">
        <v>7</v>
      </c>
    </row>
    <row r="2306" spans="1:7" x14ac:dyDescent="0.3">
      <c r="A2306" t="s">
        <v>35</v>
      </c>
      <c r="B2306" s="1">
        <v>45961</v>
      </c>
      <c r="C2306">
        <v>352002</v>
      </c>
      <c r="D2306">
        <v>9229.2250000000004</v>
      </c>
      <c r="E2306" t="s">
        <v>4</v>
      </c>
      <c r="F2306" t="s">
        <v>48</v>
      </c>
      <c r="G2306" t="s">
        <v>7</v>
      </c>
    </row>
    <row r="2307" spans="1:7" x14ac:dyDescent="0.3">
      <c r="A2307" t="s">
        <v>35</v>
      </c>
      <c r="B2307" s="1">
        <v>45961</v>
      </c>
      <c r="C2307">
        <v>354011</v>
      </c>
      <c r="D2307">
        <v>-679843.18400000001</v>
      </c>
      <c r="E2307" t="s">
        <v>4</v>
      </c>
      <c r="F2307" t="s">
        <v>46</v>
      </c>
      <c r="G2307" t="s">
        <v>7</v>
      </c>
    </row>
    <row r="2308" spans="1:7" x14ac:dyDescent="0.3">
      <c r="A2308" t="s">
        <v>35</v>
      </c>
      <c r="B2308" s="1">
        <v>45961</v>
      </c>
      <c r="C2308">
        <v>354012</v>
      </c>
      <c r="D2308">
        <v>695545.54700000002</v>
      </c>
      <c r="E2308" t="s">
        <v>4</v>
      </c>
      <c r="F2308" t="s">
        <v>46</v>
      </c>
      <c r="G2308" t="s">
        <v>7</v>
      </c>
    </row>
    <row r="2309" spans="1:7" x14ac:dyDescent="0.3">
      <c r="A2309" t="s">
        <v>35</v>
      </c>
      <c r="B2309" s="1">
        <v>45961</v>
      </c>
      <c r="C2309">
        <v>354014</v>
      </c>
      <c r="D2309">
        <v>2080179.7790000001</v>
      </c>
      <c r="E2309" t="s">
        <v>4</v>
      </c>
      <c r="F2309" t="s">
        <v>46</v>
      </c>
      <c r="G2309" t="s">
        <v>7</v>
      </c>
    </row>
    <row r="2310" spans="1:7" x14ac:dyDescent="0.3">
      <c r="A2310" t="s">
        <v>35</v>
      </c>
      <c r="B2310" s="1">
        <v>45961</v>
      </c>
      <c r="C2310">
        <v>354015</v>
      </c>
      <c r="D2310">
        <v>7448.0810000000001</v>
      </c>
      <c r="E2310" t="s">
        <v>4</v>
      </c>
      <c r="F2310" t="s">
        <v>46</v>
      </c>
      <c r="G2310" t="s">
        <v>7</v>
      </c>
    </row>
    <row r="2311" spans="1:7" x14ac:dyDescent="0.3">
      <c r="A2311" t="s">
        <v>35</v>
      </c>
      <c r="B2311" s="1">
        <v>45961</v>
      </c>
      <c r="C2311">
        <v>355014</v>
      </c>
      <c r="D2311">
        <v>1167.0150000000001</v>
      </c>
      <c r="E2311" t="s">
        <v>4</v>
      </c>
      <c r="F2311" t="s">
        <v>49</v>
      </c>
      <c r="G2311" t="s">
        <v>7</v>
      </c>
    </row>
    <row r="2312" spans="1:7" x14ac:dyDescent="0.3">
      <c r="A2312" t="s">
        <v>35</v>
      </c>
      <c r="B2312" s="1">
        <v>45961</v>
      </c>
      <c r="C2312">
        <v>355016</v>
      </c>
      <c r="D2312">
        <v>13774.446</v>
      </c>
      <c r="E2312" t="s">
        <v>4</v>
      </c>
      <c r="F2312" t="s">
        <v>49</v>
      </c>
      <c r="G2312" t="s">
        <v>7</v>
      </c>
    </row>
    <row r="2313" spans="1:7" x14ac:dyDescent="0.3">
      <c r="A2313" t="s">
        <v>35</v>
      </c>
      <c r="B2313" s="1">
        <v>45961</v>
      </c>
      <c r="C2313">
        <v>355018</v>
      </c>
      <c r="D2313">
        <v>87405.337</v>
      </c>
      <c r="E2313" t="s">
        <v>4</v>
      </c>
      <c r="F2313" t="s">
        <v>49</v>
      </c>
      <c r="G2313" t="s">
        <v>7</v>
      </c>
    </row>
    <row r="2314" spans="1:7" x14ac:dyDescent="0.3">
      <c r="A2314" t="s">
        <v>35</v>
      </c>
      <c r="B2314" s="1">
        <v>45961</v>
      </c>
      <c r="C2314">
        <v>360022</v>
      </c>
      <c r="D2314">
        <v>-1.2999999999999999E-2</v>
      </c>
      <c r="E2314" t="s">
        <v>4</v>
      </c>
      <c r="F2314" t="s">
        <v>58</v>
      </c>
      <c r="G2314" t="s">
        <v>7</v>
      </c>
    </row>
    <row r="2315" spans="1:7" x14ac:dyDescent="0.3">
      <c r="A2315" t="s">
        <v>35</v>
      </c>
      <c r="B2315" s="1">
        <v>45961</v>
      </c>
      <c r="C2315">
        <v>360026</v>
      </c>
      <c r="D2315">
        <v>-3.0000000000000001E-3</v>
      </c>
      <c r="E2315" t="s">
        <v>4</v>
      </c>
      <c r="F2315" t="s">
        <v>58</v>
      </c>
      <c r="G2315" t="s">
        <v>7</v>
      </c>
    </row>
    <row r="2316" spans="1:7" x14ac:dyDescent="0.3">
      <c r="A2316" t="s">
        <v>35</v>
      </c>
      <c r="B2316" s="1">
        <v>45961</v>
      </c>
      <c r="C2316">
        <v>360028</v>
      </c>
      <c r="D2316">
        <v>2.3E-2</v>
      </c>
      <c r="E2316" t="s">
        <v>4</v>
      </c>
      <c r="F2316" t="s">
        <v>58</v>
      </c>
      <c r="G2316" t="s">
        <v>7</v>
      </c>
    </row>
    <row r="2317" spans="1:7" x14ac:dyDescent="0.3">
      <c r="A2317" t="s">
        <v>35</v>
      </c>
      <c r="B2317" s="1">
        <v>45961</v>
      </c>
      <c r="C2317">
        <v>360030</v>
      </c>
      <c r="D2317">
        <v>5.0999999999999997E-2</v>
      </c>
      <c r="E2317" t="s">
        <v>4</v>
      </c>
      <c r="F2317" t="s">
        <v>58</v>
      </c>
      <c r="G2317" t="s">
        <v>7</v>
      </c>
    </row>
    <row r="2318" spans="1:7" x14ac:dyDescent="0.3">
      <c r="A2318" t="s">
        <v>35</v>
      </c>
      <c r="B2318" s="1">
        <v>45961</v>
      </c>
      <c r="C2318">
        <v>360032</v>
      </c>
      <c r="D2318">
        <v>426985.61900000001</v>
      </c>
      <c r="E2318" t="s">
        <v>4</v>
      </c>
      <c r="F2318" t="s">
        <v>58</v>
      </c>
      <c r="G2318" t="s">
        <v>7</v>
      </c>
    </row>
    <row r="2319" spans="1:7" x14ac:dyDescent="0.3">
      <c r="A2319" t="s">
        <v>35</v>
      </c>
      <c r="B2319" s="1">
        <v>45961</v>
      </c>
      <c r="C2319">
        <v>364502</v>
      </c>
      <c r="D2319">
        <v>455826.49800000002</v>
      </c>
      <c r="E2319" t="s">
        <v>4</v>
      </c>
      <c r="F2319" t="s">
        <v>58</v>
      </c>
      <c r="G2319" t="s">
        <v>7</v>
      </c>
    </row>
    <row r="2320" spans="1:7" x14ac:dyDescent="0.3">
      <c r="A2320" t="s">
        <v>35</v>
      </c>
      <c r="B2320" s="1">
        <v>45961</v>
      </c>
      <c r="C2320">
        <v>400002</v>
      </c>
      <c r="D2320">
        <v>-26559.876</v>
      </c>
      <c r="E2320" t="s">
        <v>6</v>
      </c>
      <c r="F2320" t="s">
        <v>50</v>
      </c>
      <c r="G2320" t="s">
        <v>7</v>
      </c>
    </row>
    <row r="2321" spans="1:7" x14ac:dyDescent="0.3">
      <c r="A2321" t="s">
        <v>35</v>
      </c>
      <c r="B2321" s="1">
        <v>45961</v>
      </c>
      <c r="C2321">
        <v>400004</v>
      </c>
      <c r="D2321">
        <v>-16396.894</v>
      </c>
      <c r="E2321" t="s">
        <v>6</v>
      </c>
      <c r="F2321" t="s">
        <v>50</v>
      </c>
      <c r="G2321" t="s">
        <v>7</v>
      </c>
    </row>
    <row r="2322" spans="1:7" x14ac:dyDescent="0.3">
      <c r="A2322" t="s">
        <v>35</v>
      </c>
      <c r="B2322" s="1">
        <v>45961</v>
      </c>
      <c r="C2322">
        <v>410002</v>
      </c>
      <c r="D2322">
        <v>-418778.04200000002</v>
      </c>
      <c r="E2322" t="s">
        <v>6</v>
      </c>
      <c r="F2322" t="s">
        <v>51</v>
      </c>
      <c r="G2322" t="s">
        <v>7</v>
      </c>
    </row>
    <row r="2323" spans="1:7" x14ac:dyDescent="0.3">
      <c r="A2323" t="s">
        <v>35</v>
      </c>
      <c r="B2323" s="1">
        <v>45961</v>
      </c>
      <c r="C2323">
        <v>410005</v>
      </c>
      <c r="D2323">
        <v>-441.185</v>
      </c>
      <c r="E2323" t="s">
        <v>6</v>
      </c>
      <c r="F2323" t="s">
        <v>51</v>
      </c>
      <c r="G2323" t="s">
        <v>7</v>
      </c>
    </row>
    <row r="2324" spans="1:7" x14ac:dyDescent="0.3">
      <c r="A2324" t="s">
        <v>35</v>
      </c>
      <c r="B2324" s="1">
        <v>45961</v>
      </c>
      <c r="C2324">
        <v>410006</v>
      </c>
      <c r="D2324">
        <v>-28355.830999999998</v>
      </c>
      <c r="E2324" t="s">
        <v>6</v>
      </c>
      <c r="F2324" t="s">
        <v>51</v>
      </c>
      <c r="G2324" t="s">
        <v>7</v>
      </c>
    </row>
    <row r="2325" spans="1:7" x14ac:dyDescent="0.3">
      <c r="A2325" t="s">
        <v>35</v>
      </c>
      <c r="B2325" s="1">
        <v>45961</v>
      </c>
      <c r="C2325">
        <v>410009</v>
      </c>
      <c r="D2325">
        <v>-6478.1419999999998</v>
      </c>
      <c r="E2325" t="s">
        <v>6</v>
      </c>
      <c r="F2325" t="s">
        <v>51</v>
      </c>
      <c r="G2325" t="s">
        <v>7</v>
      </c>
    </row>
    <row r="2326" spans="1:7" x14ac:dyDescent="0.3">
      <c r="A2326" t="s">
        <v>35</v>
      </c>
      <c r="B2326" s="1">
        <v>45961</v>
      </c>
      <c r="C2326">
        <v>410015</v>
      </c>
      <c r="D2326">
        <v>-30962.496999999999</v>
      </c>
      <c r="E2326" t="s">
        <v>6</v>
      </c>
      <c r="F2326" t="s">
        <v>51</v>
      </c>
      <c r="G2326" t="s">
        <v>7</v>
      </c>
    </row>
    <row r="2327" spans="1:7" x14ac:dyDescent="0.3">
      <c r="A2327" t="s">
        <v>35</v>
      </c>
      <c r="B2327" s="1">
        <v>45961</v>
      </c>
      <c r="C2327">
        <v>410032</v>
      </c>
      <c r="D2327">
        <v>-41244.923000000003</v>
      </c>
      <c r="E2327" t="s">
        <v>6</v>
      </c>
      <c r="F2327" t="s">
        <v>51</v>
      </c>
      <c r="G2327" t="s">
        <v>7</v>
      </c>
    </row>
    <row r="2328" spans="1:7" x14ac:dyDescent="0.3">
      <c r="A2328" t="s">
        <v>35</v>
      </c>
      <c r="B2328" s="1">
        <v>45961</v>
      </c>
      <c r="C2328">
        <v>410036</v>
      </c>
      <c r="D2328">
        <v>-779.14099999999996</v>
      </c>
      <c r="E2328" t="s">
        <v>6</v>
      </c>
      <c r="F2328" t="s">
        <v>51</v>
      </c>
      <c r="G2328" t="s">
        <v>7</v>
      </c>
    </row>
    <row r="2329" spans="1:7" x14ac:dyDescent="0.3">
      <c r="A2329" t="s">
        <v>35</v>
      </c>
      <c r="B2329" s="1">
        <v>45961</v>
      </c>
      <c r="C2329">
        <v>410039</v>
      </c>
      <c r="D2329">
        <v>-11115.929</v>
      </c>
      <c r="E2329" t="s">
        <v>6</v>
      </c>
      <c r="F2329" t="s">
        <v>51</v>
      </c>
      <c r="G2329" t="s">
        <v>7</v>
      </c>
    </row>
    <row r="2330" spans="1:7" x14ac:dyDescent="0.3">
      <c r="A2330" t="s">
        <v>35</v>
      </c>
      <c r="B2330" s="1">
        <v>45961</v>
      </c>
      <c r="C2330">
        <v>410040</v>
      </c>
      <c r="D2330">
        <v>-611.29100000000005</v>
      </c>
      <c r="E2330" t="s">
        <v>6</v>
      </c>
      <c r="F2330" t="s">
        <v>51</v>
      </c>
      <c r="G2330" t="s">
        <v>7</v>
      </c>
    </row>
    <row r="2331" spans="1:7" x14ac:dyDescent="0.3">
      <c r="A2331" t="s">
        <v>35</v>
      </c>
      <c r="B2331" s="1">
        <v>45961</v>
      </c>
      <c r="C2331">
        <v>410046</v>
      </c>
      <c r="D2331">
        <v>-1485.434</v>
      </c>
      <c r="E2331" t="s">
        <v>6</v>
      </c>
      <c r="F2331" t="s">
        <v>51</v>
      </c>
      <c r="G2331" t="s">
        <v>7</v>
      </c>
    </row>
    <row r="2332" spans="1:7" x14ac:dyDescent="0.3">
      <c r="A2332" t="s">
        <v>35</v>
      </c>
      <c r="B2332" s="1">
        <v>45961</v>
      </c>
      <c r="C2332">
        <v>415002</v>
      </c>
      <c r="D2332">
        <v>-10737000.956</v>
      </c>
      <c r="E2332" t="s">
        <v>6</v>
      </c>
      <c r="F2332" t="s">
        <v>50</v>
      </c>
      <c r="G2332" t="s">
        <v>7</v>
      </c>
    </row>
    <row r="2333" spans="1:7" x14ac:dyDescent="0.3">
      <c r="A2333" t="s">
        <v>35</v>
      </c>
      <c r="B2333" s="1">
        <v>45961</v>
      </c>
      <c r="C2333">
        <v>415003</v>
      </c>
      <c r="D2333">
        <v>-9547.2279999999992</v>
      </c>
      <c r="E2333" t="s">
        <v>6</v>
      </c>
      <c r="F2333" t="s">
        <v>50</v>
      </c>
      <c r="G2333" t="s">
        <v>7</v>
      </c>
    </row>
    <row r="2334" spans="1:7" x14ac:dyDescent="0.3">
      <c r="A2334" t="s">
        <v>35</v>
      </c>
      <c r="B2334" s="1">
        <v>45961</v>
      </c>
      <c r="C2334">
        <v>415004</v>
      </c>
      <c r="D2334">
        <v>-6881922.4989999998</v>
      </c>
      <c r="E2334" t="s">
        <v>6</v>
      </c>
      <c r="F2334" t="s">
        <v>50</v>
      </c>
      <c r="G2334" t="s">
        <v>7</v>
      </c>
    </row>
    <row r="2335" spans="1:7" x14ac:dyDescent="0.3">
      <c r="A2335" t="s">
        <v>35</v>
      </c>
      <c r="B2335" s="1">
        <v>45961</v>
      </c>
      <c r="C2335">
        <v>415006</v>
      </c>
      <c r="D2335">
        <v>176.321</v>
      </c>
      <c r="E2335" t="s">
        <v>6</v>
      </c>
      <c r="F2335" t="s">
        <v>50</v>
      </c>
      <c r="G2335" t="s">
        <v>7</v>
      </c>
    </row>
    <row r="2336" spans="1:7" x14ac:dyDescent="0.3">
      <c r="A2336" t="s">
        <v>35</v>
      </c>
      <c r="B2336" s="1">
        <v>45961</v>
      </c>
      <c r="C2336">
        <v>418002</v>
      </c>
      <c r="D2336">
        <v>-62.454999999999998</v>
      </c>
      <c r="E2336" t="s">
        <v>6</v>
      </c>
      <c r="F2336" t="s">
        <v>50</v>
      </c>
      <c r="G2336" t="s">
        <v>7</v>
      </c>
    </row>
    <row r="2337" spans="1:7" x14ac:dyDescent="0.3">
      <c r="A2337" t="s">
        <v>35</v>
      </c>
      <c r="B2337" s="1">
        <v>45961</v>
      </c>
      <c r="C2337">
        <v>418003</v>
      </c>
      <c r="D2337">
        <v>62.454999999999998</v>
      </c>
      <c r="E2337" t="s">
        <v>6</v>
      </c>
      <c r="F2337" t="s">
        <v>51</v>
      </c>
      <c r="G2337" t="s">
        <v>7</v>
      </c>
    </row>
    <row r="2338" spans="1:7" x14ac:dyDescent="0.3">
      <c r="A2338" t="s">
        <v>35</v>
      </c>
      <c r="B2338" s="1">
        <v>45961</v>
      </c>
      <c r="C2338">
        <v>421003</v>
      </c>
      <c r="D2338">
        <v>5763.0820000000003</v>
      </c>
      <c r="E2338" t="s">
        <v>6</v>
      </c>
      <c r="F2338" t="s">
        <v>52</v>
      </c>
      <c r="G2338" t="s">
        <v>7</v>
      </c>
    </row>
    <row r="2339" spans="1:7" x14ac:dyDescent="0.3">
      <c r="A2339" t="s">
        <v>35</v>
      </c>
      <c r="B2339" s="1">
        <v>45961</v>
      </c>
      <c r="C2339">
        <v>421007</v>
      </c>
      <c r="D2339">
        <v>143.44499999999999</v>
      </c>
      <c r="E2339" t="s">
        <v>6</v>
      </c>
      <c r="F2339" t="s">
        <v>52</v>
      </c>
      <c r="G2339" t="s">
        <v>7</v>
      </c>
    </row>
    <row r="2340" spans="1:7" x14ac:dyDescent="0.3">
      <c r="A2340" t="s">
        <v>35</v>
      </c>
      <c r="B2340" s="1">
        <v>45961</v>
      </c>
      <c r="C2340">
        <v>423011</v>
      </c>
      <c r="D2340">
        <v>-387.45600000000002</v>
      </c>
      <c r="E2340" t="s">
        <v>6</v>
      </c>
      <c r="F2340" t="s">
        <v>52</v>
      </c>
      <c r="G2340" t="s">
        <v>7</v>
      </c>
    </row>
    <row r="2341" spans="1:7" x14ac:dyDescent="0.3">
      <c r="A2341" t="s">
        <v>35</v>
      </c>
      <c r="B2341" s="1">
        <v>45961</v>
      </c>
      <c r="C2341">
        <v>423012</v>
      </c>
      <c r="D2341">
        <v>-3050.0259999999998</v>
      </c>
      <c r="E2341" t="s">
        <v>6</v>
      </c>
      <c r="F2341" t="s">
        <v>52</v>
      </c>
      <c r="G2341" t="s">
        <v>7</v>
      </c>
    </row>
    <row r="2342" spans="1:7" x14ac:dyDescent="0.3">
      <c r="A2342" t="s">
        <v>35</v>
      </c>
      <c r="B2342" s="1">
        <v>45961</v>
      </c>
      <c r="C2342">
        <v>510002</v>
      </c>
      <c r="D2342">
        <v>3193656.6940000001</v>
      </c>
      <c r="E2342" t="s">
        <v>6</v>
      </c>
      <c r="F2342" t="s">
        <v>53</v>
      </c>
      <c r="G2342" t="s">
        <v>7</v>
      </c>
    </row>
    <row r="2343" spans="1:7" x14ac:dyDescent="0.3">
      <c r="A2343" t="s">
        <v>35</v>
      </c>
      <c r="B2343" s="1">
        <v>45961</v>
      </c>
      <c r="C2343">
        <v>510005</v>
      </c>
      <c r="D2343">
        <v>139184.31700000001</v>
      </c>
      <c r="E2343" t="s">
        <v>6</v>
      </c>
      <c r="F2343" t="s">
        <v>53</v>
      </c>
      <c r="G2343" t="s">
        <v>7</v>
      </c>
    </row>
    <row r="2344" spans="1:7" x14ac:dyDescent="0.3">
      <c r="A2344" t="s">
        <v>35</v>
      </c>
      <c r="B2344" s="1">
        <v>45961</v>
      </c>
      <c r="C2344">
        <v>510007</v>
      </c>
      <c r="D2344">
        <v>225565.93</v>
      </c>
      <c r="E2344" t="s">
        <v>6</v>
      </c>
      <c r="F2344" t="s">
        <v>53</v>
      </c>
      <c r="G2344" t="s">
        <v>7</v>
      </c>
    </row>
    <row r="2345" spans="1:7" x14ac:dyDescent="0.3">
      <c r="A2345" t="s">
        <v>35</v>
      </c>
      <c r="B2345" s="1">
        <v>45961</v>
      </c>
      <c r="C2345">
        <v>510008</v>
      </c>
      <c r="D2345">
        <v>2131.44</v>
      </c>
      <c r="E2345" t="s">
        <v>6</v>
      </c>
      <c r="F2345" t="s">
        <v>53</v>
      </c>
      <c r="G2345" t="s">
        <v>7</v>
      </c>
    </row>
    <row r="2346" spans="1:7" x14ac:dyDescent="0.3">
      <c r="A2346" t="s">
        <v>35</v>
      </c>
      <c r="B2346" s="1">
        <v>45961</v>
      </c>
      <c r="C2346">
        <v>510010</v>
      </c>
      <c r="D2346">
        <v>21082.772000000001</v>
      </c>
      <c r="E2346" t="s">
        <v>6</v>
      </c>
      <c r="F2346" t="s">
        <v>53</v>
      </c>
      <c r="G2346" t="s">
        <v>7</v>
      </c>
    </row>
    <row r="2347" spans="1:7" x14ac:dyDescent="0.3">
      <c r="A2347" t="s">
        <v>35</v>
      </c>
      <c r="B2347" s="1">
        <v>45961</v>
      </c>
      <c r="C2347">
        <v>510012</v>
      </c>
      <c r="D2347">
        <v>52155.392999999996</v>
      </c>
      <c r="E2347" t="s">
        <v>6</v>
      </c>
      <c r="F2347" t="s">
        <v>53</v>
      </c>
      <c r="G2347" t="s">
        <v>7</v>
      </c>
    </row>
    <row r="2348" spans="1:7" x14ac:dyDescent="0.3">
      <c r="A2348" t="s">
        <v>35</v>
      </c>
      <c r="B2348" s="1">
        <v>45961</v>
      </c>
      <c r="C2348">
        <v>510015</v>
      </c>
      <c r="D2348">
        <v>249616.53899999999</v>
      </c>
      <c r="E2348" t="s">
        <v>6</v>
      </c>
      <c r="F2348" t="s">
        <v>53</v>
      </c>
      <c r="G2348" t="s">
        <v>7</v>
      </c>
    </row>
    <row r="2349" spans="1:7" x14ac:dyDescent="0.3">
      <c r="A2349" t="s">
        <v>35</v>
      </c>
      <c r="B2349" s="1">
        <v>45961</v>
      </c>
      <c r="C2349">
        <v>510018</v>
      </c>
      <c r="D2349">
        <v>75552.057000000001</v>
      </c>
      <c r="E2349" t="s">
        <v>6</v>
      </c>
      <c r="F2349" t="s">
        <v>53</v>
      </c>
      <c r="G2349" t="s">
        <v>7</v>
      </c>
    </row>
    <row r="2350" spans="1:7" x14ac:dyDescent="0.3">
      <c r="A2350" t="s">
        <v>35</v>
      </c>
      <c r="B2350" s="1">
        <v>45961</v>
      </c>
      <c r="C2350">
        <v>510048</v>
      </c>
      <c r="D2350">
        <v>1383.9880000000001</v>
      </c>
      <c r="E2350" t="s">
        <v>6</v>
      </c>
      <c r="F2350" t="s">
        <v>61</v>
      </c>
      <c r="G2350" t="s">
        <v>7</v>
      </c>
    </row>
    <row r="2351" spans="1:7" x14ac:dyDescent="0.3">
      <c r="A2351" t="s">
        <v>35</v>
      </c>
      <c r="B2351" s="1">
        <v>45961</v>
      </c>
      <c r="C2351">
        <v>510059</v>
      </c>
      <c r="D2351">
        <v>18637.651000000002</v>
      </c>
      <c r="E2351" t="s">
        <v>6</v>
      </c>
      <c r="F2351" t="s">
        <v>53</v>
      </c>
      <c r="G2351" t="s">
        <v>7</v>
      </c>
    </row>
    <row r="2352" spans="1:7" x14ac:dyDescent="0.3">
      <c r="A2352" t="s">
        <v>35</v>
      </c>
      <c r="B2352" s="1">
        <v>45961</v>
      </c>
      <c r="C2352">
        <v>510062</v>
      </c>
      <c r="D2352">
        <v>39111.425999999999</v>
      </c>
      <c r="E2352" t="s">
        <v>6</v>
      </c>
      <c r="F2352" t="s">
        <v>53</v>
      </c>
      <c r="G2352" t="s">
        <v>7</v>
      </c>
    </row>
    <row r="2353" spans="1:7" x14ac:dyDescent="0.3">
      <c r="A2353" t="s">
        <v>35</v>
      </c>
      <c r="B2353" s="1">
        <v>45961</v>
      </c>
      <c r="C2353">
        <v>510064</v>
      </c>
      <c r="D2353">
        <v>1237.029</v>
      </c>
      <c r="E2353" t="s">
        <v>6</v>
      </c>
      <c r="F2353" t="s">
        <v>53</v>
      </c>
      <c r="G2353" t="s">
        <v>7</v>
      </c>
    </row>
    <row r="2354" spans="1:7" x14ac:dyDescent="0.3">
      <c r="A2354" t="s">
        <v>35</v>
      </c>
      <c r="B2354" s="1">
        <v>45961</v>
      </c>
      <c r="C2354">
        <v>510065</v>
      </c>
      <c r="D2354">
        <v>70968.251999999993</v>
      </c>
      <c r="E2354" t="s">
        <v>6</v>
      </c>
      <c r="F2354" t="s">
        <v>53</v>
      </c>
      <c r="G2354" t="s">
        <v>7</v>
      </c>
    </row>
    <row r="2355" spans="1:7" x14ac:dyDescent="0.3">
      <c r="A2355" t="s">
        <v>35</v>
      </c>
      <c r="B2355" s="1">
        <v>45961</v>
      </c>
      <c r="C2355">
        <v>520020</v>
      </c>
      <c r="D2355">
        <v>4042.0010000000002</v>
      </c>
      <c r="E2355" t="s">
        <v>6</v>
      </c>
      <c r="F2355" t="s">
        <v>53</v>
      </c>
      <c r="G2355" t="s">
        <v>7</v>
      </c>
    </row>
    <row r="2356" spans="1:7" x14ac:dyDescent="0.3">
      <c r="A2356" t="s">
        <v>35</v>
      </c>
      <c r="B2356" s="1">
        <v>45961</v>
      </c>
      <c r="C2356">
        <v>520021</v>
      </c>
      <c r="D2356">
        <v>7662.3059999999996</v>
      </c>
      <c r="E2356" t="s">
        <v>6</v>
      </c>
      <c r="F2356" t="s">
        <v>60</v>
      </c>
      <c r="G2356" t="s">
        <v>7</v>
      </c>
    </row>
    <row r="2357" spans="1:7" x14ac:dyDescent="0.3">
      <c r="A2357" t="s">
        <v>35</v>
      </c>
      <c r="B2357" s="1">
        <v>45961</v>
      </c>
      <c r="C2357">
        <v>521002</v>
      </c>
      <c r="D2357">
        <v>1E-3</v>
      </c>
      <c r="E2357" t="s">
        <v>6</v>
      </c>
      <c r="F2357" t="s">
        <v>53</v>
      </c>
      <c r="G2357" t="s">
        <v>7</v>
      </c>
    </row>
    <row r="2358" spans="1:7" x14ac:dyDescent="0.3">
      <c r="A2358" t="s">
        <v>35</v>
      </c>
      <c r="B2358" s="1">
        <v>45961</v>
      </c>
      <c r="C2358">
        <v>521014</v>
      </c>
      <c r="D2358">
        <v>-1E-3</v>
      </c>
      <c r="E2358" t="s">
        <v>6</v>
      </c>
      <c r="F2358" t="s">
        <v>53</v>
      </c>
      <c r="G2358" t="s">
        <v>7</v>
      </c>
    </row>
    <row r="2359" spans="1:7" x14ac:dyDescent="0.3">
      <c r="A2359" t="s">
        <v>35</v>
      </c>
      <c r="B2359" s="1">
        <v>45961</v>
      </c>
      <c r="C2359">
        <v>530012</v>
      </c>
      <c r="D2359">
        <v>28423.042000000001</v>
      </c>
      <c r="E2359" t="s">
        <v>6</v>
      </c>
      <c r="F2359" t="s">
        <v>53</v>
      </c>
      <c r="G2359" t="s">
        <v>7</v>
      </c>
    </row>
    <row r="2360" spans="1:7" x14ac:dyDescent="0.3">
      <c r="A2360" t="s">
        <v>35</v>
      </c>
      <c r="B2360" s="1">
        <v>45961</v>
      </c>
      <c r="C2360">
        <v>540004</v>
      </c>
      <c r="D2360">
        <v>394.01400000000001</v>
      </c>
      <c r="E2360" t="s">
        <v>6</v>
      </c>
      <c r="F2360" t="s">
        <v>67</v>
      </c>
      <c r="G2360" t="s">
        <v>7</v>
      </c>
    </row>
    <row r="2361" spans="1:7" x14ac:dyDescent="0.3">
      <c r="A2361" t="s">
        <v>35</v>
      </c>
      <c r="B2361" s="1">
        <v>45961</v>
      </c>
      <c r="C2361">
        <v>541002</v>
      </c>
      <c r="D2361">
        <v>9884.4850000000006</v>
      </c>
      <c r="E2361" t="s">
        <v>6</v>
      </c>
      <c r="F2361" t="s">
        <v>61</v>
      </c>
      <c r="G2361" t="s">
        <v>7</v>
      </c>
    </row>
    <row r="2362" spans="1:7" x14ac:dyDescent="0.3">
      <c r="A2362" t="s">
        <v>35</v>
      </c>
      <c r="B2362" s="1">
        <v>45961</v>
      </c>
      <c r="C2362">
        <v>541004</v>
      </c>
      <c r="D2362">
        <v>43427.877</v>
      </c>
      <c r="E2362" t="s">
        <v>6</v>
      </c>
      <c r="F2362" t="s">
        <v>61</v>
      </c>
      <c r="G2362" t="s">
        <v>7</v>
      </c>
    </row>
    <row r="2363" spans="1:7" x14ac:dyDescent="0.3">
      <c r="A2363" t="s">
        <v>35</v>
      </c>
      <c r="B2363" s="1">
        <v>45961</v>
      </c>
      <c r="C2363">
        <v>541008</v>
      </c>
      <c r="D2363">
        <v>15177.946</v>
      </c>
      <c r="E2363" t="s">
        <v>6</v>
      </c>
      <c r="F2363" t="s">
        <v>61</v>
      </c>
      <c r="G2363" t="s">
        <v>7</v>
      </c>
    </row>
    <row r="2364" spans="1:7" x14ac:dyDescent="0.3">
      <c r="A2364" t="s">
        <v>35</v>
      </c>
      <c r="B2364" s="1">
        <v>45961</v>
      </c>
      <c r="C2364">
        <v>541009</v>
      </c>
      <c r="D2364">
        <v>6370.1989999999996</v>
      </c>
      <c r="E2364" t="s">
        <v>6</v>
      </c>
      <c r="F2364" t="s">
        <v>61</v>
      </c>
      <c r="G2364" t="s">
        <v>7</v>
      </c>
    </row>
    <row r="2365" spans="1:7" x14ac:dyDescent="0.3">
      <c r="A2365" t="s">
        <v>35</v>
      </c>
      <c r="B2365" s="1">
        <v>45961</v>
      </c>
      <c r="C2365">
        <v>541010</v>
      </c>
      <c r="D2365">
        <v>39278.449000000001</v>
      </c>
      <c r="E2365" t="s">
        <v>6</v>
      </c>
      <c r="F2365" t="s">
        <v>61</v>
      </c>
      <c r="G2365" t="s">
        <v>7</v>
      </c>
    </row>
    <row r="2366" spans="1:7" x14ac:dyDescent="0.3">
      <c r="A2366" t="s">
        <v>35</v>
      </c>
      <c r="B2366" s="1">
        <v>45961</v>
      </c>
      <c r="C2366">
        <v>541012</v>
      </c>
      <c r="D2366">
        <v>329.96699999999998</v>
      </c>
      <c r="E2366" t="s">
        <v>6</v>
      </c>
      <c r="F2366" t="s">
        <v>61</v>
      </c>
      <c r="G2366" t="s">
        <v>7</v>
      </c>
    </row>
    <row r="2367" spans="1:7" x14ac:dyDescent="0.3">
      <c r="A2367" t="s">
        <v>35</v>
      </c>
      <c r="B2367" s="1">
        <v>45961</v>
      </c>
      <c r="C2367">
        <v>541013</v>
      </c>
      <c r="D2367">
        <v>2476.4609999999998</v>
      </c>
      <c r="E2367" t="s">
        <v>6</v>
      </c>
      <c r="F2367" t="s">
        <v>61</v>
      </c>
      <c r="G2367" t="s">
        <v>7</v>
      </c>
    </row>
    <row r="2368" spans="1:7" x14ac:dyDescent="0.3">
      <c r="A2368" t="s">
        <v>35</v>
      </c>
      <c r="B2368" s="1">
        <v>45961</v>
      </c>
      <c r="C2368">
        <v>541021</v>
      </c>
      <c r="D2368">
        <v>-250.43</v>
      </c>
      <c r="E2368" t="s">
        <v>6</v>
      </c>
      <c r="F2368" t="s">
        <v>61</v>
      </c>
      <c r="G2368" t="s">
        <v>7</v>
      </c>
    </row>
    <row r="2369" spans="1:7" x14ac:dyDescent="0.3">
      <c r="A2369" t="s">
        <v>35</v>
      </c>
      <c r="B2369" s="1">
        <v>45961</v>
      </c>
      <c r="C2369">
        <v>541023</v>
      </c>
      <c r="D2369">
        <v>23760.653999999999</v>
      </c>
      <c r="E2369" t="s">
        <v>6</v>
      </c>
      <c r="F2369" t="s">
        <v>61</v>
      </c>
      <c r="G2369" t="s">
        <v>7</v>
      </c>
    </row>
    <row r="2370" spans="1:7" x14ac:dyDescent="0.3">
      <c r="A2370" t="s">
        <v>35</v>
      </c>
      <c r="B2370" s="1">
        <v>45961</v>
      </c>
      <c r="C2370">
        <v>544003</v>
      </c>
      <c r="D2370">
        <v>288.89499999999998</v>
      </c>
      <c r="E2370" t="s">
        <v>6</v>
      </c>
      <c r="F2370" t="s">
        <v>61</v>
      </c>
      <c r="G2370" t="s">
        <v>7</v>
      </c>
    </row>
    <row r="2371" spans="1:7" x14ac:dyDescent="0.3">
      <c r="A2371" t="s">
        <v>35</v>
      </c>
      <c r="B2371" s="1">
        <v>45961</v>
      </c>
      <c r="C2371">
        <v>544006</v>
      </c>
      <c r="D2371">
        <v>20553.043000000001</v>
      </c>
      <c r="E2371" t="s">
        <v>6</v>
      </c>
      <c r="F2371" t="s">
        <v>61</v>
      </c>
      <c r="G2371" t="s">
        <v>7</v>
      </c>
    </row>
    <row r="2372" spans="1:7" x14ac:dyDescent="0.3">
      <c r="A2372" t="s">
        <v>35</v>
      </c>
      <c r="B2372" s="1">
        <v>45961</v>
      </c>
      <c r="C2372">
        <v>546002</v>
      </c>
      <c r="D2372">
        <v>6553403.5470000003</v>
      </c>
      <c r="E2372" t="s">
        <v>6</v>
      </c>
      <c r="F2372" t="s">
        <v>51</v>
      </c>
      <c r="G2372" t="s">
        <v>7</v>
      </c>
    </row>
    <row r="2373" spans="1:7" x14ac:dyDescent="0.3">
      <c r="A2373" t="s">
        <v>35</v>
      </c>
      <c r="B2373" s="1">
        <v>45961</v>
      </c>
      <c r="C2373">
        <v>546005</v>
      </c>
      <c r="D2373">
        <v>13329.474</v>
      </c>
      <c r="E2373" t="s">
        <v>6</v>
      </c>
      <c r="F2373" t="s">
        <v>51</v>
      </c>
      <c r="G2373" t="s">
        <v>7</v>
      </c>
    </row>
    <row r="2374" spans="1:7" x14ac:dyDescent="0.3">
      <c r="A2374" t="s">
        <v>35</v>
      </c>
      <c r="B2374" s="1">
        <v>45961</v>
      </c>
      <c r="C2374">
        <v>546008</v>
      </c>
      <c r="D2374">
        <v>101050.56200000001</v>
      </c>
      <c r="E2374" t="s">
        <v>6</v>
      </c>
      <c r="F2374" t="s">
        <v>51</v>
      </c>
      <c r="G2374" t="s">
        <v>7</v>
      </c>
    </row>
    <row r="2375" spans="1:7" x14ac:dyDescent="0.3">
      <c r="A2375" t="s">
        <v>35</v>
      </c>
      <c r="B2375" s="1">
        <v>45961</v>
      </c>
      <c r="C2375">
        <v>546012</v>
      </c>
      <c r="D2375">
        <v>9586.527</v>
      </c>
      <c r="E2375" t="s">
        <v>6</v>
      </c>
      <c r="F2375" t="s">
        <v>51</v>
      </c>
      <c r="G2375" t="s">
        <v>7</v>
      </c>
    </row>
    <row r="2376" spans="1:7" x14ac:dyDescent="0.3">
      <c r="A2376" t="s">
        <v>35</v>
      </c>
      <c r="B2376" s="1">
        <v>45961</v>
      </c>
      <c r="C2376">
        <v>546013</v>
      </c>
      <c r="D2376">
        <v>1006469.571</v>
      </c>
      <c r="E2376" t="s">
        <v>6</v>
      </c>
      <c r="F2376" t="s">
        <v>51</v>
      </c>
      <c r="G2376" t="s">
        <v>7</v>
      </c>
    </row>
    <row r="2377" spans="1:7" x14ac:dyDescent="0.3">
      <c r="A2377" t="s">
        <v>35</v>
      </c>
      <c r="B2377" s="1">
        <v>45961</v>
      </c>
      <c r="C2377">
        <v>546015</v>
      </c>
      <c r="D2377">
        <v>53705.953000000001</v>
      </c>
      <c r="E2377" t="s">
        <v>6</v>
      </c>
      <c r="F2377" t="s">
        <v>51</v>
      </c>
      <c r="G2377" t="s">
        <v>7</v>
      </c>
    </row>
    <row r="2378" spans="1:7" x14ac:dyDescent="0.3">
      <c r="A2378" t="s">
        <v>35</v>
      </c>
      <c r="B2378" s="1">
        <v>45961</v>
      </c>
      <c r="C2378">
        <v>546016</v>
      </c>
      <c r="D2378">
        <v>81973.263999999996</v>
      </c>
      <c r="E2378" t="s">
        <v>6</v>
      </c>
      <c r="F2378" t="s">
        <v>51</v>
      </c>
      <c r="G2378" t="s">
        <v>7</v>
      </c>
    </row>
    <row r="2379" spans="1:7" x14ac:dyDescent="0.3">
      <c r="A2379" t="s">
        <v>35</v>
      </c>
      <c r="B2379" s="1">
        <v>45961</v>
      </c>
      <c r="C2379">
        <v>546018</v>
      </c>
      <c r="D2379">
        <v>1385.489</v>
      </c>
      <c r="E2379" t="s">
        <v>6</v>
      </c>
      <c r="F2379" t="s">
        <v>51</v>
      </c>
      <c r="G2379" t="s">
        <v>7</v>
      </c>
    </row>
    <row r="2380" spans="1:7" x14ac:dyDescent="0.3">
      <c r="A2380" t="s">
        <v>35</v>
      </c>
      <c r="B2380" s="1">
        <v>45961</v>
      </c>
      <c r="C2380">
        <v>546024</v>
      </c>
      <c r="D2380">
        <v>5217.4430000000002</v>
      </c>
      <c r="E2380" t="s">
        <v>6</v>
      </c>
      <c r="F2380" t="s">
        <v>51</v>
      </c>
      <c r="G2380" t="s">
        <v>7</v>
      </c>
    </row>
    <row r="2381" spans="1:7" x14ac:dyDescent="0.3">
      <c r="A2381" t="s">
        <v>35</v>
      </c>
      <c r="B2381" s="1">
        <v>45961</v>
      </c>
      <c r="C2381">
        <v>546035</v>
      </c>
      <c r="D2381">
        <v>140213.01800000001</v>
      </c>
      <c r="E2381" t="s">
        <v>6</v>
      </c>
      <c r="F2381" t="s">
        <v>51</v>
      </c>
      <c r="G2381" t="s">
        <v>7</v>
      </c>
    </row>
    <row r="2382" spans="1:7" x14ac:dyDescent="0.3">
      <c r="A2382" t="s">
        <v>35</v>
      </c>
      <c r="B2382" s="1">
        <v>45961</v>
      </c>
      <c r="C2382">
        <v>546045</v>
      </c>
      <c r="D2382">
        <v>37288.451999999997</v>
      </c>
      <c r="E2382" t="s">
        <v>6</v>
      </c>
      <c r="F2382" t="s">
        <v>51</v>
      </c>
      <c r="G2382" t="s">
        <v>7</v>
      </c>
    </row>
    <row r="2383" spans="1:7" x14ac:dyDescent="0.3">
      <c r="A2383" t="s">
        <v>35</v>
      </c>
      <c r="B2383" s="1">
        <v>45961</v>
      </c>
      <c r="C2383">
        <v>546047</v>
      </c>
      <c r="D2383">
        <v>15450.453</v>
      </c>
      <c r="E2383" t="s">
        <v>6</v>
      </c>
      <c r="F2383" t="s">
        <v>51</v>
      </c>
      <c r="G2383" t="s">
        <v>7</v>
      </c>
    </row>
    <row r="2384" spans="1:7" x14ac:dyDescent="0.3">
      <c r="A2384" t="s">
        <v>35</v>
      </c>
      <c r="B2384" s="1">
        <v>45961</v>
      </c>
      <c r="C2384">
        <v>547002</v>
      </c>
      <c r="D2384">
        <v>34587.69</v>
      </c>
      <c r="E2384" t="s">
        <v>6</v>
      </c>
      <c r="F2384" t="s">
        <v>54</v>
      </c>
      <c r="G2384" t="s">
        <v>7</v>
      </c>
    </row>
    <row r="2385" spans="1:7" x14ac:dyDescent="0.3">
      <c r="A2385" t="s">
        <v>35</v>
      </c>
      <c r="B2385" s="1">
        <v>45961</v>
      </c>
      <c r="C2385">
        <v>547006</v>
      </c>
      <c r="D2385">
        <v>11202.078</v>
      </c>
      <c r="E2385" t="s">
        <v>6</v>
      </c>
      <c r="F2385" t="s">
        <v>54</v>
      </c>
      <c r="G2385" t="s">
        <v>7</v>
      </c>
    </row>
    <row r="2386" spans="1:7" x14ac:dyDescent="0.3">
      <c r="A2386" t="s">
        <v>35</v>
      </c>
      <c r="B2386" s="1">
        <v>45961</v>
      </c>
      <c r="C2386">
        <v>550003</v>
      </c>
      <c r="D2386">
        <v>3745742.5639999998</v>
      </c>
      <c r="E2386" t="s">
        <v>6</v>
      </c>
      <c r="F2386" t="s">
        <v>62</v>
      </c>
      <c r="G2386" t="s">
        <v>7</v>
      </c>
    </row>
    <row r="2387" spans="1:7" x14ac:dyDescent="0.3">
      <c r="A2387" t="s">
        <v>35</v>
      </c>
      <c r="B2387" s="1">
        <v>45961</v>
      </c>
      <c r="C2387">
        <v>551002</v>
      </c>
      <c r="D2387">
        <v>2612.2440000000001</v>
      </c>
      <c r="E2387" t="s">
        <v>6</v>
      </c>
      <c r="F2387" t="s">
        <v>63</v>
      </c>
      <c r="G2387" t="s">
        <v>7</v>
      </c>
    </row>
    <row r="2388" spans="1:7" x14ac:dyDescent="0.3">
      <c r="A2388" t="s">
        <v>35</v>
      </c>
      <c r="B2388" s="1">
        <v>45961</v>
      </c>
      <c r="C2388">
        <v>551003</v>
      </c>
      <c r="D2388">
        <v>75769.233999999997</v>
      </c>
      <c r="E2388" t="s">
        <v>6</v>
      </c>
      <c r="F2388" t="s">
        <v>63</v>
      </c>
      <c r="G2388" t="s">
        <v>7</v>
      </c>
    </row>
    <row r="2389" spans="1:7" x14ac:dyDescent="0.3">
      <c r="A2389" t="s">
        <v>35</v>
      </c>
      <c r="B2389" s="1">
        <v>45961</v>
      </c>
      <c r="C2389">
        <v>551008</v>
      </c>
      <c r="D2389">
        <v>79.841999999999999</v>
      </c>
      <c r="E2389" t="s">
        <v>6</v>
      </c>
      <c r="F2389" t="s">
        <v>63</v>
      </c>
      <c r="G2389" t="s">
        <v>7</v>
      </c>
    </row>
    <row r="2390" spans="1:7" x14ac:dyDescent="0.3">
      <c r="A2390" t="s">
        <v>35</v>
      </c>
      <c r="B2390" s="1">
        <v>45961</v>
      </c>
      <c r="C2390">
        <v>551011</v>
      </c>
      <c r="D2390">
        <v>247.42500000000001</v>
      </c>
      <c r="E2390" t="s">
        <v>6</v>
      </c>
      <c r="F2390" t="s">
        <v>61</v>
      </c>
      <c r="G2390" t="s">
        <v>7</v>
      </c>
    </row>
    <row r="2391" spans="1:7" x14ac:dyDescent="0.3">
      <c r="A2391" t="s">
        <v>35</v>
      </c>
      <c r="B2391" s="1">
        <v>45961</v>
      </c>
      <c r="C2391">
        <v>552002</v>
      </c>
      <c r="D2391">
        <v>1315.973</v>
      </c>
      <c r="E2391" t="s">
        <v>6</v>
      </c>
      <c r="F2391" t="s">
        <v>55</v>
      </c>
      <c r="G2391" t="s">
        <v>7</v>
      </c>
    </row>
    <row r="2392" spans="1:7" x14ac:dyDescent="0.3">
      <c r="A2392" t="s">
        <v>35</v>
      </c>
      <c r="B2392" s="1">
        <v>45961</v>
      </c>
      <c r="C2392">
        <v>552502</v>
      </c>
      <c r="D2392">
        <v>16643.273000000001</v>
      </c>
      <c r="E2392" t="s">
        <v>6</v>
      </c>
      <c r="F2392" t="s">
        <v>55</v>
      </c>
      <c r="G2392" t="s">
        <v>7</v>
      </c>
    </row>
    <row r="2393" spans="1:7" x14ac:dyDescent="0.3">
      <c r="A2393" t="s">
        <v>35</v>
      </c>
      <c r="B2393" s="1">
        <v>45961</v>
      </c>
      <c r="C2393">
        <v>552504</v>
      </c>
      <c r="D2393">
        <v>900.45899999999995</v>
      </c>
      <c r="E2393" t="s">
        <v>6</v>
      </c>
      <c r="F2393" t="s">
        <v>55</v>
      </c>
      <c r="G2393" t="s">
        <v>7</v>
      </c>
    </row>
    <row r="2394" spans="1:7" x14ac:dyDescent="0.3">
      <c r="A2394" t="s">
        <v>35</v>
      </c>
      <c r="B2394" s="1">
        <v>45961</v>
      </c>
      <c r="C2394">
        <v>554003</v>
      </c>
      <c r="D2394">
        <v>1611.6469999999999</v>
      </c>
      <c r="E2394" t="s">
        <v>6</v>
      </c>
      <c r="F2394" t="s">
        <v>55</v>
      </c>
      <c r="G2394" t="s">
        <v>7</v>
      </c>
    </row>
    <row r="2395" spans="1:7" x14ac:dyDescent="0.3">
      <c r="A2395" t="s">
        <v>35</v>
      </c>
      <c r="B2395" s="1">
        <v>45961</v>
      </c>
      <c r="C2395">
        <v>554006</v>
      </c>
      <c r="D2395">
        <v>247.334</v>
      </c>
      <c r="E2395" t="s">
        <v>6</v>
      </c>
      <c r="F2395" t="s">
        <v>55</v>
      </c>
      <c r="G2395" t="s">
        <v>7</v>
      </c>
    </row>
    <row r="2396" spans="1:7" x14ac:dyDescent="0.3">
      <c r="A2396" t="s">
        <v>35</v>
      </c>
      <c r="B2396" s="1">
        <v>45961</v>
      </c>
      <c r="C2396">
        <v>555007</v>
      </c>
      <c r="D2396">
        <v>884.88099999999997</v>
      </c>
      <c r="E2396" t="s">
        <v>6</v>
      </c>
      <c r="F2396" t="s">
        <v>55</v>
      </c>
      <c r="G2396" t="s">
        <v>7</v>
      </c>
    </row>
    <row r="2397" spans="1:7" x14ac:dyDescent="0.3">
      <c r="A2397" t="s">
        <v>35</v>
      </c>
      <c r="B2397" s="1">
        <v>45961</v>
      </c>
      <c r="C2397">
        <v>555502</v>
      </c>
      <c r="D2397">
        <v>27526.314999999999</v>
      </c>
      <c r="E2397" t="s">
        <v>6</v>
      </c>
      <c r="F2397" t="s">
        <v>55</v>
      </c>
      <c r="G2397" t="s">
        <v>7</v>
      </c>
    </row>
    <row r="2398" spans="1:7" x14ac:dyDescent="0.3">
      <c r="A2398" t="s">
        <v>35</v>
      </c>
      <c r="B2398" s="1">
        <v>45961</v>
      </c>
      <c r="C2398">
        <v>555508</v>
      </c>
      <c r="D2398">
        <v>3459.12</v>
      </c>
      <c r="E2398" t="s">
        <v>6</v>
      </c>
      <c r="F2398" t="s">
        <v>55</v>
      </c>
      <c r="G2398" t="s">
        <v>7</v>
      </c>
    </row>
    <row r="2399" spans="1:7" x14ac:dyDescent="0.3">
      <c r="A2399" t="s">
        <v>35</v>
      </c>
      <c r="B2399" s="1">
        <v>45961</v>
      </c>
      <c r="C2399">
        <v>556002</v>
      </c>
      <c r="D2399">
        <v>5211.0749999999998</v>
      </c>
      <c r="E2399" t="s">
        <v>6</v>
      </c>
      <c r="F2399" t="s">
        <v>60</v>
      </c>
      <c r="G2399" t="s">
        <v>7</v>
      </c>
    </row>
    <row r="2400" spans="1:7" x14ac:dyDescent="0.3">
      <c r="A2400" t="s">
        <v>35</v>
      </c>
      <c r="B2400" s="1">
        <v>45961</v>
      </c>
      <c r="C2400">
        <v>557002</v>
      </c>
      <c r="D2400">
        <v>69559.91</v>
      </c>
      <c r="E2400" t="s">
        <v>6</v>
      </c>
      <c r="F2400" t="s">
        <v>56</v>
      </c>
      <c r="G2400" t="s">
        <v>7</v>
      </c>
    </row>
    <row r="2401" spans="1:7" x14ac:dyDescent="0.3">
      <c r="A2401" t="s">
        <v>35</v>
      </c>
      <c r="B2401" s="1">
        <v>45961</v>
      </c>
      <c r="C2401">
        <v>557003</v>
      </c>
      <c r="D2401">
        <v>-31517.26</v>
      </c>
      <c r="E2401" t="s">
        <v>6</v>
      </c>
      <c r="F2401" t="s">
        <v>56</v>
      </c>
      <c r="G2401" t="s">
        <v>7</v>
      </c>
    </row>
    <row r="2402" spans="1:7" x14ac:dyDescent="0.3">
      <c r="A2402" t="s">
        <v>35</v>
      </c>
      <c r="B2402" s="1">
        <v>45961</v>
      </c>
      <c r="C2402">
        <v>558003</v>
      </c>
      <c r="D2402">
        <v>32759.083999999999</v>
      </c>
      <c r="E2402" t="s">
        <v>6</v>
      </c>
      <c r="F2402" t="s">
        <v>57</v>
      </c>
      <c r="G2402" t="s">
        <v>7</v>
      </c>
    </row>
    <row r="2403" spans="1:7" x14ac:dyDescent="0.3">
      <c r="A2403" t="s">
        <v>35</v>
      </c>
      <c r="B2403" s="1">
        <v>45961</v>
      </c>
      <c r="C2403">
        <v>558006</v>
      </c>
      <c r="D2403">
        <v>24346.491000000002</v>
      </c>
      <c r="E2403" t="s">
        <v>6</v>
      </c>
      <c r="F2403" t="s">
        <v>57</v>
      </c>
      <c r="G2403" t="s">
        <v>7</v>
      </c>
    </row>
    <row r="2404" spans="1:7" x14ac:dyDescent="0.3">
      <c r="A2404" t="s">
        <v>35</v>
      </c>
      <c r="B2404" s="1">
        <v>45961</v>
      </c>
      <c r="C2404">
        <v>558007</v>
      </c>
      <c r="D2404">
        <v>231.37100000000001</v>
      </c>
      <c r="E2404" t="s">
        <v>6</v>
      </c>
      <c r="F2404" t="s">
        <v>60</v>
      </c>
      <c r="G2404" t="s">
        <v>7</v>
      </c>
    </row>
    <row r="2405" spans="1:7" x14ac:dyDescent="0.3">
      <c r="A2405" t="s">
        <v>35</v>
      </c>
      <c r="B2405" s="1">
        <v>45961</v>
      </c>
      <c r="C2405">
        <v>558011</v>
      </c>
      <c r="D2405">
        <v>9185.4390000000003</v>
      </c>
      <c r="E2405" t="s">
        <v>6</v>
      </c>
      <c r="F2405" t="s">
        <v>57</v>
      </c>
      <c r="G2405" t="s">
        <v>7</v>
      </c>
    </row>
    <row r="2406" spans="1:7" x14ac:dyDescent="0.3">
      <c r="A2406" t="s">
        <v>35</v>
      </c>
      <c r="B2406" s="1">
        <v>45961</v>
      </c>
      <c r="C2406">
        <v>558012</v>
      </c>
      <c r="D2406">
        <v>8180.9489999999996</v>
      </c>
      <c r="E2406" t="s">
        <v>6</v>
      </c>
      <c r="F2406" t="s">
        <v>60</v>
      </c>
      <c r="G2406" t="s">
        <v>7</v>
      </c>
    </row>
    <row r="2407" spans="1:7" x14ac:dyDescent="0.3">
      <c r="A2407" t="s">
        <v>35</v>
      </c>
      <c r="B2407" s="1">
        <v>45961</v>
      </c>
      <c r="C2407">
        <v>559002</v>
      </c>
      <c r="D2407">
        <v>40.624000000000002</v>
      </c>
      <c r="E2407" t="s">
        <v>6</v>
      </c>
      <c r="F2407" t="s">
        <v>60</v>
      </c>
      <c r="G2407" t="s">
        <v>7</v>
      </c>
    </row>
    <row r="2408" spans="1:7" x14ac:dyDescent="0.3">
      <c r="A2408" t="s">
        <v>35</v>
      </c>
      <c r="B2408" s="1">
        <v>45961</v>
      </c>
      <c r="C2408">
        <v>564004</v>
      </c>
      <c r="D2408">
        <v>329713.18300000002</v>
      </c>
      <c r="E2408" t="s">
        <v>6</v>
      </c>
      <c r="F2408" t="s">
        <v>51</v>
      </c>
      <c r="G2408" t="s">
        <v>7</v>
      </c>
    </row>
    <row r="2409" spans="1:7" x14ac:dyDescent="0.3">
      <c r="A2409" t="s">
        <v>35</v>
      </c>
      <c r="B2409" s="1">
        <v>45961</v>
      </c>
      <c r="C2409">
        <v>564006</v>
      </c>
      <c r="D2409">
        <v>-7.3999999999999996E-2</v>
      </c>
      <c r="E2409" t="s">
        <v>6</v>
      </c>
      <c r="F2409" t="s">
        <v>57</v>
      </c>
      <c r="G2409" t="s">
        <v>7</v>
      </c>
    </row>
    <row r="2410" spans="1:7" x14ac:dyDescent="0.3">
      <c r="A2410" t="s">
        <v>35</v>
      </c>
      <c r="B2410" s="1">
        <v>45961</v>
      </c>
      <c r="C2410">
        <v>564008</v>
      </c>
      <c r="D2410">
        <v>626.99900000000002</v>
      </c>
      <c r="E2410" t="s">
        <v>6</v>
      </c>
      <c r="F2410" t="s">
        <v>55</v>
      </c>
      <c r="G2410" t="s">
        <v>7</v>
      </c>
    </row>
    <row r="2411" spans="1:7" x14ac:dyDescent="0.3">
      <c r="A2411" t="s">
        <v>35</v>
      </c>
      <c r="B2411" s="1">
        <v>45961</v>
      </c>
      <c r="C2411">
        <v>564013</v>
      </c>
      <c r="D2411">
        <v>3324.2939999999999</v>
      </c>
      <c r="E2411" t="s">
        <v>6</v>
      </c>
      <c r="F2411" t="s">
        <v>69</v>
      </c>
      <c r="G2411" t="s">
        <v>7</v>
      </c>
    </row>
    <row r="2412" spans="1:7" x14ac:dyDescent="0.3">
      <c r="A2412" t="s">
        <v>35</v>
      </c>
      <c r="B2412" s="1">
        <v>45961</v>
      </c>
      <c r="C2412">
        <v>564020</v>
      </c>
      <c r="D2412">
        <v>727.04</v>
      </c>
      <c r="E2412" t="s">
        <v>6</v>
      </c>
      <c r="F2412" t="s">
        <v>57</v>
      </c>
      <c r="G2412" t="s">
        <v>7</v>
      </c>
    </row>
    <row r="2413" spans="1:7" x14ac:dyDescent="0.3">
      <c r="A2413" t="s">
        <v>35</v>
      </c>
      <c r="B2413" s="1">
        <v>45961</v>
      </c>
      <c r="C2413">
        <v>564021</v>
      </c>
      <c r="D2413">
        <v>1.847</v>
      </c>
      <c r="E2413" t="s">
        <v>6</v>
      </c>
      <c r="F2413" t="s">
        <v>57</v>
      </c>
      <c r="G2413" t="s">
        <v>7</v>
      </c>
    </row>
    <row r="2414" spans="1:7" x14ac:dyDescent="0.3">
      <c r="A2414" t="s">
        <v>35</v>
      </c>
      <c r="B2414" s="1">
        <v>45961</v>
      </c>
      <c r="C2414">
        <v>564022</v>
      </c>
      <c r="D2414">
        <v>53223.821000000004</v>
      </c>
      <c r="E2414" t="s">
        <v>6</v>
      </c>
      <c r="F2414" t="s">
        <v>67</v>
      </c>
      <c r="G2414" t="s">
        <v>7</v>
      </c>
    </row>
    <row r="2415" spans="1:7" x14ac:dyDescent="0.3">
      <c r="A2415" t="s">
        <v>35</v>
      </c>
      <c r="B2415" s="1">
        <v>45961</v>
      </c>
      <c r="C2415">
        <v>570002</v>
      </c>
      <c r="D2415">
        <v>2524.3310000000001</v>
      </c>
      <c r="E2415" t="s">
        <v>6</v>
      </c>
      <c r="F2415" t="s">
        <v>66</v>
      </c>
      <c r="G2415" t="s">
        <v>7</v>
      </c>
    </row>
    <row r="2416" spans="1:7" x14ac:dyDescent="0.3">
      <c r="A2416" t="s">
        <v>35</v>
      </c>
      <c r="B2416" s="1">
        <v>45961</v>
      </c>
      <c r="C2416">
        <v>580002</v>
      </c>
      <c r="D2416">
        <v>330197.17499999999</v>
      </c>
      <c r="E2416" t="s">
        <v>6</v>
      </c>
      <c r="F2416" t="s">
        <v>64</v>
      </c>
      <c r="G2416" t="s">
        <v>7</v>
      </c>
    </row>
    <row r="2417" spans="1:7" x14ac:dyDescent="0.3">
      <c r="A2417" t="s">
        <v>35</v>
      </c>
      <c r="B2417" s="1">
        <v>45961</v>
      </c>
      <c r="C2417">
        <v>580003</v>
      </c>
      <c r="D2417">
        <v>4907.5190000000002</v>
      </c>
      <c r="E2417" t="s">
        <v>6</v>
      </c>
      <c r="F2417" t="s">
        <v>64</v>
      </c>
      <c r="G2417" t="s">
        <v>7</v>
      </c>
    </row>
    <row r="2418" spans="1:7" x14ac:dyDescent="0.3">
      <c r="A2418" t="s">
        <v>35</v>
      </c>
      <c r="B2418" s="1">
        <v>45961</v>
      </c>
      <c r="C2418">
        <v>580005</v>
      </c>
      <c r="D2418">
        <v>52481.313999999998</v>
      </c>
      <c r="E2418" t="s">
        <v>6</v>
      </c>
      <c r="F2418" t="s">
        <v>64</v>
      </c>
      <c r="G2418" t="s">
        <v>7</v>
      </c>
    </row>
    <row r="2419" spans="1:7" x14ac:dyDescent="0.3">
      <c r="A2419" t="s">
        <v>36</v>
      </c>
      <c r="B2419" s="1">
        <v>45961</v>
      </c>
      <c r="C2419">
        <v>210002</v>
      </c>
      <c r="D2419">
        <v>-1034489.26</v>
      </c>
      <c r="E2419" t="s">
        <v>4</v>
      </c>
      <c r="F2419" t="s">
        <v>42</v>
      </c>
      <c r="G2419" t="s">
        <v>7</v>
      </c>
    </row>
    <row r="2420" spans="1:7" x14ac:dyDescent="0.3">
      <c r="A2420" t="s">
        <v>36</v>
      </c>
      <c r="B2420" s="1">
        <v>45961</v>
      </c>
      <c r="C2420">
        <v>220006</v>
      </c>
      <c r="D2420">
        <v>1799696.2720000001</v>
      </c>
      <c r="E2420" t="s">
        <v>4</v>
      </c>
      <c r="F2420" t="s">
        <v>42</v>
      </c>
      <c r="G2420" t="s">
        <v>7</v>
      </c>
    </row>
    <row r="2421" spans="1:7" x14ac:dyDescent="0.3">
      <c r="A2421" t="s">
        <v>36</v>
      </c>
      <c r="B2421" s="1">
        <v>45961</v>
      </c>
      <c r="C2421">
        <v>300005</v>
      </c>
      <c r="D2421">
        <v>5706.7749999999996</v>
      </c>
      <c r="E2421" t="s">
        <v>4</v>
      </c>
      <c r="F2421" t="s">
        <v>65</v>
      </c>
      <c r="G2421" t="s">
        <v>7</v>
      </c>
    </row>
    <row r="2422" spans="1:7" x14ac:dyDescent="0.3">
      <c r="A2422" t="s">
        <v>36</v>
      </c>
      <c r="B2422" s="1">
        <v>45961</v>
      </c>
      <c r="C2422">
        <v>300008</v>
      </c>
      <c r="D2422">
        <v>12190.576999999999</v>
      </c>
      <c r="E2422" t="s">
        <v>4</v>
      </c>
      <c r="F2422" t="s">
        <v>65</v>
      </c>
      <c r="G2422" t="s">
        <v>7</v>
      </c>
    </row>
    <row r="2423" spans="1:7" x14ac:dyDescent="0.3">
      <c r="A2423" t="s">
        <v>36</v>
      </c>
      <c r="B2423" s="1">
        <v>45961</v>
      </c>
      <c r="C2423">
        <v>300505</v>
      </c>
      <c r="D2423">
        <v>-5706.7749999999996</v>
      </c>
      <c r="E2423" t="s">
        <v>4</v>
      </c>
      <c r="F2423" t="s">
        <v>65</v>
      </c>
      <c r="G2423" t="s">
        <v>7</v>
      </c>
    </row>
    <row r="2424" spans="1:7" x14ac:dyDescent="0.3">
      <c r="A2424" t="s">
        <v>36</v>
      </c>
      <c r="B2424" s="1">
        <v>45961</v>
      </c>
      <c r="C2424">
        <v>300508</v>
      </c>
      <c r="D2424">
        <v>-12190.576999999999</v>
      </c>
      <c r="E2424" t="s">
        <v>4</v>
      </c>
      <c r="F2424" t="s">
        <v>65</v>
      </c>
      <c r="G2424" t="s">
        <v>7</v>
      </c>
    </row>
    <row r="2425" spans="1:7" x14ac:dyDescent="0.3">
      <c r="A2425" t="s">
        <v>36</v>
      </c>
      <c r="B2425" s="1">
        <v>45961</v>
      </c>
      <c r="C2425">
        <v>301002</v>
      </c>
      <c r="D2425">
        <v>479997.68199999997</v>
      </c>
      <c r="E2425" t="s">
        <v>4</v>
      </c>
      <c r="F2425" t="s">
        <v>68</v>
      </c>
      <c r="G2425" t="s">
        <v>7</v>
      </c>
    </row>
    <row r="2426" spans="1:7" x14ac:dyDescent="0.3">
      <c r="A2426" t="s">
        <v>36</v>
      </c>
      <c r="B2426" s="1">
        <v>45961</v>
      </c>
      <c r="C2426">
        <v>301502</v>
      </c>
      <c r="D2426">
        <v>-412226.48599999998</v>
      </c>
      <c r="E2426" t="s">
        <v>4</v>
      </c>
      <c r="F2426" t="s">
        <v>68</v>
      </c>
      <c r="G2426" t="s">
        <v>7</v>
      </c>
    </row>
    <row r="2427" spans="1:7" x14ac:dyDescent="0.3">
      <c r="A2427" t="s">
        <v>36</v>
      </c>
      <c r="B2427" s="1">
        <v>45961</v>
      </c>
      <c r="C2427">
        <v>330123</v>
      </c>
      <c r="D2427">
        <v>-960578.00300000003</v>
      </c>
      <c r="E2427" t="s">
        <v>4</v>
      </c>
      <c r="F2427" t="s">
        <v>43</v>
      </c>
      <c r="G2427" t="s">
        <v>7</v>
      </c>
    </row>
    <row r="2428" spans="1:7" x14ac:dyDescent="0.3">
      <c r="A2428" t="s">
        <v>36</v>
      </c>
      <c r="B2428" s="1">
        <v>45961</v>
      </c>
      <c r="C2428">
        <v>340258</v>
      </c>
      <c r="D2428">
        <v>188.42</v>
      </c>
      <c r="E2428" t="s">
        <v>4</v>
      </c>
      <c r="F2428" t="s">
        <v>47</v>
      </c>
      <c r="G2428" t="s">
        <v>7</v>
      </c>
    </row>
    <row r="2429" spans="1:7" x14ac:dyDescent="0.3">
      <c r="A2429" t="s">
        <v>36</v>
      </c>
      <c r="B2429" s="1">
        <v>45961</v>
      </c>
      <c r="C2429">
        <v>364502</v>
      </c>
      <c r="D2429">
        <v>99250.082999999999</v>
      </c>
      <c r="E2429" t="s">
        <v>4</v>
      </c>
      <c r="F2429" t="s">
        <v>58</v>
      </c>
      <c r="G2429" t="s">
        <v>7</v>
      </c>
    </row>
    <row r="2430" spans="1:7" x14ac:dyDescent="0.3">
      <c r="A2430" t="s">
        <v>36</v>
      </c>
      <c r="B2430" s="1">
        <v>45961</v>
      </c>
      <c r="C2430">
        <v>564006</v>
      </c>
      <c r="D2430">
        <v>5.3999999999999999E-2</v>
      </c>
      <c r="E2430" t="s">
        <v>6</v>
      </c>
      <c r="F2430" t="s">
        <v>57</v>
      </c>
      <c r="G2430" t="s">
        <v>7</v>
      </c>
    </row>
    <row r="2431" spans="1:7" x14ac:dyDescent="0.3">
      <c r="A2431" t="s">
        <v>36</v>
      </c>
      <c r="B2431" s="1">
        <v>45961</v>
      </c>
      <c r="C2431">
        <v>570003</v>
      </c>
      <c r="D2431">
        <v>27022.791000000001</v>
      </c>
      <c r="E2431" t="s">
        <v>6</v>
      </c>
      <c r="F2431" t="s">
        <v>66</v>
      </c>
      <c r="G2431" t="s">
        <v>7</v>
      </c>
    </row>
    <row r="2432" spans="1:7" x14ac:dyDescent="0.3">
      <c r="A2432" t="s">
        <v>37</v>
      </c>
      <c r="B2432" s="1">
        <v>45961</v>
      </c>
      <c r="C2432">
        <v>210002</v>
      </c>
      <c r="D2432">
        <v>-99455.710999999996</v>
      </c>
      <c r="E2432" t="s">
        <v>4</v>
      </c>
      <c r="F2432" t="s">
        <v>42</v>
      </c>
      <c r="G2432" t="s">
        <v>7</v>
      </c>
    </row>
    <row r="2433" spans="1:7" x14ac:dyDescent="0.3">
      <c r="A2433" t="s">
        <v>37</v>
      </c>
      <c r="B2433" s="1">
        <v>45961</v>
      </c>
      <c r="C2433">
        <v>220006</v>
      </c>
      <c r="D2433">
        <v>-99588.684999999998</v>
      </c>
      <c r="E2433" t="s">
        <v>4</v>
      </c>
      <c r="F2433" t="s">
        <v>42</v>
      </c>
      <c r="G2433" t="s">
        <v>7</v>
      </c>
    </row>
    <row r="2434" spans="1:7" x14ac:dyDescent="0.3">
      <c r="A2434" t="s">
        <v>37</v>
      </c>
      <c r="B2434" s="1">
        <v>45961</v>
      </c>
      <c r="C2434">
        <v>234003</v>
      </c>
      <c r="D2434">
        <v>-20118.190999999999</v>
      </c>
      <c r="E2434" t="s">
        <v>4</v>
      </c>
      <c r="F2434" t="s">
        <v>43</v>
      </c>
      <c r="G2434" t="s">
        <v>7</v>
      </c>
    </row>
    <row r="2435" spans="1:7" x14ac:dyDescent="0.3">
      <c r="A2435" t="s">
        <v>37</v>
      </c>
      <c r="B2435" s="1">
        <v>45961</v>
      </c>
      <c r="C2435">
        <v>240002</v>
      </c>
      <c r="D2435">
        <v>-1191.8489999999999</v>
      </c>
      <c r="E2435" t="s">
        <v>4</v>
      </c>
      <c r="F2435" t="s">
        <v>43</v>
      </c>
      <c r="G2435" t="s">
        <v>7</v>
      </c>
    </row>
    <row r="2436" spans="1:7" x14ac:dyDescent="0.3">
      <c r="A2436" t="s">
        <v>37</v>
      </c>
      <c r="B2436" s="1">
        <v>45961</v>
      </c>
      <c r="C2436">
        <v>243002</v>
      </c>
      <c r="D2436">
        <v>-445.06099999999998</v>
      </c>
      <c r="E2436" t="s">
        <v>4</v>
      </c>
      <c r="F2436" t="s">
        <v>43</v>
      </c>
      <c r="G2436" t="s">
        <v>7</v>
      </c>
    </row>
    <row r="2437" spans="1:7" x14ac:dyDescent="0.3">
      <c r="A2437" t="s">
        <v>37</v>
      </c>
      <c r="B2437" s="1">
        <v>45961</v>
      </c>
      <c r="C2437">
        <v>243003</v>
      </c>
      <c r="D2437">
        <v>-44336.629000000001</v>
      </c>
      <c r="E2437" t="s">
        <v>4</v>
      </c>
      <c r="F2437" t="s">
        <v>43</v>
      </c>
      <c r="G2437" t="s">
        <v>7</v>
      </c>
    </row>
    <row r="2438" spans="1:7" x14ac:dyDescent="0.3">
      <c r="A2438" t="s">
        <v>37</v>
      </c>
      <c r="B2438" s="1">
        <v>45961</v>
      </c>
      <c r="C2438">
        <v>245010</v>
      </c>
      <c r="D2438">
        <v>-32491.376</v>
      </c>
      <c r="E2438" t="s">
        <v>4</v>
      </c>
      <c r="F2438" t="s">
        <v>44</v>
      </c>
      <c r="G2438" t="s">
        <v>7</v>
      </c>
    </row>
    <row r="2439" spans="1:7" x14ac:dyDescent="0.3">
      <c r="A2439" t="s">
        <v>37</v>
      </c>
      <c r="B2439" s="1">
        <v>45961</v>
      </c>
      <c r="C2439">
        <v>245044</v>
      </c>
      <c r="D2439">
        <v>-14227.674000000001</v>
      </c>
      <c r="E2439" t="s">
        <v>4</v>
      </c>
      <c r="F2439" t="s">
        <v>43</v>
      </c>
      <c r="G2439" t="s">
        <v>7</v>
      </c>
    </row>
    <row r="2440" spans="1:7" x14ac:dyDescent="0.3">
      <c r="A2440" t="s">
        <v>37</v>
      </c>
      <c r="B2440" s="1">
        <v>45961</v>
      </c>
      <c r="C2440">
        <v>251002</v>
      </c>
      <c r="D2440">
        <v>-9159.8829999999998</v>
      </c>
      <c r="E2440" t="s">
        <v>4</v>
      </c>
      <c r="F2440" t="s">
        <v>45</v>
      </c>
      <c r="G2440" t="s">
        <v>7</v>
      </c>
    </row>
    <row r="2441" spans="1:7" x14ac:dyDescent="0.3">
      <c r="A2441" t="s">
        <v>37</v>
      </c>
      <c r="B2441" s="1">
        <v>45961</v>
      </c>
      <c r="C2441">
        <v>257022</v>
      </c>
      <c r="D2441">
        <v>-2731.1640000000002</v>
      </c>
      <c r="E2441" t="s">
        <v>4</v>
      </c>
      <c r="F2441" t="s">
        <v>45</v>
      </c>
      <c r="G2441" t="s">
        <v>7</v>
      </c>
    </row>
    <row r="2442" spans="1:7" x14ac:dyDescent="0.3">
      <c r="A2442" t="s">
        <v>37</v>
      </c>
      <c r="B2442" s="1">
        <v>45961</v>
      </c>
      <c r="C2442">
        <v>257030</v>
      </c>
      <c r="D2442">
        <v>-6249.9480000000003</v>
      </c>
      <c r="E2442" t="s">
        <v>4</v>
      </c>
      <c r="F2442" t="s">
        <v>45</v>
      </c>
      <c r="G2442" t="s">
        <v>7</v>
      </c>
    </row>
    <row r="2443" spans="1:7" x14ac:dyDescent="0.3">
      <c r="A2443" t="s">
        <v>37</v>
      </c>
      <c r="B2443" s="1">
        <v>45961</v>
      </c>
      <c r="C2443">
        <v>270024</v>
      </c>
      <c r="D2443">
        <v>-32310.876</v>
      </c>
      <c r="E2443" t="s">
        <v>4</v>
      </c>
      <c r="F2443" t="s">
        <v>58</v>
      </c>
      <c r="G2443" t="s">
        <v>7</v>
      </c>
    </row>
    <row r="2444" spans="1:7" x14ac:dyDescent="0.3">
      <c r="A2444" t="s">
        <v>37</v>
      </c>
      <c r="B2444" s="1">
        <v>45961</v>
      </c>
      <c r="C2444">
        <v>300012</v>
      </c>
      <c r="D2444">
        <v>6733.6620000000003</v>
      </c>
      <c r="E2444" t="s">
        <v>4</v>
      </c>
      <c r="F2444" t="s">
        <v>65</v>
      </c>
      <c r="G2444" t="s">
        <v>7</v>
      </c>
    </row>
    <row r="2445" spans="1:7" x14ac:dyDescent="0.3">
      <c r="A2445" t="s">
        <v>37</v>
      </c>
      <c r="B2445" s="1">
        <v>45961</v>
      </c>
      <c r="C2445">
        <v>300013</v>
      </c>
      <c r="D2445">
        <v>1689.4059999999999</v>
      </c>
      <c r="E2445" t="s">
        <v>4</v>
      </c>
      <c r="F2445" t="s">
        <v>65</v>
      </c>
      <c r="G2445" t="s">
        <v>7</v>
      </c>
    </row>
    <row r="2446" spans="1:7" x14ac:dyDescent="0.3">
      <c r="A2446" t="s">
        <v>37</v>
      </c>
      <c r="B2446" s="1">
        <v>45961</v>
      </c>
      <c r="C2446">
        <v>300512</v>
      </c>
      <c r="D2446">
        <v>-4044.2289999999998</v>
      </c>
      <c r="E2446" t="s">
        <v>4</v>
      </c>
      <c r="F2446" t="s">
        <v>65</v>
      </c>
      <c r="G2446" t="s">
        <v>7</v>
      </c>
    </row>
    <row r="2447" spans="1:7" x14ac:dyDescent="0.3">
      <c r="A2447" t="s">
        <v>37</v>
      </c>
      <c r="B2447" s="1">
        <v>45961</v>
      </c>
      <c r="C2447">
        <v>300513</v>
      </c>
      <c r="D2447">
        <v>-795.18399999999997</v>
      </c>
      <c r="E2447" t="s">
        <v>4</v>
      </c>
      <c r="F2447" t="s">
        <v>65</v>
      </c>
      <c r="G2447" t="s">
        <v>7</v>
      </c>
    </row>
    <row r="2448" spans="1:7" x14ac:dyDescent="0.3">
      <c r="A2448" t="s">
        <v>37</v>
      </c>
      <c r="B2448" s="1">
        <v>45961</v>
      </c>
      <c r="C2448">
        <v>304002</v>
      </c>
      <c r="D2448">
        <v>25866.25</v>
      </c>
      <c r="E2448" t="s">
        <v>4</v>
      </c>
      <c r="F2448" t="s">
        <v>65</v>
      </c>
      <c r="G2448" t="s">
        <v>7</v>
      </c>
    </row>
    <row r="2449" spans="1:7" x14ac:dyDescent="0.3">
      <c r="A2449" t="s">
        <v>37</v>
      </c>
      <c r="B2449" s="1">
        <v>45961</v>
      </c>
      <c r="C2449">
        <v>304502</v>
      </c>
      <c r="D2449">
        <v>-5748.0609999999997</v>
      </c>
      <c r="E2449" t="s">
        <v>4</v>
      </c>
      <c r="F2449" t="s">
        <v>65</v>
      </c>
      <c r="G2449" t="s">
        <v>7</v>
      </c>
    </row>
    <row r="2450" spans="1:7" x14ac:dyDescent="0.3">
      <c r="A2450" t="s">
        <v>37</v>
      </c>
      <c r="B2450" s="1">
        <v>45961</v>
      </c>
      <c r="C2450">
        <v>320002</v>
      </c>
      <c r="D2450">
        <v>12400.742</v>
      </c>
      <c r="E2450" t="s">
        <v>4</v>
      </c>
      <c r="F2450" t="s">
        <v>46</v>
      </c>
      <c r="G2450" t="s">
        <v>7</v>
      </c>
    </row>
    <row r="2451" spans="1:7" x14ac:dyDescent="0.3">
      <c r="A2451" t="s">
        <v>37</v>
      </c>
      <c r="B2451" s="1">
        <v>45961</v>
      </c>
      <c r="C2451">
        <v>320003</v>
      </c>
      <c r="D2451">
        <v>34399.353999999999</v>
      </c>
      <c r="E2451" t="s">
        <v>4</v>
      </c>
      <c r="F2451" t="s">
        <v>46</v>
      </c>
      <c r="G2451" t="s">
        <v>7</v>
      </c>
    </row>
    <row r="2452" spans="1:7" x14ac:dyDescent="0.3">
      <c r="A2452" t="s">
        <v>37</v>
      </c>
      <c r="B2452" s="1">
        <v>45961</v>
      </c>
      <c r="C2452">
        <v>321002</v>
      </c>
      <c r="D2452">
        <v>15572.831</v>
      </c>
      <c r="E2452" t="s">
        <v>4</v>
      </c>
      <c r="F2452" t="s">
        <v>46</v>
      </c>
      <c r="G2452" t="s">
        <v>7</v>
      </c>
    </row>
    <row r="2453" spans="1:7" x14ac:dyDescent="0.3">
      <c r="A2453" t="s">
        <v>37</v>
      </c>
      <c r="B2453" s="1">
        <v>45961</v>
      </c>
      <c r="C2453">
        <v>321025</v>
      </c>
      <c r="D2453">
        <v>10636.043</v>
      </c>
      <c r="E2453" t="s">
        <v>4</v>
      </c>
      <c r="F2453" t="s">
        <v>46</v>
      </c>
      <c r="G2453" t="s">
        <v>7</v>
      </c>
    </row>
    <row r="2454" spans="1:7" x14ac:dyDescent="0.3">
      <c r="A2454" t="s">
        <v>37</v>
      </c>
      <c r="B2454" s="1">
        <v>45961</v>
      </c>
      <c r="C2454">
        <v>340008</v>
      </c>
      <c r="D2454">
        <v>218395.375</v>
      </c>
      <c r="E2454" t="s">
        <v>4</v>
      </c>
      <c r="F2454" t="s">
        <v>47</v>
      </c>
      <c r="G2454" t="s">
        <v>7</v>
      </c>
    </row>
    <row r="2455" spans="1:7" x14ac:dyDescent="0.3">
      <c r="A2455" t="s">
        <v>37</v>
      </c>
      <c r="B2455" s="1">
        <v>45961</v>
      </c>
      <c r="C2455">
        <v>350002</v>
      </c>
      <c r="D2455">
        <v>4809.6319999999996</v>
      </c>
      <c r="E2455" t="s">
        <v>4</v>
      </c>
      <c r="F2455" t="s">
        <v>49</v>
      </c>
      <c r="G2455" t="s">
        <v>7</v>
      </c>
    </row>
    <row r="2456" spans="1:7" x14ac:dyDescent="0.3">
      <c r="A2456" t="s">
        <v>37</v>
      </c>
      <c r="B2456" s="1">
        <v>45961</v>
      </c>
      <c r="C2456">
        <v>350006</v>
      </c>
      <c r="D2456">
        <v>281.32600000000002</v>
      </c>
      <c r="E2456" t="s">
        <v>4</v>
      </c>
      <c r="F2456" t="s">
        <v>43</v>
      </c>
      <c r="G2456" t="s">
        <v>7</v>
      </c>
    </row>
    <row r="2457" spans="1:7" x14ac:dyDescent="0.3">
      <c r="A2457" t="s">
        <v>37</v>
      </c>
      <c r="B2457" s="1">
        <v>45961</v>
      </c>
      <c r="C2457">
        <v>352004</v>
      </c>
      <c r="D2457">
        <v>498.39400000000001</v>
      </c>
      <c r="E2457" t="s">
        <v>4</v>
      </c>
      <c r="F2457" t="s">
        <v>48</v>
      </c>
      <c r="G2457" t="s">
        <v>7</v>
      </c>
    </row>
    <row r="2458" spans="1:7" x14ac:dyDescent="0.3">
      <c r="A2458" t="s">
        <v>37</v>
      </c>
      <c r="B2458" s="1">
        <v>45961</v>
      </c>
      <c r="C2458">
        <v>354014</v>
      </c>
      <c r="D2458">
        <v>57018.678999999996</v>
      </c>
      <c r="E2458" t="s">
        <v>4</v>
      </c>
      <c r="F2458" t="s">
        <v>46</v>
      </c>
      <c r="G2458" t="s">
        <v>7</v>
      </c>
    </row>
    <row r="2459" spans="1:7" x14ac:dyDescent="0.3">
      <c r="A2459" t="s">
        <v>37</v>
      </c>
      <c r="B2459" s="1">
        <v>45961</v>
      </c>
      <c r="C2459">
        <v>355002</v>
      </c>
      <c r="D2459">
        <v>608.12199999999996</v>
      </c>
      <c r="E2459" t="s">
        <v>4</v>
      </c>
      <c r="F2459" t="s">
        <v>49</v>
      </c>
      <c r="G2459" t="s">
        <v>7</v>
      </c>
    </row>
    <row r="2460" spans="1:7" x14ac:dyDescent="0.3">
      <c r="A2460" t="s">
        <v>37</v>
      </c>
      <c r="B2460" s="1">
        <v>45961</v>
      </c>
      <c r="C2460">
        <v>360012</v>
      </c>
      <c r="D2460">
        <v>5814.4</v>
      </c>
      <c r="E2460" t="s">
        <v>4</v>
      </c>
      <c r="F2460" t="s">
        <v>58</v>
      </c>
      <c r="G2460" t="s">
        <v>7</v>
      </c>
    </row>
    <row r="2461" spans="1:7" x14ac:dyDescent="0.3">
      <c r="A2461" t="s">
        <v>37</v>
      </c>
      <c r="B2461" s="1">
        <v>45961</v>
      </c>
      <c r="C2461">
        <v>360019</v>
      </c>
      <c r="D2461">
        <v>3660.7809999999999</v>
      </c>
      <c r="E2461" t="s">
        <v>4</v>
      </c>
      <c r="F2461" t="s">
        <v>58</v>
      </c>
      <c r="G2461" t="s">
        <v>7</v>
      </c>
    </row>
    <row r="2462" spans="1:7" x14ac:dyDescent="0.3">
      <c r="A2462" t="s">
        <v>37</v>
      </c>
      <c r="B2462" s="1">
        <v>45961</v>
      </c>
      <c r="C2462">
        <v>360026</v>
      </c>
      <c r="D2462">
        <v>38379.485999999997</v>
      </c>
      <c r="E2462" t="s">
        <v>4</v>
      </c>
      <c r="F2462" t="s">
        <v>58</v>
      </c>
      <c r="G2462" t="s">
        <v>7</v>
      </c>
    </row>
    <row r="2463" spans="1:7" x14ac:dyDescent="0.3">
      <c r="A2463" t="s">
        <v>37</v>
      </c>
      <c r="B2463" s="1">
        <v>45961</v>
      </c>
      <c r="C2463">
        <v>364502</v>
      </c>
      <c r="D2463">
        <v>19911.863000000001</v>
      </c>
      <c r="E2463" t="s">
        <v>4</v>
      </c>
      <c r="F2463" t="s">
        <v>58</v>
      </c>
      <c r="G2463" t="s">
        <v>7</v>
      </c>
    </row>
    <row r="2464" spans="1:7" x14ac:dyDescent="0.3">
      <c r="A2464" t="s">
        <v>37</v>
      </c>
      <c r="B2464" s="1">
        <v>45961</v>
      </c>
      <c r="C2464">
        <v>400002</v>
      </c>
      <c r="D2464">
        <v>-17067.650000000001</v>
      </c>
      <c r="E2464" t="s">
        <v>6</v>
      </c>
      <c r="F2464" t="s">
        <v>50</v>
      </c>
      <c r="G2464" t="s">
        <v>7</v>
      </c>
    </row>
    <row r="2465" spans="1:7" x14ac:dyDescent="0.3">
      <c r="A2465" t="s">
        <v>37</v>
      </c>
      <c r="B2465" s="1">
        <v>45961</v>
      </c>
      <c r="C2465">
        <v>410002</v>
      </c>
      <c r="D2465">
        <v>-83381.440000000002</v>
      </c>
      <c r="E2465" t="s">
        <v>6</v>
      </c>
      <c r="F2465" t="s">
        <v>51</v>
      </c>
      <c r="G2465" t="s">
        <v>7</v>
      </c>
    </row>
    <row r="2466" spans="1:7" x14ac:dyDescent="0.3">
      <c r="A2466" t="s">
        <v>37</v>
      </c>
      <c r="B2466" s="1">
        <v>45961</v>
      </c>
      <c r="C2466">
        <v>410032</v>
      </c>
      <c r="D2466">
        <v>-26283.153999999999</v>
      </c>
      <c r="E2466" t="s">
        <v>6</v>
      </c>
      <c r="F2466" t="s">
        <v>51</v>
      </c>
      <c r="G2466" t="s">
        <v>7</v>
      </c>
    </row>
    <row r="2467" spans="1:7" x14ac:dyDescent="0.3">
      <c r="A2467" t="s">
        <v>37</v>
      </c>
      <c r="B2467" s="1">
        <v>45961</v>
      </c>
      <c r="C2467">
        <v>415002</v>
      </c>
      <c r="D2467">
        <v>-438400.58500000002</v>
      </c>
      <c r="E2467" t="s">
        <v>6</v>
      </c>
      <c r="F2467" t="s">
        <v>50</v>
      </c>
      <c r="G2467" t="s">
        <v>7</v>
      </c>
    </row>
    <row r="2468" spans="1:7" x14ac:dyDescent="0.3">
      <c r="A2468" t="s">
        <v>37</v>
      </c>
      <c r="B2468" s="1">
        <v>45961</v>
      </c>
      <c r="C2468">
        <v>420002</v>
      </c>
      <c r="D2468">
        <v>-1416.2809999999999</v>
      </c>
      <c r="E2468" t="s">
        <v>6</v>
      </c>
      <c r="F2468" t="s">
        <v>52</v>
      </c>
      <c r="G2468" t="s">
        <v>7</v>
      </c>
    </row>
    <row r="2469" spans="1:7" x14ac:dyDescent="0.3">
      <c r="A2469" t="s">
        <v>37</v>
      </c>
      <c r="B2469" s="1">
        <v>45961</v>
      </c>
      <c r="C2469">
        <v>421002</v>
      </c>
      <c r="D2469">
        <v>-2105.4340000000002</v>
      </c>
      <c r="E2469" t="s">
        <v>6</v>
      </c>
      <c r="F2469" t="s">
        <v>52</v>
      </c>
      <c r="G2469" t="s">
        <v>7</v>
      </c>
    </row>
    <row r="2470" spans="1:7" x14ac:dyDescent="0.3">
      <c r="A2470" t="s">
        <v>37</v>
      </c>
      <c r="B2470" s="1">
        <v>45961</v>
      </c>
      <c r="C2470">
        <v>510002</v>
      </c>
      <c r="D2470">
        <v>63713.053999999996</v>
      </c>
      <c r="E2470" t="s">
        <v>6</v>
      </c>
      <c r="F2470" t="s">
        <v>53</v>
      </c>
      <c r="G2470" t="s">
        <v>7</v>
      </c>
    </row>
    <row r="2471" spans="1:7" x14ac:dyDescent="0.3">
      <c r="A2471" t="s">
        <v>37</v>
      </c>
      <c r="B2471" s="1">
        <v>45961</v>
      </c>
      <c r="C2471">
        <v>510004</v>
      </c>
      <c r="D2471">
        <v>6954.643</v>
      </c>
      <c r="E2471" t="s">
        <v>6</v>
      </c>
      <c r="F2471" t="s">
        <v>53</v>
      </c>
      <c r="G2471" t="s">
        <v>7</v>
      </c>
    </row>
    <row r="2472" spans="1:7" x14ac:dyDescent="0.3">
      <c r="A2472" t="s">
        <v>37</v>
      </c>
      <c r="B2472" s="1">
        <v>45961</v>
      </c>
      <c r="C2472">
        <v>510005</v>
      </c>
      <c r="D2472">
        <v>14777.647000000001</v>
      </c>
      <c r="E2472" t="s">
        <v>6</v>
      </c>
      <c r="F2472" t="s">
        <v>53</v>
      </c>
      <c r="G2472" t="s">
        <v>7</v>
      </c>
    </row>
    <row r="2473" spans="1:7" x14ac:dyDescent="0.3">
      <c r="A2473" t="s">
        <v>37</v>
      </c>
      <c r="B2473" s="1">
        <v>45961</v>
      </c>
      <c r="C2473">
        <v>510007</v>
      </c>
      <c r="D2473">
        <v>3988.7170000000001</v>
      </c>
      <c r="E2473" t="s">
        <v>6</v>
      </c>
      <c r="F2473" t="s">
        <v>53</v>
      </c>
      <c r="G2473" t="s">
        <v>7</v>
      </c>
    </row>
    <row r="2474" spans="1:7" x14ac:dyDescent="0.3">
      <c r="A2474" t="s">
        <v>37</v>
      </c>
      <c r="B2474" s="1">
        <v>45961</v>
      </c>
      <c r="C2474">
        <v>510015</v>
      </c>
      <c r="D2474">
        <v>26362.138999999999</v>
      </c>
      <c r="E2474" t="s">
        <v>6</v>
      </c>
      <c r="F2474" t="s">
        <v>53</v>
      </c>
      <c r="G2474" t="s">
        <v>7</v>
      </c>
    </row>
    <row r="2475" spans="1:7" x14ac:dyDescent="0.3">
      <c r="A2475" t="s">
        <v>37</v>
      </c>
      <c r="B2475" s="1">
        <v>45961</v>
      </c>
      <c r="C2475">
        <v>520021</v>
      </c>
      <c r="D2475">
        <v>173.74100000000001</v>
      </c>
      <c r="E2475" t="s">
        <v>6</v>
      </c>
      <c r="F2475" t="s">
        <v>60</v>
      </c>
      <c r="G2475" t="s">
        <v>7</v>
      </c>
    </row>
    <row r="2476" spans="1:7" x14ac:dyDescent="0.3">
      <c r="A2476" t="s">
        <v>37</v>
      </c>
      <c r="B2476" s="1">
        <v>45961</v>
      </c>
      <c r="C2476">
        <v>530012</v>
      </c>
      <c r="D2476">
        <v>17516.404999999999</v>
      </c>
      <c r="E2476" t="s">
        <v>6</v>
      </c>
      <c r="F2476" t="s">
        <v>53</v>
      </c>
      <c r="G2476" t="s">
        <v>7</v>
      </c>
    </row>
    <row r="2477" spans="1:7" x14ac:dyDescent="0.3">
      <c r="A2477" t="s">
        <v>37</v>
      </c>
      <c r="B2477" s="1">
        <v>45961</v>
      </c>
      <c r="C2477">
        <v>540004</v>
      </c>
      <c r="D2477">
        <v>1.6E-2</v>
      </c>
      <c r="E2477" t="s">
        <v>6</v>
      </c>
      <c r="F2477" t="s">
        <v>67</v>
      </c>
      <c r="G2477" t="s">
        <v>7</v>
      </c>
    </row>
    <row r="2478" spans="1:7" x14ac:dyDescent="0.3">
      <c r="A2478" t="s">
        <v>37</v>
      </c>
      <c r="B2478" s="1">
        <v>45961</v>
      </c>
      <c r="C2478">
        <v>541022</v>
      </c>
      <c r="D2478">
        <v>1227.182</v>
      </c>
      <c r="E2478" t="s">
        <v>6</v>
      </c>
      <c r="F2478" t="s">
        <v>61</v>
      </c>
      <c r="G2478" t="s">
        <v>7</v>
      </c>
    </row>
    <row r="2479" spans="1:7" x14ac:dyDescent="0.3">
      <c r="A2479" t="s">
        <v>37</v>
      </c>
      <c r="B2479" s="1">
        <v>45961</v>
      </c>
      <c r="C2479">
        <v>544002</v>
      </c>
      <c r="D2479">
        <v>342.57299999999998</v>
      </c>
      <c r="E2479" t="s">
        <v>6</v>
      </c>
      <c r="F2479" t="s">
        <v>61</v>
      </c>
      <c r="G2479" t="s">
        <v>7</v>
      </c>
    </row>
    <row r="2480" spans="1:7" x14ac:dyDescent="0.3">
      <c r="A2480" t="s">
        <v>37</v>
      </c>
      <c r="B2480" s="1">
        <v>45961</v>
      </c>
      <c r="C2480">
        <v>547002</v>
      </c>
      <c r="D2480">
        <v>364.73599999999999</v>
      </c>
      <c r="E2480" t="s">
        <v>6</v>
      </c>
      <c r="F2480" t="s">
        <v>54</v>
      </c>
      <c r="G2480" t="s">
        <v>7</v>
      </c>
    </row>
    <row r="2481" spans="1:7" x14ac:dyDescent="0.3">
      <c r="A2481" t="s">
        <v>37</v>
      </c>
      <c r="B2481" s="1">
        <v>45961</v>
      </c>
      <c r="C2481">
        <v>550002</v>
      </c>
      <c r="D2481">
        <v>303315.20400000003</v>
      </c>
      <c r="E2481" t="s">
        <v>6</v>
      </c>
      <c r="F2481" t="s">
        <v>62</v>
      </c>
      <c r="G2481" t="s">
        <v>7</v>
      </c>
    </row>
    <row r="2482" spans="1:7" x14ac:dyDescent="0.3">
      <c r="A2482" t="s">
        <v>37</v>
      </c>
      <c r="B2482" s="1">
        <v>45961</v>
      </c>
      <c r="C2482">
        <v>552502</v>
      </c>
      <c r="D2482">
        <v>4481.8180000000002</v>
      </c>
      <c r="E2482" t="s">
        <v>6</v>
      </c>
      <c r="F2482" t="s">
        <v>55</v>
      </c>
      <c r="G2482" t="s">
        <v>7</v>
      </c>
    </row>
    <row r="2483" spans="1:7" x14ac:dyDescent="0.3">
      <c r="A2483" t="s">
        <v>37</v>
      </c>
      <c r="B2483" s="1">
        <v>45961</v>
      </c>
      <c r="C2483">
        <v>555508</v>
      </c>
      <c r="D2483">
        <v>209.17599999999999</v>
      </c>
      <c r="E2483" t="s">
        <v>6</v>
      </c>
      <c r="F2483" t="s">
        <v>55</v>
      </c>
      <c r="G2483" t="s">
        <v>7</v>
      </c>
    </row>
    <row r="2484" spans="1:7" x14ac:dyDescent="0.3">
      <c r="A2484" t="s">
        <v>37</v>
      </c>
      <c r="B2484" s="1">
        <v>45961</v>
      </c>
      <c r="C2484">
        <v>556002</v>
      </c>
      <c r="D2484">
        <v>324.79399999999998</v>
      </c>
      <c r="E2484" t="s">
        <v>6</v>
      </c>
      <c r="F2484" t="s">
        <v>60</v>
      </c>
      <c r="G2484" t="s">
        <v>7</v>
      </c>
    </row>
    <row r="2485" spans="1:7" x14ac:dyDescent="0.3">
      <c r="A2485" t="s">
        <v>37</v>
      </c>
      <c r="B2485" s="1">
        <v>45961</v>
      </c>
      <c r="C2485">
        <v>557002</v>
      </c>
      <c r="D2485">
        <v>3875.13</v>
      </c>
      <c r="E2485" t="s">
        <v>6</v>
      </c>
      <c r="F2485" t="s">
        <v>56</v>
      </c>
      <c r="G2485" t="s">
        <v>7</v>
      </c>
    </row>
    <row r="2486" spans="1:7" x14ac:dyDescent="0.3">
      <c r="A2486" t="s">
        <v>37</v>
      </c>
      <c r="B2486" s="1">
        <v>45961</v>
      </c>
      <c r="C2486">
        <v>557003</v>
      </c>
      <c r="D2486">
        <v>2633.0990000000002</v>
      </c>
      <c r="E2486" t="s">
        <v>6</v>
      </c>
      <c r="F2486" t="s">
        <v>56</v>
      </c>
      <c r="G2486" t="s">
        <v>7</v>
      </c>
    </row>
    <row r="2487" spans="1:7" x14ac:dyDescent="0.3">
      <c r="A2487" t="s">
        <v>37</v>
      </c>
      <c r="B2487" s="1">
        <v>45961</v>
      </c>
      <c r="C2487">
        <v>558003</v>
      </c>
      <c r="D2487">
        <v>220.56200000000001</v>
      </c>
      <c r="E2487" t="s">
        <v>6</v>
      </c>
      <c r="F2487" t="s">
        <v>57</v>
      </c>
      <c r="G2487" t="s">
        <v>7</v>
      </c>
    </row>
    <row r="2488" spans="1:7" x14ac:dyDescent="0.3">
      <c r="A2488" t="s">
        <v>37</v>
      </c>
      <c r="B2488" s="1">
        <v>45961</v>
      </c>
      <c r="C2488">
        <v>558007</v>
      </c>
      <c r="D2488">
        <v>1583.788</v>
      </c>
      <c r="E2488" t="s">
        <v>6</v>
      </c>
      <c r="F2488" t="s">
        <v>60</v>
      </c>
      <c r="G2488" t="s">
        <v>7</v>
      </c>
    </row>
    <row r="2489" spans="1:7" x14ac:dyDescent="0.3">
      <c r="A2489" t="s">
        <v>37</v>
      </c>
      <c r="B2489" s="1">
        <v>45961</v>
      </c>
      <c r="C2489">
        <v>564008</v>
      </c>
      <c r="D2489">
        <v>902.74599999999998</v>
      </c>
      <c r="E2489" t="s">
        <v>6</v>
      </c>
      <c r="F2489" t="s">
        <v>55</v>
      </c>
      <c r="G2489" t="s">
        <v>7</v>
      </c>
    </row>
    <row r="2490" spans="1:7" x14ac:dyDescent="0.3">
      <c r="A2490" t="s">
        <v>37</v>
      </c>
      <c r="B2490" s="1">
        <v>45961</v>
      </c>
      <c r="C2490">
        <v>564020</v>
      </c>
      <c r="D2490">
        <v>123.233</v>
      </c>
      <c r="E2490" t="s">
        <v>6</v>
      </c>
      <c r="F2490" t="s">
        <v>57</v>
      </c>
      <c r="G2490" t="s">
        <v>7</v>
      </c>
    </row>
    <row r="2491" spans="1:7" x14ac:dyDescent="0.3">
      <c r="A2491" t="s">
        <v>37</v>
      </c>
      <c r="B2491" s="1">
        <v>45961</v>
      </c>
      <c r="C2491">
        <v>570002</v>
      </c>
      <c r="D2491">
        <v>331.23099999999999</v>
      </c>
      <c r="E2491" t="s">
        <v>6</v>
      </c>
      <c r="F2491" t="s">
        <v>66</v>
      </c>
      <c r="G2491" t="s">
        <v>7</v>
      </c>
    </row>
    <row r="2492" spans="1:7" x14ac:dyDescent="0.3">
      <c r="A2492" t="s">
        <v>37</v>
      </c>
      <c r="B2492" s="1">
        <v>45961</v>
      </c>
      <c r="C2492">
        <v>580002</v>
      </c>
      <c r="D2492">
        <v>27088.55</v>
      </c>
      <c r="E2492" t="s">
        <v>6</v>
      </c>
      <c r="F2492" t="s">
        <v>64</v>
      </c>
      <c r="G2492" t="s">
        <v>7</v>
      </c>
    </row>
    <row r="2493" spans="1:7" x14ac:dyDescent="0.3">
      <c r="A2493" t="s">
        <v>37</v>
      </c>
      <c r="B2493" s="1">
        <v>45961</v>
      </c>
      <c r="C2493">
        <v>580003</v>
      </c>
      <c r="D2493">
        <v>-4285.3180000000002</v>
      </c>
      <c r="E2493" t="s">
        <v>6</v>
      </c>
      <c r="F2493" t="s">
        <v>64</v>
      </c>
      <c r="G2493" t="s">
        <v>7</v>
      </c>
    </row>
    <row r="2494" spans="1:7" x14ac:dyDescent="0.3">
      <c r="A2494" t="s">
        <v>37</v>
      </c>
      <c r="B2494" s="1">
        <v>45961</v>
      </c>
      <c r="C2494">
        <v>510006</v>
      </c>
      <c r="D2494">
        <v>10870.248</v>
      </c>
      <c r="E2494" t="s">
        <v>6</v>
      </c>
      <c r="F2494" t="s">
        <v>53</v>
      </c>
      <c r="G2494" t="s">
        <v>7</v>
      </c>
    </row>
    <row r="2495" spans="1:7" x14ac:dyDescent="0.3">
      <c r="A2495" t="s">
        <v>37</v>
      </c>
      <c r="B2495" s="1">
        <v>45961</v>
      </c>
      <c r="C2495">
        <v>560008</v>
      </c>
      <c r="D2495">
        <v>0</v>
      </c>
      <c r="E2495" t="s">
        <v>6</v>
      </c>
      <c r="F2495" t="s">
        <v>56</v>
      </c>
      <c r="G2495" t="s">
        <v>7</v>
      </c>
    </row>
    <row r="2496" spans="1:7" x14ac:dyDescent="0.3">
      <c r="A2496" t="s">
        <v>32</v>
      </c>
      <c r="B2496" s="1">
        <v>45961</v>
      </c>
      <c r="C2496">
        <v>220007</v>
      </c>
      <c r="D2496">
        <v>-33715.667999999998</v>
      </c>
      <c r="E2496" t="s">
        <v>4</v>
      </c>
      <c r="F2496" t="s">
        <v>42</v>
      </c>
      <c r="G2496" t="s">
        <v>7</v>
      </c>
    </row>
    <row r="2497" spans="1:7" x14ac:dyDescent="0.3">
      <c r="A2497" t="s">
        <v>33</v>
      </c>
      <c r="B2497" s="1">
        <v>45961</v>
      </c>
      <c r="C2497">
        <v>220007</v>
      </c>
      <c r="D2497">
        <v>6085.2079999999996</v>
      </c>
      <c r="E2497" t="s">
        <v>4</v>
      </c>
      <c r="F2497" t="s">
        <v>42</v>
      </c>
      <c r="G2497" t="s">
        <v>7</v>
      </c>
    </row>
    <row r="2498" spans="1:7" x14ac:dyDescent="0.3">
      <c r="A2498" t="s">
        <v>34</v>
      </c>
      <c r="B2498" s="1">
        <v>45961</v>
      </c>
      <c r="C2498">
        <v>220007</v>
      </c>
      <c r="D2498">
        <v>2818.0140000000001</v>
      </c>
      <c r="E2498" t="s">
        <v>4</v>
      </c>
      <c r="F2498" t="s">
        <v>42</v>
      </c>
      <c r="G2498" t="s">
        <v>7</v>
      </c>
    </row>
    <row r="2499" spans="1:7" x14ac:dyDescent="0.3">
      <c r="A2499" t="s">
        <v>35</v>
      </c>
      <c r="B2499" s="1">
        <v>45961</v>
      </c>
      <c r="C2499">
        <v>220007</v>
      </c>
      <c r="D2499">
        <v>-45469.981</v>
      </c>
      <c r="E2499" t="s">
        <v>4</v>
      </c>
      <c r="F2499" t="s">
        <v>42</v>
      </c>
      <c r="G2499" t="s">
        <v>7</v>
      </c>
    </row>
    <row r="2500" spans="1:7" x14ac:dyDescent="0.3">
      <c r="A2500" t="s">
        <v>36</v>
      </c>
      <c r="B2500" s="1">
        <v>45961</v>
      </c>
      <c r="C2500">
        <v>220007</v>
      </c>
      <c r="D2500">
        <v>1138.4459999999999</v>
      </c>
      <c r="E2500" t="s">
        <v>4</v>
      </c>
      <c r="F2500" t="s">
        <v>42</v>
      </c>
      <c r="G2500" t="s">
        <v>7</v>
      </c>
    </row>
    <row r="2501" spans="1:7" x14ac:dyDescent="0.3">
      <c r="A2501" t="s">
        <v>11</v>
      </c>
      <c r="B2501" s="1">
        <v>45961</v>
      </c>
      <c r="C2501">
        <v>220007</v>
      </c>
      <c r="D2501">
        <v>-18.933</v>
      </c>
      <c r="E2501" t="s">
        <v>4</v>
      </c>
      <c r="F2501" t="s">
        <v>42</v>
      </c>
      <c r="G2501" t="s">
        <v>7</v>
      </c>
    </row>
    <row r="2502" spans="1:7" x14ac:dyDescent="0.3">
      <c r="A2502" t="s">
        <v>37</v>
      </c>
      <c r="B2502" s="1">
        <v>45961</v>
      </c>
      <c r="C2502">
        <v>220007</v>
      </c>
      <c r="D2502">
        <v>-2222.3969999999999</v>
      </c>
      <c r="E2502" t="s">
        <v>4</v>
      </c>
      <c r="F2502" t="s">
        <v>42</v>
      </c>
      <c r="G2502" t="s">
        <v>7</v>
      </c>
    </row>
    <row r="2503" spans="1:7" x14ac:dyDescent="0.3">
      <c r="A2503" t="s">
        <v>30</v>
      </c>
      <c r="B2503" s="1">
        <v>45961</v>
      </c>
      <c r="C2503">
        <v>220007</v>
      </c>
      <c r="D2503">
        <v>-20.431999999999999</v>
      </c>
      <c r="E2503" t="s">
        <v>4</v>
      </c>
      <c r="F2503" t="s">
        <v>42</v>
      </c>
      <c r="G2503" t="s">
        <v>8</v>
      </c>
    </row>
    <row r="2504" spans="1:7" x14ac:dyDescent="0.3">
      <c r="A2504" t="s">
        <v>31</v>
      </c>
      <c r="B2504" s="1">
        <v>45961</v>
      </c>
      <c r="C2504">
        <v>220007</v>
      </c>
      <c r="D2504">
        <v>19.698</v>
      </c>
      <c r="E2504" t="s">
        <v>4</v>
      </c>
      <c r="F2504" t="s">
        <v>42</v>
      </c>
      <c r="G2504" t="s">
        <v>8</v>
      </c>
    </row>
    <row r="2505" spans="1:7" x14ac:dyDescent="0.3">
      <c r="A2505" t="s">
        <v>14</v>
      </c>
      <c r="B2505" s="1">
        <v>45961</v>
      </c>
      <c r="C2505">
        <v>220007</v>
      </c>
      <c r="D2505">
        <v>-529.87599999999998</v>
      </c>
      <c r="E2505" t="s">
        <v>4</v>
      </c>
      <c r="F2505" t="s">
        <v>42</v>
      </c>
      <c r="G2505" t="s">
        <v>8</v>
      </c>
    </row>
    <row r="2506" spans="1:7" x14ac:dyDescent="0.3">
      <c r="A2506" t="s">
        <v>38</v>
      </c>
      <c r="B2506" s="1">
        <v>45961</v>
      </c>
      <c r="C2506">
        <v>220007</v>
      </c>
      <c r="D2506">
        <v>0</v>
      </c>
      <c r="E2506" t="s">
        <v>4</v>
      </c>
      <c r="F2506" t="s">
        <v>42</v>
      </c>
      <c r="G2506" t="s">
        <v>8</v>
      </c>
    </row>
    <row r="2507" spans="1:7" x14ac:dyDescent="0.3">
      <c r="A2507" t="s">
        <v>22</v>
      </c>
      <c r="B2507" s="1">
        <v>45961</v>
      </c>
      <c r="C2507">
        <v>220007</v>
      </c>
      <c r="D2507">
        <v>57.923999999999999</v>
      </c>
      <c r="E2507" t="s">
        <v>4</v>
      </c>
      <c r="F2507" t="s">
        <v>42</v>
      </c>
      <c r="G2507" t="s">
        <v>8</v>
      </c>
    </row>
    <row r="2508" spans="1:7" x14ac:dyDescent="0.3">
      <c r="A2508" t="s">
        <v>13</v>
      </c>
      <c r="B2508" s="1">
        <v>45961</v>
      </c>
      <c r="C2508">
        <v>220007</v>
      </c>
      <c r="D2508">
        <v>54.780999999999999</v>
      </c>
      <c r="E2508" t="s">
        <v>4</v>
      </c>
      <c r="F2508" t="s">
        <v>42</v>
      </c>
      <c r="G2508" t="s">
        <v>8</v>
      </c>
    </row>
    <row r="2509" spans="1:7" x14ac:dyDescent="0.3">
      <c r="A2509" t="s">
        <v>28</v>
      </c>
      <c r="B2509" s="1">
        <v>45961</v>
      </c>
      <c r="C2509">
        <v>421005</v>
      </c>
      <c r="D2509">
        <v>-15.196999999999999</v>
      </c>
      <c r="E2509" t="s">
        <v>6</v>
      </c>
      <c r="F2509" t="s">
        <v>52</v>
      </c>
      <c r="G2509" t="s">
        <v>8</v>
      </c>
    </row>
    <row r="2510" spans="1:7" x14ac:dyDescent="0.3">
      <c r="A2510" t="s">
        <v>29</v>
      </c>
      <c r="B2510" s="1">
        <v>45961</v>
      </c>
      <c r="C2510">
        <v>421005</v>
      </c>
      <c r="D2510">
        <v>-232.14</v>
      </c>
      <c r="E2510" t="s">
        <v>6</v>
      </c>
      <c r="F2510" t="s">
        <v>52</v>
      </c>
      <c r="G2510" t="s">
        <v>8</v>
      </c>
    </row>
    <row r="2511" spans="1:7" x14ac:dyDescent="0.3">
      <c r="A2511" t="s">
        <v>24</v>
      </c>
      <c r="B2511" s="1">
        <v>45961</v>
      </c>
      <c r="C2511">
        <v>421005</v>
      </c>
      <c r="D2511">
        <v>4.67</v>
      </c>
      <c r="E2511" t="s">
        <v>6</v>
      </c>
      <c r="F2511" t="s">
        <v>52</v>
      </c>
      <c r="G2511" t="s">
        <v>8</v>
      </c>
    </row>
    <row r="2512" spans="1:7" x14ac:dyDescent="0.3">
      <c r="A2512" t="s">
        <v>15</v>
      </c>
      <c r="B2512" s="1">
        <v>45961</v>
      </c>
      <c r="C2512">
        <v>220007</v>
      </c>
      <c r="D2512">
        <v>0</v>
      </c>
      <c r="E2512" t="s">
        <v>4</v>
      </c>
      <c r="F2512" t="s">
        <v>42</v>
      </c>
      <c r="G2512" t="s">
        <v>5</v>
      </c>
    </row>
    <row r="2513" spans="1:7" x14ac:dyDescent="0.3">
      <c r="A2513" t="s">
        <v>19</v>
      </c>
      <c r="B2513" s="1">
        <v>45961</v>
      </c>
      <c r="C2513">
        <v>220007</v>
      </c>
      <c r="D2513">
        <v>559.96</v>
      </c>
      <c r="E2513" t="s">
        <v>4</v>
      </c>
      <c r="F2513" t="s">
        <v>42</v>
      </c>
      <c r="G2513" t="s">
        <v>5</v>
      </c>
    </row>
    <row r="2514" spans="1:7" x14ac:dyDescent="0.3">
      <c r="A2514" t="s">
        <v>10</v>
      </c>
      <c r="B2514" s="1">
        <v>45961</v>
      </c>
      <c r="C2514">
        <v>220007</v>
      </c>
      <c r="D2514">
        <v>-488.512</v>
      </c>
      <c r="E2514" t="s">
        <v>4</v>
      </c>
      <c r="F2514" t="s">
        <v>42</v>
      </c>
      <c r="G2514" t="s">
        <v>5</v>
      </c>
    </row>
    <row r="2515" spans="1:7" x14ac:dyDescent="0.3">
      <c r="A2515" t="s">
        <v>18</v>
      </c>
      <c r="B2515" s="1">
        <v>45961</v>
      </c>
      <c r="C2515">
        <v>220007</v>
      </c>
      <c r="D2515">
        <v>51.134</v>
      </c>
      <c r="E2515" t="s">
        <v>4</v>
      </c>
      <c r="F2515" t="s">
        <v>42</v>
      </c>
      <c r="G2515" t="s">
        <v>5</v>
      </c>
    </row>
    <row r="2516" spans="1:7" x14ac:dyDescent="0.3">
      <c r="A2516" t="s">
        <v>26</v>
      </c>
      <c r="B2516" s="1">
        <v>45961</v>
      </c>
      <c r="C2516">
        <v>421005</v>
      </c>
      <c r="D2516">
        <v>1424.0740000000001</v>
      </c>
      <c r="E2516" t="s">
        <v>6</v>
      </c>
      <c r="F2516" t="s">
        <v>52</v>
      </c>
      <c r="G2516" t="s">
        <v>5</v>
      </c>
    </row>
    <row r="2517" spans="1:7" x14ac:dyDescent="0.3">
      <c r="A2517" t="s">
        <v>20</v>
      </c>
      <c r="B2517" s="1">
        <v>45961</v>
      </c>
      <c r="C2517">
        <v>220007</v>
      </c>
      <c r="D2517">
        <v>73.668000000000006</v>
      </c>
      <c r="E2517" t="s">
        <v>4</v>
      </c>
      <c r="F2517" t="s">
        <v>42</v>
      </c>
      <c r="G2517" t="s">
        <v>5</v>
      </c>
    </row>
    <row r="2518" spans="1:7" x14ac:dyDescent="0.3">
      <c r="A2518" t="s">
        <v>21</v>
      </c>
      <c r="B2518" s="1">
        <v>45961</v>
      </c>
      <c r="C2518">
        <v>220007</v>
      </c>
      <c r="D2518">
        <v>1286.905</v>
      </c>
      <c r="E2518" t="s">
        <v>4</v>
      </c>
      <c r="F2518" t="s">
        <v>42</v>
      </c>
      <c r="G2518" t="s">
        <v>7</v>
      </c>
    </row>
    <row r="2519" spans="1:7" x14ac:dyDescent="0.3">
      <c r="A2519" t="s">
        <v>25</v>
      </c>
      <c r="B2519" s="1">
        <v>45961</v>
      </c>
      <c r="C2519">
        <v>421005</v>
      </c>
      <c r="D2519">
        <v>-4.41</v>
      </c>
      <c r="E2519" t="s">
        <v>6</v>
      </c>
      <c r="F2519" t="s">
        <v>52</v>
      </c>
      <c r="G2519" t="s">
        <v>5</v>
      </c>
    </row>
    <row r="2520" spans="1:7" x14ac:dyDescent="0.3">
      <c r="A2520" t="s">
        <v>17</v>
      </c>
      <c r="B2520" s="1">
        <v>45961</v>
      </c>
      <c r="C2520">
        <v>220007</v>
      </c>
      <c r="D2520">
        <v>0</v>
      </c>
      <c r="E2520" t="s">
        <v>4</v>
      </c>
      <c r="F2520" t="s">
        <v>42</v>
      </c>
      <c r="G2520" t="s">
        <v>5</v>
      </c>
    </row>
    <row r="2521" spans="1:7" x14ac:dyDescent="0.3">
      <c r="A2521" t="s">
        <v>39</v>
      </c>
      <c r="B2521" s="1">
        <v>45961</v>
      </c>
      <c r="C2521">
        <v>421005</v>
      </c>
      <c r="D2521">
        <v>0</v>
      </c>
      <c r="E2521" t="s">
        <v>6</v>
      </c>
      <c r="F2521" t="s">
        <v>52</v>
      </c>
      <c r="G2521" t="s">
        <v>5</v>
      </c>
    </row>
    <row r="2522" spans="1:7" x14ac:dyDescent="0.3">
      <c r="A2522" t="s">
        <v>27</v>
      </c>
      <c r="B2522" s="1">
        <v>45961</v>
      </c>
      <c r="C2522">
        <v>220007</v>
      </c>
      <c r="D2522">
        <v>5.5789999999999997</v>
      </c>
      <c r="E2522" t="s">
        <v>4</v>
      </c>
      <c r="F2522" t="s">
        <v>42</v>
      </c>
      <c r="G2522" t="s">
        <v>8</v>
      </c>
    </row>
    <row r="2523" spans="1:7" x14ac:dyDescent="0.3">
      <c r="A2523" t="s">
        <v>12</v>
      </c>
      <c r="B2523" s="1">
        <v>45961</v>
      </c>
      <c r="C2523">
        <v>220007</v>
      </c>
      <c r="D2523">
        <v>-8.3989999999999991</v>
      </c>
      <c r="E2523" t="s">
        <v>4</v>
      </c>
      <c r="F2523" t="s">
        <v>42</v>
      </c>
      <c r="G2523" t="s">
        <v>8</v>
      </c>
    </row>
    <row r="2524" spans="1:7" x14ac:dyDescent="0.3">
      <c r="A2524" t="s">
        <v>23</v>
      </c>
      <c r="B2524" s="1">
        <v>45961</v>
      </c>
      <c r="C2524">
        <v>220007</v>
      </c>
      <c r="D2524">
        <v>-130.71700000000001</v>
      </c>
      <c r="E2524" t="s">
        <v>4</v>
      </c>
      <c r="F2524" t="s">
        <v>42</v>
      </c>
      <c r="G2524" t="s">
        <v>5</v>
      </c>
    </row>
  </sheetData>
  <autoFilter ref="B1:G2524" xr:uid="{45E232DD-DD98-4832-8BB8-B35527B6C417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E5E1-8BC1-42C9-8037-BE5DE21C1672}">
  <dimension ref="A1:J53"/>
  <sheetViews>
    <sheetView workbookViewId="0"/>
  </sheetViews>
  <sheetFormatPr defaultRowHeight="14.4" x14ac:dyDescent="0.3"/>
  <cols>
    <col min="1" max="1" width="42.5546875" customWidth="1"/>
    <col min="2" max="5" width="18.5546875" customWidth="1"/>
    <col min="6" max="6" width="5.5546875" customWidth="1"/>
    <col min="7" max="7" width="31.44140625" customWidth="1"/>
    <col min="8" max="11" width="18.5546875" customWidth="1"/>
  </cols>
  <sheetData>
    <row r="1" spans="1:10" ht="15.6" x14ac:dyDescent="0.3">
      <c r="A1" s="10" t="s">
        <v>356</v>
      </c>
    </row>
    <row r="2" spans="1:10" x14ac:dyDescent="0.3">
      <c r="A2" s="8" t="s">
        <v>357</v>
      </c>
    </row>
    <row r="4" spans="1:10" x14ac:dyDescent="0.3">
      <c r="A4" s="66" t="s">
        <v>0</v>
      </c>
      <c r="B4" s="66" t="s">
        <v>358</v>
      </c>
      <c r="C4" s="66" t="s">
        <v>359</v>
      </c>
      <c r="D4" s="66" t="s">
        <v>200</v>
      </c>
      <c r="G4" s="66" t="s">
        <v>374</v>
      </c>
      <c r="H4" s="66" t="s">
        <v>330</v>
      </c>
      <c r="I4" s="66" t="s">
        <v>375</v>
      </c>
      <c r="J4" s="66" t="s">
        <v>376</v>
      </c>
    </row>
    <row r="5" spans="1:10" x14ac:dyDescent="0.3">
      <c r="A5" t="str">
        <f>TEXT('Income Statement'!B4,"mmm")</f>
        <v>Apr</v>
      </c>
      <c r="B5" s="17">
        <f>'Income Statement'!B8+'Income Statement'!B29+'Income Statement'!B30</f>
        <v>5405496.8209999986</v>
      </c>
      <c r="C5" s="17">
        <f>B5-D5</f>
        <v>5250657.2510000011</v>
      </c>
      <c r="D5" s="17">
        <f>'Income Statement'!B34</f>
        <v>154839.56999999756</v>
      </c>
      <c r="G5" t="s">
        <v>326</v>
      </c>
      <c r="H5" s="17">
        <f>'Balance Sheet'!H7</f>
        <v>13594797.398000015</v>
      </c>
      <c r="I5" s="50"/>
      <c r="J5" s="50"/>
    </row>
    <row r="6" spans="1:10" x14ac:dyDescent="0.3">
      <c r="A6" t="str">
        <f>TEXT('Income Statement'!C4,"mmm")</f>
        <v>May</v>
      </c>
      <c r="B6" s="17">
        <f>'Income Statement'!C8+'Income Statement'!C29+'Income Statement'!C30</f>
        <v>5816276.6829999983</v>
      </c>
      <c r="C6" s="17">
        <f>B6-D6</f>
        <v>5349237.4149999991</v>
      </c>
      <c r="D6" s="17">
        <f>'Income Statement'!C34</f>
        <v>467039.26799999917</v>
      </c>
      <c r="G6" t="s">
        <v>377</v>
      </c>
      <c r="H6" s="17">
        <f>B12</f>
        <v>42076441.169</v>
      </c>
      <c r="I6" s="17">
        <f>B11</f>
        <v>5535128.054999995</v>
      </c>
      <c r="J6" s="17">
        <f>B10</f>
        <v>6945956.120000002</v>
      </c>
    </row>
    <row r="7" spans="1:10" x14ac:dyDescent="0.3">
      <c r="A7" t="str">
        <f>TEXT('Income Statement'!D4,"mmm")</f>
        <v>Jun</v>
      </c>
      <c r="B7" s="17">
        <f>'Income Statement'!D8+'Income Statement'!D29+'Income Statement'!D30</f>
        <v>6892515.2910000021</v>
      </c>
      <c r="C7" s="17">
        <f>B7-D7</f>
        <v>5667762.439000003</v>
      </c>
      <c r="D7" s="17">
        <f>'Income Statement'!D34</f>
        <v>1224752.851999999</v>
      </c>
      <c r="G7" t="s">
        <v>378</v>
      </c>
      <c r="H7" s="17">
        <f>C12</f>
        <v>38659422.495000005</v>
      </c>
      <c r="I7" s="17">
        <f>C11</f>
        <v>5726957.3620000007</v>
      </c>
      <c r="J7" s="17">
        <f>C10</f>
        <v>5653144.4140000138</v>
      </c>
    </row>
    <row r="8" spans="1:10" x14ac:dyDescent="0.3">
      <c r="A8" t="str">
        <f>TEXT('Income Statement'!E4,"mmm")</f>
        <v>Jul</v>
      </c>
      <c r="B8" s="17">
        <f>'Income Statement'!E8+'Income Statement'!E29+'Income Statement'!E30</f>
        <v>5162819.1559999958</v>
      </c>
      <c r="C8" s="17">
        <f>B8-D8</f>
        <v>5330411.4740000069</v>
      </c>
      <c r="D8" s="17">
        <f>'Income Statement'!E34</f>
        <v>-167592.31800001103</v>
      </c>
      <c r="G8" t="s">
        <v>272</v>
      </c>
      <c r="H8" s="17">
        <f>D12</f>
        <v>3417018.6739999983</v>
      </c>
      <c r="I8" s="17">
        <f>D11</f>
        <v>-191829.307000006</v>
      </c>
      <c r="J8" s="17">
        <f>D10</f>
        <v>1292811.7059999884</v>
      </c>
    </row>
    <row r="9" spans="1:10" x14ac:dyDescent="0.3">
      <c r="A9" t="str">
        <f>TEXT('Income Statement'!F4,"mmm")</f>
        <v>Aug</v>
      </c>
      <c r="B9" s="17">
        <f>'Income Statement'!F8+'Income Statement'!F29+'Income Statement'!F30</f>
        <v>6318249.043000008</v>
      </c>
      <c r="C9" s="17">
        <f>B9-D9</f>
        <v>5681252.1399999764</v>
      </c>
      <c r="D9" s="17">
        <f>'Income Statement'!F34</f>
        <v>636996.90300003113</v>
      </c>
      <c r="G9" t="s">
        <v>379</v>
      </c>
      <c r="H9" s="50" t="str">
        <f>'Health Summary'!B34</f>
        <v>Good</v>
      </c>
      <c r="I9" s="50"/>
      <c r="J9" s="50"/>
    </row>
    <row r="10" spans="1:10" x14ac:dyDescent="0.3">
      <c r="A10" t="str">
        <f>TEXT('Income Statement'!G4,"mmm")</f>
        <v>Sep</v>
      </c>
      <c r="B10" s="17">
        <f>'Income Statement'!G8+'Income Statement'!G29+'Income Statement'!G30</f>
        <v>6945956.120000002</v>
      </c>
      <c r="C10" s="17">
        <f>B10-D10</f>
        <v>5653144.4140000138</v>
      </c>
      <c r="D10" s="17">
        <f>'Income Statement'!G34</f>
        <v>1292811.7059999884</v>
      </c>
      <c r="G10" t="s">
        <v>380</v>
      </c>
      <c r="H10" s="25">
        <f>'Health Summary'!B33</f>
        <v>1.6666666666666667</v>
      </c>
      <c r="I10" s="50"/>
      <c r="J10" s="50"/>
    </row>
    <row r="11" spans="1:10" x14ac:dyDescent="0.3">
      <c r="A11" t="str">
        <f>TEXT('Income Statement'!H4,"mmm")</f>
        <v>Oct</v>
      </c>
      <c r="B11" s="17">
        <f>'Income Statement'!H8+'Income Statement'!H29+'Income Statement'!H30</f>
        <v>5535128.054999995</v>
      </c>
      <c r="C11" s="17">
        <f>B11-D11</f>
        <v>5726957.3620000007</v>
      </c>
      <c r="D11" s="17">
        <f>'Income Statement'!H34</f>
        <v>-191829.307000006</v>
      </c>
      <c r="G11" t="s">
        <v>323</v>
      </c>
      <c r="H11" s="17">
        <f>'Balance Sheet'!H17</f>
        <v>49124963.644000016</v>
      </c>
      <c r="I11" s="50"/>
      <c r="J11" s="50"/>
    </row>
    <row r="12" spans="1:10" x14ac:dyDescent="0.3">
      <c r="A12" s="20" t="s">
        <v>360</v>
      </c>
      <c r="B12" s="21">
        <f>SUM(B5:B11)</f>
        <v>42076441.169</v>
      </c>
      <c r="C12" s="21">
        <f>SUM(C5:C11)</f>
        <v>38659422.495000005</v>
      </c>
      <c r="D12" s="21">
        <f>SUM(D5:D11)</f>
        <v>3417018.6739999983</v>
      </c>
    </row>
    <row r="13" spans="1:10" x14ac:dyDescent="0.3">
      <c r="G13" s="66" t="s">
        <v>381</v>
      </c>
      <c r="H13" s="66" t="s">
        <v>330</v>
      </c>
      <c r="I13" s="66" t="s">
        <v>316</v>
      </c>
    </row>
    <row r="14" spans="1:10" x14ac:dyDescent="0.3">
      <c r="G14" t="s">
        <v>382</v>
      </c>
      <c r="H14" s="22">
        <f>Ratios!H32</f>
        <v>0.80446982444351467</v>
      </c>
      <c r="I14" t="str">
        <f>Ratios!J32</f>
        <v>Excellent</v>
      </c>
    </row>
    <row r="15" spans="1:10" x14ac:dyDescent="0.3">
      <c r="A15" s="66" t="s">
        <v>361</v>
      </c>
      <c r="B15" s="66" t="s">
        <v>40</v>
      </c>
      <c r="G15" t="s">
        <v>383</v>
      </c>
      <c r="H15" s="22">
        <f>Ratios!H34</f>
        <v>0.20351335537681903</v>
      </c>
      <c r="I15" t="str">
        <f>Ratios!J34</f>
        <v>Excellent</v>
      </c>
    </row>
    <row r="16" spans="1:10" x14ac:dyDescent="0.3">
      <c r="A16" t="s">
        <v>362</v>
      </c>
      <c r="B16" s="17">
        <f>-'Income Statement'!I12</f>
        <v>8155491.2629999993</v>
      </c>
      <c r="G16" t="s">
        <v>384</v>
      </c>
      <c r="H16" s="16">
        <f>Ratios!H30</f>
        <v>144.70413397030569</v>
      </c>
      <c r="I16" t="str">
        <f>Ratios!J30</f>
        <v>Bad</v>
      </c>
    </row>
    <row r="17" spans="1:5" x14ac:dyDescent="0.3">
      <c r="A17" t="s">
        <v>363</v>
      </c>
      <c r="B17" s="17">
        <f>-'Income Statement'!I16</f>
        <v>24794403.428000003</v>
      </c>
    </row>
    <row r="18" spans="1:5" x14ac:dyDescent="0.3">
      <c r="A18" t="s">
        <v>364</v>
      </c>
      <c r="B18" s="17">
        <f>-('Income Statement'!I26-'Income Statement'!I16)</f>
        <v>4403072.1909999959</v>
      </c>
    </row>
    <row r="19" spans="1:5" x14ac:dyDescent="0.3">
      <c r="A19" t="s">
        <v>197</v>
      </c>
      <c r="B19" s="17">
        <f>-'Income Statement'!I31</f>
        <v>161010.65900000001</v>
      </c>
    </row>
    <row r="20" spans="1:5" x14ac:dyDescent="0.3">
      <c r="A20" t="s">
        <v>199</v>
      </c>
      <c r="B20" s="17">
        <f>-'Income Statement'!I33</f>
        <v>1145444.9540000001</v>
      </c>
    </row>
    <row r="21" spans="1:5" x14ac:dyDescent="0.3">
      <c r="A21" s="20" t="s">
        <v>136</v>
      </c>
      <c r="B21" s="21">
        <f>SUM(B16:B20)</f>
        <v>38659422.495000005</v>
      </c>
    </row>
    <row r="22" spans="1:5" x14ac:dyDescent="0.3">
      <c r="A22" t="s">
        <v>365</v>
      </c>
      <c r="B22" s="17">
        <f>ROUND(B21-C12,0)</f>
        <v>0</v>
      </c>
    </row>
    <row r="25" spans="1:5" x14ac:dyDescent="0.3">
      <c r="A25" s="66" t="s">
        <v>0</v>
      </c>
      <c r="B25" s="66" t="s">
        <v>366</v>
      </c>
      <c r="C25" s="66" t="s">
        <v>367</v>
      </c>
      <c r="D25" s="66" t="s">
        <v>368</v>
      </c>
      <c r="E25" s="66" t="s">
        <v>369</v>
      </c>
    </row>
    <row r="26" spans="1:5" x14ac:dyDescent="0.3">
      <c r="A26" t="str">
        <f>TEXT('Cash Flow'!C4,"mmm")</f>
        <v>May</v>
      </c>
      <c r="B26" s="17">
        <f>'Cash Flow'!C15</f>
        <v>2424712.499999993</v>
      </c>
      <c r="C26" s="17">
        <f>'Cash Flow'!C20</f>
        <v>16207.454000000813</v>
      </c>
      <c r="D26" s="17">
        <f>'Cash Flow'!C25</f>
        <v>-2533899.3110000007</v>
      </c>
      <c r="E26" s="17">
        <f>'Cash Flow'!C27</f>
        <v>-92979.357000006828</v>
      </c>
    </row>
    <row r="27" spans="1:5" x14ac:dyDescent="0.3">
      <c r="A27" t="str">
        <f>TEXT('Cash Flow'!D4,"mmm")</f>
        <v>Jun</v>
      </c>
      <c r="B27" s="17">
        <f>'Cash Flow'!D15</f>
        <v>-1463512.66</v>
      </c>
      <c r="C27" s="17">
        <f>'Cash Flow'!D20</f>
        <v>8601.4589999971795</v>
      </c>
      <c r="D27" s="17">
        <f>'Cash Flow'!D25</f>
        <v>1589895.9190000091</v>
      </c>
      <c r="E27" s="17">
        <f>'Cash Flow'!D27</f>
        <v>134984.7180000064</v>
      </c>
    </row>
    <row r="28" spans="1:5" x14ac:dyDescent="0.3">
      <c r="A28" t="str">
        <f>TEXT('Cash Flow'!E4,"mmm")</f>
        <v>Jul</v>
      </c>
      <c r="B28" s="17">
        <f>'Cash Flow'!E15</f>
        <v>155701.70699998777</v>
      </c>
      <c r="C28" s="17">
        <f>'Cash Flow'!E20</f>
        <v>-128850.94100000001</v>
      </c>
      <c r="D28" s="17">
        <f>'Cash Flow'!E25</f>
        <v>-532468.783000011</v>
      </c>
      <c r="E28" s="17">
        <f>'Cash Flow'!E27</f>
        <v>-505618.01700002322</v>
      </c>
    </row>
    <row r="29" spans="1:5" x14ac:dyDescent="0.3">
      <c r="A29" t="str">
        <f>TEXT('Cash Flow'!F4,"mmm")</f>
        <v>Aug</v>
      </c>
      <c r="B29" s="17">
        <f>'Cash Flow'!F15</f>
        <v>1674712.8310000421</v>
      </c>
      <c r="C29" s="17">
        <f>'Cash Flow'!F20</f>
        <v>-177410.33399999962</v>
      </c>
      <c r="D29" s="17">
        <f>'Cash Flow'!F25</f>
        <v>-876593.22199997865</v>
      </c>
      <c r="E29" s="17">
        <f>'Cash Flow'!F27</f>
        <v>620709.27500006394</v>
      </c>
    </row>
    <row r="30" spans="1:5" x14ac:dyDescent="0.3">
      <c r="A30" t="str">
        <f>TEXT('Cash Flow'!G4,"mmm")</f>
        <v>Sep</v>
      </c>
      <c r="B30" s="17">
        <f>'Cash Flow'!G15</f>
        <v>50846.8809999777</v>
      </c>
      <c r="C30" s="17">
        <f>'Cash Flow'!G20</f>
        <v>54314.075999998982</v>
      </c>
      <c r="D30" s="17">
        <f>'Cash Flow'!G25</f>
        <v>-6565193.4880000222</v>
      </c>
      <c r="E30" s="17">
        <f>'Cash Flow'!G27</f>
        <v>-6460032.5310000451</v>
      </c>
    </row>
    <row r="31" spans="1:5" x14ac:dyDescent="0.3">
      <c r="A31" t="str">
        <f>TEXT('Cash Flow'!H4,"mmm")</f>
        <v>Oct</v>
      </c>
      <c r="B31" s="17">
        <f>'Cash Flow'!H15</f>
        <v>-658020.755000012</v>
      </c>
      <c r="C31" s="17">
        <f>'Cash Flow'!H20</f>
        <v>208964.91600000134</v>
      </c>
      <c r="D31" s="17">
        <f>'Cash Flow'!H25</f>
        <v>1725581.6319999974</v>
      </c>
      <c r="E31" s="17">
        <f>'Cash Flow'!H27</f>
        <v>1276525.7929999868</v>
      </c>
    </row>
    <row r="34" spans="1:4" x14ac:dyDescent="0.3">
      <c r="A34" s="66" t="s">
        <v>0</v>
      </c>
      <c r="B34" s="66" t="s">
        <v>370</v>
      </c>
      <c r="C34" s="66" t="s">
        <v>371</v>
      </c>
      <c r="D34" s="66" t="s">
        <v>372</v>
      </c>
    </row>
    <row r="35" spans="1:4" x14ac:dyDescent="0.3">
      <c r="A35" t="str">
        <f>TEXT('Balance Sheet'!B4,"mmm")</f>
        <v>Apr</v>
      </c>
      <c r="B35" s="17">
        <f>'Balance Sheet'!B27</f>
        <v>19742648.145</v>
      </c>
      <c r="C35" s="17">
        <f>'Balance Sheet'!B32</f>
        <v>33114783.511999998</v>
      </c>
      <c r="D35" s="17">
        <f>'Balance Sheet'!B17</f>
        <v>52857431.694999978</v>
      </c>
    </row>
    <row r="36" spans="1:4" x14ac:dyDescent="0.3">
      <c r="A36" t="str">
        <f>TEXT('Balance Sheet'!C4,"mmm")</f>
        <v>May</v>
      </c>
      <c r="B36" s="17">
        <f>'Balance Sheet'!C27</f>
        <v>17446173.074999988</v>
      </c>
      <c r="C36" s="17">
        <f>'Balance Sheet'!C32</f>
        <v>33849634.762000009</v>
      </c>
      <c r="D36" s="17">
        <f>'Balance Sheet'!C17</f>
        <v>51295807.868000016</v>
      </c>
    </row>
    <row r="37" spans="1:4" x14ac:dyDescent="0.3">
      <c r="A37" t="str">
        <f>TEXT('Balance Sheet'!D4,"mmm")</f>
        <v>Jun</v>
      </c>
      <c r="B37" s="17">
        <f>'Balance Sheet'!D27</f>
        <v>17948508.367000002</v>
      </c>
      <c r="C37" s="17">
        <f>'Balance Sheet'!D32</f>
        <v>35303994.544</v>
      </c>
      <c r="D37" s="17">
        <f>'Balance Sheet'!D17</f>
        <v>53252502.963000007</v>
      </c>
    </row>
    <row r="38" spans="1:4" x14ac:dyDescent="0.3">
      <c r="A38" t="str">
        <f>TEXT('Balance Sheet'!E4,"mmm")</f>
        <v>Jul</v>
      </c>
      <c r="B38" s="17">
        <f>'Balance Sheet'!E27</f>
        <v>18976915.717999995</v>
      </c>
      <c r="C38" s="17">
        <f>'Balance Sheet'!E32</f>
        <v>35185455.332999989</v>
      </c>
      <c r="D38" s="17">
        <f>'Balance Sheet'!E17</f>
        <v>54162371.038000003</v>
      </c>
    </row>
    <row r="39" spans="1:4" x14ac:dyDescent="0.3">
      <c r="A39" t="str">
        <f>TEXT('Balance Sheet'!F4,"mmm")</f>
        <v>Aug</v>
      </c>
      <c r="B39" s="17">
        <f>'Balance Sheet'!F27</f>
        <v>17940489.92899999</v>
      </c>
      <c r="C39" s="17">
        <f>'Balance Sheet'!F32</f>
        <v>34713150.47200004</v>
      </c>
      <c r="D39" s="17">
        <f>'Balance Sheet'!F17</f>
        <v>52653640.383000016</v>
      </c>
    </row>
    <row r="40" spans="1:4" x14ac:dyDescent="0.3">
      <c r="A40" t="str">
        <f>TEXT('Balance Sheet'!G4,"mmm")</f>
        <v>Sep</v>
      </c>
      <c r="B40" s="17">
        <f>'Balance Sheet'!G27</f>
        <v>18336674.869000003</v>
      </c>
      <c r="C40" s="17">
        <f>'Balance Sheet'!G32</f>
        <v>28844373.614</v>
      </c>
      <c r="D40" s="17">
        <f>'Balance Sheet'!G17</f>
        <v>47181048.484999999</v>
      </c>
    </row>
    <row r="41" spans="1:4" x14ac:dyDescent="0.3">
      <c r="A41" t="str">
        <f>TEXT('Balance Sheet'!H4,"mmm")</f>
        <v>Oct</v>
      </c>
      <c r="B41" s="17">
        <f>'Balance Sheet'!H27</f>
        <v>20341858.522</v>
      </c>
      <c r="C41" s="17">
        <f>'Balance Sheet'!H32</f>
        <v>28783105.105999991</v>
      </c>
      <c r="D41" s="17">
        <f>'Balance Sheet'!H17</f>
        <v>49124963.644000016</v>
      </c>
    </row>
    <row r="44" spans="1:4" x14ac:dyDescent="0.3">
      <c r="A44" s="66" t="s">
        <v>273</v>
      </c>
      <c r="B44" s="66" t="s">
        <v>373</v>
      </c>
    </row>
    <row r="45" spans="1:4" x14ac:dyDescent="0.3">
      <c r="A45" t="str">
        <f>'Health Summary'!A17</f>
        <v>Liquidity – Current Ratio</v>
      </c>
      <c r="B45" s="16">
        <f>'Health Summary'!E17</f>
        <v>1</v>
      </c>
    </row>
    <row r="46" spans="1:4" x14ac:dyDescent="0.3">
      <c r="A46" t="str">
        <f>'Health Summary'!A18</f>
        <v>Liquidity – Quick Ratio</v>
      </c>
      <c r="B46" s="16">
        <f>'Health Summary'!E18</f>
        <v>1</v>
      </c>
    </row>
    <row r="47" spans="1:4" x14ac:dyDescent="0.3">
      <c r="A47" t="str">
        <f>'Health Summary'!A19</f>
        <v>Solvency – Debt-to-Equity</v>
      </c>
      <c r="B47" s="16">
        <f>'Health Summary'!E19</f>
        <v>1</v>
      </c>
    </row>
    <row r="48" spans="1:4" x14ac:dyDescent="0.3">
      <c r="A48" t="str">
        <f>'Health Summary'!A20</f>
        <v>Solvency – Interest Coverage</v>
      </c>
      <c r="B48" s="16">
        <f>'Health Summary'!E20</f>
        <v>3</v>
      </c>
    </row>
    <row r="49" spans="1:2" x14ac:dyDescent="0.3">
      <c r="A49" t="str">
        <f>'Health Summary'!A21</f>
        <v>Efficiency – Days Sales Outstanding</v>
      </c>
      <c r="B49" s="16">
        <f>'Health Summary'!E21</f>
        <v>0</v>
      </c>
    </row>
    <row r="50" spans="1:2" x14ac:dyDescent="0.3">
      <c r="A50" t="str">
        <f>'Health Summary'!A22</f>
        <v>Efficiency – Asset Turnover</v>
      </c>
      <c r="B50" s="16">
        <f>'Health Summary'!E22</f>
        <v>1</v>
      </c>
    </row>
    <row r="51" spans="1:2" x14ac:dyDescent="0.3">
      <c r="A51" t="str">
        <f>'Health Summary'!A23</f>
        <v>Profitability – Gross Profit Margin</v>
      </c>
      <c r="B51" s="16">
        <f>'Health Summary'!E23</f>
        <v>3</v>
      </c>
    </row>
    <row r="52" spans="1:2" x14ac:dyDescent="0.3">
      <c r="A52" t="str">
        <f>'Health Summary'!A24</f>
        <v>Profitability – Return on Assets</v>
      </c>
      <c r="B52" s="16">
        <f>'Health Summary'!E24</f>
        <v>2</v>
      </c>
    </row>
    <row r="53" spans="1:2" x14ac:dyDescent="0.3">
      <c r="A53" t="str">
        <f>'Health Summary'!A25</f>
        <v>Profitability – Return on Equity</v>
      </c>
      <c r="B53" s="16">
        <f>'Health Summary'!E25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Loan Amortization</vt:lpstr>
      <vt:lpstr>DCF Model</vt:lpstr>
      <vt:lpstr>Dashboard</vt:lpstr>
      <vt:lpstr>Health Summary</vt:lpstr>
      <vt:lpstr>Income Statement</vt:lpstr>
      <vt:lpstr>Balance Sheet</vt:lpstr>
      <vt:lpstr>Cash Flow</vt:lpstr>
      <vt:lpstr>Ratios</vt:lpstr>
      <vt:lpstr>TB Summary</vt:lpstr>
      <vt:lpstr>COA</vt:lpstr>
      <vt:lpstr>Apr</vt:lpstr>
      <vt:lpstr>May</vt:lpstr>
      <vt:lpstr>Jun</vt:lpstr>
      <vt:lpstr>Jul</vt:lpstr>
      <vt:lpstr>Aug</vt:lpstr>
      <vt:lpstr>Sep</vt:lpstr>
      <vt:lpstr>Oct</vt:lpstr>
      <vt:lpstr>Dashboard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Jain Admin</dc:creator>
  <cp:lastModifiedBy>ismam tasnime romith</cp:lastModifiedBy>
  <dcterms:created xsi:type="dcterms:W3CDTF">2026-07-20T08:40:25Z</dcterms:created>
  <dcterms:modified xsi:type="dcterms:W3CDTF">2026-09-30T20:33:05Z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2026-08-02T14:59:46Z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96dbc240-fd30-40d3-8a04-c9f12618c4b5</vt:lpwstr>
  </property>
  <property fmtid="{D5CDD505-2E9C-101B-9397-08002B2CF9AE}" pid="7" name="MSIP_Label_defa4170-0d19-0005-0004-bc88714345d2_ActionId">
    <vt:lpwstr>cb46c4bb-03ab-4580-bdde-49c7dd7f53d3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